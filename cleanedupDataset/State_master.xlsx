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AMBODHI\Desktop\TPDS Project\dataset\"/>
    </mc:Choice>
  </mc:AlternateContent>
  <xr:revisionPtr revIDLastSave="0" documentId="13_ncr:1_{916530DF-C5CC-41CA-9700-EE9DF858B4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in" sheetId="1" r:id="rId1"/>
    <sheet name="Vocational" sheetId="5" r:id="rId2"/>
    <sheet name="Recidivism" sheetId="3" r:id="rId3"/>
    <sheet name="policseStrength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2" l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39" i="2"/>
  <c r="C2440" i="2"/>
  <c r="C2441" i="2"/>
  <c r="C2442" i="2"/>
  <c r="C2443" i="2"/>
  <c r="C2444" i="2"/>
  <c r="C2445" i="2"/>
  <c r="C2446" i="2"/>
  <c r="C2447" i="2"/>
  <c r="C2448" i="2"/>
  <c r="C24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2473" i="2"/>
  <c r="C2474" i="2"/>
  <c r="C2475" i="2"/>
  <c r="C2476" i="2"/>
  <c r="C2477" i="2"/>
  <c r="C2478" i="2"/>
  <c r="C2479" i="2"/>
  <c r="C2480" i="2"/>
  <c r="C2481" i="2"/>
  <c r="C2482" i="2"/>
  <c r="C2483" i="2"/>
  <c r="C2484" i="2"/>
  <c r="C2485" i="2"/>
  <c r="C2486" i="2"/>
  <c r="C2487" i="2"/>
  <c r="C2488" i="2"/>
  <c r="C2489" i="2"/>
  <c r="C2490" i="2"/>
  <c r="C2491" i="2"/>
  <c r="C2492" i="2"/>
  <c r="C2493" i="2"/>
  <c r="C2494" i="2"/>
  <c r="C2495" i="2"/>
  <c r="C2496" i="2"/>
  <c r="C2497" i="2"/>
  <c r="C2498" i="2"/>
  <c r="C2499" i="2"/>
  <c r="C2500" i="2"/>
  <c r="C2501" i="2"/>
  <c r="C2502" i="2"/>
  <c r="C2503" i="2"/>
  <c r="C2504" i="2"/>
  <c r="C2505" i="2"/>
  <c r="C2506" i="2"/>
  <c r="C2507" i="2"/>
  <c r="C2508" i="2"/>
  <c r="C2509" i="2"/>
  <c r="C2510" i="2"/>
  <c r="C2511" i="2"/>
  <c r="C2512" i="2"/>
  <c r="C2513" i="2"/>
  <c r="C2514" i="2"/>
  <c r="C2515" i="2"/>
  <c r="C2516" i="2"/>
  <c r="C2517" i="2"/>
  <c r="C2518" i="2"/>
  <c r="C2519" i="2"/>
  <c r="C2520" i="2"/>
  <c r="C2521" i="2"/>
  <c r="C2522" i="2"/>
  <c r="C2523" i="2"/>
  <c r="C2524" i="2"/>
  <c r="C2525" i="2"/>
  <c r="C2526" i="2"/>
  <c r="C2527" i="2"/>
  <c r="C2528" i="2"/>
  <c r="C2529" i="2"/>
  <c r="C2530" i="2"/>
  <c r="C2531" i="2"/>
  <c r="C2532" i="2"/>
  <c r="C2533" i="2"/>
  <c r="C2534" i="2"/>
  <c r="C2535" i="2"/>
  <c r="C2536" i="2"/>
  <c r="C2537" i="2"/>
  <c r="C2538" i="2"/>
  <c r="C2539" i="2"/>
  <c r="C2540" i="2"/>
  <c r="C2541" i="2"/>
  <c r="C2542" i="2"/>
  <c r="C2543" i="2"/>
  <c r="C2544" i="2"/>
  <c r="C2545" i="2"/>
  <c r="C2546" i="2"/>
  <c r="C2547" i="2"/>
  <c r="C2548" i="2"/>
  <c r="C2549" i="2"/>
  <c r="C2550" i="2"/>
  <c r="C2551" i="2"/>
  <c r="C2552" i="2"/>
  <c r="C2553" i="2"/>
  <c r="C2554" i="2"/>
  <c r="C2555" i="2"/>
  <c r="C2556" i="2"/>
  <c r="C2557" i="2"/>
  <c r="C2558" i="2"/>
  <c r="C2559" i="2"/>
  <c r="C2560" i="2"/>
  <c r="C2561" i="2"/>
  <c r="C2562" i="2"/>
  <c r="C2563" i="2"/>
  <c r="C2564" i="2"/>
  <c r="C2565" i="2"/>
  <c r="C2566" i="2"/>
  <c r="C2567" i="2"/>
  <c r="C2568" i="2"/>
  <c r="C2569" i="2"/>
  <c r="C2570" i="2"/>
  <c r="C2571" i="2"/>
  <c r="C2572" i="2"/>
  <c r="C2573" i="2"/>
  <c r="C2574" i="2"/>
  <c r="C2575" i="2"/>
  <c r="C2576" i="2"/>
  <c r="C2577" i="2"/>
  <c r="C2578" i="2"/>
  <c r="C2579" i="2"/>
  <c r="C2580" i="2"/>
  <c r="C2581" i="2"/>
  <c r="C2582" i="2"/>
  <c r="C2583" i="2"/>
  <c r="C2584" i="2"/>
  <c r="C2585" i="2"/>
  <c r="C2586" i="2"/>
  <c r="C2587" i="2"/>
  <c r="C2588" i="2"/>
  <c r="C2589" i="2"/>
  <c r="C2590" i="2"/>
  <c r="C2591" i="2"/>
  <c r="C2592" i="2"/>
  <c r="C2593" i="2"/>
  <c r="C2594" i="2"/>
  <c r="C2595" i="2"/>
  <c r="C2596" i="2"/>
  <c r="C2597" i="2"/>
  <c r="C2598" i="2"/>
  <c r="C2599" i="2"/>
  <c r="C2600" i="2"/>
  <c r="C2601" i="2"/>
  <c r="C2602" i="2"/>
  <c r="C2603" i="2"/>
  <c r="C2604" i="2"/>
  <c r="C2605" i="2"/>
  <c r="C2606" i="2"/>
  <c r="C2607" i="2"/>
  <c r="C2608" i="2"/>
  <c r="C2609" i="2"/>
  <c r="C2610" i="2"/>
  <c r="C2611" i="2"/>
  <c r="C2612" i="2"/>
  <c r="C2613" i="2"/>
  <c r="C2614" i="2"/>
  <c r="C2615" i="2"/>
  <c r="C2616" i="2"/>
  <c r="C2617" i="2"/>
  <c r="C2618" i="2"/>
  <c r="C2619" i="2"/>
  <c r="C2620" i="2"/>
  <c r="C2621" i="2"/>
  <c r="C2622" i="2"/>
  <c r="C2623" i="2"/>
  <c r="C2624" i="2"/>
  <c r="C2625" i="2"/>
  <c r="C2626" i="2"/>
  <c r="C2627" i="2"/>
  <c r="C2628" i="2"/>
  <c r="C2629" i="2"/>
  <c r="C2630" i="2"/>
  <c r="C2631" i="2"/>
  <c r="C2632" i="2"/>
  <c r="C2633" i="2"/>
  <c r="C2634" i="2"/>
  <c r="C2635" i="2"/>
  <c r="C2636" i="2"/>
  <c r="C2637" i="2"/>
  <c r="C2638" i="2"/>
  <c r="C2639" i="2"/>
  <c r="C2640" i="2"/>
  <c r="C2641" i="2"/>
  <c r="C2642" i="2"/>
  <c r="C2643" i="2"/>
  <c r="C2644" i="2"/>
  <c r="C2645" i="2"/>
  <c r="C2646" i="2"/>
  <c r="C2647" i="2"/>
  <c r="C2648" i="2"/>
  <c r="C2649" i="2"/>
  <c r="C2650" i="2"/>
  <c r="C2651" i="2"/>
  <c r="C2652" i="2"/>
  <c r="C2653" i="2"/>
  <c r="C2654" i="2"/>
  <c r="C2655" i="2"/>
  <c r="C2656" i="2"/>
  <c r="C2657" i="2"/>
  <c r="C2658" i="2"/>
  <c r="C2659" i="2"/>
  <c r="C2660" i="2"/>
  <c r="C2661" i="2"/>
  <c r="C2662" i="2"/>
  <c r="C2663" i="2"/>
  <c r="C2664" i="2"/>
  <c r="C2665" i="2"/>
  <c r="C2666" i="2"/>
  <c r="C2667" i="2"/>
  <c r="C2668" i="2"/>
  <c r="C2669" i="2"/>
  <c r="C2670" i="2"/>
  <c r="C2671" i="2"/>
  <c r="C2672" i="2"/>
  <c r="C2673" i="2"/>
  <c r="C2674" i="2"/>
  <c r="C2675" i="2"/>
  <c r="C2676" i="2"/>
  <c r="C2677" i="2"/>
  <c r="C2678" i="2"/>
  <c r="C2679" i="2"/>
  <c r="C2680" i="2"/>
  <c r="C2681" i="2"/>
  <c r="C2682" i="2"/>
  <c r="C2683" i="2"/>
  <c r="C2684" i="2"/>
  <c r="C2685" i="2"/>
  <c r="C2686" i="2"/>
  <c r="C2687" i="2"/>
  <c r="C2688" i="2"/>
  <c r="C2689" i="2"/>
  <c r="C2690" i="2"/>
  <c r="C2691" i="2"/>
  <c r="C2692" i="2"/>
  <c r="C2693" i="2"/>
  <c r="C2694" i="2"/>
  <c r="C2695" i="2"/>
  <c r="C2696" i="2"/>
  <c r="C2697" i="2"/>
  <c r="C2698" i="2"/>
  <c r="C2699" i="2"/>
  <c r="C2700" i="2"/>
  <c r="C2701" i="2"/>
  <c r="C2702" i="2"/>
  <c r="C2703" i="2"/>
  <c r="C2704" i="2"/>
  <c r="C2705" i="2"/>
  <c r="C2706" i="2"/>
  <c r="C2707" i="2"/>
  <c r="C2708" i="2"/>
  <c r="C2709" i="2"/>
  <c r="C2710" i="2"/>
  <c r="C2711" i="2"/>
  <c r="C2712" i="2"/>
  <c r="C2713" i="2"/>
  <c r="C2714" i="2"/>
  <c r="C2715" i="2"/>
  <c r="C2716" i="2"/>
  <c r="C2717" i="2"/>
  <c r="C2718" i="2"/>
  <c r="C2719" i="2"/>
  <c r="C2720" i="2"/>
  <c r="C2721" i="2"/>
  <c r="C2722" i="2"/>
  <c r="C2723" i="2"/>
  <c r="C2724" i="2"/>
  <c r="C2725" i="2"/>
  <c r="C2726" i="2"/>
  <c r="C2727" i="2"/>
  <c r="C2728" i="2"/>
  <c r="C2729" i="2"/>
  <c r="C2730" i="2"/>
  <c r="C2731" i="2"/>
  <c r="C2732" i="2"/>
  <c r="C2733" i="2"/>
  <c r="C2734" i="2"/>
  <c r="C2735" i="2"/>
  <c r="C2736" i="2"/>
  <c r="C2737" i="2"/>
  <c r="C2738" i="2"/>
  <c r="C2739" i="2"/>
  <c r="C2740" i="2"/>
  <c r="C2741" i="2"/>
  <c r="C2742" i="2"/>
  <c r="C2743" i="2"/>
  <c r="C2744" i="2"/>
  <c r="C2745" i="2"/>
  <c r="C2746" i="2"/>
  <c r="C2747" i="2"/>
  <c r="C2748" i="2"/>
  <c r="C2749" i="2"/>
  <c r="C2750" i="2"/>
  <c r="C2751" i="2"/>
  <c r="C2752" i="2"/>
  <c r="C2753" i="2"/>
  <c r="C2754" i="2"/>
  <c r="C2755" i="2"/>
  <c r="C2756" i="2"/>
  <c r="C2757" i="2"/>
  <c r="C2758" i="2"/>
  <c r="C2759" i="2"/>
  <c r="C2760" i="2"/>
  <c r="C2761" i="2"/>
  <c r="C2762" i="2"/>
  <c r="C2763" i="2"/>
  <c r="C2764" i="2"/>
  <c r="C2765" i="2"/>
  <c r="C2766" i="2"/>
  <c r="C2767" i="2"/>
  <c r="C2768" i="2"/>
  <c r="C2769" i="2"/>
  <c r="C2770" i="2"/>
  <c r="C2771" i="2"/>
  <c r="C2772" i="2"/>
  <c r="C2773" i="2"/>
  <c r="C2774" i="2"/>
  <c r="C2775" i="2"/>
  <c r="C2776" i="2"/>
  <c r="C2777" i="2"/>
  <c r="C2778" i="2"/>
  <c r="C2779" i="2"/>
  <c r="C2780" i="2"/>
  <c r="C2781" i="2"/>
  <c r="C2782" i="2"/>
  <c r="C2783" i="2"/>
  <c r="C2784" i="2"/>
  <c r="C2785" i="2"/>
  <c r="C2786" i="2"/>
  <c r="C2787" i="2"/>
  <c r="C2788" i="2"/>
  <c r="C2789" i="2"/>
  <c r="C2790" i="2"/>
  <c r="C2791" i="2"/>
  <c r="C2792" i="2"/>
  <c r="C2793" i="2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513" i="5"/>
  <c r="C514" i="5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572" i="5"/>
  <c r="C573" i="5"/>
  <c r="C574" i="5"/>
  <c r="C575" i="5"/>
  <c r="C576" i="5"/>
  <c r="C577" i="5"/>
  <c r="C578" i="5"/>
  <c r="C579" i="5"/>
  <c r="C580" i="5"/>
  <c r="C581" i="5"/>
  <c r="C582" i="5"/>
  <c r="C583" i="5"/>
  <c r="C584" i="5"/>
  <c r="C585" i="5"/>
  <c r="C586" i="5"/>
  <c r="C587" i="5"/>
  <c r="C588" i="5"/>
  <c r="C589" i="5"/>
  <c r="C590" i="5"/>
  <c r="C591" i="5"/>
  <c r="C592" i="5"/>
  <c r="C593" i="5"/>
  <c r="C594" i="5"/>
  <c r="C595" i="5"/>
  <c r="C596" i="5"/>
  <c r="C597" i="5"/>
  <c r="C598" i="5"/>
  <c r="C599" i="5"/>
  <c r="C600" i="5"/>
  <c r="C601" i="5"/>
  <c r="C602" i="5"/>
  <c r="C603" i="5"/>
  <c r="C604" i="5"/>
  <c r="C605" i="5"/>
  <c r="C606" i="5"/>
  <c r="C607" i="5"/>
  <c r="C608" i="5"/>
  <c r="C609" i="5"/>
  <c r="C610" i="5"/>
  <c r="C611" i="5"/>
  <c r="C612" i="5"/>
  <c r="C613" i="5"/>
  <c r="C614" i="5"/>
  <c r="C615" i="5"/>
  <c r="C616" i="5"/>
  <c r="C617" i="5"/>
  <c r="C618" i="5"/>
  <c r="C619" i="5"/>
  <c r="C620" i="5"/>
  <c r="C621" i="5"/>
  <c r="C622" i="5"/>
  <c r="C623" i="5"/>
  <c r="C624" i="5"/>
  <c r="C625" i="5"/>
  <c r="C626" i="5"/>
  <c r="C627" i="5"/>
  <c r="C628" i="5"/>
  <c r="C629" i="5"/>
  <c r="C630" i="5"/>
  <c r="C631" i="5"/>
  <c r="C632" i="5"/>
  <c r="C633" i="5"/>
  <c r="C634" i="5"/>
  <c r="C635" i="5"/>
  <c r="C636" i="5"/>
  <c r="C637" i="5"/>
  <c r="C638" i="5"/>
  <c r="C639" i="5"/>
  <c r="C640" i="5"/>
  <c r="C641" i="5"/>
  <c r="C642" i="5"/>
  <c r="C643" i="5"/>
  <c r="C644" i="5"/>
  <c r="C645" i="5"/>
  <c r="C646" i="5"/>
  <c r="C647" i="5"/>
  <c r="C648" i="5"/>
  <c r="C649" i="5"/>
  <c r="C650" i="5"/>
  <c r="C651" i="5"/>
  <c r="C652" i="5"/>
  <c r="C653" i="5"/>
  <c r="C654" i="5"/>
  <c r="C655" i="5"/>
  <c r="C656" i="5"/>
  <c r="C657" i="5"/>
  <c r="C658" i="5"/>
  <c r="C659" i="5"/>
  <c r="C660" i="5"/>
  <c r="C661" i="5"/>
  <c r="C662" i="5"/>
  <c r="C663" i="5"/>
  <c r="C664" i="5"/>
  <c r="C665" i="5"/>
  <c r="C666" i="5"/>
  <c r="C667" i="5"/>
  <c r="C668" i="5"/>
  <c r="C669" i="5"/>
  <c r="C670" i="5"/>
  <c r="C671" i="5"/>
  <c r="C672" i="5"/>
  <c r="C673" i="5"/>
  <c r="C674" i="5"/>
  <c r="C675" i="5"/>
  <c r="C676" i="5"/>
  <c r="C677" i="5"/>
  <c r="C678" i="5"/>
  <c r="C679" i="5"/>
  <c r="C680" i="5"/>
  <c r="C681" i="5"/>
  <c r="C682" i="5"/>
  <c r="C683" i="5"/>
  <c r="C684" i="5"/>
  <c r="C685" i="5"/>
  <c r="C686" i="5"/>
  <c r="C687" i="5"/>
  <c r="C688" i="5"/>
  <c r="C689" i="5"/>
  <c r="C690" i="5"/>
  <c r="C691" i="5"/>
  <c r="C692" i="5"/>
  <c r="C693" i="5"/>
  <c r="C694" i="5"/>
  <c r="C695" i="5"/>
  <c r="C696" i="5"/>
  <c r="C697" i="5"/>
  <c r="C698" i="5"/>
  <c r="C699" i="5"/>
  <c r="C700" i="5"/>
  <c r="C701" i="5"/>
  <c r="C702" i="5"/>
  <c r="C703" i="5"/>
  <c r="C704" i="5"/>
  <c r="C705" i="5"/>
  <c r="C706" i="5"/>
  <c r="C707" i="5"/>
  <c r="C708" i="5"/>
  <c r="C709" i="5"/>
  <c r="C710" i="5"/>
  <c r="C711" i="5"/>
  <c r="C712" i="5"/>
  <c r="C713" i="5"/>
  <c r="C714" i="5"/>
  <c r="C715" i="5"/>
  <c r="C716" i="5"/>
  <c r="C717" i="5"/>
  <c r="C718" i="5"/>
  <c r="C719" i="5"/>
  <c r="C720" i="5"/>
  <c r="C721" i="5"/>
  <c r="C722" i="5"/>
  <c r="C723" i="5"/>
  <c r="C724" i="5"/>
  <c r="C725" i="5"/>
  <c r="C726" i="5"/>
  <c r="C727" i="5"/>
  <c r="C728" i="5"/>
  <c r="C729" i="5"/>
  <c r="C730" i="5"/>
  <c r="C731" i="5"/>
  <c r="C732" i="5"/>
  <c r="C733" i="5"/>
  <c r="C734" i="5"/>
  <c r="C735" i="5"/>
  <c r="C736" i="5"/>
  <c r="C737" i="5"/>
  <c r="C738" i="5"/>
  <c r="C739" i="5"/>
  <c r="C740" i="5"/>
  <c r="C741" i="5"/>
  <c r="C742" i="5"/>
  <c r="C743" i="5"/>
  <c r="C744" i="5"/>
  <c r="C745" i="5"/>
  <c r="C746" i="5"/>
  <c r="C747" i="5"/>
  <c r="C748" i="5"/>
  <c r="C749" i="5"/>
  <c r="C750" i="5"/>
  <c r="C751" i="5"/>
  <c r="C752" i="5"/>
  <c r="C753" i="5"/>
  <c r="C754" i="5"/>
  <c r="C755" i="5"/>
  <c r="C756" i="5"/>
  <c r="C757" i="5"/>
  <c r="C758" i="5"/>
  <c r="C759" i="5"/>
  <c r="C760" i="5"/>
  <c r="C761" i="5"/>
  <c r="C762" i="5"/>
  <c r="C763" i="5"/>
  <c r="C764" i="5"/>
  <c r="C765" i="5"/>
  <c r="C766" i="5"/>
  <c r="C767" i="5"/>
  <c r="C768" i="5"/>
  <c r="C769" i="5"/>
  <c r="C770" i="5"/>
  <c r="C771" i="5"/>
  <c r="C772" i="5"/>
  <c r="C773" i="5"/>
  <c r="C774" i="5"/>
  <c r="C775" i="5"/>
  <c r="C776" i="5"/>
  <c r="C777" i="5"/>
  <c r="C778" i="5"/>
  <c r="C779" i="5"/>
  <c r="C780" i="5"/>
  <c r="C781" i="5"/>
  <c r="C782" i="5"/>
  <c r="C783" i="5"/>
  <c r="C784" i="5"/>
  <c r="C785" i="5"/>
  <c r="C786" i="5"/>
  <c r="C787" i="5"/>
  <c r="C788" i="5"/>
  <c r="C789" i="5"/>
  <c r="C790" i="5"/>
  <c r="C791" i="5"/>
  <c r="C792" i="5"/>
  <c r="C793" i="5"/>
  <c r="C794" i="5"/>
  <c r="C795" i="5"/>
  <c r="C796" i="5"/>
  <c r="C797" i="5"/>
  <c r="C798" i="5"/>
  <c r="C799" i="5"/>
  <c r="C800" i="5"/>
  <c r="C801" i="5"/>
  <c r="C802" i="5"/>
  <c r="C803" i="5"/>
  <c r="C804" i="5"/>
  <c r="C805" i="5"/>
  <c r="C806" i="5"/>
  <c r="C807" i="5"/>
  <c r="C808" i="5"/>
  <c r="C809" i="5"/>
  <c r="C810" i="5"/>
  <c r="C811" i="5"/>
  <c r="C812" i="5"/>
  <c r="C813" i="5"/>
  <c r="C814" i="5"/>
  <c r="C815" i="5"/>
  <c r="C816" i="5"/>
  <c r="C817" i="5"/>
  <c r="C818" i="5"/>
  <c r="C819" i="5"/>
  <c r="C820" i="5"/>
  <c r="C821" i="5"/>
  <c r="C822" i="5"/>
  <c r="C823" i="5"/>
  <c r="C824" i="5"/>
  <c r="C825" i="5"/>
  <c r="C826" i="5"/>
  <c r="C827" i="5"/>
  <c r="C828" i="5"/>
  <c r="C829" i="5"/>
  <c r="C830" i="5"/>
  <c r="C831" i="5"/>
  <c r="C832" i="5"/>
  <c r="C833" i="5"/>
  <c r="C834" i="5"/>
  <c r="C835" i="5"/>
  <c r="C836" i="5"/>
  <c r="C837" i="5"/>
  <c r="C838" i="5"/>
  <c r="C839" i="5"/>
  <c r="C840" i="5"/>
  <c r="C841" i="5"/>
  <c r="C842" i="5"/>
  <c r="C843" i="5"/>
  <c r="C844" i="5"/>
  <c r="C845" i="5"/>
  <c r="C846" i="5"/>
  <c r="C847" i="5"/>
  <c r="C848" i="5"/>
  <c r="C849" i="5"/>
  <c r="C850" i="5"/>
  <c r="C851" i="5"/>
  <c r="C852" i="5"/>
  <c r="C853" i="5"/>
  <c r="C854" i="5"/>
  <c r="C855" i="5"/>
  <c r="C856" i="5"/>
  <c r="C857" i="5"/>
  <c r="C858" i="5"/>
  <c r="C859" i="5"/>
  <c r="C860" i="5"/>
  <c r="C861" i="5"/>
  <c r="C862" i="5"/>
  <c r="C863" i="5"/>
  <c r="C864" i="5"/>
  <c r="C865" i="5"/>
  <c r="C866" i="5"/>
  <c r="C867" i="5"/>
  <c r="C868" i="5"/>
  <c r="C869" i="5"/>
  <c r="C870" i="5"/>
  <c r="C871" i="5"/>
  <c r="C872" i="5"/>
  <c r="C873" i="5"/>
  <c r="C874" i="5"/>
  <c r="C875" i="5"/>
  <c r="C876" i="5"/>
  <c r="C877" i="5"/>
  <c r="C878" i="5"/>
  <c r="C879" i="5"/>
  <c r="C880" i="5"/>
  <c r="C881" i="5"/>
  <c r="C882" i="5"/>
  <c r="C883" i="5"/>
  <c r="C884" i="5"/>
  <c r="C885" i="5"/>
  <c r="C886" i="5"/>
  <c r="C887" i="5"/>
  <c r="C888" i="5"/>
  <c r="C889" i="5"/>
  <c r="C890" i="5"/>
  <c r="C891" i="5"/>
  <c r="C892" i="5"/>
  <c r="C893" i="5"/>
  <c r="C894" i="5"/>
  <c r="C895" i="5"/>
  <c r="C896" i="5"/>
  <c r="C897" i="5"/>
  <c r="C898" i="5"/>
  <c r="C899" i="5"/>
  <c r="C900" i="5"/>
  <c r="C901" i="5"/>
  <c r="C902" i="5"/>
  <c r="C903" i="5"/>
  <c r="C904" i="5"/>
  <c r="C905" i="5"/>
  <c r="C906" i="5"/>
  <c r="C907" i="5"/>
  <c r="C908" i="5"/>
  <c r="C909" i="5"/>
  <c r="C910" i="5"/>
  <c r="C911" i="5"/>
  <c r="C912" i="5"/>
  <c r="C913" i="5"/>
  <c r="C914" i="5"/>
  <c r="C915" i="5"/>
  <c r="C916" i="5"/>
  <c r="C917" i="5"/>
  <c r="C918" i="5"/>
  <c r="C919" i="5"/>
  <c r="C920" i="5"/>
  <c r="C921" i="5"/>
  <c r="C922" i="5"/>
  <c r="C923" i="5"/>
  <c r="C924" i="5"/>
  <c r="C925" i="5"/>
  <c r="C926" i="5"/>
  <c r="C927" i="5"/>
  <c r="C928" i="5"/>
  <c r="C929" i="5"/>
  <c r="C930" i="5"/>
  <c r="C931" i="5"/>
  <c r="C932" i="5"/>
  <c r="C933" i="5"/>
  <c r="C934" i="5"/>
  <c r="C935" i="5"/>
  <c r="C936" i="5"/>
  <c r="C937" i="5"/>
  <c r="C938" i="5"/>
  <c r="C939" i="5"/>
  <c r="C940" i="5"/>
  <c r="C941" i="5"/>
  <c r="C942" i="5"/>
  <c r="C943" i="5"/>
  <c r="C944" i="5"/>
  <c r="C945" i="5"/>
  <c r="C946" i="5"/>
  <c r="C947" i="5"/>
  <c r="C948" i="5"/>
  <c r="C949" i="5"/>
  <c r="C950" i="5"/>
  <c r="C951" i="5"/>
  <c r="C952" i="5"/>
  <c r="C953" i="5"/>
  <c r="C954" i="5"/>
  <c r="C955" i="5"/>
  <c r="C956" i="5"/>
  <c r="C957" i="5"/>
  <c r="C958" i="5"/>
  <c r="C959" i="5"/>
  <c r="C960" i="5"/>
  <c r="C961" i="5"/>
  <c r="C962" i="5"/>
  <c r="C963" i="5"/>
  <c r="C964" i="5"/>
  <c r="C965" i="5"/>
  <c r="C966" i="5"/>
  <c r="C967" i="5"/>
  <c r="C968" i="5"/>
  <c r="C969" i="5"/>
  <c r="C970" i="5"/>
  <c r="C971" i="5"/>
  <c r="C972" i="5"/>
  <c r="C973" i="5"/>
  <c r="C974" i="5"/>
  <c r="C975" i="5"/>
  <c r="C976" i="5"/>
  <c r="C977" i="5"/>
  <c r="C978" i="5"/>
  <c r="C979" i="5"/>
  <c r="C980" i="5"/>
  <c r="C981" i="5"/>
  <c r="C982" i="5"/>
  <c r="C983" i="5"/>
  <c r="C984" i="5"/>
  <c r="C985" i="5"/>
  <c r="C986" i="5"/>
  <c r="C987" i="5"/>
  <c r="C988" i="5"/>
  <c r="C989" i="5"/>
  <c r="C990" i="5"/>
  <c r="C991" i="5"/>
  <c r="C992" i="5"/>
  <c r="C993" i="5"/>
  <c r="C994" i="5"/>
  <c r="C995" i="5"/>
  <c r="C996" i="5"/>
  <c r="C997" i="5"/>
  <c r="C998" i="5"/>
  <c r="C999" i="5"/>
  <c r="C1000" i="5"/>
  <c r="C1001" i="5"/>
  <c r="C1002" i="5"/>
  <c r="C1003" i="5"/>
  <c r="C1004" i="5"/>
  <c r="C1005" i="5"/>
  <c r="C1006" i="5"/>
  <c r="C1007" i="5"/>
  <c r="C1008" i="5"/>
  <c r="C1009" i="5"/>
  <c r="C1010" i="5"/>
  <c r="C1011" i="5"/>
  <c r="C1012" i="5"/>
  <c r="C1013" i="5"/>
  <c r="C1014" i="5"/>
  <c r="C1015" i="5"/>
  <c r="C1016" i="5"/>
  <c r="C1017" i="5"/>
  <c r="C1018" i="5"/>
  <c r="C1019" i="5"/>
  <c r="C1020" i="5"/>
  <c r="C1021" i="5"/>
  <c r="C1022" i="5"/>
  <c r="C1023" i="5"/>
  <c r="C1024" i="5"/>
  <c r="C1025" i="5"/>
  <c r="C1026" i="5"/>
  <c r="C1027" i="5"/>
  <c r="C1028" i="5"/>
  <c r="C1029" i="5"/>
  <c r="C1030" i="5"/>
  <c r="C1031" i="5"/>
  <c r="C1032" i="5"/>
  <c r="C1033" i="5"/>
  <c r="C1034" i="5"/>
  <c r="C1035" i="5"/>
  <c r="C1036" i="5"/>
  <c r="C1037" i="5"/>
  <c r="C1038" i="5"/>
  <c r="C1039" i="5"/>
  <c r="C1040" i="5"/>
  <c r="C1041" i="5"/>
  <c r="C1042" i="5"/>
  <c r="C1043" i="5"/>
  <c r="C1044" i="5"/>
  <c r="C1045" i="5"/>
  <c r="C1046" i="5"/>
  <c r="C1047" i="5"/>
  <c r="C1048" i="5"/>
  <c r="C1049" i="5"/>
  <c r="C1050" i="5"/>
  <c r="C1051" i="5"/>
  <c r="C1052" i="5"/>
  <c r="C1053" i="5"/>
  <c r="C1054" i="5"/>
  <c r="C1055" i="5"/>
  <c r="C1056" i="5"/>
  <c r="C1057" i="5"/>
  <c r="C1058" i="5"/>
  <c r="C1059" i="5"/>
  <c r="C1060" i="5"/>
  <c r="C1061" i="5"/>
  <c r="C1062" i="5"/>
  <c r="C1063" i="5"/>
  <c r="C1064" i="5"/>
  <c r="C1065" i="5"/>
  <c r="C1066" i="5"/>
  <c r="C1067" i="5"/>
  <c r="C1068" i="5"/>
  <c r="C1069" i="5"/>
  <c r="C1070" i="5"/>
  <c r="C1071" i="5"/>
  <c r="C1072" i="5"/>
  <c r="C1073" i="5"/>
  <c r="C1074" i="5"/>
  <c r="C1075" i="5"/>
  <c r="C1076" i="5"/>
  <c r="C1077" i="5"/>
  <c r="C1078" i="5"/>
  <c r="C1079" i="5"/>
  <c r="C1080" i="5"/>
  <c r="C1081" i="5"/>
  <c r="C1082" i="5"/>
  <c r="C1083" i="5"/>
  <c r="C1084" i="5"/>
  <c r="C1085" i="5"/>
  <c r="C1086" i="5"/>
  <c r="C1087" i="5"/>
  <c r="C1088" i="5"/>
  <c r="C1089" i="5"/>
  <c r="C1090" i="5"/>
  <c r="C1091" i="5"/>
  <c r="C1092" i="5"/>
  <c r="C1093" i="5"/>
  <c r="C1094" i="5"/>
  <c r="C1095" i="5"/>
  <c r="C1096" i="5"/>
  <c r="C1097" i="5"/>
  <c r="C1098" i="5"/>
  <c r="C1099" i="5"/>
  <c r="C1100" i="5"/>
  <c r="C1101" i="5"/>
  <c r="C1102" i="5"/>
  <c r="C1103" i="5"/>
  <c r="C1104" i="5"/>
  <c r="C1105" i="5"/>
  <c r="C1106" i="5"/>
  <c r="C1107" i="5"/>
  <c r="C1108" i="5"/>
  <c r="C1109" i="5"/>
  <c r="C1110" i="5"/>
  <c r="C1111" i="5"/>
  <c r="C1112" i="5"/>
  <c r="C1113" i="5"/>
  <c r="C1114" i="5"/>
  <c r="C1115" i="5"/>
  <c r="C1116" i="5"/>
  <c r="C1117" i="5"/>
  <c r="C1118" i="5"/>
  <c r="C1119" i="5"/>
  <c r="C1120" i="5"/>
  <c r="C1121" i="5"/>
  <c r="C1122" i="5"/>
  <c r="C1123" i="5"/>
  <c r="C1124" i="5"/>
  <c r="C1125" i="5"/>
  <c r="C1126" i="5"/>
  <c r="C1127" i="5"/>
  <c r="C1128" i="5"/>
  <c r="C1129" i="5"/>
  <c r="C1130" i="5"/>
  <c r="C1131" i="5"/>
  <c r="C1132" i="5"/>
  <c r="C1133" i="5"/>
  <c r="C1134" i="5"/>
  <c r="C1135" i="5"/>
  <c r="C1136" i="5"/>
  <c r="C1137" i="5"/>
  <c r="C1138" i="5"/>
  <c r="C1139" i="5"/>
  <c r="C1140" i="5"/>
  <c r="C1141" i="5"/>
  <c r="C1142" i="5"/>
  <c r="C1143" i="5"/>
  <c r="C1144" i="5"/>
  <c r="C1145" i="5"/>
  <c r="C1146" i="5"/>
  <c r="C1147" i="5"/>
  <c r="C1148" i="5"/>
  <c r="C1149" i="5"/>
  <c r="C1150" i="5"/>
  <c r="C1151" i="5"/>
  <c r="C1152" i="5"/>
  <c r="C1153" i="5"/>
  <c r="C1154" i="5"/>
  <c r="C1155" i="5"/>
  <c r="C1156" i="5"/>
  <c r="C1157" i="5"/>
  <c r="C1158" i="5"/>
  <c r="C1159" i="5"/>
  <c r="C1160" i="5"/>
  <c r="C1161" i="5"/>
  <c r="C1162" i="5"/>
  <c r="C1163" i="5"/>
  <c r="C1164" i="5"/>
  <c r="C1165" i="5"/>
  <c r="C1166" i="5"/>
  <c r="C1167" i="5"/>
  <c r="C1168" i="5"/>
  <c r="C1169" i="5"/>
  <c r="C1170" i="5"/>
  <c r="C1171" i="5"/>
  <c r="C1172" i="5"/>
  <c r="C1173" i="5"/>
  <c r="C1174" i="5"/>
  <c r="C1175" i="5"/>
  <c r="C1176" i="5"/>
  <c r="C1177" i="5"/>
  <c r="C1178" i="5"/>
  <c r="C1179" i="5"/>
  <c r="C1180" i="5"/>
  <c r="C1181" i="5"/>
  <c r="C1182" i="5"/>
  <c r="C1183" i="5"/>
  <c r="C1184" i="5"/>
  <c r="C1185" i="5"/>
  <c r="C1186" i="5"/>
  <c r="C1187" i="5"/>
  <c r="C1188" i="5"/>
  <c r="C1189" i="5"/>
  <c r="C1190" i="5"/>
  <c r="C1191" i="5"/>
  <c r="C1192" i="5"/>
  <c r="C1193" i="5"/>
  <c r="C1194" i="5"/>
  <c r="C1195" i="5"/>
  <c r="C1196" i="5"/>
  <c r="C1197" i="5"/>
  <c r="C1198" i="5"/>
  <c r="C1199" i="5"/>
  <c r="C1200" i="5"/>
  <c r="C1201" i="5"/>
  <c r="C1202" i="5"/>
  <c r="C1203" i="5"/>
  <c r="C1204" i="5"/>
  <c r="C1205" i="5"/>
  <c r="C1206" i="5"/>
  <c r="C1207" i="5"/>
  <c r="C1208" i="5"/>
  <c r="C1209" i="5"/>
  <c r="C1210" i="5"/>
  <c r="C1211" i="5"/>
  <c r="C1212" i="5"/>
  <c r="C1213" i="5"/>
  <c r="C1214" i="5"/>
  <c r="C1215" i="5"/>
  <c r="C1216" i="5"/>
  <c r="C1217" i="5"/>
  <c r="C1218" i="5"/>
  <c r="C1219" i="5"/>
  <c r="C1220" i="5"/>
  <c r="C1221" i="5"/>
  <c r="C1222" i="5"/>
  <c r="C1223" i="5"/>
  <c r="C1224" i="5"/>
  <c r="C1225" i="5"/>
  <c r="C1226" i="5"/>
  <c r="C1227" i="5"/>
  <c r="C1228" i="5"/>
  <c r="C1229" i="5"/>
  <c r="C1230" i="5"/>
  <c r="C1231" i="5"/>
  <c r="C1232" i="5"/>
  <c r="C1233" i="5"/>
  <c r="C1234" i="5"/>
  <c r="C1235" i="5"/>
  <c r="C1236" i="5"/>
  <c r="C1237" i="5"/>
  <c r="C1238" i="5"/>
  <c r="C1239" i="5"/>
  <c r="C1240" i="5"/>
  <c r="C1241" i="5"/>
  <c r="C1242" i="5"/>
  <c r="C1243" i="5"/>
  <c r="C1244" i="5"/>
  <c r="C1245" i="5"/>
  <c r="C1246" i="5"/>
  <c r="C1247" i="5"/>
  <c r="C1248" i="5"/>
  <c r="C1249" i="5"/>
  <c r="C1250" i="5"/>
  <c r="C1251" i="5"/>
  <c r="C1252" i="5"/>
  <c r="C1253" i="5"/>
  <c r="C1254" i="5"/>
  <c r="C1255" i="5"/>
  <c r="C1256" i="5"/>
  <c r="C1257" i="5"/>
  <c r="C1258" i="5"/>
  <c r="C1259" i="5"/>
  <c r="C1260" i="5"/>
  <c r="C1261" i="5"/>
  <c r="C1262" i="5"/>
  <c r="C1263" i="5"/>
  <c r="C1264" i="5"/>
  <c r="C1265" i="5"/>
  <c r="C1266" i="5"/>
  <c r="C1267" i="5"/>
  <c r="C1268" i="5"/>
  <c r="C1269" i="5"/>
  <c r="C1270" i="5"/>
  <c r="C1271" i="5"/>
  <c r="C1272" i="5"/>
  <c r="C1273" i="5"/>
  <c r="C1274" i="5"/>
  <c r="C1275" i="5"/>
  <c r="C1276" i="5"/>
  <c r="C1277" i="5"/>
  <c r="C1278" i="5"/>
  <c r="C1279" i="5"/>
  <c r="C1280" i="5"/>
  <c r="C1281" i="5"/>
  <c r="C1282" i="5"/>
  <c r="C1283" i="5"/>
  <c r="C1284" i="5"/>
  <c r="C1285" i="5"/>
  <c r="C1286" i="5"/>
  <c r="C1287" i="5"/>
  <c r="C1288" i="5"/>
  <c r="C1289" i="5"/>
  <c r="C1290" i="5"/>
  <c r="C1291" i="5"/>
  <c r="C1292" i="5"/>
  <c r="C1293" i="5"/>
  <c r="C1294" i="5"/>
  <c r="C1295" i="5"/>
  <c r="C1296" i="5"/>
  <c r="C1297" i="5"/>
  <c r="C1298" i="5"/>
  <c r="C1299" i="5"/>
  <c r="C1300" i="5"/>
  <c r="C1301" i="5"/>
  <c r="C1302" i="5"/>
  <c r="C1303" i="5"/>
  <c r="C1304" i="5"/>
  <c r="C1305" i="5"/>
  <c r="C1306" i="5"/>
  <c r="C1307" i="5"/>
  <c r="C1308" i="5"/>
  <c r="C1309" i="5"/>
  <c r="C1310" i="5"/>
  <c r="C1311" i="5"/>
  <c r="C1312" i="5"/>
  <c r="C1313" i="5"/>
  <c r="C1314" i="5"/>
  <c r="C1315" i="5"/>
  <c r="C1316" i="5"/>
  <c r="C1317" i="5"/>
  <c r="C1318" i="5"/>
  <c r="C1319" i="5"/>
  <c r="C1320" i="5"/>
  <c r="C1321" i="5"/>
  <c r="C1322" i="5"/>
  <c r="C1323" i="5"/>
  <c r="C1324" i="5"/>
  <c r="C1325" i="5"/>
  <c r="C1326" i="5"/>
  <c r="C1327" i="5"/>
  <c r="C1328" i="5"/>
  <c r="C1329" i="5"/>
  <c r="C1330" i="5"/>
  <c r="C1331" i="5"/>
  <c r="C1332" i="5"/>
  <c r="C1333" i="5"/>
  <c r="C1334" i="5"/>
  <c r="C1335" i="5"/>
  <c r="C1336" i="5"/>
  <c r="C1337" i="5"/>
  <c r="C1338" i="5"/>
  <c r="C1339" i="5"/>
  <c r="C1340" i="5"/>
  <c r="C1341" i="5"/>
  <c r="C1342" i="5"/>
  <c r="C1343" i="5"/>
  <c r="C1344" i="5"/>
  <c r="C1345" i="5"/>
  <c r="C1346" i="5"/>
  <c r="C1347" i="5"/>
  <c r="C1348" i="5"/>
  <c r="C1349" i="5"/>
  <c r="C1350" i="5"/>
  <c r="C1351" i="5"/>
  <c r="C1352" i="5"/>
  <c r="C1353" i="5"/>
  <c r="C1354" i="5"/>
  <c r="C1355" i="5"/>
  <c r="C1356" i="5"/>
  <c r="C1357" i="5"/>
  <c r="C1358" i="5"/>
  <c r="C1359" i="5"/>
  <c r="C1360" i="5"/>
  <c r="C1361" i="5"/>
  <c r="C1362" i="5"/>
  <c r="C1363" i="5"/>
  <c r="C1364" i="5"/>
  <c r="C1365" i="5"/>
  <c r="C1366" i="5"/>
  <c r="C1367" i="5"/>
  <c r="C1368" i="5"/>
  <c r="C1369" i="5"/>
  <c r="C1370" i="5"/>
  <c r="C1371" i="5"/>
  <c r="C1372" i="5"/>
  <c r="C1373" i="5"/>
  <c r="C1374" i="5"/>
  <c r="C1375" i="5"/>
  <c r="C1376" i="5"/>
  <c r="C1377" i="5"/>
  <c r="C1378" i="5"/>
  <c r="C1379" i="5"/>
  <c r="C1380" i="5"/>
  <c r="C1381" i="5"/>
  <c r="C1382" i="5"/>
  <c r="C1383" i="5"/>
  <c r="C1384" i="5"/>
  <c r="C1385" i="5"/>
  <c r="C1386" i="5"/>
  <c r="C1387" i="5"/>
  <c r="C1388" i="5"/>
  <c r="C1389" i="5"/>
  <c r="C1390" i="5"/>
  <c r="C1391" i="5"/>
  <c r="C1392" i="5"/>
  <c r="C1393" i="5"/>
  <c r="C1394" i="5"/>
  <c r="C1395" i="5"/>
  <c r="C1396" i="5"/>
  <c r="C1397" i="5"/>
  <c r="C1398" i="5"/>
  <c r="C1399" i="5"/>
  <c r="C1400" i="5"/>
  <c r="C1401" i="5"/>
  <c r="C1402" i="5"/>
  <c r="C1403" i="5"/>
  <c r="C1404" i="5"/>
  <c r="C1405" i="5"/>
  <c r="C1406" i="5"/>
  <c r="C1407" i="5"/>
  <c r="C1408" i="5"/>
  <c r="C1409" i="5"/>
  <c r="C1410" i="5"/>
  <c r="C1411" i="5"/>
  <c r="C1412" i="5"/>
  <c r="C1413" i="5"/>
  <c r="C1414" i="5"/>
  <c r="C1415" i="5"/>
  <c r="C1416" i="5"/>
  <c r="C1417" i="5"/>
  <c r="C1418" i="5"/>
  <c r="C1419" i="5"/>
  <c r="C1420" i="5"/>
  <c r="C1421" i="5"/>
  <c r="C1422" i="5"/>
  <c r="C1423" i="5"/>
  <c r="C1424" i="5"/>
  <c r="C1425" i="5"/>
  <c r="C1426" i="5"/>
  <c r="C1427" i="5"/>
  <c r="C1428" i="5"/>
  <c r="C1429" i="5"/>
  <c r="C1430" i="5"/>
  <c r="C1431" i="5"/>
  <c r="C1432" i="5"/>
  <c r="C1433" i="5"/>
  <c r="C1434" i="5"/>
  <c r="C1435" i="5"/>
  <c r="C1436" i="5"/>
  <c r="C1437" i="5"/>
  <c r="C1438" i="5"/>
  <c r="C1439" i="5"/>
  <c r="C1440" i="5"/>
  <c r="C1441" i="5"/>
  <c r="C1442" i="5"/>
  <c r="C1443" i="5"/>
  <c r="C1444" i="5"/>
  <c r="C1445" i="5"/>
  <c r="C1446" i="5"/>
  <c r="C1447" i="5"/>
  <c r="C1448" i="5"/>
  <c r="C1449" i="5"/>
  <c r="C1450" i="5"/>
  <c r="C1451" i="5"/>
  <c r="C1452" i="5"/>
  <c r="C1453" i="5"/>
  <c r="C1454" i="5"/>
  <c r="C1455" i="5"/>
  <c r="C1456" i="5"/>
  <c r="C1457" i="5"/>
  <c r="C1458" i="5"/>
  <c r="C1459" i="5"/>
  <c r="C1460" i="5"/>
  <c r="C1461" i="5"/>
  <c r="C1462" i="5"/>
  <c r="C1463" i="5"/>
  <c r="C1464" i="5"/>
  <c r="C1465" i="5"/>
  <c r="C1466" i="5"/>
  <c r="C1467" i="5"/>
  <c r="C1468" i="5"/>
  <c r="C1469" i="5"/>
  <c r="C1470" i="5"/>
  <c r="C1471" i="5"/>
  <c r="C1472" i="5"/>
  <c r="C1473" i="5"/>
  <c r="C1474" i="5"/>
  <c r="C1475" i="5"/>
  <c r="C1476" i="5"/>
  <c r="C1477" i="5"/>
  <c r="C1478" i="5"/>
  <c r="C1479" i="5"/>
  <c r="C1480" i="5"/>
  <c r="C1481" i="5"/>
  <c r="C1482" i="5"/>
  <c r="C1483" i="5"/>
  <c r="C1484" i="5"/>
  <c r="C1485" i="5"/>
  <c r="C1486" i="5"/>
  <c r="C1487" i="5"/>
  <c r="C1488" i="5"/>
  <c r="C1489" i="5"/>
  <c r="C1490" i="5"/>
  <c r="C1491" i="5"/>
  <c r="C1492" i="5"/>
  <c r="C1493" i="5"/>
  <c r="C1494" i="5"/>
  <c r="C1495" i="5"/>
  <c r="C1496" i="5"/>
  <c r="C1497" i="5"/>
  <c r="C1498" i="5"/>
  <c r="C1499" i="5"/>
  <c r="C1500" i="5"/>
  <c r="C1501" i="5"/>
  <c r="C1502" i="5"/>
  <c r="C1503" i="5"/>
  <c r="C1504" i="5"/>
  <c r="C1505" i="5"/>
  <c r="C1506" i="5"/>
  <c r="C1507" i="5"/>
  <c r="C1508" i="5"/>
  <c r="C1509" i="5"/>
  <c r="C1510" i="5"/>
  <c r="C1511" i="5"/>
  <c r="C1512" i="5"/>
  <c r="C1513" i="5"/>
  <c r="C1514" i="5"/>
  <c r="C1515" i="5"/>
  <c r="C1516" i="5"/>
  <c r="C1517" i="5"/>
  <c r="C1518" i="5"/>
  <c r="C1519" i="5"/>
  <c r="C1520" i="5"/>
  <c r="C1521" i="5"/>
  <c r="C1522" i="5"/>
  <c r="C1523" i="5"/>
  <c r="C1524" i="5"/>
  <c r="C1525" i="5"/>
  <c r="C1526" i="5"/>
  <c r="C1527" i="5"/>
  <c r="C1528" i="5"/>
  <c r="C1529" i="5"/>
  <c r="C1530" i="5"/>
  <c r="C1531" i="5"/>
  <c r="C1532" i="5"/>
  <c r="C1533" i="5"/>
  <c r="C1534" i="5"/>
  <c r="C1535" i="5"/>
  <c r="C1536" i="5"/>
  <c r="C1537" i="5"/>
  <c r="C1538" i="5"/>
  <c r="C1539" i="5"/>
  <c r="C1540" i="5"/>
  <c r="C1541" i="5"/>
  <c r="C1542" i="5"/>
  <c r="C1543" i="5"/>
  <c r="C1544" i="5"/>
  <c r="C1545" i="5"/>
  <c r="C1546" i="5"/>
  <c r="C1547" i="5"/>
  <c r="C1548" i="5"/>
  <c r="C1549" i="5"/>
  <c r="C1550" i="5"/>
  <c r="C1551" i="5"/>
  <c r="C1552" i="5"/>
  <c r="C1553" i="5"/>
  <c r="C1554" i="5"/>
  <c r="C1555" i="5"/>
  <c r="C1556" i="5"/>
  <c r="C1557" i="5"/>
  <c r="C1558" i="5"/>
  <c r="C1559" i="5"/>
  <c r="C1560" i="5"/>
  <c r="C1561" i="5"/>
  <c r="C1562" i="5"/>
  <c r="C1563" i="5"/>
  <c r="C1564" i="5"/>
  <c r="C1565" i="5"/>
  <c r="C1566" i="5"/>
  <c r="C1567" i="5"/>
  <c r="C1568" i="5"/>
  <c r="C1569" i="5"/>
  <c r="C1570" i="5"/>
  <c r="C1571" i="5"/>
  <c r="C1572" i="5"/>
  <c r="C1573" i="5"/>
  <c r="C1574" i="5"/>
  <c r="C1575" i="5"/>
  <c r="C1576" i="5"/>
  <c r="C1577" i="5"/>
  <c r="C1578" i="5"/>
  <c r="C1579" i="5"/>
  <c r="C1580" i="5"/>
  <c r="C1581" i="5"/>
  <c r="C1582" i="5"/>
  <c r="C1583" i="5"/>
  <c r="C1584" i="5"/>
  <c r="C1585" i="5"/>
  <c r="C1586" i="5"/>
  <c r="C1587" i="5"/>
  <c r="C1588" i="5"/>
  <c r="C1589" i="5"/>
  <c r="C1590" i="5"/>
  <c r="C1591" i="5"/>
  <c r="C1592" i="5"/>
  <c r="C1593" i="5"/>
  <c r="C1594" i="5"/>
  <c r="C1595" i="5"/>
  <c r="C1596" i="5"/>
  <c r="C1597" i="5"/>
  <c r="C1598" i="5"/>
  <c r="C1599" i="5"/>
  <c r="C1600" i="5"/>
  <c r="C1601" i="5"/>
  <c r="C1602" i="5"/>
  <c r="C1603" i="5"/>
  <c r="C1604" i="5"/>
  <c r="C1605" i="5"/>
  <c r="C1606" i="5"/>
  <c r="C1607" i="5"/>
  <c r="C1608" i="5"/>
  <c r="C1609" i="5"/>
  <c r="C1610" i="5"/>
  <c r="C1611" i="5"/>
  <c r="C1612" i="5"/>
  <c r="C1613" i="5"/>
  <c r="C1614" i="5"/>
  <c r="C1615" i="5"/>
  <c r="C1616" i="5"/>
  <c r="C1617" i="5"/>
  <c r="C1618" i="5"/>
  <c r="C1619" i="5"/>
  <c r="C1620" i="5"/>
  <c r="C1621" i="5"/>
  <c r="C1622" i="5"/>
  <c r="C1623" i="5"/>
  <c r="C1624" i="5"/>
  <c r="C1625" i="5"/>
  <c r="C1626" i="5"/>
  <c r="C1627" i="5"/>
  <c r="C1628" i="5"/>
  <c r="C1629" i="5"/>
  <c r="C1630" i="5"/>
  <c r="C1631" i="5"/>
  <c r="C1632" i="5"/>
  <c r="C1633" i="5"/>
  <c r="C1634" i="5"/>
  <c r="C1635" i="5"/>
  <c r="C1636" i="5"/>
  <c r="C1637" i="5"/>
  <c r="C1638" i="5"/>
  <c r="C1639" i="5"/>
  <c r="C1640" i="5"/>
  <c r="C1641" i="5"/>
  <c r="C1642" i="5"/>
  <c r="C1643" i="5"/>
  <c r="C1644" i="5"/>
  <c r="C1645" i="5"/>
  <c r="C1646" i="5"/>
  <c r="C1647" i="5"/>
  <c r="C1648" i="5"/>
  <c r="C1649" i="5"/>
  <c r="C1650" i="5"/>
  <c r="C1651" i="5"/>
  <c r="C1652" i="5"/>
  <c r="C1653" i="5"/>
  <c r="C1654" i="5"/>
  <c r="C1655" i="5"/>
  <c r="C1656" i="5"/>
  <c r="C1657" i="5"/>
  <c r="C1658" i="5"/>
  <c r="C1659" i="5"/>
  <c r="C1660" i="5"/>
  <c r="C1661" i="5"/>
  <c r="C1662" i="5"/>
  <c r="C1663" i="5"/>
  <c r="C1664" i="5"/>
  <c r="C1665" i="5"/>
  <c r="C1666" i="5"/>
  <c r="C1667" i="5"/>
  <c r="C1668" i="5"/>
  <c r="C1669" i="5"/>
  <c r="C1670" i="5"/>
  <c r="C1671" i="5"/>
  <c r="C1672" i="5"/>
  <c r="C1673" i="5"/>
  <c r="C1674" i="5"/>
  <c r="C1675" i="5"/>
  <c r="C1676" i="5"/>
  <c r="C1677" i="5"/>
  <c r="C1678" i="5"/>
  <c r="C1679" i="5"/>
  <c r="C1680" i="5"/>
  <c r="C1681" i="5"/>
  <c r="C1682" i="5"/>
  <c r="C1683" i="5"/>
  <c r="C1684" i="5"/>
  <c r="C1685" i="5"/>
  <c r="C1686" i="5"/>
  <c r="C1687" i="5"/>
  <c r="C1688" i="5"/>
  <c r="C1689" i="5"/>
  <c r="C1690" i="5"/>
  <c r="C1691" i="5"/>
  <c r="C1692" i="5"/>
  <c r="C1693" i="5"/>
  <c r="C1694" i="5"/>
  <c r="C1695" i="5"/>
  <c r="C1696" i="5"/>
  <c r="C1697" i="5"/>
  <c r="C1698" i="5"/>
  <c r="C1699" i="5"/>
  <c r="C1700" i="5"/>
  <c r="C1701" i="5"/>
  <c r="C1702" i="5"/>
  <c r="C1703" i="5"/>
  <c r="C1704" i="5"/>
  <c r="C1705" i="5"/>
  <c r="C1706" i="5"/>
  <c r="C1707" i="5"/>
  <c r="C1708" i="5"/>
  <c r="C1709" i="5"/>
  <c r="C1710" i="5"/>
  <c r="C1711" i="5"/>
  <c r="C1712" i="5"/>
  <c r="C1713" i="5"/>
  <c r="C1714" i="5"/>
  <c r="C1715" i="5"/>
  <c r="C1716" i="5"/>
  <c r="C1717" i="5"/>
  <c r="C1718" i="5"/>
  <c r="C1719" i="5"/>
  <c r="C1720" i="5"/>
  <c r="C1721" i="5"/>
  <c r="C1722" i="5"/>
  <c r="C1723" i="5"/>
  <c r="C1724" i="5"/>
  <c r="C1725" i="5"/>
  <c r="C1726" i="5"/>
  <c r="C1727" i="5"/>
  <c r="C1728" i="5"/>
  <c r="C1729" i="5"/>
  <c r="C1730" i="5"/>
  <c r="C1731" i="5"/>
  <c r="C1732" i="5"/>
  <c r="C1733" i="5"/>
  <c r="C1734" i="5"/>
  <c r="C1735" i="5"/>
  <c r="C1736" i="5"/>
  <c r="C1737" i="5"/>
  <c r="C1738" i="5"/>
  <c r="C1739" i="5"/>
  <c r="C1740" i="5"/>
  <c r="C1741" i="5"/>
  <c r="C1742" i="5"/>
  <c r="C1743" i="5"/>
  <c r="C1744" i="5"/>
  <c r="C1745" i="5"/>
  <c r="C1746" i="5"/>
  <c r="C1747" i="5"/>
  <c r="C1748" i="5"/>
  <c r="C1749" i="5"/>
  <c r="C1750" i="5"/>
  <c r="C1751" i="5"/>
  <c r="C1752" i="5"/>
  <c r="C1753" i="5"/>
  <c r="C1754" i="5"/>
  <c r="C1755" i="5"/>
  <c r="C1756" i="5"/>
  <c r="C1757" i="5"/>
  <c r="C1758" i="5"/>
  <c r="C1759" i="5"/>
  <c r="C1760" i="5"/>
  <c r="C1761" i="5"/>
  <c r="C1762" i="5"/>
  <c r="C1763" i="5"/>
  <c r="C1764" i="5"/>
  <c r="C1765" i="5"/>
  <c r="C1766" i="5"/>
  <c r="C1767" i="5"/>
  <c r="C1768" i="5"/>
  <c r="C1769" i="5"/>
  <c r="C1770" i="5"/>
  <c r="C1771" i="5"/>
  <c r="C1772" i="5"/>
  <c r="C1773" i="5"/>
  <c r="C1774" i="5"/>
  <c r="C1775" i="5"/>
  <c r="C1776" i="5"/>
  <c r="C1777" i="5"/>
  <c r="C1778" i="5"/>
  <c r="C1779" i="5"/>
  <c r="C1780" i="5"/>
  <c r="C1781" i="5"/>
  <c r="C1782" i="5"/>
  <c r="C1783" i="5"/>
  <c r="C1784" i="5"/>
  <c r="C1785" i="5"/>
  <c r="C1786" i="5"/>
  <c r="C1787" i="5"/>
  <c r="C1788" i="5"/>
  <c r="C1789" i="5"/>
  <c r="C1790" i="5"/>
  <c r="C1791" i="5"/>
  <c r="C1792" i="5"/>
  <c r="C1793" i="5"/>
  <c r="C1794" i="5"/>
  <c r="C1795" i="5"/>
  <c r="C1796" i="5"/>
  <c r="C1797" i="5"/>
  <c r="C1798" i="5"/>
  <c r="C1799" i="5"/>
  <c r="C1800" i="5"/>
  <c r="C1801" i="5"/>
  <c r="C1802" i="5"/>
  <c r="C1803" i="5"/>
  <c r="C1804" i="5"/>
  <c r="C1805" i="5"/>
  <c r="C1806" i="5"/>
  <c r="C1807" i="5"/>
  <c r="C1808" i="5"/>
  <c r="C1809" i="5"/>
  <c r="C1810" i="5"/>
  <c r="C1811" i="5"/>
  <c r="C1812" i="5"/>
  <c r="C1813" i="5"/>
  <c r="C1814" i="5"/>
  <c r="C1815" i="5"/>
  <c r="C1816" i="5"/>
  <c r="C1817" i="5"/>
  <c r="C1818" i="5"/>
  <c r="C1819" i="5"/>
  <c r="C1820" i="5"/>
  <c r="C1821" i="5"/>
  <c r="C1822" i="5"/>
  <c r="C1823" i="5"/>
  <c r="C1824" i="5"/>
  <c r="C1825" i="5"/>
  <c r="C1826" i="5"/>
  <c r="C1827" i="5"/>
  <c r="C1828" i="5"/>
  <c r="C1829" i="5"/>
  <c r="C1830" i="5"/>
  <c r="C1831" i="5"/>
  <c r="C1832" i="5"/>
  <c r="C1833" i="5"/>
  <c r="C1834" i="5"/>
  <c r="C1835" i="5"/>
  <c r="C1836" i="5"/>
  <c r="C1837" i="5"/>
  <c r="C1838" i="5"/>
  <c r="C1839" i="5"/>
  <c r="C1840" i="5"/>
  <c r="C1841" i="5"/>
  <c r="C1842" i="5"/>
  <c r="C1843" i="5"/>
  <c r="C1844" i="5"/>
  <c r="C1845" i="5"/>
  <c r="C1846" i="5"/>
  <c r="C1847" i="5"/>
  <c r="C1848" i="5"/>
  <c r="C1849" i="5"/>
  <c r="C1850" i="5"/>
  <c r="C1851" i="5"/>
  <c r="C1852" i="5"/>
  <c r="C1853" i="5"/>
  <c r="C1854" i="5"/>
  <c r="C1855" i="5"/>
  <c r="C1856" i="5"/>
  <c r="C1857" i="5"/>
  <c r="C1858" i="5"/>
  <c r="C1859" i="5"/>
  <c r="C1860" i="5"/>
  <c r="C1861" i="5"/>
  <c r="C1862" i="5"/>
  <c r="C1863" i="5"/>
  <c r="C1864" i="5"/>
  <c r="C1865" i="5"/>
  <c r="C1866" i="5"/>
  <c r="C1867" i="5"/>
  <c r="C1868" i="5"/>
  <c r="C1869" i="5"/>
  <c r="C1870" i="5"/>
  <c r="C1871" i="5"/>
  <c r="C1872" i="5"/>
  <c r="C1873" i="5"/>
  <c r="C1874" i="5"/>
  <c r="C1875" i="5"/>
  <c r="C1876" i="5"/>
  <c r="C1877" i="5"/>
  <c r="C1878" i="5"/>
  <c r="C1879" i="5"/>
  <c r="C1880" i="5"/>
  <c r="C1881" i="5"/>
  <c r="C1882" i="5"/>
  <c r="C1883" i="5"/>
  <c r="C1884" i="5"/>
  <c r="C1885" i="5"/>
  <c r="C1886" i="5"/>
  <c r="C1887" i="5"/>
  <c r="C1888" i="5"/>
  <c r="C1889" i="5"/>
  <c r="C1890" i="5"/>
  <c r="C1891" i="5"/>
  <c r="C1892" i="5"/>
  <c r="C1893" i="5"/>
  <c r="C1894" i="5"/>
  <c r="C1895" i="5"/>
  <c r="C1896" i="5"/>
  <c r="C1897" i="5"/>
  <c r="C1898" i="5"/>
  <c r="C1899" i="5"/>
  <c r="C1900" i="5"/>
  <c r="C1901" i="5"/>
  <c r="C1902" i="5"/>
  <c r="C1903" i="5"/>
  <c r="C1904" i="5"/>
  <c r="C1905" i="5"/>
  <c r="C1906" i="5"/>
  <c r="C1907" i="5"/>
  <c r="C1908" i="5"/>
  <c r="C1909" i="5"/>
  <c r="C1910" i="5"/>
  <c r="C1911" i="5"/>
  <c r="C1912" i="5"/>
  <c r="C1913" i="5"/>
  <c r="C1914" i="5"/>
  <c r="C1915" i="5"/>
  <c r="C1916" i="5"/>
  <c r="C1917" i="5"/>
  <c r="C1918" i="5"/>
  <c r="C1919" i="5"/>
  <c r="C1920" i="5"/>
  <c r="C1921" i="5"/>
  <c r="C1922" i="5"/>
  <c r="C1923" i="5"/>
  <c r="C1924" i="5"/>
  <c r="C1925" i="5"/>
  <c r="C1926" i="5"/>
  <c r="C1927" i="5"/>
  <c r="C1928" i="5"/>
  <c r="C1929" i="5"/>
  <c r="C1930" i="5"/>
  <c r="C1931" i="5"/>
  <c r="C1932" i="5"/>
  <c r="C1933" i="5"/>
  <c r="C1934" i="5"/>
  <c r="C1935" i="5"/>
  <c r="C1936" i="5"/>
  <c r="C1937" i="5"/>
  <c r="C1938" i="5"/>
  <c r="C1939" i="5"/>
  <c r="C1940" i="5"/>
  <c r="C1941" i="5"/>
  <c r="C1942" i="5"/>
  <c r="C1943" i="5"/>
  <c r="C1944" i="5"/>
  <c r="C1945" i="5"/>
  <c r="C1946" i="5"/>
  <c r="C1947" i="5"/>
  <c r="C1948" i="5"/>
  <c r="C1949" i="5"/>
  <c r="C1950" i="5"/>
  <c r="C1951" i="5"/>
  <c r="C1952" i="5"/>
  <c r="C1953" i="5"/>
  <c r="C1954" i="5"/>
  <c r="C1955" i="5"/>
  <c r="C1956" i="5"/>
  <c r="C1957" i="5"/>
  <c r="C1958" i="5"/>
  <c r="C1959" i="5"/>
  <c r="C1960" i="5"/>
  <c r="C1961" i="5"/>
  <c r="C1962" i="5"/>
  <c r="C1963" i="5"/>
  <c r="C1964" i="5"/>
  <c r="C1965" i="5"/>
  <c r="C1966" i="5"/>
  <c r="C1967" i="5"/>
  <c r="C1968" i="5"/>
  <c r="C1969" i="5"/>
  <c r="C1970" i="5"/>
  <c r="C1971" i="5"/>
  <c r="C1972" i="5"/>
  <c r="C1973" i="5"/>
  <c r="C1974" i="5"/>
  <c r="C1975" i="5"/>
  <c r="C1976" i="5"/>
  <c r="C1977" i="5"/>
  <c r="C1978" i="5"/>
  <c r="C1979" i="5"/>
  <c r="C1980" i="5"/>
  <c r="C1981" i="5"/>
  <c r="C1982" i="5"/>
  <c r="C1983" i="5"/>
  <c r="C1984" i="5"/>
  <c r="C1985" i="5"/>
  <c r="C1986" i="5"/>
  <c r="C1987" i="5"/>
  <c r="C1988" i="5"/>
  <c r="C1989" i="5"/>
  <c r="C1990" i="5"/>
  <c r="C1991" i="5"/>
  <c r="C1992" i="5"/>
  <c r="C1993" i="5"/>
  <c r="C1994" i="5"/>
  <c r="C1995" i="5"/>
  <c r="C1996" i="5"/>
  <c r="C1997" i="5"/>
  <c r="C1998" i="5"/>
  <c r="C1999" i="5"/>
  <c r="C2000" i="5"/>
  <c r="C2001" i="5"/>
  <c r="C2002" i="5"/>
  <c r="C2003" i="5"/>
  <c r="C2004" i="5"/>
  <c r="C2005" i="5"/>
  <c r="C2006" i="5"/>
  <c r="C2007" i="5"/>
  <c r="C2008" i="5"/>
  <c r="C2009" i="5"/>
  <c r="C2010" i="5"/>
  <c r="C2011" i="5"/>
  <c r="C2012" i="5"/>
  <c r="C2013" i="5"/>
  <c r="C2014" i="5"/>
  <c r="C2015" i="5"/>
  <c r="C2016" i="5"/>
  <c r="C2017" i="5"/>
  <c r="C2018" i="5"/>
  <c r="C2019" i="5"/>
  <c r="C2020" i="5"/>
  <c r="C2021" i="5"/>
  <c r="C2022" i="5"/>
  <c r="C2023" i="5"/>
  <c r="C2024" i="5"/>
  <c r="C2025" i="5"/>
  <c r="C2026" i="5"/>
  <c r="C2027" i="5"/>
  <c r="C2028" i="5"/>
  <c r="C2029" i="5"/>
  <c r="C2030" i="5"/>
  <c r="C2031" i="5"/>
  <c r="C2032" i="5"/>
  <c r="C2033" i="5"/>
  <c r="C2034" i="5"/>
  <c r="C2035" i="5"/>
  <c r="C2036" i="5"/>
  <c r="C2037" i="5"/>
  <c r="C2038" i="5"/>
  <c r="C2039" i="5"/>
  <c r="C2040" i="5"/>
  <c r="C2041" i="5"/>
  <c r="C2042" i="5"/>
  <c r="C2043" i="5"/>
  <c r="C2044" i="5"/>
  <c r="C2045" i="5"/>
  <c r="C2046" i="5"/>
  <c r="C2047" i="5"/>
  <c r="C2048" i="5"/>
  <c r="C2049" i="5"/>
  <c r="C2050" i="5"/>
  <c r="C2051" i="5"/>
  <c r="C2052" i="5"/>
  <c r="C2053" i="5"/>
  <c r="C2054" i="5"/>
  <c r="C2055" i="5"/>
  <c r="C2056" i="5"/>
  <c r="C2057" i="5"/>
  <c r="C2058" i="5"/>
  <c r="C2059" i="5"/>
  <c r="C2060" i="5"/>
  <c r="C2061" i="5"/>
  <c r="C2062" i="5"/>
  <c r="C2063" i="5"/>
  <c r="C2064" i="5"/>
  <c r="C2065" i="5"/>
  <c r="C2066" i="5"/>
  <c r="C2067" i="5"/>
  <c r="C2068" i="5"/>
  <c r="C2069" i="5"/>
  <c r="C2070" i="5"/>
  <c r="C2071" i="5"/>
  <c r="C2072" i="5"/>
  <c r="C2073" i="5"/>
  <c r="C2074" i="5"/>
  <c r="C2075" i="5"/>
  <c r="C2076" i="5"/>
  <c r="C2077" i="5"/>
  <c r="C2078" i="5"/>
  <c r="C2079" i="5"/>
  <c r="C2080" i="5"/>
  <c r="C2081" i="5"/>
  <c r="C2082" i="5"/>
  <c r="C2083" i="5"/>
  <c r="C2084" i="5"/>
  <c r="C2085" i="5"/>
  <c r="C2086" i="5"/>
  <c r="C2087" i="5"/>
  <c r="C2088" i="5"/>
  <c r="C2089" i="5"/>
  <c r="C2090" i="5"/>
  <c r="C2091" i="5"/>
  <c r="C2092" i="5"/>
  <c r="C2093" i="5"/>
  <c r="C2094" i="5"/>
  <c r="C2095" i="5"/>
  <c r="C2096" i="5"/>
  <c r="C2097" i="5"/>
  <c r="C2098" i="5"/>
  <c r="C2099" i="5"/>
  <c r="C2100" i="5"/>
  <c r="C2101" i="5"/>
  <c r="C2102" i="5"/>
  <c r="C2103" i="5"/>
  <c r="C2104" i="5"/>
  <c r="C2105" i="5"/>
  <c r="C2106" i="5"/>
  <c r="C2107" i="5"/>
  <c r="C2108" i="5"/>
  <c r="C2109" i="5"/>
  <c r="C2110" i="5"/>
  <c r="C2111" i="5"/>
  <c r="C2112" i="5"/>
  <c r="C2113" i="5"/>
  <c r="C2114" i="5"/>
  <c r="C2115" i="5"/>
  <c r="C2116" i="5"/>
  <c r="C2117" i="5"/>
  <c r="C2118" i="5"/>
  <c r="C2119" i="5"/>
  <c r="C2120" i="5"/>
  <c r="C2121" i="5"/>
  <c r="C2122" i="5"/>
  <c r="C2123" i="5"/>
  <c r="C2124" i="5"/>
  <c r="C2125" i="5"/>
  <c r="C2126" i="5"/>
  <c r="C2127" i="5"/>
  <c r="C2128" i="5"/>
  <c r="C2129" i="5"/>
  <c r="C2130" i="5"/>
  <c r="C2131" i="5"/>
  <c r="C2132" i="5"/>
  <c r="C2133" i="5"/>
  <c r="C2134" i="5"/>
  <c r="C2135" i="5"/>
  <c r="C2136" i="5"/>
  <c r="C2137" i="5"/>
  <c r="C2138" i="5"/>
  <c r="C2139" i="5"/>
  <c r="C2140" i="5"/>
  <c r="C2141" i="5"/>
  <c r="C2142" i="5"/>
  <c r="C2143" i="5"/>
  <c r="C2144" i="5"/>
  <c r="C2145" i="5"/>
  <c r="C2146" i="5"/>
  <c r="C2147" i="5"/>
  <c r="C2148" i="5"/>
  <c r="C2149" i="5"/>
  <c r="C2150" i="5"/>
  <c r="C2151" i="5"/>
  <c r="C2152" i="5"/>
  <c r="C2153" i="5"/>
  <c r="C2154" i="5"/>
  <c r="C2155" i="5"/>
  <c r="C2156" i="5"/>
  <c r="C2157" i="5"/>
  <c r="C2158" i="5"/>
  <c r="C2159" i="5"/>
  <c r="C2160" i="5"/>
  <c r="C2161" i="5"/>
  <c r="C2162" i="5"/>
  <c r="C2163" i="5"/>
  <c r="C2164" i="5"/>
  <c r="C2165" i="5"/>
  <c r="C2166" i="5"/>
  <c r="C2167" i="5"/>
  <c r="C2168" i="5"/>
  <c r="C2169" i="5"/>
  <c r="C2170" i="5"/>
  <c r="C2171" i="5"/>
  <c r="C2172" i="5"/>
  <c r="C2173" i="5"/>
  <c r="C2174" i="5"/>
  <c r="C2175" i="5"/>
  <c r="C2176" i="5"/>
  <c r="C2177" i="5"/>
  <c r="C2178" i="5"/>
  <c r="C2179" i="5"/>
  <c r="C2180" i="5"/>
  <c r="C2181" i="5"/>
  <c r="C2182" i="5"/>
  <c r="C2183" i="5"/>
  <c r="C2184" i="5"/>
  <c r="C2185" i="5"/>
  <c r="C2186" i="5"/>
  <c r="C2187" i="5"/>
  <c r="C2188" i="5"/>
  <c r="C2189" i="5"/>
  <c r="C2190" i="5"/>
  <c r="C2191" i="5"/>
  <c r="C2192" i="5"/>
  <c r="C2193" i="5"/>
  <c r="C2194" i="5"/>
  <c r="C2195" i="5"/>
  <c r="C2196" i="5"/>
  <c r="C2197" i="5"/>
  <c r="C2198" i="5"/>
  <c r="C2199" i="5"/>
  <c r="C2200" i="5"/>
  <c r="C2201" i="5"/>
  <c r="C2202" i="5"/>
  <c r="C2203" i="5"/>
  <c r="C2204" i="5"/>
  <c r="C2205" i="5"/>
  <c r="C2206" i="5"/>
  <c r="C2207" i="5"/>
  <c r="C2208" i="5"/>
  <c r="C2209" i="5"/>
  <c r="C2210" i="5"/>
  <c r="C2211" i="5"/>
  <c r="C2212" i="5"/>
  <c r="C2213" i="5"/>
  <c r="C2214" i="5"/>
  <c r="C2215" i="5"/>
  <c r="C2216" i="5"/>
  <c r="C2217" i="5"/>
  <c r="C2218" i="5"/>
  <c r="C2219" i="5"/>
  <c r="C2220" i="5"/>
  <c r="C2221" i="5"/>
  <c r="C2222" i="5"/>
  <c r="C2223" i="5"/>
  <c r="C2224" i="5"/>
  <c r="C2225" i="5"/>
  <c r="C2226" i="5"/>
  <c r="C2227" i="5"/>
  <c r="C2228" i="5"/>
  <c r="C2229" i="5"/>
  <c r="C2230" i="5"/>
  <c r="C2231" i="5"/>
  <c r="C2232" i="5"/>
  <c r="C2233" i="5"/>
  <c r="C2234" i="5"/>
  <c r="C2235" i="5"/>
  <c r="C2236" i="5"/>
  <c r="C2237" i="5"/>
  <c r="C2238" i="5"/>
  <c r="C2239" i="5"/>
  <c r="C2240" i="5"/>
  <c r="C2241" i="5"/>
  <c r="C2242" i="5"/>
  <c r="C2243" i="5"/>
  <c r="C2244" i="5"/>
  <c r="C2245" i="5"/>
  <c r="C2246" i="5"/>
  <c r="C2247" i="5"/>
  <c r="C2248" i="5"/>
  <c r="C2249" i="5"/>
  <c r="C2250" i="5"/>
  <c r="C2251" i="5"/>
  <c r="C2252" i="5"/>
  <c r="C2253" i="5"/>
  <c r="C2254" i="5"/>
  <c r="C2255" i="5"/>
  <c r="C2256" i="5"/>
  <c r="C2257" i="5"/>
  <c r="C2258" i="5"/>
  <c r="C2259" i="5"/>
  <c r="C2260" i="5"/>
  <c r="C2261" i="5"/>
  <c r="C2262" i="5"/>
  <c r="C2263" i="5"/>
  <c r="C2264" i="5"/>
  <c r="C2265" i="5"/>
  <c r="C2266" i="5"/>
  <c r="C2267" i="5"/>
  <c r="C2268" i="5"/>
  <c r="C2269" i="5"/>
  <c r="C2270" i="5"/>
  <c r="C2271" i="5"/>
  <c r="C2272" i="5"/>
  <c r="C2273" i="5"/>
  <c r="C2274" i="5"/>
  <c r="C2275" i="5"/>
  <c r="C2276" i="5"/>
  <c r="C2277" i="5"/>
  <c r="C2278" i="5"/>
  <c r="C2279" i="5"/>
  <c r="C2280" i="5"/>
  <c r="C2281" i="5"/>
  <c r="C2282" i="5"/>
  <c r="C2283" i="5"/>
  <c r="C2284" i="5"/>
  <c r="C2285" i="5"/>
  <c r="C2286" i="5"/>
  <c r="C2287" i="5"/>
  <c r="C2288" i="5"/>
  <c r="C2289" i="5"/>
  <c r="C2290" i="5"/>
  <c r="C2291" i="5"/>
  <c r="C2292" i="5"/>
  <c r="C2293" i="5"/>
  <c r="C2294" i="5"/>
  <c r="C2295" i="5"/>
  <c r="C2296" i="5"/>
  <c r="C2297" i="5"/>
  <c r="C2298" i="5"/>
  <c r="C2299" i="5"/>
  <c r="C2300" i="5"/>
  <c r="C2301" i="5"/>
  <c r="C2302" i="5"/>
  <c r="C2303" i="5"/>
  <c r="C2304" i="5"/>
  <c r="C2305" i="5"/>
  <c r="C2306" i="5"/>
  <c r="C2307" i="5"/>
  <c r="C2308" i="5"/>
  <c r="C2309" i="5"/>
  <c r="C2310" i="5"/>
  <c r="C2311" i="5"/>
  <c r="C2312" i="5"/>
  <c r="C2313" i="5"/>
  <c r="C2314" i="5"/>
  <c r="C2315" i="5"/>
  <c r="C2316" i="5"/>
  <c r="C2317" i="5"/>
  <c r="C2318" i="5"/>
  <c r="C2319" i="5"/>
  <c r="C2320" i="5"/>
  <c r="C2321" i="5"/>
  <c r="C2322" i="5"/>
  <c r="C2323" i="5"/>
  <c r="C2324" i="5"/>
  <c r="C2325" i="5"/>
  <c r="C2326" i="5"/>
  <c r="C2327" i="5"/>
  <c r="C2328" i="5"/>
  <c r="C2329" i="5"/>
  <c r="C2330" i="5"/>
  <c r="C2331" i="5"/>
  <c r="C2332" i="5"/>
  <c r="C2333" i="5"/>
  <c r="C2334" i="5"/>
  <c r="C2335" i="5"/>
  <c r="C2336" i="5"/>
  <c r="C2337" i="5"/>
  <c r="C2338" i="5"/>
  <c r="C2339" i="5"/>
  <c r="C2340" i="5"/>
  <c r="C2341" i="5"/>
  <c r="C2342" i="5"/>
  <c r="C2343" i="5"/>
  <c r="C2344" i="5"/>
  <c r="C2345" i="5"/>
  <c r="C2346" i="5"/>
  <c r="C2347" i="5"/>
  <c r="C2348" i="5"/>
  <c r="C2349" i="5"/>
  <c r="C2350" i="5"/>
  <c r="C2351" i="5"/>
  <c r="C2352" i="5"/>
  <c r="C2353" i="5"/>
  <c r="C2354" i="5"/>
  <c r="C2355" i="5"/>
  <c r="C2356" i="5"/>
  <c r="C2357" i="5"/>
  <c r="C2358" i="5"/>
  <c r="C2359" i="5"/>
  <c r="C2360" i="5"/>
  <c r="C2361" i="5"/>
  <c r="C2362" i="5"/>
  <c r="C2363" i="5"/>
  <c r="C2364" i="5"/>
  <c r="C2365" i="5"/>
  <c r="C2366" i="5"/>
  <c r="C2367" i="5"/>
  <c r="C2368" i="5"/>
  <c r="C2369" i="5"/>
  <c r="C2370" i="5"/>
  <c r="C2371" i="5"/>
  <c r="C2372" i="5"/>
  <c r="C2373" i="5"/>
  <c r="C2374" i="5"/>
  <c r="C2375" i="5"/>
  <c r="C2376" i="5"/>
  <c r="C2377" i="5"/>
  <c r="C2378" i="5"/>
  <c r="C2379" i="5"/>
  <c r="C2380" i="5"/>
  <c r="C2381" i="5"/>
  <c r="C2382" i="5"/>
  <c r="C2383" i="5"/>
  <c r="C2384" i="5"/>
  <c r="C2385" i="5"/>
  <c r="C2386" i="5"/>
  <c r="C2387" i="5"/>
  <c r="C2388" i="5"/>
  <c r="C2389" i="5"/>
  <c r="C2390" i="5"/>
  <c r="C2391" i="5"/>
  <c r="C2392" i="5"/>
  <c r="C2393" i="5"/>
  <c r="C2394" i="5"/>
  <c r="C2395" i="5"/>
  <c r="C2396" i="5"/>
  <c r="C2397" i="5"/>
  <c r="C2398" i="5"/>
  <c r="C2399" i="5"/>
  <c r="C2400" i="5"/>
  <c r="C2401" i="5"/>
  <c r="C2402" i="5"/>
  <c r="C2403" i="5"/>
  <c r="C2404" i="5"/>
  <c r="C2405" i="5"/>
  <c r="C2406" i="5"/>
  <c r="C2407" i="5"/>
  <c r="C2408" i="5"/>
  <c r="C2409" i="5"/>
  <c r="C2410" i="5"/>
  <c r="C2411" i="5"/>
  <c r="C2412" i="5"/>
  <c r="C2413" i="5"/>
  <c r="C2414" i="5"/>
  <c r="C2415" i="5"/>
  <c r="C2416" i="5"/>
  <c r="C2417" i="5"/>
  <c r="C2418" i="5"/>
  <c r="C2419" i="5"/>
  <c r="C2420" i="5"/>
  <c r="C2421" i="5"/>
  <c r="C2422" i="5"/>
  <c r="C2423" i="5"/>
  <c r="C2424" i="5"/>
  <c r="C2425" i="5"/>
  <c r="C2426" i="5"/>
  <c r="C2427" i="5"/>
  <c r="C2428" i="5"/>
  <c r="C2429" i="5"/>
  <c r="C2430" i="5"/>
  <c r="C2431" i="5"/>
  <c r="C2432" i="5"/>
  <c r="C2433" i="5"/>
  <c r="C2434" i="5"/>
  <c r="C2435" i="5"/>
  <c r="C2436" i="5"/>
  <c r="C2437" i="5"/>
  <c r="C2438" i="5"/>
  <c r="C2439" i="5"/>
  <c r="C2440" i="5"/>
  <c r="C2441" i="5"/>
  <c r="C2442" i="5"/>
  <c r="C2443" i="5"/>
  <c r="C2444" i="5"/>
  <c r="C2445" i="5"/>
  <c r="C2446" i="5"/>
  <c r="C2447" i="5"/>
  <c r="C2448" i="5"/>
  <c r="C2449" i="5"/>
  <c r="C2450" i="5"/>
  <c r="C2451" i="5"/>
  <c r="C2452" i="5"/>
  <c r="C2453" i="5"/>
  <c r="C2454" i="5"/>
  <c r="C2455" i="5"/>
  <c r="C2456" i="5"/>
  <c r="C2457" i="5"/>
  <c r="C2458" i="5"/>
  <c r="C2459" i="5"/>
  <c r="C2460" i="5"/>
  <c r="C2461" i="5"/>
  <c r="C2462" i="5"/>
  <c r="C2463" i="5"/>
  <c r="C2464" i="5"/>
  <c r="C2465" i="5"/>
  <c r="C2466" i="5"/>
  <c r="C2467" i="5"/>
  <c r="C2468" i="5"/>
  <c r="C2469" i="5"/>
  <c r="C2470" i="5"/>
  <c r="C2471" i="5"/>
  <c r="C2472" i="5"/>
  <c r="C2473" i="5"/>
  <c r="C2474" i="5"/>
  <c r="C2475" i="5"/>
  <c r="C2476" i="5"/>
  <c r="C2477" i="5"/>
  <c r="C2478" i="5"/>
  <c r="C2479" i="5"/>
  <c r="C2480" i="5"/>
  <c r="C2481" i="5"/>
  <c r="C2482" i="5"/>
  <c r="C2483" i="5"/>
  <c r="C2484" i="5"/>
  <c r="C2485" i="5"/>
  <c r="C2486" i="5"/>
  <c r="C2487" i="5"/>
  <c r="C2488" i="5"/>
  <c r="C2489" i="5"/>
  <c r="C2490" i="5"/>
  <c r="C2491" i="5"/>
  <c r="C2492" i="5"/>
  <c r="C2493" i="5"/>
  <c r="C2494" i="5"/>
  <c r="C2495" i="5"/>
  <c r="C2496" i="5"/>
  <c r="C2497" i="5"/>
  <c r="C2498" i="5"/>
  <c r="C2499" i="5"/>
  <c r="C2500" i="5"/>
  <c r="C2501" i="5"/>
  <c r="C2502" i="5"/>
  <c r="C2503" i="5"/>
  <c r="C2504" i="5"/>
  <c r="C2505" i="5"/>
  <c r="C2506" i="5"/>
  <c r="C2507" i="5"/>
  <c r="C2508" i="5"/>
  <c r="C2509" i="5"/>
  <c r="C2510" i="5"/>
  <c r="C2511" i="5"/>
  <c r="C2512" i="5"/>
  <c r="C2513" i="5"/>
  <c r="C2514" i="5"/>
  <c r="C2515" i="5"/>
  <c r="C2516" i="5"/>
  <c r="C2517" i="5"/>
  <c r="C2518" i="5"/>
  <c r="C2519" i="5"/>
  <c r="C2520" i="5"/>
  <c r="C2521" i="5"/>
  <c r="C2522" i="5"/>
  <c r="C2523" i="5"/>
  <c r="C2524" i="5"/>
  <c r="C2525" i="5"/>
  <c r="C2526" i="5"/>
  <c r="C2527" i="5"/>
  <c r="C2528" i="5"/>
  <c r="C2529" i="5"/>
  <c r="C2530" i="5"/>
  <c r="C2531" i="5"/>
  <c r="C2532" i="5"/>
  <c r="C2533" i="5"/>
  <c r="C2534" i="5"/>
  <c r="C2535" i="5"/>
  <c r="C2536" i="5"/>
  <c r="C2537" i="5"/>
  <c r="C2538" i="5"/>
  <c r="C2539" i="5"/>
  <c r="C2540" i="5"/>
  <c r="C2541" i="5"/>
  <c r="C2542" i="5"/>
  <c r="C2543" i="5"/>
  <c r="C2544" i="5"/>
  <c r="C2545" i="5"/>
  <c r="C2546" i="5"/>
  <c r="C2547" i="5"/>
  <c r="C2548" i="5"/>
  <c r="C2549" i="5"/>
  <c r="C2550" i="5"/>
  <c r="C2551" i="5"/>
  <c r="C2552" i="5"/>
  <c r="C2553" i="5"/>
  <c r="C2554" i="5"/>
  <c r="C2555" i="5"/>
  <c r="C2556" i="5"/>
  <c r="C2557" i="5"/>
  <c r="C2558" i="5"/>
  <c r="C2559" i="5"/>
  <c r="C2560" i="5"/>
  <c r="C2561" i="5"/>
  <c r="C2562" i="5"/>
  <c r="C2563" i="5"/>
  <c r="C2564" i="5"/>
  <c r="C2565" i="5"/>
  <c r="C2566" i="5"/>
  <c r="C2567" i="5"/>
  <c r="C2568" i="5"/>
  <c r="C2569" i="5"/>
  <c r="C2570" i="5"/>
  <c r="C2571" i="5"/>
  <c r="C2572" i="5"/>
  <c r="C2573" i="5"/>
  <c r="C2574" i="5"/>
  <c r="C2575" i="5"/>
  <c r="C2576" i="5"/>
  <c r="C2577" i="5"/>
  <c r="C2578" i="5"/>
  <c r="C2579" i="5"/>
  <c r="C2580" i="5"/>
  <c r="C2581" i="5"/>
  <c r="C2582" i="5"/>
  <c r="C2583" i="5"/>
  <c r="C2584" i="5"/>
  <c r="C2585" i="5"/>
  <c r="C2586" i="5"/>
  <c r="C2587" i="5"/>
  <c r="C2588" i="5"/>
  <c r="C2589" i="5"/>
  <c r="C2590" i="5"/>
  <c r="C2591" i="5"/>
  <c r="C2592" i="5"/>
  <c r="C2593" i="5"/>
  <c r="C2594" i="5"/>
  <c r="C2595" i="5"/>
  <c r="C2596" i="5"/>
  <c r="C2597" i="5"/>
  <c r="C2598" i="5"/>
  <c r="C2599" i="5"/>
  <c r="C2600" i="5"/>
  <c r="C2601" i="5"/>
  <c r="C2602" i="5"/>
  <c r="C2603" i="5"/>
  <c r="C2604" i="5"/>
  <c r="C2605" i="5"/>
  <c r="C2606" i="5"/>
  <c r="C2607" i="5"/>
  <c r="C2608" i="5"/>
  <c r="C2609" i="5"/>
  <c r="C2610" i="5"/>
  <c r="C2611" i="5"/>
  <c r="C2612" i="5"/>
  <c r="C2613" i="5"/>
  <c r="C2614" i="5"/>
  <c r="C2615" i="5"/>
  <c r="C2616" i="5"/>
  <c r="C2617" i="5"/>
  <c r="C2618" i="5"/>
  <c r="C2619" i="5"/>
  <c r="C2620" i="5"/>
  <c r="C2621" i="5"/>
  <c r="C2622" i="5"/>
  <c r="C2623" i="5"/>
  <c r="C2624" i="5"/>
  <c r="C2625" i="5"/>
  <c r="C2626" i="5"/>
  <c r="C2627" i="5"/>
  <c r="C2628" i="5"/>
  <c r="C2629" i="5"/>
  <c r="C2630" i="5"/>
  <c r="C2631" i="5"/>
  <c r="C2632" i="5"/>
  <c r="C2633" i="5"/>
  <c r="C2634" i="5"/>
  <c r="C2635" i="5"/>
  <c r="C2636" i="5"/>
  <c r="C2637" i="5"/>
  <c r="C2638" i="5"/>
  <c r="C2639" i="5"/>
  <c r="C2640" i="5"/>
  <c r="C2641" i="5"/>
  <c r="C2642" i="5"/>
  <c r="C2643" i="5"/>
  <c r="C2644" i="5"/>
  <c r="C2645" i="5"/>
  <c r="C2646" i="5"/>
  <c r="C2647" i="5"/>
  <c r="C2648" i="5"/>
  <c r="C2649" i="5"/>
  <c r="C2650" i="5"/>
  <c r="C2651" i="5"/>
  <c r="C2652" i="5"/>
  <c r="C2653" i="5"/>
  <c r="C2654" i="5"/>
  <c r="C2655" i="5"/>
  <c r="C2656" i="5"/>
  <c r="C2657" i="5"/>
  <c r="C2658" i="5"/>
  <c r="C2659" i="5"/>
  <c r="C2660" i="5"/>
  <c r="C2661" i="5"/>
  <c r="C2662" i="5"/>
  <c r="C2663" i="5"/>
  <c r="C2664" i="5"/>
  <c r="C2665" i="5"/>
  <c r="C2666" i="5"/>
  <c r="C2667" i="5"/>
  <c r="C2668" i="5"/>
  <c r="C2669" i="5"/>
  <c r="C2670" i="5"/>
  <c r="C2671" i="5"/>
  <c r="C2672" i="5"/>
  <c r="C2673" i="5"/>
  <c r="C2674" i="5"/>
  <c r="C2675" i="5"/>
  <c r="C2676" i="5"/>
  <c r="C2677" i="5"/>
  <c r="C2678" i="5"/>
  <c r="C2679" i="5"/>
  <c r="C2680" i="5"/>
  <c r="C2681" i="5"/>
  <c r="C2682" i="5"/>
  <c r="C2683" i="5"/>
  <c r="C2684" i="5"/>
  <c r="C2685" i="5"/>
  <c r="C2686" i="5"/>
  <c r="C2687" i="5"/>
  <c r="C2688" i="5"/>
  <c r="C2689" i="5"/>
  <c r="C2690" i="5"/>
  <c r="C2691" i="5"/>
  <c r="C2692" i="5"/>
  <c r="C2693" i="5"/>
  <c r="C2694" i="5"/>
  <c r="C2695" i="5"/>
  <c r="C2696" i="5"/>
  <c r="C2697" i="5"/>
  <c r="C2698" i="5"/>
  <c r="C2699" i="5"/>
  <c r="C2700" i="5"/>
  <c r="C2701" i="5"/>
  <c r="C2702" i="5"/>
  <c r="C2703" i="5"/>
  <c r="C2704" i="5"/>
  <c r="C2705" i="5"/>
  <c r="C2706" i="5"/>
  <c r="C2707" i="5"/>
  <c r="C2708" i="5"/>
  <c r="C2709" i="5"/>
  <c r="C2710" i="5"/>
  <c r="C2711" i="5"/>
  <c r="C2712" i="5"/>
  <c r="C2713" i="5"/>
  <c r="C2714" i="5"/>
  <c r="C2715" i="5"/>
  <c r="C2716" i="5"/>
  <c r="C2717" i="5"/>
  <c r="C2718" i="5"/>
  <c r="C2719" i="5"/>
  <c r="C2720" i="5"/>
  <c r="C2721" i="5"/>
  <c r="C2722" i="5"/>
  <c r="C2723" i="5"/>
  <c r="C2724" i="5"/>
  <c r="C2725" i="5"/>
  <c r="C2726" i="5"/>
  <c r="C2727" i="5"/>
  <c r="C2728" i="5"/>
  <c r="C2729" i="5"/>
  <c r="C2730" i="5"/>
  <c r="C2731" i="5"/>
  <c r="C2732" i="5"/>
  <c r="C2733" i="5"/>
  <c r="C2734" i="5"/>
  <c r="C2735" i="5"/>
  <c r="C2736" i="5"/>
  <c r="C2737" i="5"/>
  <c r="C2738" i="5"/>
  <c r="C2739" i="5"/>
  <c r="C2740" i="5"/>
  <c r="C2741" i="5"/>
  <c r="C2742" i="5"/>
  <c r="C2743" i="5"/>
  <c r="C2744" i="5"/>
  <c r="C2745" i="5"/>
  <c r="C2746" i="5"/>
  <c r="C2747" i="5"/>
  <c r="C2748" i="5"/>
  <c r="C2749" i="5"/>
  <c r="C2750" i="5"/>
  <c r="C2751" i="5"/>
  <c r="C2752" i="5"/>
  <c r="C2753" i="5"/>
  <c r="C2754" i="5"/>
  <c r="C2755" i="5"/>
  <c r="C2756" i="5"/>
  <c r="C2757" i="5"/>
  <c r="C2758" i="5"/>
  <c r="C2759" i="5"/>
  <c r="C2760" i="5"/>
  <c r="C2761" i="5"/>
  <c r="C2762" i="5"/>
  <c r="C2763" i="5"/>
  <c r="C2764" i="5"/>
  <c r="C2765" i="5"/>
  <c r="C2766" i="5"/>
  <c r="C2767" i="5"/>
  <c r="C2768" i="5"/>
  <c r="C2769" i="5"/>
  <c r="C2770" i="5"/>
  <c r="C2771" i="5"/>
  <c r="C2772" i="5"/>
  <c r="C2773" i="5"/>
  <c r="C2774" i="5"/>
  <c r="C2775" i="5"/>
  <c r="C2776" i="5"/>
  <c r="C2777" i="5"/>
  <c r="C2778" i="5"/>
  <c r="C2779" i="5"/>
  <c r="C2780" i="5"/>
  <c r="C2781" i="5"/>
  <c r="C2782" i="5"/>
  <c r="C2783" i="5"/>
  <c r="C2784" i="5"/>
  <c r="C2785" i="5"/>
  <c r="C2786" i="5"/>
  <c r="C2787" i="5"/>
  <c r="C2788" i="5"/>
  <c r="C2789" i="5"/>
  <c r="C2790" i="5"/>
  <c r="C2791" i="5"/>
  <c r="C2792" i="5"/>
  <c r="C2793" i="5"/>
  <c r="C2794" i="5"/>
  <c r="C2795" i="5"/>
  <c r="C2796" i="5"/>
  <c r="C2797" i="5"/>
  <c r="C2798" i="5"/>
  <c r="C2799" i="5"/>
  <c r="C2800" i="5"/>
  <c r="C2801" i="5"/>
  <c r="C2802" i="5"/>
  <c r="C2803" i="5"/>
  <c r="C2804" i="5"/>
  <c r="C2805" i="5"/>
  <c r="C2806" i="5"/>
  <c r="C2807" i="5"/>
  <c r="C2808" i="5"/>
  <c r="C2809" i="5"/>
  <c r="C2810" i="5"/>
  <c r="C2811" i="5"/>
  <c r="C2812" i="5"/>
  <c r="C2813" i="5"/>
  <c r="C2814" i="5"/>
  <c r="C2815" i="5"/>
  <c r="C2816" i="5"/>
  <c r="C2817" i="5"/>
  <c r="C2818" i="5"/>
  <c r="C2819" i="5"/>
  <c r="C2820" i="5"/>
  <c r="C2821" i="5"/>
  <c r="C2822" i="5"/>
  <c r="C2823" i="5"/>
  <c r="C2824" i="5"/>
  <c r="C2825" i="5"/>
  <c r="C2826" i="5"/>
  <c r="C2827" i="5"/>
  <c r="C2828" i="5"/>
  <c r="C2829" i="5"/>
  <c r="C2830" i="5"/>
  <c r="C2831" i="5"/>
  <c r="C2832" i="5"/>
  <c r="C2833" i="5"/>
  <c r="C2834" i="5"/>
  <c r="C2835" i="5"/>
  <c r="C2836" i="5"/>
  <c r="C2837" i="5"/>
  <c r="C2838" i="5"/>
  <c r="C2839" i="5"/>
  <c r="C2840" i="5"/>
  <c r="C2841" i="5"/>
  <c r="C2842" i="5"/>
  <c r="C2843" i="5"/>
  <c r="C2844" i="5"/>
  <c r="C2845" i="5"/>
  <c r="C2846" i="5"/>
  <c r="C2847" i="5"/>
  <c r="C2848" i="5"/>
  <c r="C2849" i="5"/>
  <c r="C2850" i="5"/>
  <c r="C2851" i="5"/>
  <c r="C2852" i="5"/>
  <c r="C2853" i="5"/>
  <c r="C2854" i="5"/>
  <c r="C2855" i="5"/>
  <c r="C2856" i="5"/>
  <c r="C2857" i="5"/>
  <c r="C2858" i="5"/>
  <c r="C2859" i="5"/>
  <c r="C2860" i="5"/>
  <c r="C2861" i="5"/>
  <c r="C2862" i="5"/>
  <c r="C2863" i="5"/>
  <c r="C2864" i="5"/>
  <c r="C2865" i="5"/>
  <c r="C2866" i="5"/>
  <c r="C2867" i="5"/>
  <c r="C2868" i="5"/>
  <c r="C2869" i="5"/>
  <c r="C2870" i="5"/>
  <c r="C2871" i="5"/>
  <c r="C2872" i="5"/>
  <c r="C2873" i="5"/>
  <c r="C2874" i="5"/>
  <c r="C2875" i="5"/>
  <c r="C2876" i="5"/>
  <c r="C2877" i="5"/>
  <c r="C2878" i="5"/>
  <c r="C2879" i="5"/>
  <c r="C2880" i="5"/>
  <c r="C2881" i="5"/>
  <c r="C2882" i="5"/>
  <c r="C2883" i="5"/>
  <c r="C2884" i="5"/>
  <c r="C2885" i="5"/>
  <c r="C2886" i="5"/>
  <c r="C2887" i="5"/>
  <c r="C2888" i="5"/>
  <c r="C2889" i="5"/>
  <c r="C2890" i="5"/>
  <c r="C2891" i="5"/>
  <c r="C2892" i="5"/>
  <c r="C2893" i="5"/>
  <c r="C2894" i="5"/>
  <c r="C2895" i="5"/>
  <c r="C2896" i="5"/>
  <c r="C2897" i="5"/>
  <c r="C2898" i="5"/>
  <c r="C2899" i="5"/>
  <c r="C2900" i="5"/>
  <c r="C2901" i="5"/>
  <c r="C2902" i="5"/>
  <c r="C2903" i="5"/>
  <c r="C2904" i="5"/>
  <c r="C2905" i="5"/>
  <c r="C2906" i="5"/>
  <c r="C2907" i="5"/>
  <c r="C2908" i="5"/>
  <c r="C2909" i="5"/>
  <c r="C2910" i="5"/>
  <c r="C2911" i="5"/>
  <c r="C2912" i="5"/>
  <c r="C2913" i="5"/>
  <c r="C2914" i="5"/>
  <c r="C2915" i="5"/>
  <c r="C2916" i="5"/>
  <c r="C2917" i="5"/>
  <c r="C2918" i="5"/>
  <c r="C2919" i="5"/>
  <c r="C2920" i="5"/>
  <c r="C2921" i="5"/>
  <c r="C2922" i="5"/>
  <c r="C2923" i="5"/>
  <c r="C2924" i="5"/>
  <c r="C2925" i="5"/>
  <c r="C2926" i="5"/>
  <c r="C2927" i="5"/>
  <c r="C2928" i="5"/>
  <c r="C2929" i="5"/>
  <c r="C2930" i="5"/>
  <c r="C2931" i="5"/>
  <c r="C2932" i="5"/>
  <c r="C2933" i="5"/>
  <c r="C2934" i="5"/>
  <c r="C2935" i="5"/>
  <c r="C2936" i="5"/>
  <c r="C2937" i="5"/>
  <c r="C2938" i="5"/>
  <c r="C2939" i="5"/>
  <c r="C2940" i="5"/>
  <c r="C2941" i="5"/>
  <c r="C2942" i="5"/>
  <c r="C2943" i="5"/>
  <c r="C2944" i="5"/>
  <c r="C2945" i="5"/>
  <c r="C2946" i="5"/>
  <c r="C2947" i="5"/>
  <c r="C2948" i="5"/>
  <c r="C2949" i="5"/>
  <c r="C2950" i="5"/>
  <c r="C2951" i="5"/>
  <c r="C2952" i="5"/>
  <c r="C2953" i="5"/>
  <c r="C2954" i="5"/>
  <c r="C2955" i="5"/>
  <c r="C2956" i="5"/>
  <c r="C2957" i="5"/>
  <c r="C2958" i="5"/>
  <c r="C2959" i="5"/>
  <c r="C2960" i="5"/>
  <c r="C2961" i="5"/>
  <c r="C2962" i="5"/>
  <c r="C2963" i="5"/>
  <c r="C2964" i="5"/>
  <c r="C2965" i="5"/>
  <c r="C2966" i="5"/>
  <c r="C2967" i="5"/>
  <c r="C2968" i="5"/>
  <c r="C2969" i="5"/>
  <c r="C2970" i="5"/>
  <c r="C2971" i="5"/>
  <c r="C2972" i="5"/>
  <c r="C2973" i="5"/>
  <c r="C2974" i="5"/>
  <c r="C2975" i="5"/>
  <c r="C2976" i="5"/>
  <c r="C2977" i="5"/>
  <c r="C2978" i="5"/>
  <c r="C2979" i="5"/>
  <c r="C2980" i="5"/>
  <c r="C2981" i="5"/>
  <c r="C2982" i="5"/>
  <c r="C2983" i="5"/>
  <c r="C2984" i="5"/>
  <c r="C2985" i="5"/>
  <c r="C2986" i="5"/>
  <c r="C2987" i="5"/>
  <c r="C2988" i="5"/>
  <c r="C2989" i="5"/>
  <c r="C2990" i="5"/>
  <c r="C2991" i="5"/>
  <c r="C2992" i="5"/>
  <c r="C2993" i="5"/>
  <c r="C2994" i="5"/>
  <c r="C2995" i="5"/>
  <c r="C2996" i="5"/>
  <c r="C2997" i="5"/>
  <c r="C2998" i="5"/>
  <c r="C2999" i="5"/>
  <c r="C3000" i="5"/>
  <c r="C3001" i="5"/>
  <c r="C3002" i="5"/>
  <c r="C3003" i="5"/>
  <c r="C3004" i="5"/>
  <c r="C3005" i="5"/>
  <c r="C3006" i="5"/>
  <c r="C3007" i="5"/>
  <c r="C3008" i="5"/>
  <c r="C3009" i="5"/>
  <c r="C3010" i="5"/>
  <c r="C3011" i="5"/>
  <c r="C3012" i="5"/>
  <c r="C3013" i="5"/>
  <c r="C3014" i="5"/>
  <c r="C3015" i="5"/>
  <c r="C3016" i="5"/>
  <c r="C3017" i="5"/>
  <c r="C3018" i="5"/>
  <c r="C3019" i="5"/>
  <c r="C3020" i="5"/>
  <c r="C3021" i="5"/>
  <c r="C3022" i="5"/>
  <c r="C3023" i="5"/>
  <c r="C3024" i="5"/>
  <c r="C3025" i="5"/>
  <c r="C3026" i="5"/>
  <c r="C3027" i="5"/>
  <c r="C3028" i="5"/>
  <c r="C3029" i="5"/>
  <c r="C3030" i="5"/>
  <c r="C3031" i="5"/>
  <c r="C3032" i="5"/>
  <c r="C3033" i="5"/>
  <c r="C3034" i="5"/>
  <c r="C3035" i="5"/>
  <c r="C3036" i="5"/>
  <c r="C3037" i="5"/>
  <c r="C3038" i="5"/>
  <c r="C3039" i="5"/>
  <c r="C3040" i="5"/>
  <c r="C3041" i="5"/>
  <c r="C3042" i="5"/>
  <c r="C3043" i="5"/>
  <c r="C3044" i="5"/>
  <c r="C3045" i="5"/>
  <c r="C3046" i="5"/>
  <c r="C3047" i="5"/>
  <c r="C3048" i="5"/>
  <c r="C3049" i="5"/>
  <c r="C3050" i="5"/>
  <c r="C3051" i="5"/>
  <c r="C3052" i="5"/>
  <c r="C3053" i="5"/>
  <c r="C3054" i="5"/>
  <c r="C3055" i="5"/>
  <c r="C3056" i="5"/>
  <c r="C3057" i="5"/>
  <c r="C3058" i="5"/>
  <c r="C3059" i="5"/>
  <c r="C3060" i="5"/>
  <c r="C3061" i="5"/>
  <c r="C3062" i="5"/>
  <c r="C3063" i="5"/>
  <c r="C3064" i="5"/>
  <c r="C3065" i="5"/>
  <c r="C3066" i="5"/>
  <c r="C3067" i="5"/>
  <c r="C3068" i="5"/>
  <c r="C3069" i="5"/>
  <c r="C3070" i="5"/>
  <c r="C3071" i="5"/>
  <c r="C3072" i="5"/>
  <c r="C3073" i="5"/>
  <c r="C3074" i="5"/>
  <c r="C3075" i="5"/>
  <c r="C3076" i="5"/>
  <c r="C3077" i="5"/>
  <c r="C3078" i="5"/>
  <c r="C3079" i="5"/>
  <c r="C3080" i="5"/>
  <c r="C3081" i="5"/>
  <c r="C3082" i="5"/>
  <c r="C3083" i="5"/>
  <c r="C3084" i="5"/>
  <c r="C3085" i="5"/>
  <c r="C3086" i="5"/>
  <c r="C3087" i="5"/>
  <c r="C3088" i="5"/>
  <c r="C3089" i="5"/>
  <c r="C3090" i="5"/>
  <c r="C3091" i="5"/>
  <c r="C3092" i="5"/>
  <c r="C3093" i="5"/>
  <c r="C3094" i="5"/>
  <c r="C3095" i="5"/>
  <c r="C3096" i="5"/>
  <c r="C3097" i="5"/>
  <c r="C3098" i="5"/>
  <c r="C3099" i="5"/>
  <c r="C3100" i="5"/>
  <c r="C3101" i="5"/>
  <c r="C3102" i="5"/>
  <c r="C3103" i="5"/>
  <c r="C3104" i="5"/>
  <c r="C3105" i="5"/>
  <c r="C3106" i="5"/>
  <c r="C3107" i="5"/>
  <c r="C3108" i="5"/>
  <c r="C3109" i="5"/>
  <c r="C3110" i="5"/>
  <c r="C3111" i="5"/>
  <c r="C3112" i="5"/>
  <c r="C3113" i="5"/>
  <c r="C3114" i="5"/>
  <c r="C3115" i="5"/>
  <c r="C3116" i="5"/>
  <c r="C3117" i="5"/>
  <c r="C3118" i="5"/>
  <c r="C3119" i="5"/>
  <c r="C3120" i="5"/>
  <c r="C3121" i="5"/>
  <c r="C3122" i="5"/>
  <c r="C3123" i="5"/>
  <c r="C3124" i="5"/>
  <c r="C3125" i="5"/>
  <c r="C3126" i="5"/>
  <c r="C3127" i="5"/>
  <c r="C3128" i="5"/>
  <c r="C3129" i="5"/>
  <c r="C3130" i="5"/>
  <c r="C3131" i="5"/>
  <c r="C3132" i="5"/>
  <c r="C3133" i="5"/>
  <c r="C3134" i="5"/>
  <c r="C3135" i="5"/>
  <c r="C3136" i="5"/>
  <c r="C3137" i="5"/>
  <c r="C3138" i="5"/>
  <c r="C3139" i="5"/>
  <c r="C3140" i="5"/>
  <c r="C3141" i="5"/>
  <c r="C3142" i="5"/>
  <c r="C3143" i="5"/>
  <c r="C3144" i="5"/>
  <c r="C3145" i="5"/>
  <c r="C3146" i="5"/>
  <c r="C3147" i="5"/>
  <c r="C3148" i="5"/>
  <c r="C3149" i="5"/>
  <c r="C3150" i="5"/>
  <c r="C3151" i="5"/>
  <c r="C3152" i="5"/>
  <c r="C3153" i="5"/>
  <c r="C3154" i="5"/>
  <c r="C3155" i="5"/>
  <c r="C3156" i="5"/>
  <c r="C3157" i="5"/>
  <c r="C3158" i="5"/>
  <c r="C3159" i="5"/>
  <c r="C3160" i="5"/>
  <c r="C3161" i="5"/>
  <c r="C3162" i="5"/>
  <c r="C3163" i="5"/>
  <c r="C3164" i="5"/>
  <c r="C3165" i="5"/>
  <c r="C3166" i="5"/>
  <c r="C3167" i="5"/>
  <c r="C3168" i="5"/>
  <c r="C3169" i="5"/>
  <c r="C3170" i="5"/>
  <c r="C3171" i="5"/>
  <c r="C3172" i="5"/>
  <c r="C3173" i="5"/>
  <c r="C3174" i="5"/>
  <c r="C3175" i="5"/>
  <c r="C3176" i="5"/>
  <c r="C3177" i="5"/>
  <c r="C3178" i="5"/>
  <c r="C3179" i="5"/>
  <c r="C3180" i="5"/>
  <c r="C3181" i="5"/>
  <c r="C3182" i="5"/>
  <c r="C3183" i="5"/>
  <c r="C3184" i="5"/>
  <c r="C3185" i="5"/>
  <c r="C3186" i="5"/>
  <c r="C3187" i="5"/>
  <c r="C3188" i="5"/>
  <c r="C3189" i="5"/>
  <c r="C3190" i="5"/>
  <c r="C3191" i="5"/>
  <c r="C3192" i="5"/>
  <c r="C3193" i="5"/>
  <c r="C3194" i="5"/>
  <c r="C3195" i="5"/>
  <c r="C3196" i="5"/>
  <c r="C3197" i="5"/>
  <c r="C3198" i="5"/>
  <c r="C3199" i="5"/>
  <c r="C3200" i="5"/>
  <c r="C3201" i="5"/>
  <c r="C3202" i="5"/>
  <c r="C3203" i="5"/>
  <c r="C3204" i="5"/>
  <c r="C3205" i="5"/>
  <c r="C3206" i="5"/>
  <c r="C3207" i="5"/>
  <c r="C3208" i="5"/>
  <c r="C3209" i="5"/>
  <c r="C3210" i="5"/>
  <c r="C3211" i="5"/>
  <c r="C3212" i="5"/>
  <c r="C3213" i="5"/>
  <c r="C3214" i="5"/>
  <c r="C3215" i="5"/>
  <c r="C3216" i="5"/>
  <c r="C3217" i="5"/>
  <c r="C3218" i="5"/>
  <c r="C3219" i="5"/>
  <c r="C3220" i="5"/>
  <c r="C3221" i="5"/>
  <c r="C3222" i="5"/>
  <c r="C3223" i="5"/>
  <c r="C3224" i="5"/>
  <c r="C3225" i="5"/>
  <c r="C3226" i="5"/>
  <c r="C3227" i="5"/>
  <c r="C3228" i="5"/>
  <c r="C3229" i="5"/>
  <c r="C3230" i="5"/>
  <c r="C3231" i="5"/>
  <c r="C3232" i="5"/>
  <c r="C3233" i="5"/>
  <c r="C3234" i="5"/>
  <c r="C3235" i="5"/>
  <c r="C3236" i="5"/>
  <c r="C3237" i="5"/>
  <c r="C3238" i="5"/>
  <c r="C3239" i="5"/>
  <c r="C3240" i="5"/>
  <c r="C3241" i="5"/>
  <c r="C3242" i="5"/>
  <c r="C3243" i="5"/>
  <c r="C3244" i="5"/>
  <c r="C3245" i="5"/>
  <c r="C3246" i="5"/>
  <c r="C3247" i="5"/>
  <c r="C3248" i="5"/>
  <c r="C3249" i="5"/>
  <c r="C3250" i="5"/>
  <c r="C3251" i="5"/>
  <c r="C3252" i="5"/>
  <c r="C3253" i="5"/>
  <c r="C3254" i="5"/>
  <c r="C3255" i="5"/>
  <c r="C3256" i="5"/>
  <c r="C3257" i="5"/>
  <c r="C3258" i="5"/>
  <c r="C3259" i="5"/>
  <c r="C3260" i="5"/>
  <c r="C3261" i="5"/>
  <c r="C3262" i="5"/>
  <c r="C3263" i="5"/>
  <c r="C3264" i="5"/>
  <c r="C3265" i="5"/>
  <c r="C3266" i="5"/>
  <c r="C3267" i="5"/>
  <c r="C3268" i="5"/>
  <c r="C3269" i="5"/>
  <c r="C3270" i="5"/>
  <c r="C3271" i="5"/>
  <c r="C3272" i="5"/>
  <c r="C3273" i="5"/>
  <c r="C3274" i="5"/>
  <c r="C3275" i="5"/>
  <c r="C3276" i="5"/>
  <c r="C3277" i="5"/>
  <c r="C3278" i="5"/>
  <c r="C3279" i="5"/>
  <c r="C3280" i="5"/>
  <c r="C3281" i="5"/>
  <c r="C3282" i="5"/>
  <c r="C3283" i="5"/>
  <c r="C3284" i="5"/>
  <c r="C3285" i="5"/>
  <c r="C3286" i="5"/>
  <c r="C3287" i="5"/>
  <c r="C3288" i="5"/>
  <c r="C3289" i="5"/>
  <c r="C3290" i="5"/>
  <c r="C3291" i="5"/>
  <c r="C3292" i="5"/>
  <c r="C3293" i="5"/>
  <c r="C3294" i="5"/>
  <c r="C3295" i="5"/>
  <c r="C3296" i="5"/>
  <c r="C3297" i="5"/>
  <c r="C3298" i="5"/>
  <c r="C3299" i="5"/>
  <c r="C3300" i="5"/>
  <c r="C3301" i="5"/>
  <c r="C3302" i="5"/>
  <c r="C3303" i="5"/>
  <c r="C3304" i="5"/>
  <c r="C3305" i="5"/>
  <c r="C3306" i="5"/>
  <c r="C3307" i="5"/>
  <c r="C3308" i="5"/>
  <c r="C3309" i="5"/>
  <c r="C3310" i="5"/>
  <c r="C3311" i="5"/>
  <c r="C3312" i="5"/>
  <c r="C3313" i="5"/>
  <c r="C3314" i="5"/>
  <c r="C3315" i="5"/>
  <c r="C3316" i="5"/>
  <c r="C3317" i="5"/>
  <c r="C3318" i="5"/>
  <c r="C3319" i="5"/>
  <c r="C3320" i="5"/>
  <c r="C3321" i="5"/>
  <c r="C3322" i="5"/>
  <c r="C3323" i="5"/>
  <c r="C3324" i="5"/>
  <c r="C3325" i="5"/>
  <c r="C3326" i="5"/>
  <c r="C3327" i="5"/>
  <c r="C3328" i="5"/>
  <c r="C3329" i="5"/>
  <c r="C3330" i="5"/>
  <c r="C3331" i="5"/>
  <c r="C3332" i="5"/>
  <c r="C3333" i="5"/>
  <c r="C3334" i="5"/>
  <c r="C3335" i="5"/>
  <c r="C3336" i="5"/>
  <c r="C3337" i="5"/>
  <c r="C3338" i="5"/>
  <c r="C3339" i="5"/>
  <c r="C3340" i="5"/>
  <c r="C3341" i="5"/>
  <c r="C3342" i="5"/>
  <c r="C3343" i="5"/>
  <c r="C3344" i="5"/>
  <c r="C3345" i="5"/>
  <c r="C3346" i="5"/>
  <c r="C3347" i="5"/>
  <c r="C3348" i="5"/>
  <c r="C3349" i="5"/>
  <c r="C3350" i="5"/>
  <c r="C3351" i="5"/>
  <c r="C3352" i="5"/>
  <c r="C3353" i="5"/>
  <c r="C3354" i="5"/>
  <c r="C3355" i="5"/>
  <c r="C3356" i="5"/>
  <c r="C3357" i="5"/>
  <c r="C3358" i="5"/>
  <c r="C3359" i="5"/>
  <c r="C3360" i="5"/>
  <c r="C3361" i="5"/>
  <c r="C3362" i="5"/>
  <c r="C3363" i="5"/>
  <c r="C3364" i="5"/>
  <c r="C3365" i="5"/>
  <c r="C3366" i="5"/>
  <c r="C3367" i="5"/>
  <c r="C3368" i="5"/>
  <c r="C3369" i="5"/>
  <c r="C3370" i="5"/>
  <c r="C3371" i="5"/>
  <c r="C3372" i="5"/>
  <c r="C3373" i="5"/>
  <c r="C3374" i="5"/>
  <c r="C3375" i="5"/>
  <c r="C3376" i="5"/>
  <c r="C3377" i="5"/>
  <c r="C3378" i="5"/>
  <c r="C3379" i="5"/>
  <c r="C3380" i="5"/>
  <c r="C3381" i="5"/>
  <c r="C3382" i="5"/>
  <c r="C3383" i="5"/>
  <c r="C3384" i="5"/>
  <c r="C3385" i="5"/>
  <c r="C3386" i="5"/>
  <c r="C3387" i="5"/>
  <c r="C3388" i="5"/>
  <c r="C3389" i="5"/>
  <c r="C3390" i="5"/>
  <c r="C3391" i="5"/>
  <c r="C3392" i="5"/>
  <c r="C3393" i="5"/>
  <c r="C3394" i="5"/>
  <c r="C3395" i="5"/>
  <c r="C3396" i="5"/>
  <c r="C3397" i="5"/>
  <c r="C3398" i="5"/>
  <c r="C3399" i="5"/>
  <c r="C3400" i="5"/>
  <c r="C3401" i="5"/>
  <c r="C3402" i="5"/>
  <c r="C3403" i="5"/>
  <c r="C3404" i="5"/>
  <c r="C3405" i="5"/>
  <c r="C3406" i="5"/>
  <c r="C3407" i="5"/>
  <c r="C3408" i="5"/>
  <c r="C3409" i="5"/>
  <c r="C3410" i="5"/>
  <c r="C3411" i="5"/>
  <c r="C3412" i="5"/>
  <c r="C3413" i="5"/>
  <c r="C3414" i="5"/>
  <c r="C3415" i="5"/>
  <c r="C3416" i="5"/>
  <c r="C3417" i="5"/>
  <c r="C3418" i="5"/>
  <c r="C3419" i="5"/>
  <c r="C3420" i="5"/>
  <c r="C3421" i="5"/>
  <c r="C3422" i="5"/>
  <c r="C3423" i="5"/>
  <c r="C3424" i="5"/>
  <c r="C3425" i="5"/>
  <c r="C3426" i="5"/>
  <c r="C3427" i="5"/>
  <c r="C3428" i="5"/>
  <c r="C3429" i="5"/>
  <c r="C3430" i="5"/>
  <c r="C3431" i="5"/>
  <c r="C3432" i="5"/>
  <c r="C3433" i="5"/>
  <c r="C3434" i="5"/>
  <c r="C3435" i="5"/>
  <c r="C3436" i="5"/>
  <c r="C3437" i="5"/>
  <c r="C3438" i="5"/>
  <c r="C3439" i="5"/>
  <c r="C3440" i="5"/>
  <c r="C3441" i="5"/>
  <c r="C3442" i="5"/>
  <c r="C3443" i="5"/>
  <c r="C3444" i="5"/>
  <c r="C3445" i="5"/>
  <c r="C3446" i="5"/>
  <c r="C3447" i="5"/>
  <c r="C3448" i="5"/>
  <c r="C3449" i="5"/>
  <c r="C3450" i="5"/>
  <c r="C3451" i="5"/>
  <c r="C3452" i="5"/>
  <c r="C3453" i="5"/>
  <c r="C3454" i="5"/>
  <c r="C3455" i="5"/>
  <c r="C3456" i="5"/>
  <c r="C3457" i="5"/>
  <c r="C3458" i="5"/>
  <c r="C3459" i="5"/>
  <c r="C3460" i="5"/>
  <c r="C3461" i="5"/>
  <c r="C3462" i="5"/>
  <c r="C3463" i="5"/>
  <c r="C3464" i="5"/>
  <c r="C3465" i="5"/>
  <c r="C3466" i="5"/>
  <c r="C3467" i="5"/>
  <c r="C3468" i="5"/>
  <c r="C3469" i="5"/>
  <c r="C3470" i="5"/>
  <c r="C3471" i="5"/>
  <c r="C3472" i="5"/>
  <c r="C3473" i="5"/>
  <c r="C3474" i="5"/>
  <c r="C3475" i="5"/>
  <c r="C3476" i="5"/>
  <c r="C3477" i="5"/>
  <c r="C3478" i="5"/>
  <c r="C3479" i="5"/>
  <c r="C3480" i="5"/>
  <c r="C3481" i="5"/>
  <c r="C3482" i="5"/>
  <c r="C3483" i="5"/>
  <c r="C3484" i="5"/>
  <c r="C3485" i="5"/>
  <c r="C3486" i="5"/>
  <c r="C3487" i="5"/>
  <c r="C3488" i="5"/>
  <c r="C3489" i="5"/>
  <c r="C3490" i="5"/>
  <c r="C3491" i="5"/>
  <c r="C3492" i="5"/>
  <c r="C3493" i="5"/>
  <c r="C3494" i="5"/>
  <c r="C3495" i="5"/>
  <c r="C3496" i="5"/>
  <c r="C3497" i="5"/>
  <c r="C3498" i="5"/>
  <c r="C3499" i="5"/>
  <c r="C3500" i="5"/>
  <c r="C3501" i="5"/>
  <c r="C3502" i="5"/>
  <c r="C3503" i="5"/>
  <c r="C3504" i="5"/>
  <c r="C3505" i="5"/>
  <c r="C3506" i="5"/>
  <c r="C3507" i="5"/>
  <c r="C3508" i="5"/>
  <c r="C3509" i="5"/>
  <c r="C3510" i="5"/>
  <c r="C3511" i="5"/>
  <c r="C3512" i="5"/>
  <c r="C3513" i="5"/>
  <c r="C3514" i="5"/>
  <c r="C3515" i="5"/>
  <c r="C3516" i="5"/>
  <c r="C3517" i="5"/>
  <c r="C3518" i="5"/>
  <c r="C3519" i="5"/>
  <c r="C3520" i="5"/>
  <c r="C3521" i="5"/>
  <c r="C3522" i="5"/>
  <c r="C3523" i="5"/>
  <c r="C3524" i="5"/>
  <c r="C3525" i="5"/>
  <c r="C3526" i="5"/>
  <c r="C3527" i="5"/>
  <c r="C3528" i="5"/>
  <c r="C3529" i="5"/>
  <c r="C3530" i="5"/>
  <c r="C3531" i="5"/>
  <c r="C3532" i="5"/>
  <c r="C3533" i="5"/>
  <c r="C3534" i="5"/>
  <c r="C3535" i="5"/>
  <c r="C3536" i="5"/>
  <c r="C3537" i="5"/>
  <c r="C3538" i="5"/>
  <c r="C3539" i="5"/>
  <c r="C3540" i="5"/>
  <c r="C3541" i="5"/>
  <c r="C3542" i="5"/>
  <c r="C3543" i="5"/>
  <c r="C3544" i="5"/>
  <c r="C3545" i="5"/>
  <c r="C3546" i="5"/>
  <c r="C3547" i="5"/>
  <c r="C3548" i="5"/>
  <c r="C3549" i="5"/>
  <c r="C3550" i="5"/>
  <c r="C3551" i="5"/>
  <c r="C3552" i="5"/>
  <c r="C3553" i="5"/>
  <c r="C3554" i="5"/>
  <c r="C3555" i="5"/>
  <c r="C3556" i="5"/>
  <c r="C3557" i="5"/>
  <c r="C3558" i="5"/>
  <c r="C3559" i="5"/>
  <c r="C3560" i="5"/>
  <c r="C3561" i="5"/>
  <c r="C3562" i="5"/>
  <c r="C3563" i="5"/>
  <c r="C3564" i="5"/>
  <c r="C3565" i="5"/>
  <c r="C3566" i="5"/>
  <c r="C3567" i="5"/>
  <c r="C3568" i="5"/>
  <c r="C3569" i="5"/>
  <c r="C3570" i="5"/>
  <c r="C3571" i="5"/>
  <c r="C3572" i="5"/>
  <c r="C3573" i="5"/>
  <c r="C3574" i="5"/>
  <c r="C3575" i="5"/>
  <c r="C3576" i="5"/>
  <c r="C3577" i="5"/>
  <c r="C3578" i="5"/>
  <c r="C3579" i="5"/>
  <c r="C3580" i="5"/>
  <c r="C3581" i="5"/>
  <c r="C3582" i="5"/>
  <c r="C3583" i="5"/>
  <c r="C3584" i="5"/>
  <c r="C3585" i="5"/>
  <c r="C3586" i="5"/>
  <c r="C3587" i="5"/>
  <c r="C3588" i="5"/>
  <c r="C3589" i="5"/>
  <c r="C3590" i="5"/>
  <c r="C3591" i="5"/>
  <c r="C3592" i="5"/>
  <c r="C3593" i="5"/>
  <c r="C3594" i="5"/>
  <c r="C3595" i="5"/>
  <c r="C3596" i="5"/>
  <c r="C3597" i="5"/>
  <c r="C3598" i="5"/>
  <c r="C3599" i="5"/>
  <c r="C3600" i="5"/>
  <c r="C3601" i="5"/>
  <c r="C3602" i="5"/>
  <c r="C3603" i="5"/>
  <c r="C3604" i="5"/>
  <c r="C3605" i="5"/>
  <c r="C3606" i="5"/>
  <c r="C3607" i="5"/>
  <c r="C3608" i="5"/>
  <c r="C3609" i="5"/>
  <c r="C3610" i="5"/>
  <c r="C3611" i="5"/>
  <c r="C3612" i="5"/>
  <c r="C3613" i="5"/>
  <c r="C3614" i="5"/>
  <c r="C3615" i="5"/>
  <c r="C3616" i="5"/>
  <c r="C3617" i="5"/>
  <c r="C3618" i="5"/>
  <c r="C3619" i="5"/>
  <c r="C3620" i="5"/>
  <c r="C3621" i="5"/>
  <c r="C3622" i="5"/>
  <c r="C3623" i="5"/>
  <c r="C3624" i="5"/>
  <c r="C3625" i="5"/>
  <c r="C3626" i="5"/>
  <c r="C3627" i="5"/>
  <c r="C3628" i="5"/>
  <c r="C3629" i="5"/>
  <c r="C3630" i="5"/>
  <c r="C3631" i="5"/>
  <c r="C3632" i="5"/>
  <c r="C3633" i="5"/>
  <c r="C3634" i="5"/>
  <c r="C3635" i="5"/>
  <c r="C3636" i="5"/>
  <c r="C3637" i="5"/>
  <c r="C3638" i="5"/>
  <c r="C3639" i="5"/>
  <c r="C3640" i="5"/>
  <c r="C3641" i="5"/>
  <c r="C3642" i="5"/>
  <c r="C3643" i="5"/>
  <c r="C3644" i="5"/>
  <c r="C3645" i="5"/>
  <c r="C3646" i="5"/>
  <c r="C3647" i="5"/>
  <c r="C3648" i="5"/>
  <c r="C3649" i="5"/>
  <c r="C3650" i="5"/>
  <c r="C3651" i="5"/>
  <c r="C3652" i="5"/>
  <c r="C3653" i="5"/>
  <c r="C3654" i="5"/>
  <c r="C3655" i="5"/>
  <c r="C3656" i="5"/>
  <c r="C3657" i="5"/>
  <c r="C3658" i="5"/>
  <c r="C3659" i="5"/>
  <c r="C3660" i="5"/>
  <c r="C3661" i="5"/>
  <c r="C3662" i="5"/>
  <c r="C3663" i="5"/>
  <c r="C3664" i="5"/>
  <c r="C3665" i="5"/>
  <c r="C3666" i="5"/>
  <c r="C3667" i="5"/>
  <c r="C3668" i="5"/>
  <c r="C3669" i="5"/>
  <c r="C3670" i="5"/>
  <c r="C3671" i="5"/>
  <c r="C3672" i="5"/>
  <c r="C3673" i="5"/>
  <c r="C3674" i="5"/>
  <c r="C3675" i="5"/>
  <c r="C3676" i="5"/>
  <c r="C3677" i="5"/>
  <c r="C3678" i="5"/>
  <c r="C3679" i="5"/>
  <c r="C3680" i="5"/>
  <c r="C3681" i="5"/>
  <c r="C3682" i="5"/>
  <c r="C3683" i="5"/>
  <c r="C3684" i="5"/>
  <c r="C3685" i="5"/>
  <c r="C3686" i="5"/>
  <c r="C3687" i="5"/>
  <c r="C3688" i="5"/>
  <c r="C3689" i="5"/>
  <c r="C3690" i="5"/>
  <c r="C3691" i="5"/>
  <c r="C3692" i="5"/>
  <c r="C3693" i="5"/>
  <c r="C3694" i="5"/>
  <c r="C3695" i="5"/>
  <c r="C3696" i="5"/>
  <c r="C3697" i="5"/>
  <c r="C3698" i="5"/>
  <c r="C3699" i="5"/>
  <c r="C3700" i="5"/>
  <c r="C3701" i="5"/>
  <c r="C3702" i="5"/>
  <c r="C3703" i="5"/>
  <c r="C3704" i="5"/>
  <c r="C3705" i="5"/>
  <c r="C3706" i="5"/>
  <c r="C3707" i="5"/>
  <c r="C3708" i="5"/>
  <c r="C3709" i="5"/>
  <c r="C3710" i="5"/>
  <c r="C3711" i="5"/>
  <c r="C3712" i="5"/>
  <c r="C3713" i="5"/>
  <c r="C3714" i="5"/>
  <c r="C3715" i="5"/>
  <c r="C3716" i="5"/>
  <c r="C3717" i="5"/>
  <c r="C3718" i="5"/>
  <c r="C3719" i="5"/>
  <c r="C3720" i="5"/>
  <c r="C3721" i="5"/>
  <c r="C3722" i="5"/>
  <c r="C3723" i="5"/>
  <c r="C3724" i="5"/>
  <c r="C3725" i="5"/>
  <c r="C3726" i="5"/>
  <c r="C3727" i="5"/>
  <c r="C3728" i="5"/>
  <c r="C3729" i="5"/>
  <c r="C3730" i="5"/>
  <c r="C3731" i="5"/>
  <c r="C3732" i="5"/>
  <c r="C3733" i="5"/>
  <c r="C3734" i="5"/>
  <c r="C3735" i="5"/>
  <c r="C3736" i="5"/>
  <c r="C3737" i="5"/>
  <c r="C3738" i="5"/>
  <c r="C3739" i="5"/>
  <c r="C3740" i="5"/>
  <c r="C3741" i="5"/>
  <c r="C3742" i="5"/>
  <c r="C3743" i="5"/>
  <c r="C3744" i="5"/>
  <c r="C3745" i="5"/>
  <c r="C3746" i="5"/>
  <c r="C3747" i="5"/>
  <c r="C3748" i="5"/>
  <c r="C3749" i="5"/>
  <c r="C3750" i="5"/>
  <c r="C3751" i="5"/>
  <c r="C3752" i="5"/>
  <c r="C3753" i="5"/>
  <c r="C3754" i="5"/>
  <c r="C3755" i="5"/>
  <c r="C3756" i="5"/>
  <c r="C3757" i="5"/>
  <c r="C3758" i="5"/>
  <c r="C3759" i="5"/>
  <c r="C3760" i="5"/>
  <c r="C3761" i="5"/>
  <c r="C3762" i="5"/>
  <c r="C3763" i="5"/>
  <c r="C3764" i="5"/>
  <c r="C3765" i="5"/>
  <c r="C3766" i="5"/>
  <c r="C3767" i="5"/>
  <c r="C3768" i="5"/>
  <c r="C3769" i="5"/>
  <c r="C3770" i="5"/>
  <c r="C3771" i="5"/>
  <c r="C3772" i="5"/>
  <c r="C3773" i="5"/>
  <c r="C3774" i="5"/>
  <c r="C3775" i="5"/>
  <c r="C3776" i="5"/>
  <c r="C3777" i="5"/>
  <c r="C3778" i="5"/>
  <c r="C3779" i="5"/>
  <c r="C3780" i="5"/>
  <c r="C3781" i="5"/>
  <c r="C3782" i="5"/>
  <c r="C3783" i="5"/>
  <c r="C3784" i="5"/>
  <c r="C3785" i="5"/>
  <c r="C3786" i="5"/>
  <c r="C3787" i="5"/>
  <c r="C3788" i="5"/>
  <c r="C3789" i="5"/>
  <c r="C3790" i="5"/>
  <c r="C3791" i="5"/>
  <c r="C3792" i="5"/>
  <c r="C3793" i="5"/>
  <c r="C3794" i="5"/>
  <c r="C3795" i="5"/>
  <c r="C3796" i="5"/>
  <c r="C3797" i="5"/>
  <c r="C3798" i="5"/>
  <c r="C3799" i="5"/>
  <c r="C3800" i="5"/>
  <c r="C3801" i="5"/>
  <c r="C3802" i="5"/>
  <c r="C3803" i="5"/>
  <c r="C3804" i="5"/>
  <c r="C3805" i="5"/>
  <c r="C3806" i="5"/>
  <c r="C3807" i="5"/>
  <c r="C3808" i="5"/>
  <c r="C3809" i="5"/>
  <c r="C3810" i="5"/>
  <c r="C3811" i="5"/>
  <c r="C3812" i="5"/>
  <c r="C3813" i="5"/>
  <c r="C3814" i="5"/>
  <c r="C3815" i="5"/>
  <c r="C3816" i="5"/>
  <c r="C3817" i="5"/>
  <c r="C3818" i="5"/>
  <c r="C3819" i="5"/>
  <c r="C3820" i="5"/>
  <c r="C3821" i="5"/>
  <c r="C3822" i="5"/>
  <c r="C3823" i="5"/>
  <c r="C3824" i="5"/>
  <c r="C3825" i="5"/>
  <c r="C3826" i="5"/>
  <c r="C3827" i="5"/>
  <c r="C3828" i="5"/>
  <c r="C3829" i="5"/>
  <c r="C3830" i="5"/>
  <c r="C3831" i="5"/>
  <c r="C3832" i="5"/>
  <c r="C3833" i="5"/>
  <c r="C3834" i="5"/>
  <c r="C3835" i="5"/>
  <c r="C3836" i="5"/>
  <c r="C3837" i="5"/>
  <c r="C3838" i="5"/>
  <c r="C3839" i="5"/>
  <c r="C3840" i="5"/>
  <c r="C3841" i="5"/>
  <c r="C3842" i="5"/>
  <c r="C3843" i="5"/>
  <c r="C3844" i="5"/>
  <c r="C3845" i="5"/>
  <c r="C3846" i="5"/>
  <c r="C3847" i="5"/>
  <c r="C3848" i="5"/>
  <c r="C3849" i="5"/>
  <c r="C3850" i="5"/>
  <c r="C3851" i="5"/>
  <c r="C3852" i="5"/>
  <c r="C3853" i="5"/>
  <c r="C3854" i="5"/>
  <c r="C3855" i="5"/>
  <c r="C3856" i="5"/>
  <c r="C3857" i="5"/>
  <c r="C3858" i="5"/>
  <c r="C3859" i="5"/>
  <c r="C3860" i="5"/>
  <c r="C3861" i="5"/>
  <c r="C3862" i="5"/>
  <c r="C3863" i="5"/>
  <c r="C3864" i="5"/>
  <c r="C3865" i="5"/>
  <c r="C3866" i="5"/>
  <c r="C3867" i="5"/>
  <c r="C3868" i="5"/>
  <c r="C3869" i="5"/>
  <c r="C3870" i="5"/>
  <c r="C3871" i="5"/>
  <c r="C3872" i="5"/>
  <c r="C3873" i="5"/>
  <c r="C3874" i="5"/>
  <c r="C3875" i="5"/>
  <c r="C3876" i="5"/>
  <c r="C3877" i="5"/>
  <c r="C3878" i="5"/>
  <c r="C3879" i="5"/>
  <c r="C3880" i="5"/>
  <c r="C3881" i="5"/>
  <c r="C3882" i="5"/>
  <c r="C3883" i="5"/>
  <c r="C3884" i="5"/>
  <c r="C3885" i="5"/>
  <c r="C3886" i="5"/>
  <c r="C3887" i="5"/>
  <c r="C3888" i="5"/>
  <c r="C3889" i="5"/>
  <c r="C3890" i="5"/>
  <c r="C3891" i="5"/>
  <c r="C3892" i="5"/>
  <c r="C3893" i="5"/>
  <c r="C3894" i="5"/>
  <c r="C3895" i="5"/>
  <c r="C3896" i="5"/>
  <c r="C3897" i="5"/>
  <c r="C3898" i="5"/>
  <c r="C3899" i="5"/>
  <c r="C3900" i="5"/>
  <c r="C3901" i="5"/>
  <c r="C3902" i="5"/>
  <c r="C3903" i="5"/>
  <c r="C3904" i="5"/>
  <c r="C3905" i="5"/>
  <c r="C3906" i="5"/>
  <c r="C3907" i="5"/>
  <c r="C3908" i="5"/>
  <c r="C3909" i="5"/>
  <c r="C3910" i="5"/>
  <c r="C3911" i="5"/>
  <c r="C3912" i="5"/>
  <c r="C3913" i="5"/>
  <c r="C3914" i="5"/>
  <c r="C3915" i="5"/>
  <c r="C3916" i="5"/>
  <c r="C3917" i="5"/>
  <c r="C3918" i="5"/>
  <c r="C3919" i="5"/>
  <c r="C3920" i="5"/>
  <c r="C3921" i="5"/>
  <c r="C3922" i="5"/>
  <c r="C3923" i="5"/>
  <c r="C3924" i="5"/>
  <c r="C3925" i="5"/>
  <c r="C3926" i="5"/>
  <c r="C3927" i="5"/>
  <c r="C3928" i="5"/>
  <c r="C3929" i="5"/>
  <c r="C3930" i="5"/>
  <c r="C3931" i="5"/>
  <c r="C3932" i="5"/>
  <c r="C3933" i="5"/>
  <c r="C3934" i="5"/>
  <c r="C3935" i="5"/>
  <c r="C3936" i="5"/>
  <c r="C3937" i="5"/>
  <c r="C3938" i="5"/>
  <c r="C3939" i="5"/>
  <c r="C3940" i="5"/>
  <c r="C3941" i="5"/>
  <c r="C3942" i="5"/>
  <c r="C3943" i="5"/>
  <c r="C3944" i="5"/>
  <c r="C3945" i="5"/>
  <c r="C3946" i="5"/>
  <c r="C3947" i="5"/>
  <c r="C3948" i="5"/>
  <c r="C3949" i="5"/>
  <c r="C3950" i="5"/>
  <c r="C3951" i="5"/>
  <c r="C3952" i="5"/>
  <c r="C3953" i="5"/>
  <c r="C3954" i="5"/>
  <c r="C3955" i="5"/>
  <c r="C3956" i="5"/>
  <c r="C3957" i="5"/>
  <c r="C3958" i="5"/>
  <c r="C3959" i="5"/>
  <c r="C3960" i="5"/>
  <c r="C3961" i="5"/>
  <c r="C3962" i="5"/>
  <c r="C3963" i="5"/>
  <c r="C3964" i="5"/>
  <c r="C3965" i="5"/>
  <c r="C3966" i="5"/>
  <c r="C3967" i="5"/>
  <c r="C3968" i="5"/>
  <c r="C3969" i="5"/>
  <c r="C3970" i="5"/>
  <c r="C3971" i="5"/>
  <c r="C3972" i="5"/>
  <c r="C3973" i="5"/>
  <c r="C3974" i="5"/>
  <c r="C3975" i="5"/>
  <c r="C3976" i="5"/>
  <c r="C3977" i="5"/>
  <c r="C3978" i="5"/>
  <c r="C3979" i="5"/>
  <c r="C3980" i="5"/>
  <c r="C3981" i="5"/>
  <c r="C3982" i="5"/>
  <c r="C3983" i="5"/>
  <c r="C3984" i="5"/>
  <c r="C3985" i="5"/>
  <c r="C3986" i="5"/>
  <c r="C3987" i="5"/>
  <c r="C3988" i="5"/>
  <c r="C3989" i="5"/>
  <c r="C3990" i="5"/>
  <c r="C3991" i="5"/>
  <c r="C3992" i="5"/>
  <c r="C3993" i="5"/>
  <c r="C3994" i="5"/>
  <c r="C3995" i="5"/>
  <c r="C3996" i="5"/>
  <c r="C3997" i="5"/>
  <c r="C3998" i="5"/>
  <c r="C3999" i="5"/>
  <c r="C4000" i="5"/>
  <c r="C4001" i="5"/>
  <c r="C4002" i="5"/>
  <c r="C4003" i="5"/>
  <c r="C4004" i="5"/>
  <c r="C4005" i="5"/>
  <c r="C4006" i="5"/>
  <c r="C4007" i="5"/>
  <c r="C4008" i="5"/>
  <c r="C4009" i="5"/>
  <c r="C4010" i="5"/>
  <c r="C4011" i="5"/>
  <c r="C4012" i="5"/>
  <c r="C4013" i="5"/>
  <c r="C4014" i="5"/>
  <c r="C4015" i="5"/>
  <c r="C4016" i="5"/>
  <c r="C4017" i="5"/>
  <c r="C4018" i="5"/>
  <c r="C4019" i="5"/>
  <c r="C4020" i="5"/>
  <c r="C4021" i="5"/>
  <c r="C4022" i="5"/>
  <c r="C4023" i="5"/>
  <c r="C4024" i="5"/>
  <c r="C4025" i="5"/>
  <c r="C4026" i="5"/>
  <c r="C4027" i="5"/>
  <c r="C4028" i="5"/>
  <c r="C4029" i="5"/>
  <c r="C4030" i="5"/>
  <c r="C4031" i="5"/>
  <c r="C4032" i="5"/>
  <c r="C4033" i="5"/>
  <c r="C4034" i="5"/>
  <c r="C4035" i="5"/>
  <c r="C4036" i="5"/>
  <c r="C4037" i="5"/>
  <c r="C4038" i="5"/>
  <c r="C4039" i="5"/>
  <c r="C4040" i="5"/>
  <c r="C4041" i="5"/>
  <c r="C4042" i="5"/>
  <c r="C4043" i="5"/>
  <c r="C4044" i="5"/>
  <c r="C4045" i="5"/>
  <c r="C4046" i="5"/>
  <c r="C4047" i="5"/>
  <c r="C4048" i="5"/>
  <c r="C4049" i="5"/>
  <c r="C4050" i="5"/>
  <c r="C4051" i="5"/>
  <c r="C4052" i="5"/>
  <c r="C4053" i="5"/>
  <c r="C4054" i="5"/>
  <c r="C4055" i="5"/>
  <c r="C4056" i="5"/>
  <c r="C4057" i="5"/>
  <c r="C4058" i="5"/>
  <c r="C4059" i="5"/>
  <c r="C4060" i="5"/>
  <c r="C4061" i="5"/>
  <c r="C4062" i="5"/>
  <c r="C4063" i="5"/>
  <c r="C4064" i="5"/>
  <c r="C4065" i="5"/>
  <c r="C4066" i="5"/>
  <c r="C4067" i="5"/>
  <c r="C4068" i="5"/>
  <c r="C4069" i="5"/>
  <c r="C4070" i="5"/>
  <c r="C4071" i="5"/>
  <c r="C4072" i="5"/>
  <c r="C4073" i="5"/>
  <c r="C4074" i="5"/>
  <c r="C4075" i="5"/>
  <c r="C4076" i="5"/>
  <c r="C4077" i="5"/>
  <c r="C4078" i="5"/>
  <c r="C4079" i="5"/>
  <c r="C4080" i="5"/>
  <c r="C4081" i="5"/>
  <c r="C4082" i="5"/>
  <c r="C4083" i="5"/>
  <c r="C4084" i="5"/>
  <c r="C4085" i="5"/>
  <c r="C4086" i="5"/>
  <c r="C4087" i="5"/>
  <c r="C4088" i="5"/>
  <c r="C4089" i="5"/>
  <c r="C4090" i="5"/>
  <c r="C4091" i="5"/>
  <c r="C4092" i="5"/>
  <c r="C4093" i="5"/>
  <c r="C4094" i="5"/>
  <c r="C4095" i="5"/>
  <c r="C4096" i="5"/>
  <c r="C4097" i="5"/>
  <c r="C4098" i="5"/>
  <c r="C4099" i="5"/>
  <c r="C4100" i="5"/>
  <c r="C4101" i="5"/>
  <c r="C4102" i="5"/>
  <c r="C4103" i="5"/>
  <c r="C4104" i="5"/>
  <c r="C4105" i="5"/>
  <c r="C4106" i="5"/>
  <c r="C4107" i="5"/>
  <c r="C4108" i="5"/>
  <c r="C4109" i="5"/>
  <c r="C4110" i="5"/>
  <c r="C4111" i="5"/>
  <c r="C4112" i="5"/>
  <c r="C4113" i="5"/>
  <c r="C4114" i="5"/>
  <c r="C4115" i="5"/>
  <c r="C4116" i="5"/>
  <c r="C4117" i="5"/>
  <c r="C4118" i="5"/>
  <c r="C4119" i="5"/>
  <c r="C4120" i="5"/>
  <c r="C4121" i="5"/>
  <c r="C4122" i="5"/>
  <c r="C4123" i="5"/>
  <c r="C3" i="1"/>
  <c r="J3" i="1" s="1"/>
  <c r="K3" i="1" s="1"/>
  <c r="C2" i="1"/>
  <c r="J2" i="1" s="1"/>
  <c r="K2" i="1" s="1"/>
  <c r="C4" i="1"/>
  <c r="H4" i="1" s="1"/>
  <c r="I4" i="1" s="1"/>
  <c r="C5" i="1"/>
  <c r="J5" i="1" s="1"/>
  <c r="K5" i="1" s="1"/>
  <c r="C6" i="1"/>
  <c r="H6" i="1" s="1"/>
  <c r="I6" i="1" s="1"/>
  <c r="C7" i="1"/>
  <c r="H7" i="1" s="1"/>
  <c r="I7" i="1" s="1"/>
  <c r="C8" i="1"/>
  <c r="J8" i="1" s="1"/>
  <c r="K8" i="1" s="1"/>
  <c r="C9" i="1"/>
  <c r="J9" i="1" s="1"/>
  <c r="K9" i="1" s="1"/>
  <c r="C10" i="1"/>
  <c r="H10" i="1" s="1"/>
  <c r="I10" i="1" s="1"/>
  <c r="C11" i="1"/>
  <c r="H11" i="1" s="1"/>
  <c r="I11" i="1" s="1"/>
  <c r="C12" i="1"/>
  <c r="H12" i="1" s="1"/>
  <c r="C13" i="1"/>
  <c r="J13" i="1" s="1"/>
  <c r="K13" i="1" s="1"/>
  <c r="C14" i="1"/>
  <c r="J14" i="1" s="1"/>
  <c r="K14" i="1" s="1"/>
  <c r="C15" i="1"/>
  <c r="J15" i="1" s="1"/>
  <c r="K15" i="1" s="1"/>
  <c r="C16" i="1"/>
  <c r="J16" i="1" s="1"/>
  <c r="K16" i="1" s="1"/>
  <c r="C17" i="1"/>
  <c r="H17" i="1" s="1"/>
  <c r="C18" i="1"/>
  <c r="H18" i="1" s="1"/>
  <c r="I18" i="1" s="1"/>
  <c r="C19" i="1"/>
  <c r="H19" i="1" s="1"/>
  <c r="I19" i="1" s="1"/>
  <c r="C20" i="1"/>
  <c r="J20" i="1" s="1"/>
  <c r="K20" i="1" s="1"/>
  <c r="C21" i="1"/>
  <c r="J21" i="1" s="1"/>
  <c r="K21" i="1" s="1"/>
  <c r="C22" i="1"/>
  <c r="J22" i="1" s="1"/>
  <c r="K22" i="1" s="1"/>
  <c r="C23" i="1"/>
  <c r="H23" i="1" s="1"/>
  <c r="I23" i="1" s="1"/>
  <c r="C24" i="1"/>
  <c r="H24" i="1" s="1"/>
  <c r="I24" i="1" s="1"/>
  <c r="C25" i="1"/>
  <c r="H25" i="1" s="1"/>
  <c r="I25" i="1" s="1"/>
  <c r="C26" i="1"/>
  <c r="J26" i="1" s="1"/>
  <c r="K26" i="1" s="1"/>
  <c r="C27" i="1"/>
  <c r="J27" i="1" s="1"/>
  <c r="K27" i="1" s="1"/>
  <c r="C28" i="1"/>
  <c r="H28" i="1" s="1"/>
  <c r="C29" i="1"/>
  <c r="H29" i="1" s="1"/>
  <c r="C30" i="1"/>
  <c r="H30" i="1" s="1"/>
  <c r="I30" i="1" s="1"/>
  <c r="C31" i="1"/>
  <c r="J31" i="1" s="1"/>
  <c r="K31" i="1" s="1"/>
  <c r="C32" i="1"/>
  <c r="J32" i="1" s="1"/>
  <c r="K32" i="1" s="1"/>
  <c r="C33" i="1"/>
  <c r="J33" i="1" s="1"/>
  <c r="K33" i="1" s="1"/>
  <c r="C34" i="1"/>
  <c r="J34" i="1" s="1"/>
  <c r="K34" i="1" s="1"/>
  <c r="C35" i="1"/>
  <c r="J35" i="1" s="1"/>
  <c r="K35" i="1" s="1"/>
  <c r="C36" i="1"/>
  <c r="J36" i="1" s="1"/>
  <c r="K36" i="1" s="1"/>
  <c r="C37" i="1"/>
  <c r="J37" i="1" s="1"/>
  <c r="K37" i="1" s="1"/>
  <c r="C38" i="1"/>
  <c r="J38" i="1" s="1"/>
  <c r="K38" i="1" s="1"/>
  <c r="C39" i="1"/>
  <c r="J39" i="1" s="1"/>
  <c r="K39" i="1" s="1"/>
  <c r="C40" i="1"/>
  <c r="J40" i="1" s="1"/>
  <c r="K40" i="1" s="1"/>
  <c r="C41" i="1"/>
  <c r="H41" i="1" s="1"/>
  <c r="C42" i="1"/>
  <c r="H42" i="1" s="1"/>
  <c r="C43" i="1"/>
  <c r="H43" i="1" s="1"/>
  <c r="I43" i="1" s="1"/>
  <c r="C44" i="1"/>
  <c r="H44" i="1" s="1"/>
  <c r="I44" i="1" s="1"/>
  <c r="C45" i="1"/>
  <c r="J45" i="1" s="1"/>
  <c r="K45" i="1" s="1"/>
  <c r="C46" i="1"/>
  <c r="J46" i="1" s="1"/>
  <c r="K46" i="1" s="1"/>
  <c r="C47" i="1"/>
  <c r="J47" i="1" s="1"/>
  <c r="K47" i="1" s="1"/>
  <c r="C48" i="1"/>
  <c r="J48" i="1" s="1"/>
  <c r="K48" i="1" s="1"/>
  <c r="C49" i="1"/>
  <c r="J49" i="1" s="1"/>
  <c r="K49" i="1" s="1"/>
  <c r="C50" i="1"/>
  <c r="J50" i="1" s="1"/>
  <c r="K50" i="1" s="1"/>
  <c r="C51" i="1"/>
  <c r="J51" i="1" s="1"/>
  <c r="K51" i="1" s="1"/>
  <c r="C52" i="1"/>
  <c r="J52" i="1" s="1"/>
  <c r="K52" i="1" s="1"/>
  <c r="C53" i="1"/>
  <c r="J53" i="1" s="1"/>
  <c r="K53" i="1" s="1"/>
  <c r="C54" i="1"/>
  <c r="J54" i="1" s="1"/>
  <c r="K54" i="1" s="1"/>
  <c r="C55" i="1"/>
  <c r="J55" i="1" s="1"/>
  <c r="K55" i="1" s="1"/>
  <c r="C56" i="1"/>
  <c r="J56" i="1" s="1"/>
  <c r="K56" i="1" s="1"/>
  <c r="C57" i="1"/>
  <c r="J57" i="1" s="1"/>
  <c r="K57" i="1" s="1"/>
  <c r="C58" i="1"/>
  <c r="H58" i="1" s="1"/>
  <c r="I58" i="1" s="1"/>
  <c r="C59" i="1"/>
  <c r="H59" i="1" s="1"/>
  <c r="I59" i="1" s="1"/>
  <c r="C60" i="1"/>
  <c r="H60" i="1" s="1"/>
  <c r="I60" i="1" s="1"/>
  <c r="C61" i="1"/>
  <c r="H61" i="1" s="1"/>
  <c r="I61" i="1" s="1"/>
  <c r="C62" i="1"/>
  <c r="J62" i="1" s="1"/>
  <c r="K62" i="1" s="1"/>
  <c r="C63" i="1"/>
  <c r="J63" i="1" s="1"/>
  <c r="K63" i="1" s="1"/>
  <c r="C64" i="1"/>
  <c r="H64" i="1" s="1"/>
  <c r="C65" i="1"/>
  <c r="J65" i="1" s="1"/>
  <c r="K65" i="1" s="1"/>
  <c r="C66" i="1"/>
  <c r="J66" i="1" s="1"/>
  <c r="K66" i="1" s="1"/>
  <c r="C67" i="1"/>
  <c r="J67" i="1" s="1"/>
  <c r="K67" i="1" s="1"/>
  <c r="C68" i="1"/>
  <c r="J68" i="1" s="1"/>
  <c r="K68" i="1" s="1"/>
  <c r="C69" i="1"/>
  <c r="J69" i="1" s="1"/>
  <c r="K69" i="1" s="1"/>
  <c r="C70" i="1"/>
  <c r="H70" i="1" s="1"/>
  <c r="I70" i="1" s="1"/>
  <c r="C71" i="1"/>
  <c r="H71" i="1" s="1"/>
  <c r="I71" i="1" s="1"/>
  <c r="C72" i="1"/>
  <c r="H72" i="1" s="1"/>
  <c r="I72" i="1" s="1"/>
  <c r="C73" i="1"/>
  <c r="H73" i="1" s="1"/>
  <c r="I73" i="1" s="1"/>
  <c r="C74" i="1"/>
  <c r="J74" i="1" s="1"/>
  <c r="K74" i="1" s="1"/>
  <c r="C75" i="1"/>
  <c r="J75" i="1" s="1"/>
  <c r="K75" i="1" s="1"/>
  <c r="C76" i="1"/>
  <c r="J76" i="1" s="1"/>
  <c r="K76" i="1" s="1"/>
  <c r="C77" i="1"/>
  <c r="J77" i="1" s="1"/>
  <c r="K77" i="1" s="1"/>
  <c r="C78" i="1"/>
  <c r="H78" i="1" s="1"/>
  <c r="I78" i="1" s="1"/>
  <c r="C79" i="1"/>
  <c r="H79" i="1" s="1"/>
  <c r="I79" i="1" s="1"/>
  <c r="C80" i="1"/>
  <c r="J80" i="1" s="1"/>
  <c r="K80" i="1" s="1"/>
  <c r="C81" i="1"/>
  <c r="J81" i="1" s="1"/>
  <c r="K81" i="1" s="1"/>
  <c r="C82" i="1"/>
  <c r="H82" i="1" s="1"/>
  <c r="I82" i="1" s="1"/>
  <c r="C83" i="1"/>
  <c r="H83" i="1" s="1"/>
  <c r="I83" i="1" s="1"/>
  <c r="C84" i="1"/>
  <c r="H84" i="1" s="1"/>
  <c r="I84" i="1" s="1"/>
  <c r="C85" i="1"/>
  <c r="J85" i="1" s="1"/>
  <c r="K85" i="1" s="1"/>
  <c r="C86" i="1"/>
  <c r="J86" i="1" s="1"/>
  <c r="K86" i="1" s="1"/>
  <c r="C87" i="1"/>
  <c r="J87" i="1" s="1"/>
  <c r="K87" i="1" s="1"/>
  <c r="C88" i="1"/>
  <c r="J88" i="1" s="1"/>
  <c r="K88" i="1" s="1"/>
  <c r="C89" i="1"/>
  <c r="J89" i="1" s="1"/>
  <c r="K89" i="1" s="1"/>
  <c r="C90" i="1"/>
  <c r="J90" i="1" s="1"/>
  <c r="K90" i="1" s="1"/>
  <c r="C91" i="1"/>
  <c r="J91" i="1" s="1"/>
  <c r="K91" i="1" s="1"/>
  <c r="C92" i="1"/>
  <c r="H92" i="1" s="1"/>
  <c r="I92" i="1" s="1"/>
  <c r="C93" i="1"/>
  <c r="J93" i="1" s="1"/>
  <c r="K93" i="1" s="1"/>
  <c r="C94" i="1"/>
  <c r="H94" i="1" s="1"/>
  <c r="I94" i="1" s="1"/>
  <c r="C95" i="1"/>
  <c r="H95" i="1" s="1"/>
  <c r="I95" i="1" s="1"/>
  <c r="C96" i="1"/>
  <c r="H96" i="1" s="1"/>
  <c r="I96" i="1" s="1"/>
  <c r="C97" i="1"/>
  <c r="J97" i="1" s="1"/>
  <c r="K97" i="1" s="1"/>
  <c r="C98" i="1"/>
  <c r="J98" i="1" s="1"/>
  <c r="K98" i="1" s="1"/>
  <c r="C99" i="1"/>
  <c r="J99" i="1" s="1"/>
  <c r="K99" i="1" s="1"/>
  <c r="C100" i="1"/>
  <c r="H100" i="1" s="1"/>
  <c r="C101" i="1"/>
  <c r="H101" i="1" s="1"/>
  <c r="C102" i="1"/>
  <c r="J102" i="1" s="1"/>
  <c r="K102" i="1" s="1"/>
  <c r="C103" i="1"/>
  <c r="J103" i="1" s="1"/>
  <c r="K103" i="1" s="1"/>
  <c r="C104" i="1"/>
  <c r="J104" i="1" s="1"/>
  <c r="K104" i="1" s="1"/>
  <c r="C105" i="1"/>
  <c r="J105" i="1" s="1"/>
  <c r="K105" i="1" s="1"/>
  <c r="C106" i="1"/>
  <c r="J106" i="1" s="1"/>
  <c r="K106" i="1" s="1"/>
  <c r="C107" i="1"/>
  <c r="J107" i="1" s="1"/>
  <c r="K107" i="1" s="1"/>
  <c r="C108" i="1"/>
  <c r="J108" i="1" s="1"/>
  <c r="K108" i="1" s="1"/>
  <c r="C109" i="1"/>
  <c r="H109" i="1" s="1"/>
  <c r="I109" i="1" s="1"/>
  <c r="C110" i="1"/>
  <c r="J110" i="1" s="1"/>
  <c r="K110" i="1" s="1"/>
  <c r="C111" i="1"/>
  <c r="J111" i="1" s="1"/>
  <c r="K111" i="1" s="1"/>
  <c r="C112" i="1"/>
  <c r="H112" i="1" s="1"/>
  <c r="C113" i="1"/>
  <c r="H113" i="1" s="1"/>
  <c r="C114" i="1"/>
  <c r="H114" i="1" s="1"/>
  <c r="C115" i="1"/>
  <c r="H115" i="1" s="1"/>
  <c r="I115" i="1" s="1"/>
  <c r="C116" i="1"/>
  <c r="J116" i="1" s="1"/>
  <c r="K116" i="1" s="1"/>
  <c r="C117" i="1"/>
  <c r="J117" i="1" s="1"/>
  <c r="K117" i="1" s="1"/>
  <c r="C118" i="1"/>
  <c r="J118" i="1" s="1"/>
  <c r="K118" i="1" s="1"/>
  <c r="C119" i="1"/>
  <c r="J119" i="1" s="1"/>
  <c r="K119" i="1" s="1"/>
  <c r="C120" i="1"/>
  <c r="J120" i="1" s="1"/>
  <c r="K120" i="1" s="1"/>
  <c r="C121" i="1"/>
  <c r="J121" i="1" s="1"/>
  <c r="K121" i="1" s="1"/>
  <c r="C122" i="1"/>
  <c r="J122" i="1" s="1"/>
  <c r="K122" i="1" s="1"/>
  <c r="C123" i="1"/>
  <c r="J123" i="1" s="1"/>
  <c r="K123" i="1" s="1"/>
  <c r="C124" i="1"/>
  <c r="J124" i="1" s="1"/>
  <c r="K124" i="1" s="1"/>
  <c r="C125" i="1"/>
  <c r="J125" i="1" s="1"/>
  <c r="K125" i="1" s="1"/>
  <c r="C126" i="1"/>
  <c r="J126" i="1" s="1"/>
  <c r="K126" i="1" s="1"/>
  <c r="C127" i="1"/>
  <c r="J127" i="1" s="1"/>
  <c r="K127" i="1" s="1"/>
  <c r="C128" i="1"/>
  <c r="J128" i="1" s="1"/>
  <c r="K128" i="1" s="1"/>
  <c r="C129" i="1"/>
  <c r="J129" i="1" s="1"/>
  <c r="K129" i="1" s="1"/>
  <c r="C130" i="1"/>
  <c r="H130" i="1" s="1"/>
  <c r="I130" i="1" s="1"/>
  <c r="C131" i="1"/>
  <c r="H131" i="1" s="1"/>
  <c r="I131" i="1" s="1"/>
  <c r="C132" i="1"/>
  <c r="H132" i="1" s="1"/>
  <c r="I132" i="1" s="1"/>
  <c r="C133" i="1"/>
  <c r="H133" i="1" s="1"/>
  <c r="I133" i="1" s="1"/>
  <c r="C134" i="1"/>
  <c r="J134" i="1" s="1"/>
  <c r="K134" i="1" s="1"/>
  <c r="C135" i="1"/>
  <c r="J135" i="1" s="1"/>
  <c r="K135" i="1" s="1"/>
  <c r="C136" i="1"/>
  <c r="H136" i="1" s="1"/>
  <c r="C137" i="1"/>
  <c r="J137" i="1" s="1"/>
  <c r="K137" i="1" s="1"/>
  <c r="C138" i="1"/>
  <c r="J138" i="1" s="1"/>
  <c r="K138" i="1" s="1"/>
  <c r="C139" i="1"/>
  <c r="J139" i="1" s="1"/>
  <c r="K139" i="1" s="1"/>
  <c r="C140" i="1"/>
  <c r="J140" i="1" s="1"/>
  <c r="K140" i="1" s="1"/>
  <c r="C141" i="1"/>
  <c r="H141" i="1" s="1"/>
  <c r="I141" i="1" s="1"/>
  <c r="C142" i="1"/>
  <c r="H142" i="1" s="1"/>
  <c r="I142" i="1" s="1"/>
  <c r="C143" i="1"/>
  <c r="H143" i="1" s="1"/>
  <c r="I143" i="1" s="1"/>
  <c r="C144" i="1"/>
  <c r="H144" i="1" s="1"/>
  <c r="I144" i="1" s="1"/>
  <c r="C145" i="1"/>
  <c r="H145" i="1" s="1"/>
  <c r="I145" i="1" s="1"/>
  <c r="C146" i="1"/>
  <c r="J146" i="1" s="1"/>
  <c r="K146" i="1" s="1"/>
  <c r="C147" i="1"/>
  <c r="J147" i="1" s="1"/>
  <c r="K147" i="1" s="1"/>
  <c r="C148" i="1"/>
  <c r="J148" i="1" s="1"/>
  <c r="K148" i="1" s="1"/>
  <c r="C149" i="1"/>
  <c r="H149" i="1" s="1"/>
  <c r="C150" i="1"/>
  <c r="H150" i="1" s="1"/>
  <c r="I150" i="1" s="1"/>
  <c r="C151" i="1"/>
  <c r="H151" i="1" s="1"/>
  <c r="I151" i="1" s="1"/>
  <c r="C152" i="1"/>
  <c r="J152" i="1" s="1"/>
  <c r="K152" i="1" s="1"/>
  <c r="C153" i="1"/>
  <c r="H153" i="1" s="1"/>
  <c r="I153" i="1" s="1"/>
  <c r="C154" i="1"/>
  <c r="H154" i="1" s="1"/>
  <c r="I154" i="1" s="1"/>
  <c r="C155" i="1"/>
  <c r="J155" i="1" s="1"/>
  <c r="K155" i="1" s="1"/>
  <c r="C156" i="1"/>
  <c r="J156" i="1" s="1"/>
  <c r="K156" i="1" s="1"/>
  <c r="C157" i="1"/>
  <c r="H157" i="1" s="1"/>
  <c r="I157" i="1" s="1"/>
  <c r="C158" i="1"/>
  <c r="J158" i="1" s="1"/>
  <c r="K158" i="1" s="1"/>
  <c r="C159" i="1"/>
  <c r="H159" i="1" s="1"/>
  <c r="I159" i="1" s="1"/>
  <c r="C160" i="1"/>
  <c r="H160" i="1" s="1"/>
  <c r="C161" i="1"/>
  <c r="H161" i="1" s="1"/>
  <c r="C162" i="1"/>
  <c r="H162" i="1" s="1"/>
  <c r="I162" i="1" s="1"/>
  <c r="C163" i="1"/>
  <c r="H163" i="1" s="1"/>
  <c r="I163" i="1" s="1"/>
  <c r="C164" i="1"/>
  <c r="J164" i="1" s="1"/>
  <c r="K164" i="1" s="1"/>
  <c r="C165" i="1"/>
  <c r="J165" i="1" s="1"/>
  <c r="K165" i="1" s="1"/>
  <c r="C166" i="1"/>
  <c r="J166" i="1" s="1"/>
  <c r="K166" i="1" s="1"/>
  <c r="C167" i="1"/>
  <c r="H167" i="1" s="1"/>
  <c r="I167" i="1" s="1"/>
  <c r="C168" i="1"/>
  <c r="J168" i="1" s="1"/>
  <c r="K168" i="1" s="1"/>
  <c r="C169" i="1"/>
  <c r="J169" i="1" s="1"/>
  <c r="K169" i="1" s="1"/>
  <c r="C170" i="1"/>
  <c r="J170" i="1" s="1"/>
  <c r="K170" i="1" s="1"/>
  <c r="C171" i="1"/>
  <c r="J171" i="1" s="1"/>
  <c r="K171" i="1" s="1"/>
  <c r="C172" i="1"/>
  <c r="H172" i="1" s="1"/>
  <c r="C173" i="1"/>
  <c r="J173" i="1" s="1"/>
  <c r="K173" i="1" s="1"/>
  <c r="C174" i="1"/>
  <c r="J174" i="1" s="1"/>
  <c r="K174" i="1" s="1"/>
  <c r="C175" i="1"/>
  <c r="J175" i="1" s="1"/>
  <c r="K175" i="1" s="1"/>
  <c r="C176" i="1"/>
  <c r="J176" i="1" s="1"/>
  <c r="K176" i="1" s="1"/>
  <c r="C177" i="1"/>
  <c r="H177" i="1" s="1"/>
  <c r="I177" i="1" s="1"/>
  <c r="C178" i="1"/>
  <c r="H178" i="1" s="1"/>
  <c r="I178" i="1" s="1"/>
  <c r="C179" i="1"/>
  <c r="J179" i="1" s="1"/>
  <c r="K179" i="1" s="1"/>
  <c r="C180" i="1"/>
  <c r="J180" i="1" s="1"/>
  <c r="K180" i="1" s="1"/>
  <c r="C181" i="1"/>
  <c r="J181" i="1" s="1"/>
  <c r="K181" i="1" s="1"/>
  <c r="C182" i="1"/>
  <c r="J182" i="1" s="1"/>
  <c r="K182" i="1" s="1"/>
  <c r="C183" i="1"/>
  <c r="J183" i="1" s="1"/>
  <c r="K183" i="1" s="1"/>
  <c r="C184" i="1"/>
  <c r="J184" i="1" s="1"/>
  <c r="K184" i="1" s="1"/>
  <c r="C185" i="1"/>
  <c r="J185" i="1" s="1"/>
  <c r="K185" i="1" s="1"/>
  <c r="C186" i="1"/>
  <c r="H186" i="1" s="1"/>
  <c r="I186" i="1" s="1"/>
  <c r="C187" i="1"/>
  <c r="H187" i="1" s="1"/>
  <c r="I187" i="1" s="1"/>
  <c r="C188" i="1"/>
  <c r="J188" i="1" s="1"/>
  <c r="K188" i="1" s="1"/>
  <c r="C189" i="1"/>
  <c r="H189" i="1" s="1"/>
  <c r="I189" i="1" s="1"/>
  <c r="C190" i="1"/>
  <c r="H190" i="1" s="1"/>
  <c r="I190" i="1" s="1"/>
  <c r="C191" i="1"/>
  <c r="J191" i="1" s="1"/>
  <c r="K191" i="1" s="1"/>
  <c r="C192" i="1"/>
  <c r="J192" i="1" s="1"/>
  <c r="K192" i="1" s="1"/>
  <c r="C193" i="1"/>
  <c r="J193" i="1" s="1"/>
  <c r="K193" i="1" s="1"/>
  <c r="C194" i="1"/>
  <c r="J194" i="1" s="1"/>
  <c r="K194" i="1" s="1"/>
  <c r="C195" i="1"/>
  <c r="J195" i="1" s="1"/>
  <c r="K195" i="1" s="1"/>
  <c r="C196" i="1"/>
  <c r="J196" i="1" s="1"/>
  <c r="K196" i="1" s="1"/>
  <c r="C197" i="1"/>
  <c r="J197" i="1" s="1"/>
  <c r="K197" i="1" s="1"/>
  <c r="C198" i="1"/>
  <c r="J198" i="1" s="1"/>
  <c r="K198" i="1" s="1"/>
  <c r="C199" i="1"/>
  <c r="H199" i="1" s="1"/>
  <c r="I199" i="1" s="1"/>
  <c r="C200" i="1"/>
  <c r="J200" i="1" s="1"/>
  <c r="K200" i="1" s="1"/>
  <c r="C201" i="1"/>
  <c r="J201" i="1" s="1"/>
  <c r="K201" i="1" s="1"/>
  <c r="C202" i="1"/>
  <c r="J202" i="1" s="1"/>
  <c r="K202" i="1" s="1"/>
  <c r="C203" i="1"/>
  <c r="H203" i="1" s="1"/>
  <c r="I203" i="1" s="1"/>
  <c r="C204" i="1"/>
  <c r="H204" i="1" s="1"/>
  <c r="I204" i="1" s="1"/>
  <c r="C205" i="1"/>
  <c r="H205" i="1" s="1"/>
  <c r="I205" i="1" s="1"/>
  <c r="C206" i="1"/>
  <c r="J206" i="1" s="1"/>
  <c r="K206" i="1" s="1"/>
  <c r="C207" i="1"/>
  <c r="H207" i="1" s="1"/>
  <c r="I207" i="1" s="1"/>
  <c r="C208" i="1"/>
  <c r="H208" i="1" s="1"/>
  <c r="C209" i="1"/>
  <c r="J209" i="1" s="1"/>
  <c r="K209" i="1" s="1"/>
  <c r="C210" i="1"/>
  <c r="J210" i="1" s="1"/>
  <c r="K210" i="1" s="1"/>
  <c r="C211" i="1"/>
  <c r="J211" i="1" s="1"/>
  <c r="K211" i="1" s="1"/>
  <c r="C212" i="1"/>
  <c r="J212" i="1" s="1"/>
  <c r="K212" i="1" s="1"/>
  <c r="C213" i="1"/>
  <c r="H213" i="1" s="1"/>
  <c r="I213" i="1" s="1"/>
  <c r="C214" i="1"/>
  <c r="H214" i="1" s="1"/>
  <c r="I214" i="1" s="1"/>
  <c r="C215" i="1"/>
  <c r="H215" i="1" s="1"/>
  <c r="I215" i="1" s="1"/>
  <c r="C216" i="1"/>
  <c r="H216" i="1" s="1"/>
  <c r="I216" i="1" s="1"/>
  <c r="C217" i="1"/>
  <c r="H217" i="1" s="1"/>
  <c r="I217" i="1" s="1"/>
  <c r="C218" i="1"/>
  <c r="J218" i="1" s="1"/>
  <c r="K218" i="1" s="1"/>
  <c r="C219" i="1"/>
  <c r="J219" i="1" s="1"/>
  <c r="K219" i="1" s="1"/>
  <c r="C220" i="1"/>
  <c r="J220" i="1" s="1"/>
  <c r="K220" i="1" s="1"/>
  <c r="C221" i="1"/>
  <c r="H221" i="1" s="1"/>
  <c r="C222" i="1"/>
  <c r="H222" i="1" s="1"/>
  <c r="C223" i="1"/>
  <c r="H223" i="1" s="1"/>
  <c r="C224" i="1"/>
  <c r="J224" i="1" s="1"/>
  <c r="K224" i="1" s="1"/>
  <c r="C225" i="1"/>
  <c r="H225" i="1" s="1"/>
  <c r="C226" i="1"/>
  <c r="H226" i="1" s="1"/>
  <c r="C227" i="1"/>
  <c r="J227" i="1" s="1"/>
  <c r="K227" i="1" s="1"/>
  <c r="C228" i="1"/>
  <c r="J228" i="1" s="1"/>
  <c r="K228" i="1" s="1"/>
  <c r="C229" i="1"/>
  <c r="H229" i="1" s="1"/>
  <c r="C230" i="1"/>
  <c r="H230" i="1" s="1"/>
  <c r="C231" i="1"/>
  <c r="H231" i="1" s="1"/>
  <c r="C232" i="1"/>
  <c r="H232" i="1" s="1"/>
  <c r="C233" i="1"/>
  <c r="H233" i="1" s="1"/>
  <c r="C234" i="1"/>
  <c r="H234" i="1" s="1"/>
  <c r="I234" i="1" s="1"/>
  <c r="C235" i="1"/>
  <c r="J235" i="1" s="1"/>
  <c r="K235" i="1" s="1"/>
  <c r="C236" i="1"/>
  <c r="J236" i="1" s="1"/>
  <c r="K236" i="1" s="1"/>
  <c r="C237" i="1"/>
  <c r="H237" i="1" s="1"/>
  <c r="I237" i="1" s="1"/>
  <c r="C238" i="1"/>
  <c r="H238" i="1" s="1"/>
  <c r="I238" i="1" s="1"/>
  <c r="C239" i="1"/>
  <c r="J239" i="1" s="1"/>
  <c r="K239" i="1" s="1"/>
  <c r="C240" i="1"/>
  <c r="J240" i="1" s="1"/>
  <c r="K240" i="1" s="1"/>
  <c r="C241" i="1"/>
  <c r="J241" i="1" s="1"/>
  <c r="K241" i="1" s="1"/>
  <c r="C242" i="1"/>
  <c r="J242" i="1" s="1"/>
  <c r="K242" i="1" s="1"/>
  <c r="C243" i="1"/>
  <c r="J243" i="1" s="1"/>
  <c r="K243" i="1" s="1"/>
  <c r="C244" i="1"/>
  <c r="J244" i="1" s="1"/>
  <c r="K244" i="1" s="1"/>
  <c r="C245" i="1"/>
  <c r="J245" i="1" s="1"/>
  <c r="K245" i="1" s="1"/>
  <c r="C246" i="1"/>
  <c r="H246" i="1" s="1"/>
  <c r="I246" i="1" s="1"/>
  <c r="C247" i="1"/>
  <c r="J247" i="1" s="1"/>
  <c r="K247" i="1" s="1"/>
  <c r="C248" i="1"/>
  <c r="J248" i="1" s="1"/>
  <c r="K248" i="1" s="1"/>
  <c r="C249" i="1"/>
  <c r="H249" i="1" s="1"/>
  <c r="I249" i="1" s="1"/>
  <c r="C250" i="1"/>
  <c r="H250" i="1" s="1"/>
  <c r="I250" i="1" s="1"/>
  <c r="C251" i="1"/>
  <c r="J251" i="1" s="1"/>
  <c r="K251" i="1" s="1"/>
  <c r="C252" i="1"/>
  <c r="J252" i="1" s="1"/>
  <c r="K252" i="1" s="1"/>
  <c r="C253" i="1"/>
  <c r="J253" i="1" s="1"/>
  <c r="K253" i="1" s="1"/>
  <c r="C254" i="1"/>
  <c r="J254" i="1" s="1"/>
  <c r="K254" i="1" s="1"/>
  <c r="C255" i="1"/>
  <c r="H255" i="1" s="1"/>
  <c r="I255" i="1" s="1"/>
  <c r="C256" i="1"/>
  <c r="H256" i="1" s="1"/>
  <c r="C257" i="1"/>
  <c r="J257" i="1" s="1"/>
  <c r="K257" i="1" s="1"/>
  <c r="C258" i="1"/>
  <c r="H258" i="1" s="1"/>
  <c r="I258" i="1" s="1"/>
  <c r="C259" i="1"/>
  <c r="H259" i="1" s="1"/>
  <c r="I259" i="1" s="1"/>
  <c r="C260" i="1"/>
  <c r="J260" i="1" s="1"/>
  <c r="K260" i="1" s="1"/>
  <c r="C261" i="1"/>
  <c r="H261" i="1" s="1"/>
  <c r="I261" i="1" s="1"/>
  <c r="C262" i="1"/>
  <c r="H262" i="1" s="1"/>
  <c r="I262" i="1" s="1"/>
  <c r="C263" i="1"/>
  <c r="H263" i="1" s="1"/>
  <c r="I263" i="1" s="1"/>
  <c r="C264" i="1"/>
  <c r="H264" i="1" s="1"/>
  <c r="I264" i="1" s="1"/>
  <c r="C265" i="1"/>
  <c r="H265" i="1" s="1"/>
  <c r="I265" i="1" s="1"/>
  <c r="C266" i="1"/>
  <c r="H266" i="1" s="1"/>
  <c r="I266" i="1" s="1"/>
  <c r="C267" i="1"/>
  <c r="J267" i="1" s="1"/>
  <c r="K267" i="1" s="1"/>
  <c r="C268" i="1"/>
  <c r="J268" i="1" s="1"/>
  <c r="K268" i="1" s="1"/>
  <c r="C269" i="1"/>
  <c r="J269" i="1" s="1"/>
  <c r="K269" i="1" s="1"/>
  <c r="C270" i="1"/>
  <c r="J270" i="1" s="1"/>
  <c r="K270" i="1" s="1"/>
  <c r="C271" i="1"/>
  <c r="H271" i="1" s="1"/>
  <c r="C272" i="1"/>
  <c r="H272" i="1" s="1"/>
  <c r="C273" i="1"/>
  <c r="H273" i="1" s="1"/>
  <c r="C274" i="1"/>
  <c r="H274" i="1" s="1"/>
  <c r="C275" i="1"/>
  <c r="H275" i="1" s="1"/>
  <c r="C276" i="1"/>
  <c r="J276" i="1" s="1"/>
  <c r="K276" i="1" s="1"/>
  <c r="C277" i="1"/>
  <c r="J277" i="1" s="1"/>
  <c r="K277" i="1" s="1"/>
  <c r="C278" i="1"/>
  <c r="H278" i="1" s="1"/>
  <c r="C279" i="1"/>
  <c r="J279" i="1" s="1"/>
  <c r="K279" i="1" s="1"/>
  <c r="C280" i="1"/>
  <c r="J280" i="1" s="1"/>
  <c r="K280" i="1" s="1"/>
  <c r="C281" i="1"/>
  <c r="J281" i="1" s="1"/>
  <c r="K281" i="1" s="1"/>
  <c r="C282" i="1"/>
  <c r="J282" i="1" s="1"/>
  <c r="K282" i="1" s="1"/>
  <c r="C283" i="1"/>
  <c r="J283" i="1" s="1"/>
  <c r="K283" i="1" s="1"/>
  <c r="C284" i="1"/>
  <c r="J284" i="1" s="1"/>
  <c r="K284" i="1" s="1"/>
  <c r="C285" i="1"/>
  <c r="H285" i="1" s="1"/>
  <c r="I285" i="1" s="1"/>
  <c r="C286" i="1"/>
  <c r="H286" i="1" s="1"/>
  <c r="I286" i="1" s="1"/>
  <c r="C287" i="1"/>
  <c r="H287" i="1" s="1"/>
  <c r="I287" i="1" s="1"/>
  <c r="C288" i="1"/>
  <c r="H288" i="1" s="1"/>
  <c r="I288" i="1" s="1"/>
  <c r="C289" i="1"/>
  <c r="H289" i="1" s="1"/>
  <c r="I289" i="1" s="1"/>
  <c r="C290" i="1"/>
  <c r="J290" i="1" s="1"/>
  <c r="K290" i="1" s="1"/>
  <c r="C291" i="1"/>
  <c r="J291" i="1" s="1"/>
  <c r="K291" i="1" s="1"/>
  <c r="C292" i="1"/>
  <c r="J292" i="1" s="1"/>
  <c r="K292" i="1" s="1"/>
  <c r="C293" i="1"/>
  <c r="J293" i="1" s="1"/>
  <c r="K293" i="1" s="1"/>
  <c r="C294" i="1"/>
  <c r="J294" i="1" s="1"/>
  <c r="K294" i="1" s="1"/>
  <c r="C295" i="1"/>
  <c r="J295" i="1" s="1"/>
  <c r="K295" i="1" s="1"/>
  <c r="C296" i="1"/>
  <c r="J296" i="1" s="1"/>
  <c r="K296" i="1" s="1"/>
  <c r="C297" i="1"/>
  <c r="H297" i="1" s="1"/>
  <c r="I297" i="1" s="1"/>
  <c r="C298" i="1"/>
  <c r="H298" i="1" s="1"/>
  <c r="I298" i="1" s="1"/>
  <c r="C299" i="1"/>
  <c r="J299" i="1" s="1"/>
  <c r="K299" i="1" s="1"/>
  <c r="C300" i="1"/>
  <c r="J300" i="1" s="1"/>
  <c r="K300" i="1" s="1"/>
  <c r="C301" i="1"/>
  <c r="H301" i="1" s="1"/>
  <c r="I301" i="1" s="1"/>
  <c r="C302" i="1"/>
  <c r="H302" i="1" s="1"/>
  <c r="I302" i="1" s="1"/>
  <c r="C303" i="1"/>
  <c r="H303" i="1" s="1"/>
  <c r="I303" i="1" s="1"/>
  <c r="C304" i="1"/>
  <c r="H304" i="1" s="1"/>
  <c r="C305" i="1"/>
  <c r="H305" i="1" s="1"/>
  <c r="C306" i="1"/>
  <c r="H306" i="1" s="1"/>
  <c r="C307" i="1"/>
  <c r="J307" i="1" s="1"/>
  <c r="K307" i="1" s="1"/>
  <c r="C308" i="1"/>
  <c r="J308" i="1" s="1"/>
  <c r="K308" i="1" s="1"/>
  <c r="C309" i="1"/>
  <c r="H309" i="1" s="1"/>
  <c r="C310" i="1"/>
  <c r="H310" i="1" s="1"/>
  <c r="C311" i="1"/>
  <c r="J311" i="1" s="1"/>
  <c r="K311" i="1" s="1"/>
  <c r="C312" i="1"/>
  <c r="J312" i="1" s="1"/>
  <c r="K312" i="1" s="1"/>
  <c r="C313" i="1"/>
  <c r="J313" i="1" s="1"/>
  <c r="K313" i="1" s="1"/>
  <c r="C314" i="1"/>
  <c r="J314" i="1" s="1"/>
  <c r="K314" i="1" s="1"/>
  <c r="C315" i="1"/>
  <c r="J315" i="1" s="1"/>
  <c r="K315" i="1" s="1"/>
  <c r="C316" i="1"/>
  <c r="J316" i="1" s="1"/>
  <c r="K316" i="1" s="1"/>
  <c r="C317" i="1"/>
  <c r="J317" i="1" s="1"/>
  <c r="K317" i="1" s="1"/>
  <c r="C318" i="1"/>
  <c r="H318" i="1" s="1"/>
  <c r="I318" i="1" s="1"/>
  <c r="C319" i="1"/>
  <c r="H319" i="1" s="1"/>
  <c r="I319" i="1" s="1"/>
  <c r="C320" i="1"/>
  <c r="H320" i="1" s="1"/>
  <c r="I320" i="1" s="1"/>
  <c r="C321" i="1"/>
  <c r="H321" i="1" s="1"/>
  <c r="I321" i="1" s="1"/>
  <c r="C322" i="1"/>
  <c r="H322" i="1" s="1"/>
  <c r="I322" i="1" s="1"/>
  <c r="C323" i="1"/>
  <c r="J323" i="1" s="1"/>
  <c r="K323" i="1" s="1"/>
  <c r="C324" i="1"/>
  <c r="J324" i="1" s="1"/>
  <c r="K324" i="1" s="1"/>
  <c r="C325" i="1"/>
  <c r="J325" i="1" s="1"/>
  <c r="K325" i="1" s="1"/>
  <c r="C326" i="1"/>
  <c r="J326" i="1" s="1"/>
  <c r="K326" i="1" s="1"/>
  <c r="C327" i="1"/>
  <c r="J327" i="1" s="1"/>
  <c r="K327" i="1" s="1"/>
  <c r="C328" i="1"/>
  <c r="J328" i="1" s="1"/>
  <c r="K328" i="1" s="1"/>
  <c r="C329" i="1"/>
  <c r="H329" i="1" s="1"/>
  <c r="C330" i="1"/>
  <c r="H330" i="1" s="1"/>
  <c r="C331" i="1"/>
  <c r="H331" i="1" s="1"/>
  <c r="C332" i="1"/>
  <c r="J332" i="1" s="1"/>
  <c r="K332" i="1" s="1"/>
  <c r="C333" i="1"/>
  <c r="H333" i="1" s="1"/>
  <c r="C334" i="1"/>
  <c r="H334" i="1" s="1"/>
  <c r="C335" i="1"/>
  <c r="J335" i="1" s="1"/>
  <c r="K335" i="1" s="1"/>
  <c r="C336" i="1"/>
  <c r="H336" i="1" s="1"/>
  <c r="C337" i="1"/>
  <c r="H337" i="1" s="1"/>
  <c r="C338" i="1"/>
  <c r="H338" i="1" s="1"/>
  <c r="C339" i="1"/>
  <c r="H339" i="1" s="1"/>
  <c r="C340" i="1"/>
  <c r="J340" i="1" s="1"/>
  <c r="K340" i="1" s="1"/>
  <c r="C341" i="1"/>
  <c r="J341" i="1" s="1"/>
  <c r="K341" i="1" s="1"/>
  <c r="C342" i="1"/>
  <c r="H342" i="1" s="1"/>
  <c r="I342" i="1" s="1"/>
  <c r="C343" i="1"/>
  <c r="H343" i="1" s="1"/>
  <c r="I343" i="1" s="1"/>
  <c r="C344" i="1"/>
  <c r="H344" i="1" s="1"/>
  <c r="I344" i="1" s="1"/>
  <c r="C345" i="1"/>
  <c r="H345" i="1" s="1"/>
  <c r="I345" i="1" s="1"/>
  <c r="C346" i="1"/>
  <c r="H346" i="1" s="1"/>
  <c r="I346" i="1" s="1"/>
  <c r="C347" i="1"/>
  <c r="H347" i="1" s="1"/>
  <c r="I347" i="1" s="1"/>
  <c r="C348" i="1"/>
  <c r="J348" i="1" s="1"/>
  <c r="K348" i="1" s="1"/>
  <c r="C349" i="1"/>
  <c r="J349" i="1" s="1"/>
  <c r="K349" i="1" s="1"/>
  <c r="C350" i="1"/>
  <c r="H350" i="1" s="1"/>
  <c r="C351" i="1"/>
  <c r="H351" i="1" s="1"/>
  <c r="C352" i="1"/>
  <c r="H352" i="1" s="1"/>
  <c r="C353" i="1"/>
  <c r="J353" i="1" s="1"/>
  <c r="K353" i="1" s="1"/>
  <c r="C354" i="1"/>
  <c r="J354" i="1" s="1"/>
  <c r="K354" i="1" s="1"/>
  <c r="C355" i="1"/>
  <c r="J355" i="1" s="1"/>
  <c r="K355" i="1" s="1"/>
  <c r="C356" i="1"/>
  <c r="J356" i="1" s="1"/>
  <c r="K356" i="1" s="1"/>
  <c r="C357" i="1"/>
  <c r="H357" i="1" s="1"/>
  <c r="C358" i="1"/>
  <c r="H358" i="1" s="1"/>
  <c r="C359" i="1"/>
  <c r="H359" i="1" s="1"/>
  <c r="C360" i="1"/>
  <c r="H360" i="1" s="1"/>
  <c r="C361" i="1"/>
  <c r="H361" i="1" s="1"/>
  <c r="C362" i="1"/>
  <c r="H362" i="1" s="1"/>
  <c r="C363" i="1"/>
  <c r="J363" i="1" s="1"/>
  <c r="K363" i="1" s="1"/>
  <c r="C364" i="1"/>
  <c r="J364" i="1" s="1"/>
  <c r="K364" i="1" s="1"/>
  <c r="C365" i="1"/>
  <c r="J365" i="1" s="1"/>
  <c r="K365" i="1" s="1"/>
  <c r="C366" i="1"/>
  <c r="J366" i="1" s="1"/>
  <c r="K366" i="1" s="1"/>
  <c r="C367" i="1"/>
  <c r="J367" i="1" s="1"/>
  <c r="K367" i="1" s="1"/>
  <c r="C368" i="1"/>
  <c r="J368" i="1" s="1"/>
  <c r="K368" i="1" s="1"/>
  <c r="C369" i="1"/>
  <c r="H369" i="1" s="1"/>
  <c r="I369" i="1" s="1"/>
  <c r="C370" i="1"/>
  <c r="H370" i="1" s="1"/>
  <c r="I370" i="1" s="1"/>
  <c r="C371" i="1"/>
  <c r="J371" i="1" s="1"/>
  <c r="K371" i="1" s="1"/>
  <c r="C372" i="1"/>
  <c r="J372" i="1" s="1"/>
  <c r="K372" i="1" s="1"/>
  <c r="C373" i="1"/>
  <c r="H373" i="1" s="1"/>
  <c r="I373" i="1" s="1"/>
  <c r="C374" i="1"/>
  <c r="H374" i="1" s="1"/>
  <c r="C375" i="1"/>
  <c r="H375" i="1" s="1"/>
  <c r="C376" i="1"/>
  <c r="J376" i="1" s="1"/>
  <c r="K376" i="1" s="1"/>
  <c r="C377" i="1"/>
  <c r="J377" i="1" s="1"/>
  <c r="K377" i="1" s="1"/>
  <c r="C378" i="1"/>
  <c r="H378" i="1" s="1"/>
  <c r="I378" i="1" s="1"/>
  <c r="C379" i="1"/>
  <c r="J379" i="1" s="1"/>
  <c r="K379" i="1" s="1"/>
  <c r="C380" i="1"/>
  <c r="J380" i="1" s="1"/>
  <c r="K380" i="1" s="1"/>
  <c r="C381" i="1"/>
  <c r="H381" i="1" s="1"/>
  <c r="I381" i="1" s="1"/>
  <c r="C382" i="1"/>
  <c r="H382" i="1" s="1"/>
  <c r="I382" i="1" s="1"/>
  <c r="C383" i="1"/>
  <c r="H383" i="1" s="1"/>
  <c r="I383" i="1" s="1"/>
  <c r="C384" i="1"/>
  <c r="H384" i="1" s="1"/>
  <c r="I384" i="1" s="1"/>
  <c r="C385" i="1"/>
  <c r="J385" i="1" s="1"/>
  <c r="K385" i="1" s="1"/>
  <c r="C386" i="1"/>
  <c r="J386" i="1" s="1"/>
  <c r="K386" i="1" s="1"/>
  <c r="C387" i="1"/>
  <c r="J387" i="1" s="1"/>
  <c r="K387" i="1" s="1"/>
  <c r="C388" i="1"/>
  <c r="J388" i="1" s="1"/>
  <c r="K388" i="1" s="1"/>
  <c r="C389" i="1"/>
  <c r="J389" i="1" s="1"/>
  <c r="K389" i="1" s="1"/>
  <c r="C390" i="1"/>
  <c r="H390" i="1" s="1"/>
  <c r="I390" i="1" s="1"/>
  <c r="C391" i="1"/>
  <c r="H391" i="1" s="1"/>
  <c r="I391" i="1" s="1"/>
  <c r="C392" i="1"/>
  <c r="H392" i="1" s="1"/>
  <c r="I392" i="1" s="1"/>
  <c r="C393" i="1"/>
  <c r="H393" i="1" s="1"/>
  <c r="I393" i="1" s="1"/>
  <c r="C394" i="1"/>
  <c r="H394" i="1" s="1"/>
  <c r="I394" i="1" s="1"/>
  <c r="C395" i="1"/>
  <c r="J395" i="1" s="1"/>
  <c r="K395" i="1" s="1"/>
  <c r="C396" i="1"/>
  <c r="J396" i="1" s="1"/>
  <c r="K396" i="1" s="1"/>
  <c r="C397" i="1"/>
  <c r="J397" i="1" s="1"/>
  <c r="K397" i="1" s="1"/>
  <c r="C398" i="1"/>
  <c r="J398" i="1" s="1"/>
  <c r="K398" i="1" s="1"/>
  <c r="C399" i="1"/>
  <c r="J399" i="1" s="1"/>
  <c r="K399" i="1" s="1"/>
  <c r="C400" i="1"/>
  <c r="J400" i="1" s="1"/>
  <c r="K400" i="1" s="1"/>
  <c r="C401" i="1"/>
  <c r="J401" i="1" s="1"/>
  <c r="K401" i="1" s="1"/>
  <c r="C402" i="1"/>
  <c r="H402" i="1" s="1"/>
  <c r="C403" i="1"/>
  <c r="H403" i="1" s="1"/>
  <c r="C404" i="1"/>
  <c r="J404" i="1" s="1"/>
  <c r="K404" i="1" s="1"/>
  <c r="C405" i="1"/>
  <c r="H405" i="1" s="1"/>
  <c r="C406" i="1"/>
  <c r="H406" i="1" s="1"/>
  <c r="C407" i="1"/>
  <c r="J407" i="1" s="1"/>
  <c r="K407" i="1" s="1"/>
  <c r="C408" i="1"/>
  <c r="J408" i="1" s="1"/>
  <c r="K408" i="1" s="1"/>
  <c r="C409" i="1"/>
  <c r="J409" i="1" s="1"/>
  <c r="K409" i="1" s="1"/>
  <c r="C410" i="1"/>
  <c r="J410" i="1" s="1"/>
  <c r="K410" i="1" s="1"/>
  <c r="C411" i="1"/>
  <c r="J411" i="1" s="1"/>
  <c r="K411" i="1" s="1"/>
  <c r="C412" i="1"/>
  <c r="J412" i="1" s="1"/>
  <c r="K412" i="1" s="1"/>
  <c r="C413" i="1"/>
  <c r="J413" i="1" s="1"/>
  <c r="K413" i="1" s="1"/>
  <c r="C414" i="1"/>
  <c r="J414" i="1" s="1"/>
  <c r="K414" i="1" s="1"/>
  <c r="C415" i="1"/>
  <c r="H415" i="1" s="1"/>
  <c r="C416" i="1"/>
  <c r="H416" i="1" s="1"/>
  <c r="C417" i="1"/>
  <c r="H417" i="1" s="1"/>
  <c r="C418" i="1"/>
  <c r="H418" i="1" s="1"/>
  <c r="C419" i="1"/>
  <c r="H419" i="1" s="1"/>
  <c r="C420" i="1"/>
  <c r="J420" i="1" s="1"/>
  <c r="K420" i="1" s="1"/>
  <c r="C421" i="1"/>
  <c r="J421" i="1" s="1"/>
  <c r="C422" i="1"/>
  <c r="H422" i="1" s="1"/>
  <c r="C423" i="1"/>
  <c r="H423" i="1" s="1"/>
  <c r="C424" i="1"/>
  <c r="H424" i="1" s="1"/>
  <c r="C425" i="1"/>
  <c r="H425" i="1" s="1"/>
  <c r="C426" i="1"/>
  <c r="H426" i="1" s="1"/>
  <c r="C427" i="1"/>
  <c r="J427" i="1" s="1"/>
  <c r="K427" i="1" s="1"/>
  <c r="C428" i="1"/>
  <c r="J428" i="1" s="1"/>
  <c r="K428" i="1" s="1"/>
  <c r="C429" i="1"/>
  <c r="H429" i="1" s="1"/>
  <c r="C430" i="1"/>
  <c r="H430" i="1" s="1"/>
  <c r="C431" i="1"/>
  <c r="H431" i="1" s="1"/>
  <c r="C432" i="1"/>
  <c r="H432" i="1" s="1"/>
  <c r="C433" i="1"/>
  <c r="H433" i="1" s="1"/>
  <c r="C434" i="1"/>
  <c r="H434" i="1" s="1"/>
  <c r="C435" i="1"/>
  <c r="H435" i="1" s="1"/>
  <c r="C436" i="1"/>
  <c r="J436" i="1" s="1"/>
  <c r="K436" i="1" s="1"/>
  <c r="C437" i="1"/>
  <c r="J437" i="1" s="1"/>
  <c r="K437" i="1" s="1"/>
  <c r="C438" i="1"/>
  <c r="H438" i="1" s="1"/>
  <c r="C439" i="1"/>
  <c r="J439" i="1" s="1"/>
  <c r="K439" i="1" s="1"/>
  <c r="C440" i="1"/>
  <c r="J440" i="1" s="1"/>
  <c r="C441" i="1"/>
  <c r="J441" i="1" s="1"/>
  <c r="K441" i="1" s="1"/>
  <c r="C442" i="1"/>
  <c r="H442" i="1" s="1"/>
  <c r="C443" i="1"/>
  <c r="J443" i="1" s="1"/>
  <c r="C444" i="1"/>
  <c r="H444" i="1" s="1"/>
  <c r="C445" i="1"/>
  <c r="J445" i="1" s="1"/>
  <c r="K445" i="1" s="1"/>
  <c r="C446" i="1"/>
  <c r="H446" i="1" s="1"/>
  <c r="R2793" i="2"/>
  <c r="R2792" i="2"/>
  <c r="R2791" i="2"/>
  <c r="R2790" i="2"/>
  <c r="R2789" i="2"/>
  <c r="R2788" i="2"/>
  <c r="R2787" i="2"/>
  <c r="R2786" i="2"/>
  <c r="R2785" i="2"/>
  <c r="R2784" i="2"/>
  <c r="R2783" i="2"/>
  <c r="R2782" i="2"/>
  <c r="R2781" i="2"/>
  <c r="R2780" i="2"/>
  <c r="R2779" i="2"/>
  <c r="R2778" i="2"/>
  <c r="R2777" i="2"/>
  <c r="R2776" i="2"/>
  <c r="R2775" i="2"/>
  <c r="R2774" i="2"/>
  <c r="R2773" i="2"/>
  <c r="R2772" i="2"/>
  <c r="R2771" i="2"/>
  <c r="R2770" i="2"/>
  <c r="R2769" i="2"/>
  <c r="R2768" i="2"/>
  <c r="R2767" i="2"/>
  <c r="R2766" i="2"/>
  <c r="R2765" i="2"/>
  <c r="R2764" i="2"/>
  <c r="R2763" i="2"/>
  <c r="R2762" i="2"/>
  <c r="R2761" i="2"/>
  <c r="R2760" i="2"/>
  <c r="R2759" i="2"/>
  <c r="R2758" i="2"/>
  <c r="R2757" i="2"/>
  <c r="R2756" i="2"/>
  <c r="R2755" i="2"/>
  <c r="R2754" i="2"/>
  <c r="R2753" i="2"/>
  <c r="R2752" i="2"/>
  <c r="R2751" i="2"/>
  <c r="R2750" i="2"/>
  <c r="R2749" i="2"/>
  <c r="R2748" i="2"/>
  <c r="R2747" i="2"/>
  <c r="R2746" i="2"/>
  <c r="R2745" i="2"/>
  <c r="R2744" i="2"/>
  <c r="R2743" i="2"/>
  <c r="R2742" i="2"/>
  <c r="R2741" i="2"/>
  <c r="R2740" i="2"/>
  <c r="R2739" i="2"/>
  <c r="R2738" i="2"/>
  <c r="R2737" i="2"/>
  <c r="R2736" i="2"/>
  <c r="R2735" i="2"/>
  <c r="R2734" i="2"/>
  <c r="R2733" i="2"/>
  <c r="R2732" i="2"/>
  <c r="R2731" i="2"/>
  <c r="R2730" i="2"/>
  <c r="R2729" i="2"/>
  <c r="R2728" i="2"/>
  <c r="R2727" i="2"/>
  <c r="R2726" i="2"/>
  <c r="R2725" i="2"/>
  <c r="R2724" i="2"/>
  <c r="R2723" i="2"/>
  <c r="R2722" i="2"/>
  <c r="R2721" i="2"/>
  <c r="R2720" i="2"/>
  <c r="R2719" i="2"/>
  <c r="R2718" i="2"/>
  <c r="R2717" i="2"/>
  <c r="R2716" i="2"/>
  <c r="R2715" i="2"/>
  <c r="R2714" i="2"/>
  <c r="R2713" i="2"/>
  <c r="R2712" i="2"/>
  <c r="R2711" i="2"/>
  <c r="R2710" i="2"/>
  <c r="R2709" i="2"/>
  <c r="R2708" i="2"/>
  <c r="R2707" i="2"/>
  <c r="R2706" i="2"/>
  <c r="R2705" i="2"/>
  <c r="R2704" i="2"/>
  <c r="R2703" i="2"/>
  <c r="R2702" i="2"/>
  <c r="R2701" i="2"/>
  <c r="R2700" i="2"/>
  <c r="R2699" i="2"/>
  <c r="R2698" i="2"/>
  <c r="R2697" i="2"/>
  <c r="R2696" i="2"/>
  <c r="R2695" i="2"/>
  <c r="R2694" i="2"/>
  <c r="R2693" i="2"/>
  <c r="R2692" i="2"/>
  <c r="R2691" i="2"/>
  <c r="R2690" i="2"/>
  <c r="R2689" i="2"/>
  <c r="R2688" i="2"/>
  <c r="R2687" i="2"/>
  <c r="R2686" i="2"/>
  <c r="R2685" i="2"/>
  <c r="R2684" i="2"/>
  <c r="R2683" i="2"/>
  <c r="R2682" i="2"/>
  <c r="R2681" i="2"/>
  <c r="R2680" i="2"/>
  <c r="R2679" i="2"/>
  <c r="R2678" i="2"/>
  <c r="R2677" i="2"/>
  <c r="R2676" i="2"/>
  <c r="R2675" i="2"/>
  <c r="R2674" i="2"/>
  <c r="R2673" i="2"/>
  <c r="R2672" i="2"/>
  <c r="R2671" i="2"/>
  <c r="R2670" i="2"/>
  <c r="R2669" i="2"/>
  <c r="R2668" i="2"/>
  <c r="R2667" i="2"/>
  <c r="R2666" i="2"/>
  <c r="R2665" i="2"/>
  <c r="R2664" i="2"/>
  <c r="R2663" i="2"/>
  <c r="R2662" i="2"/>
  <c r="R2661" i="2"/>
  <c r="R2660" i="2"/>
  <c r="R2659" i="2"/>
  <c r="R2658" i="2"/>
  <c r="R2657" i="2"/>
  <c r="R2656" i="2"/>
  <c r="R2655" i="2"/>
  <c r="R2654" i="2"/>
  <c r="R2653" i="2"/>
  <c r="R2652" i="2"/>
  <c r="R2651" i="2"/>
  <c r="R2650" i="2"/>
  <c r="R2649" i="2"/>
  <c r="R2648" i="2"/>
  <c r="R2647" i="2"/>
  <c r="R2646" i="2"/>
  <c r="R2645" i="2"/>
  <c r="R2644" i="2"/>
  <c r="R2643" i="2"/>
  <c r="R2642" i="2"/>
  <c r="R2641" i="2"/>
  <c r="R2640" i="2"/>
  <c r="R2639" i="2"/>
  <c r="R2638" i="2"/>
  <c r="R2637" i="2"/>
  <c r="R2636" i="2"/>
  <c r="R2635" i="2"/>
  <c r="R2634" i="2"/>
  <c r="R2633" i="2"/>
  <c r="R2632" i="2"/>
  <c r="R2631" i="2"/>
  <c r="R2630" i="2"/>
  <c r="R2629" i="2"/>
  <c r="R2628" i="2"/>
  <c r="R2627" i="2"/>
  <c r="R2626" i="2"/>
  <c r="R2625" i="2"/>
  <c r="R2624" i="2"/>
  <c r="R2623" i="2"/>
  <c r="R2622" i="2"/>
  <c r="R2621" i="2"/>
  <c r="R2620" i="2"/>
  <c r="R2619" i="2"/>
  <c r="R2618" i="2"/>
  <c r="R2617" i="2"/>
  <c r="R2616" i="2"/>
  <c r="R2615" i="2"/>
  <c r="R2614" i="2"/>
  <c r="R2613" i="2"/>
  <c r="R2612" i="2"/>
  <c r="R2611" i="2"/>
  <c r="R2610" i="2"/>
  <c r="R2609" i="2"/>
  <c r="R2608" i="2"/>
  <c r="R2607" i="2"/>
  <c r="R2606" i="2"/>
  <c r="R2605" i="2"/>
  <c r="R2604" i="2"/>
  <c r="R2603" i="2"/>
  <c r="R2602" i="2"/>
  <c r="R2601" i="2"/>
  <c r="R2600" i="2"/>
  <c r="R2599" i="2"/>
  <c r="R2598" i="2"/>
  <c r="R2597" i="2"/>
  <c r="R2596" i="2"/>
  <c r="R2595" i="2"/>
  <c r="R2594" i="2"/>
  <c r="R2593" i="2"/>
  <c r="R2592" i="2"/>
  <c r="R2591" i="2"/>
  <c r="R2590" i="2"/>
  <c r="R2589" i="2"/>
  <c r="R2588" i="2"/>
  <c r="R2587" i="2"/>
  <c r="R2586" i="2"/>
  <c r="R2585" i="2"/>
  <c r="R2584" i="2"/>
  <c r="R2583" i="2"/>
  <c r="R2582" i="2"/>
  <c r="R2581" i="2"/>
  <c r="R2580" i="2"/>
  <c r="R2579" i="2"/>
  <c r="R2578" i="2"/>
  <c r="R2577" i="2"/>
  <c r="R2576" i="2"/>
  <c r="R2575" i="2"/>
  <c r="R2574" i="2"/>
  <c r="R2573" i="2"/>
  <c r="R2572" i="2"/>
  <c r="R2571" i="2"/>
  <c r="R2570" i="2"/>
  <c r="R2569" i="2"/>
  <c r="R2568" i="2"/>
  <c r="R2567" i="2"/>
  <c r="R2566" i="2"/>
  <c r="R2565" i="2"/>
  <c r="R2564" i="2"/>
  <c r="R2563" i="2"/>
  <c r="R2562" i="2"/>
  <c r="R2561" i="2"/>
  <c r="R2560" i="2"/>
  <c r="R2559" i="2"/>
  <c r="R2558" i="2"/>
  <c r="R2557" i="2"/>
  <c r="R2556" i="2"/>
  <c r="R2555" i="2"/>
  <c r="R2554" i="2"/>
  <c r="R2553" i="2"/>
  <c r="R2552" i="2"/>
  <c r="R2551" i="2"/>
  <c r="R2550" i="2"/>
  <c r="R2549" i="2"/>
  <c r="R2548" i="2"/>
  <c r="R2547" i="2"/>
  <c r="R2546" i="2"/>
  <c r="R2545" i="2"/>
  <c r="R2544" i="2"/>
  <c r="R2543" i="2"/>
  <c r="R2542" i="2"/>
  <c r="R2541" i="2"/>
  <c r="R2540" i="2"/>
  <c r="R2539" i="2"/>
  <c r="R2538" i="2"/>
  <c r="R2537" i="2"/>
  <c r="R2536" i="2"/>
  <c r="R2535" i="2"/>
  <c r="R2534" i="2"/>
  <c r="R2533" i="2"/>
  <c r="R2532" i="2"/>
  <c r="R2531" i="2"/>
  <c r="R2530" i="2"/>
  <c r="R2529" i="2"/>
  <c r="R2528" i="2"/>
  <c r="R2527" i="2"/>
  <c r="R2526" i="2"/>
  <c r="R2525" i="2"/>
  <c r="R2524" i="2"/>
  <c r="R2523" i="2"/>
  <c r="R2522" i="2"/>
  <c r="R2521" i="2"/>
  <c r="R2520" i="2"/>
  <c r="R2519" i="2"/>
  <c r="R2518" i="2"/>
  <c r="R2517" i="2"/>
  <c r="R2516" i="2"/>
  <c r="R2515" i="2"/>
  <c r="R2514" i="2"/>
  <c r="R2513" i="2"/>
  <c r="R2512" i="2"/>
  <c r="R2511" i="2"/>
  <c r="R2510" i="2"/>
  <c r="R2509" i="2"/>
  <c r="R2508" i="2"/>
  <c r="R2507" i="2"/>
  <c r="R2506" i="2"/>
  <c r="R2505" i="2"/>
  <c r="R2504" i="2"/>
  <c r="R2503" i="2"/>
  <c r="R2502" i="2"/>
  <c r="R2501" i="2"/>
  <c r="R2500" i="2"/>
  <c r="R2499" i="2"/>
  <c r="R2498" i="2"/>
  <c r="R2497" i="2"/>
  <c r="R2496" i="2"/>
  <c r="R2495" i="2"/>
  <c r="R2494" i="2"/>
  <c r="R2493" i="2"/>
  <c r="R2492" i="2"/>
  <c r="R2491" i="2"/>
  <c r="R2490" i="2"/>
  <c r="R2489" i="2"/>
  <c r="R2488" i="2"/>
  <c r="R2487" i="2"/>
  <c r="R2486" i="2"/>
  <c r="R2485" i="2"/>
  <c r="R2484" i="2"/>
  <c r="R2483" i="2"/>
  <c r="R2482" i="2"/>
  <c r="R2481" i="2"/>
  <c r="R2480" i="2"/>
  <c r="R2479" i="2"/>
  <c r="R2478" i="2"/>
  <c r="R2477" i="2"/>
  <c r="R2476" i="2"/>
  <c r="R2475" i="2"/>
  <c r="R2474" i="2"/>
  <c r="R2473" i="2"/>
  <c r="R2472" i="2"/>
  <c r="R2471" i="2"/>
  <c r="R2470" i="2"/>
  <c r="R2469" i="2"/>
  <c r="R2468" i="2"/>
  <c r="R2467" i="2"/>
  <c r="R2466" i="2"/>
  <c r="R2465" i="2"/>
  <c r="R2464" i="2"/>
  <c r="R2463" i="2"/>
  <c r="R2462" i="2"/>
  <c r="R2461" i="2"/>
  <c r="R2460" i="2"/>
  <c r="R2459" i="2"/>
  <c r="R2458" i="2"/>
  <c r="R2457" i="2"/>
  <c r="R2456" i="2"/>
  <c r="R2455" i="2"/>
  <c r="R2454" i="2"/>
  <c r="R2453" i="2"/>
  <c r="R2452" i="2"/>
  <c r="R2451" i="2"/>
  <c r="R2450" i="2"/>
  <c r="R2449" i="2"/>
  <c r="R2448" i="2"/>
  <c r="R2447" i="2"/>
  <c r="R2446" i="2"/>
  <c r="R2445" i="2"/>
  <c r="R2444" i="2"/>
  <c r="R2443" i="2"/>
  <c r="R2442" i="2"/>
  <c r="R2441" i="2"/>
  <c r="R2440" i="2"/>
  <c r="R2439" i="2"/>
  <c r="R2438" i="2"/>
  <c r="R2437" i="2"/>
  <c r="R2436" i="2"/>
  <c r="R2435" i="2"/>
  <c r="R2434" i="2"/>
  <c r="R2433" i="2"/>
  <c r="R2432" i="2"/>
  <c r="R2431" i="2"/>
  <c r="R2430" i="2"/>
  <c r="R2429" i="2"/>
  <c r="R2428" i="2"/>
  <c r="R2427" i="2"/>
  <c r="R2426" i="2"/>
  <c r="R2425" i="2"/>
  <c r="R2424" i="2"/>
  <c r="R2423" i="2"/>
  <c r="R2422" i="2"/>
  <c r="R2421" i="2"/>
  <c r="R2420" i="2"/>
  <c r="R2419" i="2"/>
  <c r="R2418" i="2"/>
  <c r="R2417" i="2"/>
  <c r="R2416" i="2"/>
  <c r="R2415" i="2"/>
  <c r="R2414" i="2"/>
  <c r="R2413" i="2"/>
  <c r="R2412" i="2"/>
  <c r="R2411" i="2"/>
  <c r="R2410" i="2"/>
  <c r="R2409" i="2"/>
  <c r="R2408" i="2"/>
  <c r="R2407" i="2"/>
  <c r="R2406" i="2"/>
  <c r="R2405" i="2"/>
  <c r="R2404" i="2"/>
  <c r="R2403" i="2"/>
  <c r="R2402" i="2"/>
  <c r="R2401" i="2"/>
  <c r="R2400" i="2"/>
  <c r="R2399" i="2"/>
  <c r="R2398" i="2"/>
  <c r="R2397" i="2"/>
  <c r="R2396" i="2"/>
  <c r="R2395" i="2"/>
  <c r="R2394" i="2"/>
  <c r="R2393" i="2"/>
  <c r="R2392" i="2"/>
  <c r="R2391" i="2"/>
  <c r="R2390" i="2"/>
  <c r="R2389" i="2"/>
  <c r="R2388" i="2"/>
  <c r="R2387" i="2"/>
  <c r="R2386" i="2"/>
  <c r="R2385" i="2"/>
  <c r="R2384" i="2"/>
  <c r="R2383" i="2"/>
  <c r="R2382" i="2"/>
  <c r="R2381" i="2"/>
  <c r="R2380" i="2"/>
  <c r="R2379" i="2"/>
  <c r="R2378" i="2"/>
  <c r="R2377" i="2"/>
  <c r="R2376" i="2"/>
  <c r="R2375" i="2"/>
  <c r="R2374" i="2"/>
  <c r="R2373" i="2"/>
  <c r="R2372" i="2"/>
  <c r="R2371" i="2"/>
  <c r="R2370" i="2"/>
  <c r="R2369" i="2"/>
  <c r="R2368" i="2"/>
  <c r="R2367" i="2"/>
  <c r="R2366" i="2"/>
  <c r="R2365" i="2"/>
  <c r="R2364" i="2"/>
  <c r="R2363" i="2"/>
  <c r="R2362" i="2"/>
  <c r="R2361" i="2"/>
  <c r="R2360" i="2"/>
  <c r="R2359" i="2"/>
  <c r="R2358" i="2"/>
  <c r="R2357" i="2"/>
  <c r="R2356" i="2"/>
  <c r="R2355" i="2"/>
  <c r="R2354" i="2"/>
  <c r="R2353" i="2"/>
  <c r="R2352" i="2"/>
  <c r="R2351" i="2"/>
  <c r="R2350" i="2"/>
  <c r="R2349" i="2"/>
  <c r="R2348" i="2"/>
  <c r="R2347" i="2"/>
  <c r="R2346" i="2"/>
  <c r="R2345" i="2"/>
  <c r="R2344" i="2"/>
  <c r="R2343" i="2"/>
  <c r="R2342" i="2"/>
  <c r="R2341" i="2"/>
  <c r="R2340" i="2"/>
  <c r="R2339" i="2"/>
  <c r="R2338" i="2"/>
  <c r="R2337" i="2"/>
  <c r="R2336" i="2"/>
  <c r="R2335" i="2"/>
  <c r="R2334" i="2"/>
  <c r="R2333" i="2"/>
  <c r="R2332" i="2"/>
  <c r="R2331" i="2"/>
  <c r="R2330" i="2"/>
  <c r="R2329" i="2"/>
  <c r="R2328" i="2"/>
  <c r="R2327" i="2"/>
  <c r="R2326" i="2"/>
  <c r="R2325" i="2"/>
  <c r="R2324" i="2"/>
  <c r="R2323" i="2"/>
  <c r="R2322" i="2"/>
  <c r="R2321" i="2"/>
  <c r="R2320" i="2"/>
  <c r="R2319" i="2"/>
  <c r="R2318" i="2"/>
  <c r="R2317" i="2"/>
  <c r="R2316" i="2"/>
  <c r="R2315" i="2"/>
  <c r="R2314" i="2"/>
  <c r="R2313" i="2"/>
  <c r="R2312" i="2"/>
  <c r="R2311" i="2"/>
  <c r="R2310" i="2"/>
  <c r="R2309" i="2"/>
  <c r="R2308" i="2"/>
  <c r="R2307" i="2"/>
  <c r="R2306" i="2"/>
  <c r="R2305" i="2"/>
  <c r="R2304" i="2"/>
  <c r="R2303" i="2"/>
  <c r="R2302" i="2"/>
  <c r="R2301" i="2"/>
  <c r="R2300" i="2"/>
  <c r="R2299" i="2"/>
  <c r="R2298" i="2"/>
  <c r="R2297" i="2"/>
  <c r="R2296" i="2"/>
  <c r="R2295" i="2"/>
  <c r="R2294" i="2"/>
  <c r="R2293" i="2"/>
  <c r="R2292" i="2"/>
  <c r="R2291" i="2"/>
  <c r="R2290" i="2"/>
  <c r="R2289" i="2"/>
  <c r="R2288" i="2"/>
  <c r="R2287" i="2"/>
  <c r="R2286" i="2"/>
  <c r="R2285" i="2"/>
  <c r="R2284" i="2"/>
  <c r="R2283" i="2"/>
  <c r="R2282" i="2"/>
  <c r="R2281" i="2"/>
  <c r="R2280" i="2"/>
  <c r="R2279" i="2"/>
  <c r="R2278" i="2"/>
  <c r="R2277" i="2"/>
  <c r="R2276" i="2"/>
  <c r="R2275" i="2"/>
  <c r="R2274" i="2"/>
  <c r="R2273" i="2"/>
  <c r="R2272" i="2"/>
  <c r="R2271" i="2"/>
  <c r="R2270" i="2"/>
  <c r="R2269" i="2"/>
  <c r="R2268" i="2"/>
  <c r="R2267" i="2"/>
  <c r="R2266" i="2"/>
  <c r="R2265" i="2"/>
  <c r="R2264" i="2"/>
  <c r="R2263" i="2"/>
  <c r="R2262" i="2"/>
  <c r="R2261" i="2"/>
  <c r="R2260" i="2"/>
  <c r="R2259" i="2"/>
  <c r="R2258" i="2"/>
  <c r="R2257" i="2"/>
  <c r="R2256" i="2"/>
  <c r="R2255" i="2"/>
  <c r="R2254" i="2"/>
  <c r="R2253" i="2"/>
  <c r="R2252" i="2"/>
  <c r="R2251" i="2"/>
  <c r="R2250" i="2"/>
  <c r="R2249" i="2"/>
  <c r="R2248" i="2"/>
  <c r="R2247" i="2"/>
  <c r="R2246" i="2"/>
  <c r="R2245" i="2"/>
  <c r="R2244" i="2"/>
  <c r="R2243" i="2"/>
  <c r="R2242" i="2"/>
  <c r="R2241" i="2"/>
  <c r="R2240" i="2"/>
  <c r="R2239" i="2"/>
  <c r="R2238" i="2"/>
  <c r="R2237" i="2"/>
  <c r="R2236" i="2"/>
  <c r="R2235" i="2"/>
  <c r="R2234" i="2"/>
  <c r="R2233" i="2"/>
  <c r="R2232" i="2"/>
  <c r="R2231" i="2"/>
  <c r="R2230" i="2"/>
  <c r="R2229" i="2"/>
  <c r="R2228" i="2"/>
  <c r="R2227" i="2"/>
  <c r="R2226" i="2"/>
  <c r="R2225" i="2"/>
  <c r="R2224" i="2"/>
  <c r="R2223" i="2"/>
  <c r="R2222" i="2"/>
  <c r="R2221" i="2"/>
  <c r="R2220" i="2"/>
  <c r="R2219" i="2"/>
  <c r="R2218" i="2"/>
  <c r="R2217" i="2"/>
  <c r="R2216" i="2"/>
  <c r="R2215" i="2"/>
  <c r="R2214" i="2"/>
  <c r="R2213" i="2"/>
  <c r="R2212" i="2"/>
  <c r="R2211" i="2"/>
  <c r="R2210" i="2"/>
  <c r="R2209" i="2"/>
  <c r="R2208" i="2"/>
  <c r="R2207" i="2"/>
  <c r="R2206" i="2"/>
  <c r="R2205" i="2"/>
  <c r="R2204" i="2"/>
  <c r="R2203" i="2"/>
  <c r="R2202" i="2"/>
  <c r="R2201" i="2"/>
  <c r="R2200" i="2"/>
  <c r="R2199" i="2"/>
  <c r="R2198" i="2"/>
  <c r="R2197" i="2"/>
  <c r="R2196" i="2"/>
  <c r="R2195" i="2"/>
  <c r="R2194" i="2"/>
  <c r="R2193" i="2"/>
  <c r="R2192" i="2"/>
  <c r="R2191" i="2"/>
  <c r="R2190" i="2"/>
  <c r="R2189" i="2"/>
  <c r="R2188" i="2"/>
  <c r="R2187" i="2"/>
  <c r="R2186" i="2"/>
  <c r="R2185" i="2"/>
  <c r="R2184" i="2"/>
  <c r="R2183" i="2"/>
  <c r="R2182" i="2"/>
  <c r="R2181" i="2"/>
  <c r="R2180" i="2"/>
  <c r="R2179" i="2"/>
  <c r="R2178" i="2"/>
  <c r="R2177" i="2"/>
  <c r="R2176" i="2"/>
  <c r="R2175" i="2"/>
  <c r="R2174" i="2"/>
  <c r="R2173" i="2"/>
  <c r="R2172" i="2"/>
  <c r="R2171" i="2"/>
  <c r="R2170" i="2"/>
  <c r="R2169" i="2"/>
  <c r="R2168" i="2"/>
  <c r="R2167" i="2"/>
  <c r="R2166" i="2"/>
  <c r="R2165" i="2"/>
  <c r="R2164" i="2"/>
  <c r="R2163" i="2"/>
  <c r="R2162" i="2"/>
  <c r="R2161" i="2"/>
  <c r="R2160" i="2"/>
  <c r="R2159" i="2"/>
  <c r="R2158" i="2"/>
  <c r="R2157" i="2"/>
  <c r="R2156" i="2"/>
  <c r="R2155" i="2"/>
  <c r="R2154" i="2"/>
  <c r="R2153" i="2"/>
  <c r="R2152" i="2"/>
  <c r="R2151" i="2"/>
  <c r="R2150" i="2"/>
  <c r="R2149" i="2"/>
  <c r="R2148" i="2"/>
  <c r="R2147" i="2"/>
  <c r="R2146" i="2"/>
  <c r="R2145" i="2"/>
  <c r="R2144" i="2"/>
  <c r="R2143" i="2"/>
  <c r="R2142" i="2"/>
  <c r="R2141" i="2"/>
  <c r="R2140" i="2"/>
  <c r="R2139" i="2"/>
  <c r="R2138" i="2"/>
  <c r="R2137" i="2"/>
  <c r="R2136" i="2"/>
  <c r="R2135" i="2"/>
  <c r="R2134" i="2"/>
  <c r="R2133" i="2"/>
  <c r="R2132" i="2"/>
  <c r="R2131" i="2"/>
  <c r="R2130" i="2"/>
  <c r="R2129" i="2"/>
  <c r="R2128" i="2"/>
  <c r="R2127" i="2"/>
  <c r="R2126" i="2"/>
  <c r="R2125" i="2"/>
  <c r="R2124" i="2"/>
  <c r="R2123" i="2"/>
  <c r="R2122" i="2"/>
  <c r="R2121" i="2"/>
  <c r="R2120" i="2"/>
  <c r="R2119" i="2"/>
  <c r="R2118" i="2"/>
  <c r="R2117" i="2"/>
  <c r="R2116" i="2"/>
  <c r="R2115" i="2"/>
  <c r="R2114" i="2"/>
  <c r="R2113" i="2"/>
  <c r="R2112" i="2"/>
  <c r="R2111" i="2"/>
  <c r="R2110" i="2"/>
  <c r="R2109" i="2"/>
  <c r="R2108" i="2"/>
  <c r="R2107" i="2"/>
  <c r="R2106" i="2"/>
  <c r="R2105" i="2"/>
  <c r="R2104" i="2"/>
  <c r="R2103" i="2"/>
  <c r="R2102" i="2"/>
  <c r="R2101" i="2"/>
  <c r="R2100" i="2"/>
  <c r="R2099" i="2"/>
  <c r="R2098" i="2"/>
  <c r="R2097" i="2"/>
  <c r="R2096" i="2"/>
  <c r="R2095" i="2"/>
  <c r="R2094" i="2"/>
  <c r="R2093" i="2"/>
  <c r="R2092" i="2"/>
  <c r="R2091" i="2"/>
  <c r="R2090" i="2"/>
  <c r="R2089" i="2"/>
  <c r="R2088" i="2"/>
  <c r="R2087" i="2"/>
  <c r="R2086" i="2"/>
  <c r="R2085" i="2"/>
  <c r="R2084" i="2"/>
  <c r="R2083" i="2"/>
  <c r="R2082" i="2"/>
  <c r="R2081" i="2"/>
  <c r="R2080" i="2"/>
  <c r="R2079" i="2"/>
  <c r="R2078" i="2"/>
  <c r="R2077" i="2"/>
  <c r="R2076" i="2"/>
  <c r="R2075" i="2"/>
  <c r="R2074" i="2"/>
  <c r="R2073" i="2"/>
  <c r="R2072" i="2"/>
  <c r="R2071" i="2"/>
  <c r="R2070" i="2"/>
  <c r="R2069" i="2"/>
  <c r="R2068" i="2"/>
  <c r="R2067" i="2"/>
  <c r="R2066" i="2"/>
  <c r="R2065" i="2"/>
  <c r="R2064" i="2"/>
  <c r="R2063" i="2"/>
  <c r="R2062" i="2"/>
  <c r="R2061" i="2"/>
  <c r="R2060" i="2"/>
  <c r="R2059" i="2"/>
  <c r="R2058" i="2"/>
  <c r="R2057" i="2"/>
  <c r="R2056" i="2"/>
  <c r="R2055" i="2"/>
  <c r="R2054" i="2"/>
  <c r="R2053" i="2"/>
  <c r="R2052" i="2"/>
  <c r="R2051" i="2"/>
  <c r="R2050" i="2"/>
  <c r="R2049" i="2"/>
  <c r="R2048" i="2"/>
  <c r="R2047" i="2"/>
  <c r="R2046" i="2"/>
  <c r="R2045" i="2"/>
  <c r="R2044" i="2"/>
  <c r="R2043" i="2"/>
  <c r="R2042" i="2"/>
  <c r="R2041" i="2"/>
  <c r="R2040" i="2"/>
  <c r="R2039" i="2"/>
  <c r="R2038" i="2"/>
  <c r="R2037" i="2"/>
  <c r="R2036" i="2"/>
  <c r="R2035" i="2"/>
  <c r="R2034" i="2"/>
  <c r="R2033" i="2"/>
  <c r="R2032" i="2"/>
  <c r="R2031" i="2"/>
  <c r="R2030" i="2"/>
  <c r="R2029" i="2"/>
  <c r="R2028" i="2"/>
  <c r="R2027" i="2"/>
  <c r="R2026" i="2"/>
  <c r="R2025" i="2"/>
  <c r="R2024" i="2"/>
  <c r="R2023" i="2"/>
  <c r="R2022" i="2"/>
  <c r="R2021" i="2"/>
  <c r="R2020" i="2"/>
  <c r="R2019" i="2"/>
  <c r="R2018" i="2"/>
  <c r="R2017" i="2"/>
  <c r="R2016" i="2"/>
  <c r="R2015" i="2"/>
  <c r="R2014" i="2"/>
  <c r="R2013" i="2"/>
  <c r="R2012" i="2"/>
  <c r="R2011" i="2"/>
  <c r="R2010" i="2"/>
  <c r="R2009" i="2"/>
  <c r="R2008" i="2"/>
  <c r="R2007" i="2"/>
  <c r="R2006" i="2"/>
  <c r="R2005" i="2"/>
  <c r="R2004" i="2"/>
  <c r="R2003" i="2"/>
  <c r="R2002" i="2"/>
  <c r="R2001" i="2"/>
  <c r="R2000" i="2"/>
  <c r="R1999" i="2"/>
  <c r="R1998" i="2"/>
  <c r="R1997" i="2"/>
  <c r="R1996" i="2"/>
  <c r="R1995" i="2"/>
  <c r="R1994" i="2"/>
  <c r="R1993" i="2"/>
  <c r="R1992" i="2"/>
  <c r="R1991" i="2"/>
  <c r="R1990" i="2"/>
  <c r="R1989" i="2"/>
  <c r="R1988" i="2"/>
  <c r="R1987" i="2"/>
  <c r="R1986" i="2"/>
  <c r="R1985" i="2"/>
  <c r="R1984" i="2"/>
  <c r="R1983" i="2"/>
  <c r="R1982" i="2"/>
  <c r="R1981" i="2"/>
  <c r="R1980" i="2"/>
  <c r="R1979" i="2"/>
  <c r="R1978" i="2"/>
  <c r="R1977" i="2"/>
  <c r="R1976" i="2"/>
  <c r="R1975" i="2"/>
  <c r="R1974" i="2"/>
  <c r="R1973" i="2"/>
  <c r="R1972" i="2"/>
  <c r="R1971" i="2"/>
  <c r="R1970" i="2"/>
  <c r="R1969" i="2"/>
  <c r="R1968" i="2"/>
  <c r="R1967" i="2"/>
  <c r="R1966" i="2"/>
  <c r="R1965" i="2"/>
  <c r="R1964" i="2"/>
  <c r="R1963" i="2"/>
  <c r="R1962" i="2"/>
  <c r="R1961" i="2"/>
  <c r="R1960" i="2"/>
  <c r="R1959" i="2"/>
  <c r="R1958" i="2"/>
  <c r="R1957" i="2"/>
  <c r="R1956" i="2"/>
  <c r="R1955" i="2"/>
  <c r="R1954" i="2"/>
  <c r="R1953" i="2"/>
  <c r="R1952" i="2"/>
  <c r="R1951" i="2"/>
  <c r="R1950" i="2"/>
  <c r="R1949" i="2"/>
  <c r="R1948" i="2"/>
  <c r="R1947" i="2"/>
  <c r="R1946" i="2"/>
  <c r="R1945" i="2"/>
  <c r="R1944" i="2"/>
  <c r="R1943" i="2"/>
  <c r="R1942" i="2"/>
  <c r="R1941" i="2"/>
  <c r="R1940" i="2"/>
  <c r="R1939" i="2"/>
  <c r="R1938" i="2"/>
  <c r="R1937" i="2"/>
  <c r="R1936" i="2"/>
  <c r="R1935" i="2"/>
  <c r="R1934" i="2"/>
  <c r="R1933" i="2"/>
  <c r="R1932" i="2"/>
  <c r="R1931" i="2"/>
  <c r="R1930" i="2"/>
  <c r="R1929" i="2"/>
  <c r="R1928" i="2"/>
  <c r="R1927" i="2"/>
  <c r="R1926" i="2"/>
  <c r="R1925" i="2"/>
  <c r="R1924" i="2"/>
  <c r="R1923" i="2"/>
  <c r="R1922" i="2"/>
  <c r="R1921" i="2"/>
  <c r="R1920" i="2"/>
  <c r="R1919" i="2"/>
  <c r="R1918" i="2"/>
  <c r="R1917" i="2"/>
  <c r="R1916" i="2"/>
  <c r="R1915" i="2"/>
  <c r="R1914" i="2"/>
  <c r="R1913" i="2"/>
  <c r="R1912" i="2"/>
  <c r="R1911" i="2"/>
  <c r="R1910" i="2"/>
  <c r="R1909" i="2"/>
  <c r="R1908" i="2"/>
  <c r="R1907" i="2"/>
  <c r="R1906" i="2"/>
  <c r="R1905" i="2"/>
  <c r="R1904" i="2"/>
  <c r="R1903" i="2"/>
  <c r="R1902" i="2"/>
  <c r="R1901" i="2"/>
  <c r="R1900" i="2"/>
  <c r="R1899" i="2"/>
  <c r="R1898" i="2"/>
  <c r="R1897" i="2"/>
  <c r="R1896" i="2"/>
  <c r="R1895" i="2"/>
  <c r="R1894" i="2"/>
  <c r="R1893" i="2"/>
  <c r="R1892" i="2"/>
  <c r="R1891" i="2"/>
  <c r="R1890" i="2"/>
  <c r="R1889" i="2"/>
  <c r="R1888" i="2"/>
  <c r="R1887" i="2"/>
  <c r="R1886" i="2"/>
  <c r="R1885" i="2"/>
  <c r="R1884" i="2"/>
  <c r="R1883" i="2"/>
  <c r="R1882" i="2"/>
  <c r="R1881" i="2"/>
  <c r="R1880" i="2"/>
  <c r="R1879" i="2"/>
  <c r="R1878" i="2"/>
  <c r="R1877" i="2"/>
  <c r="R1876" i="2"/>
  <c r="R1875" i="2"/>
  <c r="R1874" i="2"/>
  <c r="R1873" i="2"/>
  <c r="R1872" i="2"/>
  <c r="R1871" i="2"/>
  <c r="R1870" i="2"/>
  <c r="R1869" i="2"/>
  <c r="R1868" i="2"/>
  <c r="R1867" i="2"/>
  <c r="R1866" i="2"/>
  <c r="R1865" i="2"/>
  <c r="R1864" i="2"/>
  <c r="R1863" i="2"/>
  <c r="R1862" i="2"/>
  <c r="R1861" i="2"/>
  <c r="R1860" i="2"/>
  <c r="R1859" i="2"/>
  <c r="R1858" i="2"/>
  <c r="R1857" i="2"/>
  <c r="R1856" i="2"/>
  <c r="R1855" i="2"/>
  <c r="R1854" i="2"/>
  <c r="R1853" i="2"/>
  <c r="R1852" i="2"/>
  <c r="R1851" i="2"/>
  <c r="R1850" i="2"/>
  <c r="R1849" i="2"/>
  <c r="R1848" i="2"/>
  <c r="R1847" i="2"/>
  <c r="R1846" i="2"/>
  <c r="R1845" i="2"/>
  <c r="R1844" i="2"/>
  <c r="R1843" i="2"/>
  <c r="R1842" i="2"/>
  <c r="R1841" i="2"/>
  <c r="R1840" i="2"/>
  <c r="R1839" i="2"/>
  <c r="R1838" i="2"/>
  <c r="R1837" i="2"/>
  <c r="R1836" i="2"/>
  <c r="R1835" i="2"/>
  <c r="R1834" i="2"/>
  <c r="R1833" i="2"/>
  <c r="R1832" i="2"/>
  <c r="R1831" i="2"/>
  <c r="R1830" i="2"/>
  <c r="R1829" i="2"/>
  <c r="R1828" i="2"/>
  <c r="R1827" i="2"/>
  <c r="R1826" i="2"/>
  <c r="R1825" i="2"/>
  <c r="R1824" i="2"/>
  <c r="R1823" i="2"/>
  <c r="R1822" i="2"/>
  <c r="R1821" i="2"/>
  <c r="R1820" i="2"/>
  <c r="R1819" i="2"/>
  <c r="R1818" i="2"/>
  <c r="R1817" i="2"/>
  <c r="R1816" i="2"/>
  <c r="R1815" i="2"/>
  <c r="R1814" i="2"/>
  <c r="R1813" i="2"/>
  <c r="R1812" i="2"/>
  <c r="R1811" i="2"/>
  <c r="R1810" i="2"/>
  <c r="R1809" i="2"/>
  <c r="R1808" i="2"/>
  <c r="R1807" i="2"/>
  <c r="R1806" i="2"/>
  <c r="R1805" i="2"/>
  <c r="R1804" i="2"/>
  <c r="R1803" i="2"/>
  <c r="R1802" i="2"/>
  <c r="R1801" i="2"/>
  <c r="R1800" i="2"/>
  <c r="R1799" i="2"/>
  <c r="R1798" i="2"/>
  <c r="R1797" i="2"/>
  <c r="R1796" i="2"/>
  <c r="R1795" i="2"/>
  <c r="R1794" i="2"/>
  <c r="R1793" i="2"/>
  <c r="R1792" i="2"/>
  <c r="R1791" i="2"/>
  <c r="R1790" i="2"/>
  <c r="R1789" i="2"/>
  <c r="R1788" i="2"/>
  <c r="R1787" i="2"/>
  <c r="R1786" i="2"/>
  <c r="R1785" i="2"/>
  <c r="R1784" i="2"/>
  <c r="R1783" i="2"/>
  <c r="R1782" i="2"/>
  <c r="R1781" i="2"/>
  <c r="R1780" i="2"/>
  <c r="R1779" i="2"/>
  <c r="R1778" i="2"/>
  <c r="R1777" i="2"/>
  <c r="R1776" i="2"/>
  <c r="R1775" i="2"/>
  <c r="R1774" i="2"/>
  <c r="R1773" i="2"/>
  <c r="R1772" i="2"/>
  <c r="R1771" i="2"/>
  <c r="R1770" i="2"/>
  <c r="R1769" i="2"/>
  <c r="R1768" i="2"/>
  <c r="R1767" i="2"/>
  <c r="R1766" i="2"/>
  <c r="R1765" i="2"/>
  <c r="R1764" i="2"/>
  <c r="R1763" i="2"/>
  <c r="R1762" i="2"/>
  <c r="R1761" i="2"/>
  <c r="R1760" i="2"/>
  <c r="R1759" i="2"/>
  <c r="R1758" i="2"/>
  <c r="R1757" i="2"/>
  <c r="R1756" i="2"/>
  <c r="R1755" i="2"/>
  <c r="R1754" i="2"/>
  <c r="R1753" i="2"/>
  <c r="R1752" i="2"/>
  <c r="R1751" i="2"/>
  <c r="R1750" i="2"/>
  <c r="R1749" i="2"/>
  <c r="R1748" i="2"/>
  <c r="R1747" i="2"/>
  <c r="R1746" i="2"/>
  <c r="R1745" i="2"/>
  <c r="R1744" i="2"/>
  <c r="R1743" i="2"/>
  <c r="R1742" i="2"/>
  <c r="R1741" i="2"/>
  <c r="R1740" i="2"/>
  <c r="R1739" i="2"/>
  <c r="R1738" i="2"/>
  <c r="R1737" i="2"/>
  <c r="R1736" i="2"/>
  <c r="R1735" i="2"/>
  <c r="R1734" i="2"/>
  <c r="R1733" i="2"/>
  <c r="R1732" i="2"/>
  <c r="R1731" i="2"/>
  <c r="R1730" i="2"/>
  <c r="R1729" i="2"/>
  <c r="R1728" i="2"/>
  <c r="R1727" i="2"/>
  <c r="R1726" i="2"/>
  <c r="R1725" i="2"/>
  <c r="R1724" i="2"/>
  <c r="R1723" i="2"/>
  <c r="R1722" i="2"/>
  <c r="R1721" i="2"/>
  <c r="R1720" i="2"/>
  <c r="R1719" i="2"/>
  <c r="R1718" i="2"/>
  <c r="R1717" i="2"/>
  <c r="R1716" i="2"/>
  <c r="R1715" i="2"/>
  <c r="R1714" i="2"/>
  <c r="R1713" i="2"/>
  <c r="R1712" i="2"/>
  <c r="R1711" i="2"/>
  <c r="R1710" i="2"/>
  <c r="R1709" i="2"/>
  <c r="R1708" i="2"/>
  <c r="R1707" i="2"/>
  <c r="R1706" i="2"/>
  <c r="R1705" i="2"/>
  <c r="R1704" i="2"/>
  <c r="R1703" i="2"/>
  <c r="R1702" i="2"/>
  <c r="R1701" i="2"/>
  <c r="R1700" i="2"/>
  <c r="R1699" i="2"/>
  <c r="R1698" i="2"/>
  <c r="R1697" i="2"/>
  <c r="R1696" i="2"/>
  <c r="R1695" i="2"/>
  <c r="R1694" i="2"/>
  <c r="R1693" i="2"/>
  <c r="R1692" i="2"/>
  <c r="R1691" i="2"/>
  <c r="R1690" i="2"/>
  <c r="R1689" i="2"/>
  <c r="R1688" i="2"/>
  <c r="R1687" i="2"/>
  <c r="R1686" i="2"/>
  <c r="R1685" i="2"/>
  <c r="R1684" i="2"/>
  <c r="R1683" i="2"/>
  <c r="R1682" i="2"/>
  <c r="R1681" i="2"/>
  <c r="R1680" i="2"/>
  <c r="R1679" i="2"/>
  <c r="R1678" i="2"/>
  <c r="R1677" i="2"/>
  <c r="R1676" i="2"/>
  <c r="R1675" i="2"/>
  <c r="R1674" i="2"/>
  <c r="R1673" i="2"/>
  <c r="R1672" i="2"/>
  <c r="R1671" i="2"/>
  <c r="R1670" i="2"/>
  <c r="R1669" i="2"/>
  <c r="R1668" i="2"/>
  <c r="R1667" i="2"/>
  <c r="R1666" i="2"/>
  <c r="R1665" i="2"/>
  <c r="R1664" i="2"/>
  <c r="R1663" i="2"/>
  <c r="R1662" i="2"/>
  <c r="R1661" i="2"/>
  <c r="R1660" i="2"/>
  <c r="R1659" i="2"/>
  <c r="R1658" i="2"/>
  <c r="R1657" i="2"/>
  <c r="R1656" i="2"/>
  <c r="R1655" i="2"/>
  <c r="R1654" i="2"/>
  <c r="R1653" i="2"/>
  <c r="R1652" i="2"/>
  <c r="R1651" i="2"/>
  <c r="R1650" i="2"/>
  <c r="R1649" i="2"/>
  <c r="R1648" i="2"/>
  <c r="R1647" i="2"/>
  <c r="R1646" i="2"/>
  <c r="R1645" i="2"/>
  <c r="R1644" i="2"/>
  <c r="R1643" i="2"/>
  <c r="R1642" i="2"/>
  <c r="R1641" i="2"/>
  <c r="R1640" i="2"/>
  <c r="R1639" i="2"/>
  <c r="R1638" i="2"/>
  <c r="R1637" i="2"/>
  <c r="R1636" i="2"/>
  <c r="R1635" i="2"/>
  <c r="R1634" i="2"/>
  <c r="R1633" i="2"/>
  <c r="R1632" i="2"/>
  <c r="R1631" i="2"/>
  <c r="R1630" i="2"/>
  <c r="R1629" i="2"/>
  <c r="R1628" i="2"/>
  <c r="R1627" i="2"/>
  <c r="R1626" i="2"/>
  <c r="R1625" i="2"/>
  <c r="R1624" i="2"/>
  <c r="R1623" i="2"/>
  <c r="R1622" i="2"/>
  <c r="R1621" i="2"/>
  <c r="R1620" i="2"/>
  <c r="R1619" i="2"/>
  <c r="R1618" i="2"/>
  <c r="R1617" i="2"/>
  <c r="R1616" i="2"/>
  <c r="R1615" i="2"/>
  <c r="R1614" i="2"/>
  <c r="R1613" i="2"/>
  <c r="R1612" i="2"/>
  <c r="R1611" i="2"/>
  <c r="R1610" i="2"/>
  <c r="R1609" i="2"/>
  <c r="R1608" i="2"/>
  <c r="R1607" i="2"/>
  <c r="R1606" i="2"/>
  <c r="R1605" i="2"/>
  <c r="R1604" i="2"/>
  <c r="R1603" i="2"/>
  <c r="R1602" i="2"/>
  <c r="R1601" i="2"/>
  <c r="R1600" i="2"/>
  <c r="R1599" i="2"/>
  <c r="R1598" i="2"/>
  <c r="R1597" i="2"/>
  <c r="R1596" i="2"/>
  <c r="R1595" i="2"/>
  <c r="R1594" i="2"/>
  <c r="R1593" i="2"/>
  <c r="R1592" i="2"/>
  <c r="R1591" i="2"/>
  <c r="R1590" i="2"/>
  <c r="R1589" i="2"/>
  <c r="R1588" i="2"/>
  <c r="R1587" i="2"/>
  <c r="R1586" i="2"/>
  <c r="R1585" i="2"/>
  <c r="R1584" i="2"/>
  <c r="R1583" i="2"/>
  <c r="R1582" i="2"/>
  <c r="R1581" i="2"/>
  <c r="R1580" i="2"/>
  <c r="R1579" i="2"/>
  <c r="R1578" i="2"/>
  <c r="R1577" i="2"/>
  <c r="R1576" i="2"/>
  <c r="R1575" i="2"/>
  <c r="R1574" i="2"/>
  <c r="R1573" i="2"/>
  <c r="R1572" i="2"/>
  <c r="R1571" i="2"/>
  <c r="R1570" i="2"/>
  <c r="R1569" i="2"/>
  <c r="R1568" i="2"/>
  <c r="R1567" i="2"/>
  <c r="R1566" i="2"/>
  <c r="R1565" i="2"/>
  <c r="R1564" i="2"/>
  <c r="R1563" i="2"/>
  <c r="R1562" i="2"/>
  <c r="R1561" i="2"/>
  <c r="R1560" i="2"/>
  <c r="R1559" i="2"/>
  <c r="R1558" i="2"/>
  <c r="R1557" i="2"/>
  <c r="R1556" i="2"/>
  <c r="R1555" i="2"/>
  <c r="R1554" i="2"/>
  <c r="R1553" i="2"/>
  <c r="R1552" i="2"/>
  <c r="R1551" i="2"/>
  <c r="R1550" i="2"/>
  <c r="R1549" i="2"/>
  <c r="R1548" i="2"/>
  <c r="R1547" i="2"/>
  <c r="R1546" i="2"/>
  <c r="R1545" i="2"/>
  <c r="R1544" i="2"/>
  <c r="R1543" i="2"/>
  <c r="R1542" i="2"/>
  <c r="R1541" i="2"/>
  <c r="R1540" i="2"/>
  <c r="R1539" i="2"/>
  <c r="R1538" i="2"/>
  <c r="R1537" i="2"/>
  <c r="R1536" i="2"/>
  <c r="R1535" i="2"/>
  <c r="R1534" i="2"/>
  <c r="R1533" i="2"/>
  <c r="R1532" i="2"/>
  <c r="R1531" i="2"/>
  <c r="R1530" i="2"/>
  <c r="R1529" i="2"/>
  <c r="R1528" i="2"/>
  <c r="R1527" i="2"/>
  <c r="R1526" i="2"/>
  <c r="R1525" i="2"/>
  <c r="R1524" i="2"/>
  <c r="R1523" i="2"/>
  <c r="R1522" i="2"/>
  <c r="R1521" i="2"/>
  <c r="R1520" i="2"/>
  <c r="R1519" i="2"/>
  <c r="R1518" i="2"/>
  <c r="R1517" i="2"/>
  <c r="R1516" i="2"/>
  <c r="R1515" i="2"/>
  <c r="R1514" i="2"/>
  <c r="R1513" i="2"/>
  <c r="R1512" i="2"/>
  <c r="R1511" i="2"/>
  <c r="R1510" i="2"/>
  <c r="R1509" i="2"/>
  <c r="R1508" i="2"/>
  <c r="R1507" i="2"/>
  <c r="R1506" i="2"/>
  <c r="R1505" i="2"/>
  <c r="R1504" i="2"/>
  <c r="R1503" i="2"/>
  <c r="R1502" i="2"/>
  <c r="R1501" i="2"/>
  <c r="R1500" i="2"/>
  <c r="R1499" i="2"/>
  <c r="R1498" i="2"/>
  <c r="R1497" i="2"/>
  <c r="R1496" i="2"/>
  <c r="R1495" i="2"/>
  <c r="R1494" i="2"/>
  <c r="R1493" i="2"/>
  <c r="R1492" i="2"/>
  <c r="R1491" i="2"/>
  <c r="R1490" i="2"/>
  <c r="R1489" i="2"/>
  <c r="R1488" i="2"/>
  <c r="R1487" i="2"/>
  <c r="R1486" i="2"/>
  <c r="R1485" i="2"/>
  <c r="R1484" i="2"/>
  <c r="R1483" i="2"/>
  <c r="R1482" i="2"/>
  <c r="R1481" i="2"/>
  <c r="R1480" i="2"/>
  <c r="R1479" i="2"/>
  <c r="R1478" i="2"/>
  <c r="R1477" i="2"/>
  <c r="R1476" i="2"/>
  <c r="R1475" i="2"/>
  <c r="R1474" i="2"/>
  <c r="R1473" i="2"/>
  <c r="R1472" i="2"/>
  <c r="R1471" i="2"/>
  <c r="R1470" i="2"/>
  <c r="R1469" i="2"/>
  <c r="R1468" i="2"/>
  <c r="R1467" i="2"/>
  <c r="R1466" i="2"/>
  <c r="R1465" i="2"/>
  <c r="R1464" i="2"/>
  <c r="R1463" i="2"/>
  <c r="R1462" i="2"/>
  <c r="R1461" i="2"/>
  <c r="R1460" i="2"/>
  <c r="R1459" i="2"/>
  <c r="R1458" i="2"/>
  <c r="R1457" i="2"/>
  <c r="R1456" i="2"/>
  <c r="R1455" i="2"/>
  <c r="R1454" i="2"/>
  <c r="R1453" i="2"/>
  <c r="R1452" i="2"/>
  <c r="R1451" i="2"/>
  <c r="R1450" i="2"/>
  <c r="R1449" i="2"/>
  <c r="R1448" i="2"/>
  <c r="R1447" i="2"/>
  <c r="R1446" i="2"/>
  <c r="R1445" i="2"/>
  <c r="R1444" i="2"/>
  <c r="R1443" i="2"/>
  <c r="R1442" i="2"/>
  <c r="R1441" i="2"/>
  <c r="R1440" i="2"/>
  <c r="R1439" i="2"/>
  <c r="R1438" i="2"/>
  <c r="R1437" i="2"/>
  <c r="R1436" i="2"/>
  <c r="R1435" i="2"/>
  <c r="R1434" i="2"/>
  <c r="R1433" i="2"/>
  <c r="R1432" i="2"/>
  <c r="R1431" i="2"/>
  <c r="R1430" i="2"/>
  <c r="R1429" i="2"/>
  <c r="R1428" i="2"/>
  <c r="R1427" i="2"/>
  <c r="R1426" i="2"/>
  <c r="R1425" i="2"/>
  <c r="R1424" i="2"/>
  <c r="R1423" i="2"/>
  <c r="R1422" i="2"/>
  <c r="R1421" i="2"/>
  <c r="R1420" i="2"/>
  <c r="R1419" i="2"/>
  <c r="R1418" i="2"/>
  <c r="R1417" i="2"/>
  <c r="R1416" i="2"/>
  <c r="R1415" i="2"/>
  <c r="R1414" i="2"/>
  <c r="R1413" i="2"/>
  <c r="R1412" i="2"/>
  <c r="R1411" i="2"/>
  <c r="R1410" i="2"/>
  <c r="R1409" i="2"/>
  <c r="R1408" i="2"/>
  <c r="R1407" i="2"/>
  <c r="R1406" i="2"/>
  <c r="R1405" i="2"/>
  <c r="R1404" i="2"/>
  <c r="R1403" i="2"/>
  <c r="R1402" i="2"/>
  <c r="R1401" i="2"/>
  <c r="R1400" i="2"/>
  <c r="R1399" i="2"/>
  <c r="R1398" i="2"/>
  <c r="R1397" i="2"/>
  <c r="R1396" i="2"/>
  <c r="R1395" i="2"/>
  <c r="R1394" i="2"/>
  <c r="R1393" i="2"/>
  <c r="R1392" i="2"/>
  <c r="R1391" i="2"/>
  <c r="R1390" i="2"/>
  <c r="R1389" i="2"/>
  <c r="R1388" i="2"/>
  <c r="R1387" i="2"/>
  <c r="R1386" i="2"/>
  <c r="R1385" i="2"/>
  <c r="R1384" i="2"/>
  <c r="R1383" i="2"/>
  <c r="R1382" i="2"/>
  <c r="R1381" i="2"/>
  <c r="R1380" i="2"/>
  <c r="R1379" i="2"/>
  <c r="R1378" i="2"/>
  <c r="R1377" i="2"/>
  <c r="R1376" i="2"/>
  <c r="R1375" i="2"/>
  <c r="R1374" i="2"/>
  <c r="R1373" i="2"/>
  <c r="R1372" i="2"/>
  <c r="R1371" i="2"/>
  <c r="R1370" i="2"/>
  <c r="R1369" i="2"/>
  <c r="R1368" i="2"/>
  <c r="R1367" i="2"/>
  <c r="R1366" i="2"/>
  <c r="R1365" i="2"/>
  <c r="R1364" i="2"/>
  <c r="R1363" i="2"/>
  <c r="R1362" i="2"/>
  <c r="R1361" i="2"/>
  <c r="R1360" i="2"/>
  <c r="R1359" i="2"/>
  <c r="R1358" i="2"/>
  <c r="R1357" i="2"/>
  <c r="R1356" i="2"/>
  <c r="R1355" i="2"/>
  <c r="R1354" i="2"/>
  <c r="R1353" i="2"/>
  <c r="R1352" i="2"/>
  <c r="R1351" i="2"/>
  <c r="R1350" i="2"/>
  <c r="R1349" i="2"/>
  <c r="R1348" i="2"/>
  <c r="R1347" i="2"/>
  <c r="R1346" i="2"/>
  <c r="R1345" i="2"/>
  <c r="R1344" i="2"/>
  <c r="R1343" i="2"/>
  <c r="R1342" i="2"/>
  <c r="R1341" i="2"/>
  <c r="R1340" i="2"/>
  <c r="R1339" i="2"/>
  <c r="R1338" i="2"/>
  <c r="R1337" i="2"/>
  <c r="R1336" i="2"/>
  <c r="R1335" i="2"/>
  <c r="R1334" i="2"/>
  <c r="R1333" i="2"/>
  <c r="R1332" i="2"/>
  <c r="R1331" i="2"/>
  <c r="R1330" i="2"/>
  <c r="R1329" i="2"/>
  <c r="R1328" i="2"/>
  <c r="R1327" i="2"/>
  <c r="R1326" i="2"/>
  <c r="R1325" i="2"/>
  <c r="R1324" i="2"/>
  <c r="R1323" i="2"/>
  <c r="R1322" i="2"/>
  <c r="R1321" i="2"/>
  <c r="R1320" i="2"/>
  <c r="R1319" i="2"/>
  <c r="R1318" i="2"/>
  <c r="R1317" i="2"/>
  <c r="R1316" i="2"/>
  <c r="R1315" i="2"/>
  <c r="R1314" i="2"/>
  <c r="R1313" i="2"/>
  <c r="R1312" i="2"/>
  <c r="R1311" i="2"/>
  <c r="R1310" i="2"/>
  <c r="R1309" i="2"/>
  <c r="R1308" i="2"/>
  <c r="R1307" i="2"/>
  <c r="R1306" i="2"/>
  <c r="R1305" i="2"/>
  <c r="R1304" i="2"/>
  <c r="R1303" i="2"/>
  <c r="R1302" i="2"/>
  <c r="R1301" i="2"/>
  <c r="R1300" i="2"/>
  <c r="R1299" i="2"/>
  <c r="R1298" i="2"/>
  <c r="R1297" i="2"/>
  <c r="R1296" i="2"/>
  <c r="R1295" i="2"/>
  <c r="R1294" i="2"/>
  <c r="R1293" i="2"/>
  <c r="R1292" i="2"/>
  <c r="R1291" i="2"/>
  <c r="R1290" i="2"/>
  <c r="R1289" i="2"/>
  <c r="R1288" i="2"/>
  <c r="R1287" i="2"/>
  <c r="R1286" i="2"/>
  <c r="R1285" i="2"/>
  <c r="R1284" i="2"/>
  <c r="R1283" i="2"/>
  <c r="R1282" i="2"/>
  <c r="R1281" i="2"/>
  <c r="R1280" i="2"/>
  <c r="R1279" i="2"/>
  <c r="R1278" i="2"/>
  <c r="R1277" i="2"/>
  <c r="R1276" i="2"/>
  <c r="R1275" i="2"/>
  <c r="R1274" i="2"/>
  <c r="R1273" i="2"/>
  <c r="R1272" i="2"/>
  <c r="R1271" i="2"/>
  <c r="R1270" i="2"/>
  <c r="R1269" i="2"/>
  <c r="R1268" i="2"/>
  <c r="R1267" i="2"/>
  <c r="R1266" i="2"/>
  <c r="R1265" i="2"/>
  <c r="R1264" i="2"/>
  <c r="R1263" i="2"/>
  <c r="R1262" i="2"/>
  <c r="R1261" i="2"/>
  <c r="R1260" i="2"/>
  <c r="R1259" i="2"/>
  <c r="R1258" i="2"/>
  <c r="R1257" i="2"/>
  <c r="R1256" i="2"/>
  <c r="R1255" i="2"/>
  <c r="R1254" i="2"/>
  <c r="R1253" i="2"/>
  <c r="R1252" i="2"/>
  <c r="R1251" i="2"/>
  <c r="R1250" i="2"/>
  <c r="R1249" i="2"/>
  <c r="R1248" i="2"/>
  <c r="R1247" i="2"/>
  <c r="R1246" i="2"/>
  <c r="R1245" i="2"/>
  <c r="R1244" i="2"/>
  <c r="R1243" i="2"/>
  <c r="R1242" i="2"/>
  <c r="R1241" i="2"/>
  <c r="R1240" i="2"/>
  <c r="R1239" i="2"/>
  <c r="R1238" i="2"/>
  <c r="R1237" i="2"/>
  <c r="R1236" i="2"/>
  <c r="R1235" i="2"/>
  <c r="R1234" i="2"/>
  <c r="R1233" i="2"/>
  <c r="R1232" i="2"/>
  <c r="R1231" i="2"/>
  <c r="R1230" i="2"/>
  <c r="R1229" i="2"/>
  <c r="R1228" i="2"/>
  <c r="R1227" i="2"/>
  <c r="R1226" i="2"/>
  <c r="R1225" i="2"/>
  <c r="R1224" i="2"/>
  <c r="R1223" i="2"/>
  <c r="R1222" i="2"/>
  <c r="R1221" i="2"/>
  <c r="R1220" i="2"/>
  <c r="R1219" i="2"/>
  <c r="R1218" i="2"/>
  <c r="R1217" i="2"/>
  <c r="R1216" i="2"/>
  <c r="R1215" i="2"/>
  <c r="R1214" i="2"/>
  <c r="R1213" i="2"/>
  <c r="R1212" i="2"/>
  <c r="R1211" i="2"/>
  <c r="R1210" i="2"/>
  <c r="R1209" i="2"/>
  <c r="R1208" i="2"/>
  <c r="R1207" i="2"/>
  <c r="R1206" i="2"/>
  <c r="R1205" i="2"/>
  <c r="R1204" i="2"/>
  <c r="R1203" i="2"/>
  <c r="R1202" i="2"/>
  <c r="R1201" i="2"/>
  <c r="R1200" i="2"/>
  <c r="R1199" i="2"/>
  <c r="R1198" i="2"/>
  <c r="R1197" i="2"/>
  <c r="R1196" i="2"/>
  <c r="R1195" i="2"/>
  <c r="R1194" i="2"/>
  <c r="R1193" i="2"/>
  <c r="R1192" i="2"/>
  <c r="R1191" i="2"/>
  <c r="R1190" i="2"/>
  <c r="R1189" i="2"/>
  <c r="R1188" i="2"/>
  <c r="R1187" i="2"/>
  <c r="R1186" i="2"/>
  <c r="R1185" i="2"/>
  <c r="R1184" i="2"/>
  <c r="R1183" i="2"/>
  <c r="R1182" i="2"/>
  <c r="R1181" i="2"/>
  <c r="R1180" i="2"/>
  <c r="R1179" i="2"/>
  <c r="R1178" i="2"/>
  <c r="R1177" i="2"/>
  <c r="R1176" i="2"/>
  <c r="R1175" i="2"/>
  <c r="R1174" i="2"/>
  <c r="R1173" i="2"/>
  <c r="R1172" i="2"/>
  <c r="R1171" i="2"/>
  <c r="R1170" i="2"/>
  <c r="R1169" i="2"/>
  <c r="R1168" i="2"/>
  <c r="R1167" i="2"/>
  <c r="R1166" i="2"/>
  <c r="R1165" i="2"/>
  <c r="R1164" i="2"/>
  <c r="R1163" i="2"/>
  <c r="R1162" i="2"/>
  <c r="R1161" i="2"/>
  <c r="R1160" i="2"/>
  <c r="R1159" i="2"/>
  <c r="R1158" i="2"/>
  <c r="R1157" i="2"/>
  <c r="R1156" i="2"/>
  <c r="R1155" i="2"/>
  <c r="R1154" i="2"/>
  <c r="R1153" i="2"/>
  <c r="R1152" i="2"/>
  <c r="R1151" i="2"/>
  <c r="R1150" i="2"/>
  <c r="R1149" i="2"/>
  <c r="R1148" i="2"/>
  <c r="R1147" i="2"/>
  <c r="R1146" i="2"/>
  <c r="R1145" i="2"/>
  <c r="R1144" i="2"/>
  <c r="R1143" i="2"/>
  <c r="R1142" i="2"/>
  <c r="R1141" i="2"/>
  <c r="R1140" i="2"/>
  <c r="R1139" i="2"/>
  <c r="R1138" i="2"/>
  <c r="R1137" i="2"/>
  <c r="R1136" i="2"/>
  <c r="R1135" i="2"/>
  <c r="R1134" i="2"/>
  <c r="R1133" i="2"/>
  <c r="R1132" i="2"/>
  <c r="R1131" i="2"/>
  <c r="R1130" i="2"/>
  <c r="R1129" i="2"/>
  <c r="R1128" i="2"/>
  <c r="R1127" i="2"/>
  <c r="R1126" i="2"/>
  <c r="R1125" i="2"/>
  <c r="R1124" i="2"/>
  <c r="R1123" i="2"/>
  <c r="R1122" i="2"/>
  <c r="R1121" i="2"/>
  <c r="R1120" i="2"/>
  <c r="R1119" i="2"/>
  <c r="R1118" i="2"/>
  <c r="R1117" i="2"/>
  <c r="R1116" i="2"/>
  <c r="R1115" i="2"/>
  <c r="R1114" i="2"/>
  <c r="R1113" i="2"/>
  <c r="R1112" i="2"/>
  <c r="R1111" i="2"/>
  <c r="R1110" i="2"/>
  <c r="R1109" i="2"/>
  <c r="R1108" i="2"/>
  <c r="R1107" i="2"/>
  <c r="R1106" i="2"/>
  <c r="R1105" i="2"/>
  <c r="R1104" i="2"/>
  <c r="R1103" i="2"/>
  <c r="R1102" i="2"/>
  <c r="R1101" i="2"/>
  <c r="R1100" i="2"/>
  <c r="R1099" i="2"/>
  <c r="R1098" i="2"/>
  <c r="R1097" i="2"/>
  <c r="R1096" i="2"/>
  <c r="R1095" i="2"/>
  <c r="R1094" i="2"/>
  <c r="R1093" i="2"/>
  <c r="R1092" i="2"/>
  <c r="R1091" i="2"/>
  <c r="R1090" i="2"/>
  <c r="R1089" i="2"/>
  <c r="R1088" i="2"/>
  <c r="R1087" i="2"/>
  <c r="R1086" i="2"/>
  <c r="R1085" i="2"/>
  <c r="R1084" i="2"/>
  <c r="R1083" i="2"/>
  <c r="R1082" i="2"/>
  <c r="R1081" i="2"/>
  <c r="R1080" i="2"/>
  <c r="R1079" i="2"/>
  <c r="R1078" i="2"/>
  <c r="R1077" i="2"/>
  <c r="R1076" i="2"/>
  <c r="R1075" i="2"/>
  <c r="R1074" i="2"/>
  <c r="R1073" i="2"/>
  <c r="R1072" i="2"/>
  <c r="R1071" i="2"/>
  <c r="R1070" i="2"/>
  <c r="R1069" i="2"/>
  <c r="R1068" i="2"/>
  <c r="R1067" i="2"/>
  <c r="R1066" i="2"/>
  <c r="R1065" i="2"/>
  <c r="R1064" i="2"/>
  <c r="R1063" i="2"/>
  <c r="R1062" i="2"/>
  <c r="R1061" i="2"/>
  <c r="R1060" i="2"/>
  <c r="R1059" i="2"/>
  <c r="R1058" i="2"/>
  <c r="R1057" i="2"/>
  <c r="R1056" i="2"/>
  <c r="R1055" i="2"/>
  <c r="R1054" i="2"/>
  <c r="R1053" i="2"/>
  <c r="R1052" i="2"/>
  <c r="R1051" i="2"/>
  <c r="R1050" i="2"/>
  <c r="R1049" i="2"/>
  <c r="R1048" i="2"/>
  <c r="R1047" i="2"/>
  <c r="R1046" i="2"/>
  <c r="R1045" i="2"/>
  <c r="R1044" i="2"/>
  <c r="R1043" i="2"/>
  <c r="R1042" i="2"/>
  <c r="R1041" i="2"/>
  <c r="R1040" i="2"/>
  <c r="R1039" i="2"/>
  <c r="R1038" i="2"/>
  <c r="R1037" i="2"/>
  <c r="R1036" i="2"/>
  <c r="R1035" i="2"/>
  <c r="R1034" i="2"/>
  <c r="R1033" i="2"/>
  <c r="R1032" i="2"/>
  <c r="R1031" i="2"/>
  <c r="R1030" i="2"/>
  <c r="R1029" i="2"/>
  <c r="R1028" i="2"/>
  <c r="R1027" i="2"/>
  <c r="R1026" i="2"/>
  <c r="R1025" i="2"/>
  <c r="R1024" i="2"/>
  <c r="R1023" i="2"/>
  <c r="R1022" i="2"/>
  <c r="R1021" i="2"/>
  <c r="R1020" i="2"/>
  <c r="R1019" i="2"/>
  <c r="R1018" i="2"/>
  <c r="R1017" i="2"/>
  <c r="R1016" i="2"/>
  <c r="R1015" i="2"/>
  <c r="R1014" i="2"/>
  <c r="R1013" i="2"/>
  <c r="R1012" i="2"/>
  <c r="R1011" i="2"/>
  <c r="R1010" i="2"/>
  <c r="R1009" i="2"/>
  <c r="R1008" i="2"/>
  <c r="R1007" i="2"/>
  <c r="R1006" i="2"/>
  <c r="R1005" i="2"/>
  <c r="R1004" i="2"/>
  <c r="R1003" i="2"/>
  <c r="R1002" i="2"/>
  <c r="R1001" i="2"/>
  <c r="R1000" i="2"/>
  <c r="R999" i="2"/>
  <c r="R998" i="2"/>
  <c r="R997" i="2"/>
  <c r="R996" i="2"/>
  <c r="R995" i="2"/>
  <c r="R994" i="2"/>
  <c r="R993" i="2"/>
  <c r="R992" i="2"/>
  <c r="R991" i="2"/>
  <c r="R990" i="2"/>
  <c r="R989" i="2"/>
  <c r="R988" i="2"/>
  <c r="R987" i="2"/>
  <c r="R986" i="2"/>
  <c r="R985" i="2"/>
  <c r="R984" i="2"/>
  <c r="R983" i="2"/>
  <c r="R982" i="2"/>
  <c r="R981" i="2"/>
  <c r="R980" i="2"/>
  <c r="R979" i="2"/>
  <c r="R978" i="2"/>
  <c r="R977" i="2"/>
  <c r="R976" i="2"/>
  <c r="R975" i="2"/>
  <c r="R974" i="2"/>
  <c r="R973" i="2"/>
  <c r="R972" i="2"/>
  <c r="R971" i="2"/>
  <c r="R970" i="2"/>
  <c r="R969" i="2"/>
  <c r="R968" i="2"/>
  <c r="R967" i="2"/>
  <c r="R966" i="2"/>
  <c r="R965" i="2"/>
  <c r="R964" i="2"/>
  <c r="R963" i="2"/>
  <c r="R962" i="2"/>
  <c r="R961" i="2"/>
  <c r="R960" i="2"/>
  <c r="R959" i="2"/>
  <c r="R958" i="2"/>
  <c r="R957" i="2"/>
  <c r="R956" i="2"/>
  <c r="R955" i="2"/>
  <c r="R954" i="2"/>
  <c r="R953" i="2"/>
  <c r="R952" i="2"/>
  <c r="R951" i="2"/>
  <c r="R950" i="2"/>
  <c r="R949" i="2"/>
  <c r="R948" i="2"/>
  <c r="R947" i="2"/>
  <c r="R946" i="2"/>
  <c r="R945" i="2"/>
  <c r="R944" i="2"/>
  <c r="R943" i="2"/>
  <c r="R942" i="2"/>
  <c r="R941" i="2"/>
  <c r="R940" i="2"/>
  <c r="R939" i="2"/>
  <c r="R938" i="2"/>
  <c r="R937" i="2"/>
  <c r="R936" i="2"/>
  <c r="R935" i="2"/>
  <c r="R934" i="2"/>
  <c r="R933" i="2"/>
  <c r="R932" i="2"/>
  <c r="R931" i="2"/>
  <c r="R930" i="2"/>
  <c r="R929" i="2"/>
  <c r="R928" i="2"/>
  <c r="R927" i="2"/>
  <c r="R926" i="2"/>
  <c r="R925" i="2"/>
  <c r="R924" i="2"/>
  <c r="R923" i="2"/>
  <c r="R922" i="2"/>
  <c r="R921" i="2"/>
  <c r="R920" i="2"/>
  <c r="R919" i="2"/>
  <c r="R918" i="2"/>
  <c r="R917" i="2"/>
  <c r="R916" i="2"/>
  <c r="R915" i="2"/>
  <c r="R914" i="2"/>
  <c r="R913" i="2"/>
  <c r="R912" i="2"/>
  <c r="R911" i="2"/>
  <c r="R910" i="2"/>
  <c r="R909" i="2"/>
  <c r="R908" i="2"/>
  <c r="R907" i="2"/>
  <c r="R906" i="2"/>
  <c r="R905" i="2"/>
  <c r="R904" i="2"/>
  <c r="R903" i="2"/>
  <c r="R902" i="2"/>
  <c r="R901" i="2"/>
  <c r="R900" i="2"/>
  <c r="R899" i="2"/>
  <c r="R898" i="2"/>
  <c r="R897" i="2"/>
  <c r="R896" i="2"/>
  <c r="R895" i="2"/>
  <c r="R894" i="2"/>
  <c r="R893" i="2"/>
  <c r="R892" i="2"/>
  <c r="R891" i="2"/>
  <c r="R890" i="2"/>
  <c r="R889" i="2"/>
  <c r="R888" i="2"/>
  <c r="R887" i="2"/>
  <c r="R886" i="2"/>
  <c r="R885" i="2"/>
  <c r="R884" i="2"/>
  <c r="R883" i="2"/>
  <c r="R882" i="2"/>
  <c r="R881" i="2"/>
  <c r="R880" i="2"/>
  <c r="R879" i="2"/>
  <c r="R878" i="2"/>
  <c r="R877" i="2"/>
  <c r="R876" i="2"/>
  <c r="R875" i="2"/>
  <c r="R874" i="2"/>
  <c r="R873" i="2"/>
  <c r="R872" i="2"/>
  <c r="R871" i="2"/>
  <c r="R870" i="2"/>
  <c r="R869" i="2"/>
  <c r="R868" i="2"/>
  <c r="R867" i="2"/>
  <c r="R866" i="2"/>
  <c r="R865" i="2"/>
  <c r="R864" i="2"/>
  <c r="R863" i="2"/>
  <c r="R862" i="2"/>
  <c r="R861" i="2"/>
  <c r="R860" i="2"/>
  <c r="R859" i="2"/>
  <c r="R858" i="2"/>
  <c r="R857" i="2"/>
  <c r="R856" i="2"/>
  <c r="R855" i="2"/>
  <c r="R854" i="2"/>
  <c r="R853" i="2"/>
  <c r="R852" i="2"/>
  <c r="R851" i="2"/>
  <c r="R850" i="2"/>
  <c r="R849" i="2"/>
  <c r="R848" i="2"/>
  <c r="R847" i="2"/>
  <c r="R846" i="2"/>
  <c r="R845" i="2"/>
  <c r="R844" i="2"/>
  <c r="R843" i="2"/>
  <c r="R842" i="2"/>
  <c r="R841" i="2"/>
  <c r="R840" i="2"/>
  <c r="R839" i="2"/>
  <c r="R838" i="2"/>
  <c r="R837" i="2"/>
  <c r="R836" i="2"/>
  <c r="R835" i="2"/>
  <c r="R834" i="2"/>
  <c r="R833" i="2"/>
  <c r="R832" i="2"/>
  <c r="R831" i="2"/>
  <c r="R830" i="2"/>
  <c r="R829" i="2"/>
  <c r="R828" i="2"/>
  <c r="R827" i="2"/>
  <c r="R826" i="2"/>
  <c r="R825" i="2"/>
  <c r="R824" i="2"/>
  <c r="R823" i="2"/>
  <c r="R822" i="2"/>
  <c r="R821" i="2"/>
  <c r="R820" i="2"/>
  <c r="R819" i="2"/>
  <c r="R818" i="2"/>
  <c r="R817" i="2"/>
  <c r="R816" i="2"/>
  <c r="R815" i="2"/>
  <c r="R814" i="2"/>
  <c r="R813" i="2"/>
  <c r="R812" i="2"/>
  <c r="R811" i="2"/>
  <c r="R810" i="2"/>
  <c r="R809" i="2"/>
  <c r="R808" i="2"/>
  <c r="R807" i="2"/>
  <c r="R806" i="2"/>
  <c r="R805" i="2"/>
  <c r="R804" i="2"/>
  <c r="R803" i="2"/>
  <c r="R802" i="2"/>
  <c r="R801" i="2"/>
  <c r="R800" i="2"/>
  <c r="R799" i="2"/>
  <c r="R798" i="2"/>
  <c r="R797" i="2"/>
  <c r="R796" i="2"/>
  <c r="R795" i="2"/>
  <c r="R794" i="2"/>
  <c r="R793" i="2"/>
  <c r="R792" i="2"/>
  <c r="R791" i="2"/>
  <c r="R790" i="2"/>
  <c r="R789" i="2"/>
  <c r="R788" i="2"/>
  <c r="R787" i="2"/>
  <c r="R786" i="2"/>
  <c r="R785" i="2"/>
  <c r="R784" i="2"/>
  <c r="R783" i="2"/>
  <c r="R782" i="2"/>
  <c r="R781" i="2"/>
  <c r="R780" i="2"/>
  <c r="R779" i="2"/>
  <c r="R778" i="2"/>
  <c r="R777" i="2"/>
  <c r="R776" i="2"/>
  <c r="R775" i="2"/>
  <c r="R774" i="2"/>
  <c r="R773" i="2"/>
  <c r="R772" i="2"/>
  <c r="R771" i="2"/>
  <c r="R770" i="2"/>
  <c r="R769" i="2"/>
  <c r="R768" i="2"/>
  <c r="R767" i="2"/>
  <c r="R766" i="2"/>
  <c r="R765" i="2"/>
  <c r="R764" i="2"/>
  <c r="R763" i="2"/>
  <c r="R762" i="2"/>
  <c r="R761" i="2"/>
  <c r="R760" i="2"/>
  <c r="R759" i="2"/>
  <c r="R758" i="2"/>
  <c r="R757" i="2"/>
  <c r="R756" i="2"/>
  <c r="R755" i="2"/>
  <c r="R754" i="2"/>
  <c r="R753" i="2"/>
  <c r="R752" i="2"/>
  <c r="R751" i="2"/>
  <c r="R750" i="2"/>
  <c r="R749" i="2"/>
  <c r="R748" i="2"/>
  <c r="R747" i="2"/>
  <c r="R746" i="2"/>
  <c r="R745" i="2"/>
  <c r="R744" i="2"/>
  <c r="R743" i="2"/>
  <c r="R742" i="2"/>
  <c r="R741" i="2"/>
  <c r="R740" i="2"/>
  <c r="R739" i="2"/>
  <c r="R738" i="2"/>
  <c r="R737" i="2"/>
  <c r="R736" i="2"/>
  <c r="R735" i="2"/>
  <c r="R734" i="2"/>
  <c r="R733" i="2"/>
  <c r="R732" i="2"/>
  <c r="R731" i="2"/>
  <c r="R730" i="2"/>
  <c r="R729" i="2"/>
  <c r="R728" i="2"/>
  <c r="R727" i="2"/>
  <c r="R726" i="2"/>
  <c r="R725" i="2"/>
  <c r="R724" i="2"/>
  <c r="R723" i="2"/>
  <c r="R722" i="2"/>
  <c r="R721" i="2"/>
  <c r="R720" i="2"/>
  <c r="R719" i="2"/>
  <c r="R718" i="2"/>
  <c r="R717" i="2"/>
  <c r="R716" i="2"/>
  <c r="R715" i="2"/>
  <c r="R714" i="2"/>
  <c r="R713" i="2"/>
  <c r="R712" i="2"/>
  <c r="R711" i="2"/>
  <c r="R710" i="2"/>
  <c r="R709" i="2"/>
  <c r="R708" i="2"/>
  <c r="R707" i="2"/>
  <c r="R706" i="2"/>
  <c r="R705" i="2"/>
  <c r="R704" i="2"/>
  <c r="R703" i="2"/>
  <c r="R702" i="2"/>
  <c r="R701" i="2"/>
  <c r="R700" i="2"/>
  <c r="R699" i="2"/>
  <c r="R698" i="2"/>
  <c r="R697" i="2"/>
  <c r="R696" i="2"/>
  <c r="R695" i="2"/>
  <c r="R694" i="2"/>
  <c r="R693" i="2"/>
  <c r="R692" i="2"/>
  <c r="R691" i="2"/>
  <c r="R690" i="2"/>
  <c r="R689" i="2"/>
  <c r="R688" i="2"/>
  <c r="R687" i="2"/>
  <c r="R686" i="2"/>
  <c r="R685" i="2"/>
  <c r="R684" i="2"/>
  <c r="R683" i="2"/>
  <c r="R682" i="2"/>
  <c r="R681" i="2"/>
  <c r="R680" i="2"/>
  <c r="R679" i="2"/>
  <c r="R678" i="2"/>
  <c r="R677" i="2"/>
  <c r="R676" i="2"/>
  <c r="R675" i="2"/>
  <c r="R674" i="2"/>
  <c r="R673" i="2"/>
  <c r="R672" i="2"/>
  <c r="R671" i="2"/>
  <c r="R670" i="2"/>
  <c r="R669" i="2"/>
  <c r="R668" i="2"/>
  <c r="R667" i="2"/>
  <c r="R666" i="2"/>
  <c r="R665" i="2"/>
  <c r="R664" i="2"/>
  <c r="R663" i="2"/>
  <c r="R662" i="2"/>
  <c r="R661" i="2"/>
  <c r="R660" i="2"/>
  <c r="R659" i="2"/>
  <c r="R658" i="2"/>
  <c r="R657" i="2"/>
  <c r="R656" i="2"/>
  <c r="R655" i="2"/>
  <c r="R654" i="2"/>
  <c r="R653" i="2"/>
  <c r="R652" i="2"/>
  <c r="R651" i="2"/>
  <c r="R650" i="2"/>
  <c r="R649" i="2"/>
  <c r="R648" i="2"/>
  <c r="R647" i="2"/>
  <c r="R646" i="2"/>
  <c r="R645" i="2"/>
  <c r="R644" i="2"/>
  <c r="R643" i="2"/>
  <c r="R642" i="2"/>
  <c r="R641" i="2"/>
  <c r="R640" i="2"/>
  <c r="R639" i="2"/>
  <c r="R638" i="2"/>
  <c r="R637" i="2"/>
  <c r="R636" i="2"/>
  <c r="R635" i="2"/>
  <c r="R634" i="2"/>
  <c r="R633" i="2"/>
  <c r="R632" i="2"/>
  <c r="R631" i="2"/>
  <c r="R630" i="2"/>
  <c r="R629" i="2"/>
  <c r="R628" i="2"/>
  <c r="R627" i="2"/>
  <c r="R626" i="2"/>
  <c r="R625" i="2"/>
  <c r="R624" i="2"/>
  <c r="R623" i="2"/>
  <c r="R622" i="2"/>
  <c r="R621" i="2"/>
  <c r="R620" i="2"/>
  <c r="R619" i="2"/>
  <c r="R618" i="2"/>
  <c r="R617" i="2"/>
  <c r="R616" i="2"/>
  <c r="R615" i="2"/>
  <c r="R614" i="2"/>
  <c r="R613" i="2"/>
  <c r="R612" i="2"/>
  <c r="R611" i="2"/>
  <c r="R610" i="2"/>
  <c r="R609" i="2"/>
  <c r="R608" i="2"/>
  <c r="R607" i="2"/>
  <c r="R606" i="2"/>
  <c r="R605" i="2"/>
  <c r="R604" i="2"/>
  <c r="R603" i="2"/>
  <c r="R602" i="2"/>
  <c r="R601" i="2"/>
  <c r="R600" i="2"/>
  <c r="R599" i="2"/>
  <c r="R598" i="2"/>
  <c r="R597" i="2"/>
  <c r="R596" i="2"/>
  <c r="R595" i="2"/>
  <c r="R594" i="2"/>
  <c r="R593" i="2"/>
  <c r="R592" i="2"/>
  <c r="R591" i="2"/>
  <c r="R590" i="2"/>
  <c r="R589" i="2"/>
  <c r="R588" i="2"/>
  <c r="R587" i="2"/>
  <c r="R586" i="2"/>
  <c r="R585" i="2"/>
  <c r="R584" i="2"/>
  <c r="R583" i="2"/>
  <c r="R582" i="2"/>
  <c r="R581" i="2"/>
  <c r="R580" i="2"/>
  <c r="R579" i="2"/>
  <c r="R578" i="2"/>
  <c r="R577" i="2"/>
  <c r="R576" i="2"/>
  <c r="R575" i="2"/>
  <c r="R574" i="2"/>
  <c r="R573" i="2"/>
  <c r="R572" i="2"/>
  <c r="R571" i="2"/>
  <c r="R570" i="2"/>
  <c r="R569" i="2"/>
  <c r="R568" i="2"/>
  <c r="R567" i="2"/>
  <c r="R566" i="2"/>
  <c r="R565" i="2"/>
  <c r="R564" i="2"/>
  <c r="R563" i="2"/>
  <c r="R562" i="2"/>
  <c r="R561" i="2"/>
  <c r="R560" i="2"/>
  <c r="R559" i="2"/>
  <c r="R558" i="2"/>
  <c r="R557" i="2"/>
  <c r="R556" i="2"/>
  <c r="R555" i="2"/>
  <c r="R554" i="2"/>
  <c r="R553" i="2"/>
  <c r="R552" i="2"/>
  <c r="R551" i="2"/>
  <c r="R550" i="2"/>
  <c r="R549" i="2"/>
  <c r="R548" i="2"/>
  <c r="R547" i="2"/>
  <c r="R546" i="2"/>
  <c r="R545" i="2"/>
  <c r="R544" i="2"/>
  <c r="R543" i="2"/>
  <c r="R542" i="2"/>
  <c r="R541" i="2"/>
  <c r="R540" i="2"/>
  <c r="R539" i="2"/>
  <c r="R538" i="2"/>
  <c r="R537" i="2"/>
  <c r="R536" i="2"/>
  <c r="R535" i="2"/>
  <c r="R534" i="2"/>
  <c r="R533" i="2"/>
  <c r="R532" i="2"/>
  <c r="R531" i="2"/>
  <c r="R530" i="2"/>
  <c r="R529" i="2"/>
  <c r="R528" i="2"/>
  <c r="R527" i="2"/>
  <c r="R526" i="2"/>
  <c r="R525" i="2"/>
  <c r="R524" i="2"/>
  <c r="R523" i="2"/>
  <c r="R522" i="2"/>
  <c r="R521" i="2"/>
  <c r="R520" i="2"/>
  <c r="R519" i="2"/>
  <c r="R518" i="2"/>
  <c r="R517" i="2"/>
  <c r="R516" i="2"/>
  <c r="R515" i="2"/>
  <c r="R514" i="2"/>
  <c r="R513" i="2"/>
  <c r="R512" i="2"/>
  <c r="R511" i="2"/>
  <c r="R510" i="2"/>
  <c r="R509" i="2"/>
  <c r="R508" i="2"/>
  <c r="R507" i="2"/>
  <c r="R506" i="2"/>
  <c r="R505" i="2"/>
  <c r="R504" i="2"/>
  <c r="R503" i="2"/>
  <c r="R502" i="2"/>
  <c r="R501" i="2"/>
  <c r="R500" i="2"/>
  <c r="R499" i="2"/>
  <c r="R498" i="2"/>
  <c r="R497" i="2"/>
  <c r="R496" i="2"/>
  <c r="R495" i="2"/>
  <c r="R494" i="2"/>
  <c r="R493" i="2"/>
  <c r="R492" i="2"/>
  <c r="R491" i="2"/>
  <c r="R490" i="2"/>
  <c r="R489" i="2"/>
  <c r="R488" i="2"/>
  <c r="R487" i="2"/>
  <c r="R486" i="2"/>
  <c r="R485" i="2"/>
  <c r="R484" i="2"/>
  <c r="R483" i="2"/>
  <c r="R482" i="2"/>
  <c r="R481" i="2"/>
  <c r="R480" i="2"/>
  <c r="R479" i="2"/>
  <c r="R478" i="2"/>
  <c r="R477" i="2"/>
  <c r="R476" i="2"/>
  <c r="R475" i="2"/>
  <c r="R474" i="2"/>
  <c r="R473" i="2"/>
  <c r="R472" i="2"/>
  <c r="R471" i="2"/>
  <c r="R470" i="2"/>
  <c r="R469" i="2"/>
  <c r="R468" i="2"/>
  <c r="R467" i="2"/>
  <c r="R466" i="2"/>
  <c r="R465" i="2"/>
  <c r="R464" i="2"/>
  <c r="R463" i="2"/>
  <c r="R462" i="2"/>
  <c r="R461" i="2"/>
  <c r="R460" i="2"/>
  <c r="R459" i="2"/>
  <c r="R458" i="2"/>
  <c r="R457" i="2"/>
  <c r="R456" i="2"/>
  <c r="R455" i="2"/>
  <c r="R454" i="2"/>
  <c r="R453" i="2"/>
  <c r="R452" i="2"/>
  <c r="R451" i="2"/>
  <c r="R450" i="2"/>
  <c r="R449" i="2"/>
  <c r="R448" i="2"/>
  <c r="R447" i="2"/>
  <c r="R446" i="2"/>
  <c r="R445" i="2"/>
  <c r="R444" i="2"/>
  <c r="R443" i="2"/>
  <c r="R442" i="2"/>
  <c r="R441" i="2"/>
  <c r="R440" i="2"/>
  <c r="R439" i="2"/>
  <c r="R438" i="2"/>
  <c r="R437" i="2"/>
  <c r="R436" i="2"/>
  <c r="R435" i="2"/>
  <c r="R434" i="2"/>
  <c r="R433" i="2"/>
  <c r="R432" i="2"/>
  <c r="R431" i="2"/>
  <c r="R430" i="2"/>
  <c r="R429" i="2"/>
  <c r="R428" i="2"/>
  <c r="R427" i="2"/>
  <c r="R426" i="2"/>
  <c r="R425" i="2"/>
  <c r="R424" i="2"/>
  <c r="R423" i="2"/>
  <c r="R422" i="2"/>
  <c r="R421" i="2"/>
  <c r="R420" i="2"/>
  <c r="R419" i="2"/>
  <c r="R418" i="2"/>
  <c r="R417" i="2"/>
  <c r="R416" i="2"/>
  <c r="R415" i="2"/>
  <c r="R414" i="2"/>
  <c r="R413" i="2"/>
  <c r="R412" i="2"/>
  <c r="R411" i="2"/>
  <c r="R410" i="2"/>
  <c r="R409" i="2"/>
  <c r="R408" i="2"/>
  <c r="R407" i="2"/>
  <c r="R406" i="2"/>
  <c r="R405" i="2"/>
  <c r="R404" i="2"/>
  <c r="R403" i="2"/>
  <c r="R402" i="2"/>
  <c r="R401" i="2"/>
  <c r="R400" i="2"/>
  <c r="R399" i="2"/>
  <c r="R398" i="2"/>
  <c r="R397" i="2"/>
  <c r="R396" i="2"/>
  <c r="R395" i="2"/>
  <c r="R394" i="2"/>
  <c r="R393" i="2"/>
  <c r="R392" i="2"/>
  <c r="R391" i="2"/>
  <c r="R390" i="2"/>
  <c r="R389" i="2"/>
  <c r="R388" i="2"/>
  <c r="R387" i="2"/>
  <c r="R386" i="2"/>
  <c r="R385" i="2"/>
  <c r="R384" i="2"/>
  <c r="R383" i="2"/>
  <c r="R382" i="2"/>
  <c r="R381" i="2"/>
  <c r="R380" i="2"/>
  <c r="R379" i="2"/>
  <c r="R378" i="2"/>
  <c r="R377" i="2"/>
  <c r="R376" i="2"/>
  <c r="R375" i="2"/>
  <c r="R374" i="2"/>
  <c r="R373" i="2"/>
  <c r="R372" i="2"/>
  <c r="R371" i="2"/>
  <c r="R370" i="2"/>
  <c r="R369" i="2"/>
  <c r="R368" i="2"/>
  <c r="R367" i="2"/>
  <c r="R366" i="2"/>
  <c r="R365" i="2"/>
  <c r="R364" i="2"/>
  <c r="R363" i="2"/>
  <c r="R362" i="2"/>
  <c r="R361" i="2"/>
  <c r="R360" i="2"/>
  <c r="R359" i="2"/>
  <c r="R358" i="2"/>
  <c r="R357" i="2"/>
  <c r="R356" i="2"/>
  <c r="R355" i="2"/>
  <c r="R354" i="2"/>
  <c r="R353" i="2"/>
  <c r="R352" i="2"/>
  <c r="R351" i="2"/>
  <c r="R350" i="2"/>
  <c r="R349" i="2"/>
  <c r="R348" i="2"/>
  <c r="R347" i="2"/>
  <c r="R346" i="2"/>
  <c r="R345" i="2"/>
  <c r="R344" i="2"/>
  <c r="R343" i="2"/>
  <c r="R342" i="2"/>
  <c r="R341" i="2"/>
  <c r="R340" i="2"/>
  <c r="R339" i="2"/>
  <c r="R338" i="2"/>
  <c r="R337" i="2"/>
  <c r="R336" i="2"/>
  <c r="R335" i="2"/>
  <c r="R334" i="2"/>
  <c r="R333" i="2"/>
  <c r="R332" i="2"/>
  <c r="R331" i="2"/>
  <c r="R330" i="2"/>
  <c r="R329" i="2"/>
  <c r="R328" i="2"/>
  <c r="R327" i="2"/>
  <c r="R326" i="2"/>
  <c r="R325" i="2"/>
  <c r="R324" i="2"/>
  <c r="R323" i="2"/>
  <c r="R322" i="2"/>
  <c r="R321" i="2"/>
  <c r="R320" i="2"/>
  <c r="R319" i="2"/>
  <c r="R318" i="2"/>
  <c r="R317" i="2"/>
  <c r="R316" i="2"/>
  <c r="R315" i="2"/>
  <c r="R314" i="2"/>
  <c r="R313" i="2"/>
  <c r="R312" i="2"/>
  <c r="R311" i="2"/>
  <c r="R310" i="2"/>
  <c r="R309" i="2"/>
  <c r="R308" i="2"/>
  <c r="R307" i="2"/>
  <c r="R306" i="2"/>
  <c r="R305" i="2"/>
  <c r="R304" i="2"/>
  <c r="R303" i="2"/>
  <c r="R302" i="2"/>
  <c r="R301" i="2"/>
  <c r="R300" i="2"/>
  <c r="R299" i="2"/>
  <c r="R298" i="2"/>
  <c r="R297" i="2"/>
  <c r="R296" i="2"/>
  <c r="R295" i="2"/>
  <c r="R294" i="2"/>
  <c r="R293" i="2"/>
  <c r="R292" i="2"/>
  <c r="R291" i="2"/>
  <c r="R290" i="2"/>
  <c r="R289" i="2"/>
  <c r="R288" i="2"/>
  <c r="R287" i="2"/>
  <c r="R286" i="2"/>
  <c r="R285" i="2"/>
  <c r="R284" i="2"/>
  <c r="R283" i="2"/>
  <c r="R282" i="2"/>
  <c r="R281" i="2"/>
  <c r="R280" i="2"/>
  <c r="R279" i="2"/>
  <c r="R278" i="2"/>
  <c r="R277" i="2"/>
  <c r="R276" i="2"/>
  <c r="R275" i="2"/>
  <c r="R274" i="2"/>
  <c r="R273" i="2"/>
  <c r="R272" i="2"/>
  <c r="R271" i="2"/>
  <c r="R270" i="2"/>
  <c r="R269" i="2"/>
  <c r="R268" i="2"/>
  <c r="R267" i="2"/>
  <c r="R266" i="2"/>
  <c r="R265" i="2"/>
  <c r="R264" i="2"/>
  <c r="R263" i="2"/>
  <c r="R262" i="2"/>
  <c r="R261" i="2"/>
  <c r="R260" i="2"/>
  <c r="R259" i="2"/>
  <c r="R258" i="2"/>
  <c r="R257" i="2"/>
  <c r="R256" i="2"/>
  <c r="R255" i="2"/>
  <c r="R254" i="2"/>
  <c r="R253" i="2"/>
  <c r="R252" i="2"/>
  <c r="R251" i="2"/>
  <c r="R250" i="2"/>
  <c r="R249" i="2"/>
  <c r="R248" i="2"/>
  <c r="R247" i="2"/>
  <c r="R246" i="2"/>
  <c r="R245" i="2"/>
  <c r="R244" i="2"/>
  <c r="R243" i="2"/>
  <c r="R242" i="2"/>
  <c r="R241" i="2"/>
  <c r="R240" i="2"/>
  <c r="R239" i="2"/>
  <c r="R238" i="2"/>
  <c r="R237" i="2"/>
  <c r="R236" i="2"/>
  <c r="R235" i="2"/>
  <c r="R234" i="2"/>
  <c r="R233" i="2"/>
  <c r="R232" i="2"/>
  <c r="R231" i="2"/>
  <c r="R230" i="2"/>
  <c r="R229" i="2"/>
  <c r="R228" i="2"/>
  <c r="R227" i="2"/>
  <c r="R226" i="2"/>
  <c r="R225" i="2"/>
  <c r="R224" i="2"/>
  <c r="R223" i="2"/>
  <c r="R222" i="2"/>
  <c r="R221" i="2"/>
  <c r="R220" i="2"/>
  <c r="R219" i="2"/>
  <c r="R218" i="2"/>
  <c r="R217" i="2"/>
  <c r="R216" i="2"/>
  <c r="R215" i="2"/>
  <c r="R214" i="2"/>
  <c r="R213" i="2"/>
  <c r="R212" i="2"/>
  <c r="R211" i="2"/>
  <c r="R210" i="2"/>
  <c r="R209" i="2"/>
  <c r="R208" i="2"/>
  <c r="R207" i="2"/>
  <c r="R206" i="2"/>
  <c r="R205" i="2"/>
  <c r="R204" i="2"/>
  <c r="R203" i="2"/>
  <c r="R202" i="2"/>
  <c r="R201" i="2"/>
  <c r="R200" i="2"/>
  <c r="R199" i="2"/>
  <c r="R198" i="2"/>
  <c r="R197" i="2"/>
  <c r="R196" i="2"/>
  <c r="R195" i="2"/>
  <c r="R194" i="2"/>
  <c r="R193" i="2"/>
  <c r="R192" i="2"/>
  <c r="R191" i="2"/>
  <c r="R190" i="2"/>
  <c r="R189" i="2"/>
  <c r="R188" i="2"/>
  <c r="R187" i="2"/>
  <c r="R186" i="2"/>
  <c r="R185" i="2"/>
  <c r="R184" i="2"/>
  <c r="R183" i="2"/>
  <c r="R182" i="2"/>
  <c r="R181" i="2"/>
  <c r="R180" i="2"/>
  <c r="R179" i="2"/>
  <c r="R178" i="2"/>
  <c r="R177" i="2"/>
  <c r="R176" i="2"/>
  <c r="R175" i="2"/>
  <c r="R174" i="2"/>
  <c r="R173" i="2"/>
  <c r="R172" i="2"/>
  <c r="R171" i="2"/>
  <c r="R170" i="2"/>
  <c r="R169" i="2"/>
  <c r="R168" i="2"/>
  <c r="R167" i="2"/>
  <c r="R166" i="2"/>
  <c r="R165" i="2"/>
  <c r="R164" i="2"/>
  <c r="R163" i="2"/>
  <c r="R162" i="2"/>
  <c r="R161" i="2"/>
  <c r="R160" i="2"/>
  <c r="R159" i="2"/>
  <c r="R158" i="2"/>
  <c r="R157" i="2"/>
  <c r="R156" i="2"/>
  <c r="R155" i="2"/>
  <c r="R154" i="2"/>
  <c r="R153" i="2"/>
  <c r="R152" i="2"/>
  <c r="R151" i="2"/>
  <c r="R150" i="2"/>
  <c r="R149" i="2"/>
  <c r="R148" i="2"/>
  <c r="R147" i="2"/>
  <c r="R146" i="2"/>
  <c r="R145" i="2"/>
  <c r="R144" i="2"/>
  <c r="R143" i="2"/>
  <c r="R142" i="2"/>
  <c r="R141" i="2"/>
  <c r="R140" i="2"/>
  <c r="R139" i="2"/>
  <c r="R138" i="2"/>
  <c r="R137" i="2"/>
  <c r="R136" i="2"/>
  <c r="R135" i="2"/>
  <c r="R134" i="2"/>
  <c r="R133" i="2"/>
  <c r="R132" i="2"/>
  <c r="R131" i="2"/>
  <c r="R130" i="2"/>
  <c r="R129" i="2"/>
  <c r="R128" i="2"/>
  <c r="R127" i="2"/>
  <c r="R126" i="2"/>
  <c r="R125" i="2"/>
  <c r="R124" i="2"/>
  <c r="R123" i="2"/>
  <c r="R122" i="2"/>
  <c r="R121" i="2"/>
  <c r="R120" i="2"/>
  <c r="R119" i="2"/>
  <c r="R118" i="2"/>
  <c r="R117" i="2"/>
  <c r="R116" i="2"/>
  <c r="R115" i="2"/>
  <c r="R114" i="2"/>
  <c r="R113" i="2"/>
  <c r="R112" i="2"/>
  <c r="R111" i="2"/>
  <c r="R110" i="2"/>
  <c r="R109" i="2"/>
  <c r="R108" i="2"/>
  <c r="R107" i="2"/>
  <c r="R106" i="2"/>
  <c r="R105" i="2"/>
  <c r="R104" i="2"/>
  <c r="R103" i="2"/>
  <c r="R102" i="2"/>
  <c r="R101" i="2"/>
  <c r="R100" i="2"/>
  <c r="R99" i="2"/>
  <c r="R98" i="2"/>
  <c r="R97" i="2"/>
  <c r="R96" i="2"/>
  <c r="R95" i="2"/>
  <c r="R94" i="2"/>
  <c r="R93" i="2"/>
  <c r="R92" i="2"/>
  <c r="R91" i="2"/>
  <c r="R90" i="2"/>
  <c r="R89" i="2"/>
  <c r="R88" i="2"/>
  <c r="R87" i="2"/>
  <c r="R86" i="2"/>
  <c r="R85" i="2"/>
  <c r="R84" i="2"/>
  <c r="R83" i="2"/>
  <c r="R82" i="2"/>
  <c r="R81" i="2"/>
  <c r="R80" i="2"/>
  <c r="R79" i="2"/>
  <c r="R78" i="2"/>
  <c r="R77" i="2"/>
  <c r="R76" i="2"/>
  <c r="R75" i="2"/>
  <c r="R74" i="2"/>
  <c r="R73" i="2"/>
  <c r="R72" i="2"/>
  <c r="R71" i="2"/>
  <c r="R70" i="2"/>
  <c r="R69" i="2"/>
  <c r="R68" i="2"/>
  <c r="R67" i="2"/>
  <c r="R66" i="2"/>
  <c r="R65" i="2"/>
  <c r="R64" i="2"/>
  <c r="R63" i="2"/>
  <c r="R62" i="2"/>
  <c r="R61" i="2"/>
  <c r="R60" i="2"/>
  <c r="R59" i="2"/>
  <c r="R58" i="2"/>
  <c r="R57" i="2"/>
  <c r="R56" i="2"/>
  <c r="R55" i="2"/>
  <c r="R54" i="2"/>
  <c r="R53" i="2"/>
  <c r="R52" i="2"/>
  <c r="R51" i="2"/>
  <c r="R50" i="2"/>
  <c r="R49" i="2"/>
  <c r="R48" i="2"/>
  <c r="R47" i="2"/>
  <c r="R46" i="2"/>
  <c r="R45" i="2"/>
  <c r="R44" i="2"/>
  <c r="R43" i="2"/>
  <c r="R42" i="2"/>
  <c r="R41" i="2"/>
  <c r="R40" i="2"/>
  <c r="R39" i="2"/>
  <c r="R38" i="2"/>
  <c r="R37" i="2"/>
  <c r="R36" i="2"/>
  <c r="R3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R8" i="2"/>
  <c r="R7" i="2"/>
  <c r="R6" i="2"/>
  <c r="R5" i="2"/>
  <c r="R4" i="2"/>
  <c r="R3" i="2"/>
  <c r="R2" i="2"/>
  <c r="L194" i="1" l="1"/>
  <c r="M194" i="1" s="1"/>
  <c r="L134" i="1"/>
  <c r="M134" i="1" s="1"/>
  <c r="L122" i="1"/>
  <c r="M122" i="1" s="1"/>
  <c r="L62" i="1"/>
  <c r="M62" i="1" s="1"/>
  <c r="L50" i="1"/>
  <c r="M50" i="1" s="1"/>
  <c r="N207" i="1"/>
  <c r="O207" i="1" s="1"/>
  <c r="N195" i="1"/>
  <c r="O195" i="1" s="1"/>
  <c r="N135" i="1"/>
  <c r="O135" i="1" s="1"/>
  <c r="N123" i="1"/>
  <c r="O123" i="1" s="1"/>
  <c r="N63" i="1"/>
  <c r="O63" i="1" s="1"/>
  <c r="N51" i="1"/>
  <c r="O51" i="1" s="1"/>
  <c r="L206" i="1"/>
  <c r="M206" i="1" s="1"/>
  <c r="N359" i="1"/>
  <c r="N279" i="1"/>
  <c r="O279" i="1" s="1"/>
  <c r="L202" i="1"/>
  <c r="M202" i="1" s="1"/>
  <c r="L130" i="1"/>
  <c r="M130" i="1" s="1"/>
  <c r="L58" i="1"/>
  <c r="M58" i="1" s="1"/>
  <c r="N347" i="1"/>
  <c r="O347" i="1" s="1"/>
  <c r="N275" i="1"/>
  <c r="O275" i="1" s="1"/>
  <c r="N203" i="1"/>
  <c r="O203" i="1" s="1"/>
  <c r="N131" i="1"/>
  <c r="O131" i="1" s="1"/>
  <c r="N59" i="1"/>
  <c r="O59" i="1" s="1"/>
  <c r="N339" i="1"/>
  <c r="O339" i="1" s="1"/>
  <c r="N267" i="1"/>
  <c r="O267" i="1" s="1"/>
  <c r="L190" i="1"/>
  <c r="M190" i="1" s="1"/>
  <c r="L118" i="1"/>
  <c r="M118" i="1" s="1"/>
  <c r="L46" i="1"/>
  <c r="M46" i="1" s="1"/>
  <c r="N335" i="1"/>
  <c r="O335" i="1" s="1"/>
  <c r="N263" i="1"/>
  <c r="O263" i="1" s="1"/>
  <c r="N191" i="1"/>
  <c r="O191" i="1" s="1"/>
  <c r="N119" i="1"/>
  <c r="O119" i="1" s="1"/>
  <c r="N47" i="1"/>
  <c r="O47" i="1" s="1"/>
  <c r="L274" i="1"/>
  <c r="M274" i="1" s="1"/>
  <c r="L182" i="1"/>
  <c r="M182" i="1" s="1"/>
  <c r="L110" i="1"/>
  <c r="M110" i="1" s="1"/>
  <c r="L38" i="1"/>
  <c r="M38" i="1" s="1"/>
  <c r="N327" i="1"/>
  <c r="O327" i="1" s="1"/>
  <c r="N255" i="1"/>
  <c r="O255" i="1" s="1"/>
  <c r="N183" i="1"/>
  <c r="N111" i="1"/>
  <c r="O111" i="1" s="1"/>
  <c r="N39" i="1"/>
  <c r="O39" i="1" s="1"/>
  <c r="L262" i="1"/>
  <c r="M262" i="1" s="1"/>
  <c r="L178" i="1"/>
  <c r="M178" i="1" s="1"/>
  <c r="L106" i="1"/>
  <c r="M106" i="1" s="1"/>
  <c r="L34" i="1"/>
  <c r="M34" i="1" s="1"/>
  <c r="N323" i="1"/>
  <c r="O323" i="1" s="1"/>
  <c r="N251" i="1"/>
  <c r="O251" i="1" s="1"/>
  <c r="N179" i="1"/>
  <c r="N107" i="1"/>
  <c r="O107" i="1" s="1"/>
  <c r="N35" i="1"/>
  <c r="O35" i="1" s="1"/>
  <c r="L250" i="1"/>
  <c r="M250" i="1" s="1"/>
  <c r="L170" i="1"/>
  <c r="M170" i="1" s="1"/>
  <c r="L98" i="1"/>
  <c r="M98" i="1" s="1"/>
  <c r="L26" i="1"/>
  <c r="M26" i="1" s="1"/>
  <c r="N315" i="1"/>
  <c r="O315" i="1" s="1"/>
  <c r="N243" i="1"/>
  <c r="O243" i="1" s="1"/>
  <c r="N171" i="1"/>
  <c r="O171" i="1" s="1"/>
  <c r="N99" i="1"/>
  <c r="O99" i="1" s="1"/>
  <c r="N27" i="1"/>
  <c r="O27" i="1" s="1"/>
  <c r="L238" i="1"/>
  <c r="M238" i="1" s="1"/>
  <c r="L166" i="1"/>
  <c r="M166" i="1" s="1"/>
  <c r="L94" i="1"/>
  <c r="M94" i="1" s="1"/>
  <c r="L22" i="1"/>
  <c r="M22" i="1" s="1"/>
  <c r="N311" i="1"/>
  <c r="O311" i="1" s="1"/>
  <c r="N239" i="1"/>
  <c r="O239" i="1" s="1"/>
  <c r="N167" i="1"/>
  <c r="O167" i="1" s="1"/>
  <c r="N95" i="1"/>
  <c r="O95" i="1" s="1"/>
  <c r="N23" i="1"/>
  <c r="O23" i="1" s="1"/>
  <c r="L230" i="1"/>
  <c r="M230" i="1" s="1"/>
  <c r="L158" i="1"/>
  <c r="M158" i="1" s="1"/>
  <c r="L86" i="1"/>
  <c r="M86" i="1" s="1"/>
  <c r="L14" i="1"/>
  <c r="M14" i="1" s="1"/>
  <c r="N303" i="1"/>
  <c r="O303" i="1" s="1"/>
  <c r="N231" i="1"/>
  <c r="O231" i="1" s="1"/>
  <c r="N159" i="1"/>
  <c r="O159" i="1" s="1"/>
  <c r="N87" i="1"/>
  <c r="O87" i="1" s="1"/>
  <c r="N15" i="1"/>
  <c r="O15" i="1" s="1"/>
  <c r="L226" i="1"/>
  <c r="M226" i="1" s="1"/>
  <c r="L154" i="1"/>
  <c r="M154" i="1" s="1"/>
  <c r="L82" i="1"/>
  <c r="M82" i="1" s="1"/>
  <c r="L12" i="1"/>
  <c r="M12" i="1" s="1"/>
  <c r="N299" i="1"/>
  <c r="O299" i="1" s="1"/>
  <c r="N227" i="1"/>
  <c r="O227" i="1" s="1"/>
  <c r="N155" i="1"/>
  <c r="O155" i="1" s="1"/>
  <c r="N83" i="1"/>
  <c r="O83" i="1" s="1"/>
  <c r="N11" i="1"/>
  <c r="O11" i="1" s="1"/>
  <c r="L218" i="1"/>
  <c r="M218" i="1" s="1"/>
  <c r="L146" i="1"/>
  <c r="M146" i="1" s="1"/>
  <c r="L74" i="1"/>
  <c r="M74" i="1" s="1"/>
  <c r="L10" i="1"/>
  <c r="M10" i="1" s="1"/>
  <c r="N291" i="1"/>
  <c r="O291" i="1" s="1"/>
  <c r="N219" i="1"/>
  <c r="O219" i="1" s="1"/>
  <c r="N147" i="1"/>
  <c r="O147" i="1" s="1"/>
  <c r="N75" i="1"/>
  <c r="O75" i="1" s="1"/>
  <c r="N3" i="1"/>
  <c r="O3" i="1" s="1"/>
  <c r="L214" i="1"/>
  <c r="M214" i="1" s="1"/>
  <c r="L142" i="1"/>
  <c r="M142" i="1" s="1"/>
  <c r="L70" i="1"/>
  <c r="M70" i="1" s="1"/>
  <c r="L2" i="1"/>
  <c r="M2" i="1" s="1"/>
  <c r="N287" i="1"/>
  <c r="O287" i="1" s="1"/>
  <c r="N215" i="1"/>
  <c r="N143" i="1"/>
  <c r="O143" i="1" s="1"/>
  <c r="N71" i="1"/>
  <c r="O71" i="1" s="1"/>
  <c r="L444" i="1"/>
  <c r="M444" i="1" s="1"/>
  <c r="L432" i="1"/>
  <c r="M432" i="1" s="1"/>
  <c r="L420" i="1"/>
  <c r="M420" i="1" s="1"/>
  <c r="L408" i="1"/>
  <c r="M408" i="1" s="1"/>
  <c r="L396" i="1"/>
  <c r="M396" i="1" s="1"/>
  <c r="L384" i="1"/>
  <c r="M384" i="1" s="1"/>
  <c r="L372" i="1"/>
  <c r="M372" i="1" s="1"/>
  <c r="L360" i="1"/>
  <c r="M360" i="1" s="1"/>
  <c r="L348" i="1"/>
  <c r="M348" i="1" s="1"/>
  <c r="L336" i="1"/>
  <c r="M336" i="1" s="1"/>
  <c r="L324" i="1"/>
  <c r="M324" i="1" s="1"/>
  <c r="L312" i="1"/>
  <c r="M312" i="1" s="1"/>
  <c r="L300" i="1"/>
  <c r="M300" i="1" s="1"/>
  <c r="L288" i="1"/>
  <c r="M288" i="1" s="1"/>
  <c r="L276" i="1"/>
  <c r="M276" i="1" s="1"/>
  <c r="L264" i="1"/>
  <c r="M264" i="1" s="1"/>
  <c r="L252" i="1"/>
  <c r="M252" i="1" s="1"/>
  <c r="L240" i="1"/>
  <c r="M240" i="1" s="1"/>
  <c r="L228" i="1"/>
  <c r="M228" i="1" s="1"/>
  <c r="L216" i="1"/>
  <c r="M216" i="1" s="1"/>
  <c r="L204" i="1"/>
  <c r="M204" i="1" s="1"/>
  <c r="L192" i="1"/>
  <c r="M192" i="1" s="1"/>
  <c r="L180" i="1"/>
  <c r="M180" i="1" s="1"/>
  <c r="L168" i="1"/>
  <c r="M168" i="1" s="1"/>
  <c r="L156" i="1"/>
  <c r="M156" i="1" s="1"/>
  <c r="L144" i="1"/>
  <c r="M144" i="1" s="1"/>
  <c r="L132" i="1"/>
  <c r="M132" i="1" s="1"/>
  <c r="L120" i="1"/>
  <c r="M120" i="1" s="1"/>
  <c r="L108" i="1"/>
  <c r="M108" i="1" s="1"/>
  <c r="L96" i="1"/>
  <c r="M96" i="1" s="1"/>
  <c r="L84" i="1"/>
  <c r="M84" i="1" s="1"/>
  <c r="L72" i="1"/>
  <c r="M72" i="1" s="1"/>
  <c r="L60" i="1"/>
  <c r="M60" i="1" s="1"/>
  <c r="L48" i="1"/>
  <c r="M48" i="1" s="1"/>
  <c r="L36" i="1"/>
  <c r="M36" i="1" s="1"/>
  <c r="L24" i="1"/>
  <c r="M24" i="1" s="1"/>
  <c r="N445" i="1"/>
  <c r="O445" i="1" s="1"/>
  <c r="N433" i="1"/>
  <c r="O433" i="1" s="1"/>
  <c r="N421" i="1"/>
  <c r="O421" i="1" s="1"/>
  <c r="N409" i="1"/>
  <c r="O409" i="1" s="1"/>
  <c r="N397" i="1"/>
  <c r="O397" i="1" s="1"/>
  <c r="N385" i="1"/>
  <c r="O385" i="1" s="1"/>
  <c r="N373" i="1"/>
  <c r="O373" i="1" s="1"/>
  <c r="N361" i="1"/>
  <c r="O361" i="1" s="1"/>
  <c r="N349" i="1"/>
  <c r="O349" i="1" s="1"/>
  <c r="N337" i="1"/>
  <c r="O337" i="1" s="1"/>
  <c r="N325" i="1"/>
  <c r="O325" i="1" s="1"/>
  <c r="N313" i="1"/>
  <c r="O313" i="1" s="1"/>
  <c r="N301" i="1"/>
  <c r="O301" i="1" s="1"/>
  <c r="N289" i="1"/>
  <c r="O289" i="1" s="1"/>
  <c r="N277" i="1"/>
  <c r="O277" i="1" s="1"/>
  <c r="N265" i="1"/>
  <c r="O265" i="1" s="1"/>
  <c r="N253" i="1"/>
  <c r="O253" i="1" s="1"/>
  <c r="N241" i="1"/>
  <c r="O241" i="1" s="1"/>
  <c r="N229" i="1"/>
  <c r="O229" i="1" s="1"/>
  <c r="N217" i="1"/>
  <c r="O217" i="1" s="1"/>
  <c r="N205" i="1"/>
  <c r="O205" i="1" s="1"/>
  <c r="N193" i="1"/>
  <c r="O193" i="1" s="1"/>
  <c r="N181" i="1"/>
  <c r="N169" i="1"/>
  <c r="O169" i="1" s="1"/>
  <c r="N157" i="1"/>
  <c r="O157" i="1" s="1"/>
  <c r="N145" i="1"/>
  <c r="O145" i="1" s="1"/>
  <c r="N133" i="1"/>
  <c r="O133" i="1" s="1"/>
  <c r="N121" i="1"/>
  <c r="O121" i="1" s="1"/>
  <c r="N109" i="1"/>
  <c r="O109" i="1" s="1"/>
  <c r="N97" i="1"/>
  <c r="O97" i="1" s="1"/>
  <c r="N85" i="1"/>
  <c r="O85" i="1" s="1"/>
  <c r="N73" i="1"/>
  <c r="O73" i="1" s="1"/>
  <c r="N61" i="1"/>
  <c r="O61" i="1" s="1"/>
  <c r="N49" i="1"/>
  <c r="O49" i="1" s="1"/>
  <c r="N37" i="1"/>
  <c r="O37" i="1" s="1"/>
  <c r="N25" i="1"/>
  <c r="O25" i="1" s="1"/>
  <c r="N13" i="1"/>
  <c r="O13" i="1" s="1"/>
  <c r="L443" i="1"/>
  <c r="L431" i="1"/>
  <c r="L419" i="1"/>
  <c r="M419" i="1" s="1"/>
  <c r="L407" i="1"/>
  <c r="M407" i="1" s="1"/>
  <c r="L395" i="1"/>
  <c r="M395" i="1" s="1"/>
  <c r="L383" i="1"/>
  <c r="M383" i="1" s="1"/>
  <c r="L371" i="1"/>
  <c r="M371" i="1" s="1"/>
  <c r="L359" i="1"/>
  <c r="M359" i="1" s="1"/>
  <c r="L347" i="1"/>
  <c r="M347" i="1" s="1"/>
  <c r="L335" i="1"/>
  <c r="M335" i="1" s="1"/>
  <c r="L323" i="1"/>
  <c r="M323" i="1" s="1"/>
  <c r="L311" i="1"/>
  <c r="M311" i="1" s="1"/>
  <c r="L299" i="1"/>
  <c r="M299" i="1" s="1"/>
  <c r="L287" i="1"/>
  <c r="M287" i="1" s="1"/>
  <c r="L275" i="1"/>
  <c r="M275" i="1" s="1"/>
  <c r="L263" i="1"/>
  <c r="M263" i="1" s="1"/>
  <c r="L251" i="1"/>
  <c r="M251" i="1" s="1"/>
  <c r="L239" i="1"/>
  <c r="M239" i="1" s="1"/>
  <c r="L227" i="1"/>
  <c r="M227" i="1" s="1"/>
  <c r="L215" i="1"/>
  <c r="M215" i="1" s="1"/>
  <c r="L203" i="1"/>
  <c r="M203" i="1" s="1"/>
  <c r="L191" i="1"/>
  <c r="M191" i="1" s="1"/>
  <c r="L179" i="1"/>
  <c r="M179" i="1" s="1"/>
  <c r="L167" i="1"/>
  <c r="M167" i="1" s="1"/>
  <c r="L155" i="1"/>
  <c r="M155" i="1" s="1"/>
  <c r="L143" i="1"/>
  <c r="M143" i="1" s="1"/>
  <c r="L131" i="1"/>
  <c r="M131" i="1" s="1"/>
  <c r="L119" i="1"/>
  <c r="M119" i="1" s="1"/>
  <c r="L107" i="1"/>
  <c r="M107" i="1" s="1"/>
  <c r="L95" i="1"/>
  <c r="M95" i="1" s="1"/>
  <c r="L83" i="1"/>
  <c r="M83" i="1" s="1"/>
  <c r="L71" i="1"/>
  <c r="M71" i="1" s="1"/>
  <c r="L59" i="1"/>
  <c r="M59" i="1" s="1"/>
  <c r="L47" i="1"/>
  <c r="M47" i="1" s="1"/>
  <c r="L35" i="1"/>
  <c r="M35" i="1" s="1"/>
  <c r="L23" i="1"/>
  <c r="M23" i="1" s="1"/>
  <c r="L11" i="1"/>
  <c r="M11" i="1" s="1"/>
  <c r="N444" i="1"/>
  <c r="O444" i="1" s="1"/>
  <c r="N432" i="1"/>
  <c r="O432" i="1" s="1"/>
  <c r="N420" i="1"/>
  <c r="O420" i="1" s="1"/>
  <c r="N408" i="1"/>
  <c r="O408" i="1" s="1"/>
  <c r="N396" i="1"/>
  <c r="O396" i="1" s="1"/>
  <c r="N384" i="1"/>
  <c r="O384" i="1" s="1"/>
  <c r="N372" i="1"/>
  <c r="O372" i="1" s="1"/>
  <c r="N360" i="1"/>
  <c r="O360" i="1" s="1"/>
  <c r="N348" i="1"/>
  <c r="O348" i="1" s="1"/>
  <c r="N336" i="1"/>
  <c r="O336" i="1" s="1"/>
  <c r="N324" i="1"/>
  <c r="O324" i="1" s="1"/>
  <c r="N312" i="1"/>
  <c r="O312" i="1" s="1"/>
  <c r="N300" i="1"/>
  <c r="O300" i="1" s="1"/>
  <c r="N288" i="1"/>
  <c r="O288" i="1" s="1"/>
  <c r="N276" i="1"/>
  <c r="O276" i="1" s="1"/>
  <c r="N264" i="1"/>
  <c r="O264" i="1" s="1"/>
  <c r="N252" i="1"/>
  <c r="O252" i="1" s="1"/>
  <c r="N240" i="1"/>
  <c r="O240" i="1" s="1"/>
  <c r="N228" i="1"/>
  <c r="O228" i="1" s="1"/>
  <c r="N216" i="1"/>
  <c r="O216" i="1" s="1"/>
  <c r="N204" i="1"/>
  <c r="O204" i="1" s="1"/>
  <c r="N192" i="1"/>
  <c r="O192" i="1" s="1"/>
  <c r="N180" i="1"/>
  <c r="N168" i="1"/>
  <c r="O168" i="1" s="1"/>
  <c r="N156" i="1"/>
  <c r="O156" i="1" s="1"/>
  <c r="N144" i="1"/>
  <c r="O144" i="1" s="1"/>
  <c r="N132" i="1"/>
  <c r="O132" i="1" s="1"/>
  <c r="N120" i="1"/>
  <c r="O120" i="1" s="1"/>
  <c r="N108" i="1"/>
  <c r="O108" i="1" s="1"/>
  <c r="N96" i="1"/>
  <c r="O96" i="1" s="1"/>
  <c r="N84" i="1"/>
  <c r="O84" i="1" s="1"/>
  <c r="N72" i="1"/>
  <c r="O72" i="1" s="1"/>
  <c r="N60" i="1"/>
  <c r="O60" i="1" s="1"/>
  <c r="N48" i="1"/>
  <c r="O48" i="1" s="1"/>
  <c r="N36" i="1"/>
  <c r="O36" i="1" s="1"/>
  <c r="N24" i="1"/>
  <c r="O24" i="1" s="1"/>
  <c r="N12" i="1"/>
  <c r="O12" i="1" s="1"/>
  <c r="L442" i="1"/>
  <c r="L430" i="1"/>
  <c r="M430" i="1" s="1"/>
  <c r="L418" i="1"/>
  <c r="M418" i="1" s="1"/>
  <c r="L406" i="1"/>
  <c r="M406" i="1" s="1"/>
  <c r="L394" i="1"/>
  <c r="M394" i="1" s="1"/>
  <c r="L382" i="1"/>
  <c r="M382" i="1" s="1"/>
  <c r="L370" i="1"/>
  <c r="M370" i="1" s="1"/>
  <c r="L358" i="1"/>
  <c r="M358" i="1" s="1"/>
  <c r="L346" i="1"/>
  <c r="M346" i="1" s="1"/>
  <c r="L334" i="1"/>
  <c r="M334" i="1" s="1"/>
  <c r="L322" i="1"/>
  <c r="M322" i="1" s="1"/>
  <c r="L310" i="1"/>
  <c r="M310" i="1" s="1"/>
  <c r="L298" i="1"/>
  <c r="M298" i="1" s="1"/>
  <c r="L286" i="1"/>
  <c r="M286" i="1" s="1"/>
  <c r="N443" i="1"/>
  <c r="O443" i="1" s="1"/>
  <c r="N431" i="1"/>
  <c r="O431" i="1" s="1"/>
  <c r="N419" i="1"/>
  <c r="O419" i="1" s="1"/>
  <c r="N407" i="1"/>
  <c r="O407" i="1" s="1"/>
  <c r="N395" i="1"/>
  <c r="N383" i="1"/>
  <c r="O383" i="1" s="1"/>
  <c r="N371" i="1"/>
  <c r="L441" i="1"/>
  <c r="M441" i="1" s="1"/>
  <c r="L429" i="1"/>
  <c r="M429" i="1" s="1"/>
  <c r="L417" i="1"/>
  <c r="M417" i="1" s="1"/>
  <c r="L405" i="1"/>
  <c r="M405" i="1" s="1"/>
  <c r="L393" i="1"/>
  <c r="M393" i="1" s="1"/>
  <c r="L381" i="1"/>
  <c r="M381" i="1" s="1"/>
  <c r="L369" i="1"/>
  <c r="M369" i="1" s="1"/>
  <c r="L357" i="1"/>
  <c r="M357" i="1" s="1"/>
  <c r="L345" i="1"/>
  <c r="M345" i="1" s="1"/>
  <c r="L333" i="1"/>
  <c r="M333" i="1" s="1"/>
  <c r="L321" i="1"/>
  <c r="M321" i="1" s="1"/>
  <c r="L309" i="1"/>
  <c r="M309" i="1" s="1"/>
  <c r="L297" i="1"/>
  <c r="M297" i="1" s="1"/>
  <c r="L285" i="1"/>
  <c r="M285" i="1" s="1"/>
  <c r="L273" i="1"/>
  <c r="M273" i="1" s="1"/>
  <c r="L261" i="1"/>
  <c r="M261" i="1" s="1"/>
  <c r="L249" i="1"/>
  <c r="M249" i="1" s="1"/>
  <c r="L237" i="1"/>
  <c r="M237" i="1" s="1"/>
  <c r="L225" i="1"/>
  <c r="M225" i="1" s="1"/>
  <c r="L213" i="1"/>
  <c r="M213" i="1" s="1"/>
  <c r="L201" i="1"/>
  <c r="M201" i="1" s="1"/>
  <c r="L189" i="1"/>
  <c r="M189" i="1" s="1"/>
  <c r="L177" i="1"/>
  <c r="M177" i="1" s="1"/>
  <c r="L165" i="1"/>
  <c r="M165" i="1" s="1"/>
  <c r="L153" i="1"/>
  <c r="M153" i="1" s="1"/>
  <c r="L141" i="1"/>
  <c r="M141" i="1" s="1"/>
  <c r="L129" i="1"/>
  <c r="M129" i="1" s="1"/>
  <c r="L117" i="1"/>
  <c r="M117" i="1" s="1"/>
  <c r="L105" i="1"/>
  <c r="M105" i="1" s="1"/>
  <c r="L93" i="1"/>
  <c r="M93" i="1" s="1"/>
  <c r="L81" i="1"/>
  <c r="M81" i="1" s="1"/>
  <c r="L69" i="1"/>
  <c r="M69" i="1" s="1"/>
  <c r="L57" i="1"/>
  <c r="M57" i="1" s="1"/>
  <c r="L45" i="1"/>
  <c r="M45" i="1" s="1"/>
  <c r="L33" i="1"/>
  <c r="M33" i="1" s="1"/>
  <c r="L21" i="1"/>
  <c r="M21" i="1" s="1"/>
  <c r="L9" i="1"/>
  <c r="M9" i="1" s="1"/>
  <c r="N442" i="1"/>
  <c r="O442" i="1" s="1"/>
  <c r="N430" i="1"/>
  <c r="O430" i="1" s="1"/>
  <c r="N418" i="1"/>
  <c r="O418" i="1" s="1"/>
  <c r="N406" i="1"/>
  <c r="O406" i="1" s="1"/>
  <c r="N394" i="1"/>
  <c r="N382" i="1"/>
  <c r="O382" i="1" s="1"/>
  <c r="N370" i="1"/>
  <c r="N358" i="1"/>
  <c r="N346" i="1"/>
  <c r="O346" i="1" s="1"/>
  <c r="N334" i="1"/>
  <c r="O334" i="1" s="1"/>
  <c r="N322" i="1"/>
  <c r="O322" i="1" s="1"/>
  <c r="N310" i="1"/>
  <c r="O310" i="1" s="1"/>
  <c r="N298" i="1"/>
  <c r="O298" i="1" s="1"/>
  <c r="N286" i="1"/>
  <c r="N274" i="1"/>
  <c r="O274" i="1" s="1"/>
  <c r="N262" i="1"/>
  <c r="O262" i="1" s="1"/>
  <c r="N250" i="1"/>
  <c r="O250" i="1" s="1"/>
  <c r="N238" i="1"/>
  <c r="O238" i="1" s="1"/>
  <c r="N226" i="1"/>
  <c r="O226" i="1" s="1"/>
  <c r="N214" i="1"/>
  <c r="O214" i="1" s="1"/>
  <c r="N202" i="1"/>
  <c r="O202" i="1" s="1"/>
  <c r="N190" i="1"/>
  <c r="O190" i="1" s="1"/>
  <c r="N178" i="1"/>
  <c r="N166" i="1"/>
  <c r="O166" i="1" s="1"/>
  <c r="N154" i="1"/>
  <c r="O154" i="1" s="1"/>
  <c r="N142" i="1"/>
  <c r="O142" i="1" s="1"/>
  <c r="N130" i="1"/>
  <c r="O130" i="1" s="1"/>
  <c r="N118" i="1"/>
  <c r="O118" i="1" s="1"/>
  <c r="N106" i="1"/>
  <c r="O106" i="1" s="1"/>
  <c r="N94" i="1"/>
  <c r="O94" i="1" s="1"/>
  <c r="N82" i="1"/>
  <c r="O82" i="1" s="1"/>
  <c r="N70" i="1"/>
  <c r="O70" i="1" s="1"/>
  <c r="N58" i="1"/>
  <c r="O58" i="1" s="1"/>
  <c r="N46" i="1"/>
  <c r="O46" i="1" s="1"/>
  <c r="N34" i="1"/>
  <c r="O34" i="1" s="1"/>
  <c r="N22" i="1"/>
  <c r="O22" i="1" s="1"/>
  <c r="N10" i="1"/>
  <c r="O10" i="1" s="1"/>
  <c r="L440" i="1"/>
  <c r="L428" i="1"/>
  <c r="M428" i="1" s="1"/>
  <c r="L416" i="1"/>
  <c r="L404" i="1"/>
  <c r="M404" i="1" s="1"/>
  <c r="L392" i="1"/>
  <c r="M392" i="1" s="1"/>
  <c r="L380" i="1"/>
  <c r="M380" i="1" s="1"/>
  <c r="L368" i="1"/>
  <c r="M368" i="1" s="1"/>
  <c r="L356" i="1"/>
  <c r="M356" i="1" s="1"/>
  <c r="L344" i="1"/>
  <c r="M344" i="1" s="1"/>
  <c r="L332" i="1"/>
  <c r="M332" i="1" s="1"/>
  <c r="L320" i="1"/>
  <c r="M320" i="1" s="1"/>
  <c r="L308" i="1"/>
  <c r="M308" i="1" s="1"/>
  <c r="L296" i="1"/>
  <c r="M296" i="1" s="1"/>
  <c r="L284" i="1"/>
  <c r="M284" i="1" s="1"/>
  <c r="L272" i="1"/>
  <c r="M272" i="1" s="1"/>
  <c r="L260" i="1"/>
  <c r="M260" i="1" s="1"/>
  <c r="L248" i="1"/>
  <c r="M248" i="1" s="1"/>
  <c r="L236" i="1"/>
  <c r="M236" i="1" s="1"/>
  <c r="L224" i="1"/>
  <c r="M224" i="1" s="1"/>
  <c r="L212" i="1"/>
  <c r="M212" i="1" s="1"/>
  <c r="L200" i="1"/>
  <c r="M200" i="1" s="1"/>
  <c r="L188" i="1"/>
  <c r="M188" i="1" s="1"/>
  <c r="L176" i="1"/>
  <c r="M176" i="1" s="1"/>
  <c r="L164" i="1"/>
  <c r="M164" i="1" s="1"/>
  <c r="L152" i="1"/>
  <c r="M152" i="1" s="1"/>
  <c r="L140" i="1"/>
  <c r="M140" i="1" s="1"/>
  <c r="L128" i="1"/>
  <c r="M128" i="1" s="1"/>
  <c r="L116" i="1"/>
  <c r="M116" i="1" s="1"/>
  <c r="L104" i="1"/>
  <c r="M104" i="1" s="1"/>
  <c r="L92" i="1"/>
  <c r="M92" i="1" s="1"/>
  <c r="L80" i="1"/>
  <c r="M80" i="1" s="1"/>
  <c r="L68" i="1"/>
  <c r="M68" i="1" s="1"/>
  <c r="L56" i="1"/>
  <c r="M56" i="1" s="1"/>
  <c r="L44" i="1"/>
  <c r="M44" i="1" s="1"/>
  <c r="L32" i="1"/>
  <c r="M32" i="1" s="1"/>
  <c r="L20" i="1"/>
  <c r="M20" i="1" s="1"/>
  <c r="L8" i="1"/>
  <c r="M8" i="1" s="1"/>
  <c r="N441" i="1"/>
  <c r="O441" i="1" s="1"/>
  <c r="N429" i="1"/>
  <c r="O429" i="1" s="1"/>
  <c r="N417" i="1"/>
  <c r="O417" i="1" s="1"/>
  <c r="N405" i="1"/>
  <c r="O405" i="1" s="1"/>
  <c r="N393" i="1"/>
  <c r="N381" i="1"/>
  <c r="O381" i="1" s="1"/>
  <c r="N369" i="1"/>
  <c r="N357" i="1"/>
  <c r="N345" i="1"/>
  <c r="O345" i="1" s="1"/>
  <c r="N333" i="1"/>
  <c r="O333" i="1" s="1"/>
  <c r="N321" i="1"/>
  <c r="O321" i="1" s="1"/>
  <c r="N309" i="1"/>
  <c r="O309" i="1" s="1"/>
  <c r="N297" i="1"/>
  <c r="O297" i="1" s="1"/>
  <c r="N285" i="1"/>
  <c r="O285" i="1" s="1"/>
  <c r="N273" i="1"/>
  <c r="O273" i="1" s="1"/>
  <c r="N261" i="1"/>
  <c r="O261" i="1" s="1"/>
  <c r="N249" i="1"/>
  <c r="O249" i="1" s="1"/>
  <c r="N237" i="1"/>
  <c r="O237" i="1" s="1"/>
  <c r="N225" i="1"/>
  <c r="O225" i="1" s="1"/>
  <c r="N213" i="1"/>
  <c r="O213" i="1" s="1"/>
  <c r="N201" i="1"/>
  <c r="O201" i="1" s="1"/>
  <c r="N189" i="1"/>
  <c r="O189" i="1" s="1"/>
  <c r="N177" i="1"/>
  <c r="N165" i="1"/>
  <c r="O165" i="1" s="1"/>
  <c r="N153" i="1"/>
  <c r="O153" i="1" s="1"/>
  <c r="N141" i="1"/>
  <c r="O141" i="1" s="1"/>
  <c r="N129" i="1"/>
  <c r="O129" i="1" s="1"/>
  <c r="N117" i="1"/>
  <c r="O117" i="1" s="1"/>
  <c r="N105" i="1"/>
  <c r="O105" i="1" s="1"/>
  <c r="N93" i="1"/>
  <c r="O93" i="1" s="1"/>
  <c r="N81" i="1"/>
  <c r="O81" i="1" s="1"/>
  <c r="N69" i="1"/>
  <c r="O69" i="1" s="1"/>
  <c r="N57" i="1"/>
  <c r="O57" i="1" s="1"/>
  <c r="N45" i="1"/>
  <c r="O45" i="1" s="1"/>
  <c r="N33" i="1"/>
  <c r="O33" i="1" s="1"/>
  <c r="N21" i="1"/>
  <c r="O21" i="1" s="1"/>
  <c r="N9" i="1"/>
  <c r="O9" i="1" s="1"/>
  <c r="L439" i="1"/>
  <c r="M439" i="1" s="1"/>
  <c r="L427" i="1"/>
  <c r="M427" i="1" s="1"/>
  <c r="L415" i="1"/>
  <c r="M415" i="1" s="1"/>
  <c r="L403" i="1"/>
  <c r="M403" i="1" s="1"/>
  <c r="L391" i="1"/>
  <c r="M391" i="1" s="1"/>
  <c r="L379" i="1"/>
  <c r="M379" i="1" s="1"/>
  <c r="L367" i="1"/>
  <c r="M367" i="1" s="1"/>
  <c r="L355" i="1"/>
  <c r="M355" i="1" s="1"/>
  <c r="L343" i="1"/>
  <c r="M343" i="1" s="1"/>
  <c r="L331" i="1"/>
  <c r="M331" i="1" s="1"/>
  <c r="L319" i="1"/>
  <c r="M319" i="1" s="1"/>
  <c r="L307" i="1"/>
  <c r="M307" i="1" s="1"/>
  <c r="L295" i="1"/>
  <c r="M295" i="1" s="1"/>
  <c r="L283" i="1"/>
  <c r="M283" i="1" s="1"/>
  <c r="L271" i="1"/>
  <c r="M271" i="1" s="1"/>
  <c r="L259" i="1"/>
  <c r="M259" i="1" s="1"/>
  <c r="L247" i="1"/>
  <c r="M247" i="1" s="1"/>
  <c r="L235" i="1"/>
  <c r="M235" i="1" s="1"/>
  <c r="L223" i="1"/>
  <c r="M223" i="1" s="1"/>
  <c r="L211" i="1"/>
  <c r="M211" i="1" s="1"/>
  <c r="L199" i="1"/>
  <c r="M199" i="1" s="1"/>
  <c r="L187" i="1"/>
  <c r="M187" i="1" s="1"/>
  <c r="L175" i="1"/>
  <c r="M175" i="1" s="1"/>
  <c r="L163" i="1"/>
  <c r="M163" i="1" s="1"/>
  <c r="L151" i="1"/>
  <c r="M151" i="1" s="1"/>
  <c r="L139" i="1"/>
  <c r="M139" i="1" s="1"/>
  <c r="L127" i="1"/>
  <c r="M127" i="1" s="1"/>
  <c r="L115" i="1"/>
  <c r="M115" i="1" s="1"/>
  <c r="L103" i="1"/>
  <c r="M103" i="1" s="1"/>
  <c r="L91" i="1"/>
  <c r="M91" i="1" s="1"/>
  <c r="L79" i="1"/>
  <c r="M79" i="1" s="1"/>
  <c r="L67" i="1"/>
  <c r="M67" i="1" s="1"/>
  <c r="L55" i="1"/>
  <c r="M55" i="1" s="1"/>
  <c r="L43" i="1"/>
  <c r="M43" i="1" s="1"/>
  <c r="L31" i="1"/>
  <c r="M31" i="1" s="1"/>
  <c r="L19" i="1"/>
  <c r="M19" i="1" s="1"/>
  <c r="L7" i="1"/>
  <c r="M7" i="1" s="1"/>
  <c r="N440" i="1"/>
  <c r="O440" i="1" s="1"/>
  <c r="N428" i="1"/>
  <c r="O428" i="1" s="1"/>
  <c r="N416" i="1"/>
  <c r="N404" i="1"/>
  <c r="O404" i="1" s="1"/>
  <c r="N392" i="1"/>
  <c r="N380" i="1"/>
  <c r="O380" i="1" s="1"/>
  <c r="N368" i="1"/>
  <c r="N356" i="1"/>
  <c r="N344" i="1"/>
  <c r="O344" i="1" s="1"/>
  <c r="N332" i="1"/>
  <c r="O332" i="1" s="1"/>
  <c r="N320" i="1"/>
  <c r="O320" i="1" s="1"/>
  <c r="N308" i="1"/>
  <c r="O308" i="1" s="1"/>
  <c r="N296" i="1"/>
  <c r="O296" i="1" s="1"/>
  <c r="N284" i="1"/>
  <c r="O284" i="1" s="1"/>
  <c r="N272" i="1"/>
  <c r="O272" i="1" s="1"/>
  <c r="N260" i="1"/>
  <c r="O260" i="1" s="1"/>
  <c r="N248" i="1"/>
  <c r="O248" i="1" s="1"/>
  <c r="N236" i="1"/>
  <c r="O236" i="1" s="1"/>
  <c r="N224" i="1"/>
  <c r="O224" i="1" s="1"/>
  <c r="N212" i="1"/>
  <c r="N200" i="1"/>
  <c r="O200" i="1" s="1"/>
  <c r="N188" i="1"/>
  <c r="O188" i="1" s="1"/>
  <c r="N176" i="1"/>
  <c r="N164" i="1"/>
  <c r="O164" i="1" s="1"/>
  <c r="N152" i="1"/>
  <c r="O152" i="1" s="1"/>
  <c r="N140" i="1"/>
  <c r="O140" i="1" s="1"/>
  <c r="N128" i="1"/>
  <c r="O128" i="1" s="1"/>
  <c r="N116" i="1"/>
  <c r="O116" i="1" s="1"/>
  <c r="N104" i="1"/>
  <c r="O104" i="1" s="1"/>
  <c r="N92" i="1"/>
  <c r="O92" i="1" s="1"/>
  <c r="N80" i="1"/>
  <c r="O80" i="1" s="1"/>
  <c r="N68" i="1"/>
  <c r="O68" i="1" s="1"/>
  <c r="N56" i="1"/>
  <c r="O56" i="1" s="1"/>
  <c r="N44" i="1"/>
  <c r="O44" i="1" s="1"/>
  <c r="N32" i="1"/>
  <c r="O32" i="1" s="1"/>
  <c r="N20" i="1"/>
  <c r="O20" i="1" s="1"/>
  <c r="N8" i="1"/>
  <c r="O8" i="1" s="1"/>
  <c r="L438" i="1"/>
  <c r="L426" i="1"/>
  <c r="M426" i="1" s="1"/>
  <c r="L414" i="1"/>
  <c r="M414" i="1" s="1"/>
  <c r="L402" i="1"/>
  <c r="M402" i="1" s="1"/>
  <c r="L390" i="1"/>
  <c r="M390" i="1" s="1"/>
  <c r="L378" i="1"/>
  <c r="M378" i="1" s="1"/>
  <c r="L366" i="1"/>
  <c r="M366" i="1" s="1"/>
  <c r="L354" i="1"/>
  <c r="M354" i="1" s="1"/>
  <c r="L342" i="1"/>
  <c r="M342" i="1" s="1"/>
  <c r="L330" i="1"/>
  <c r="M330" i="1" s="1"/>
  <c r="L318" i="1"/>
  <c r="M318" i="1" s="1"/>
  <c r="L306" i="1"/>
  <c r="M306" i="1" s="1"/>
  <c r="L294" i="1"/>
  <c r="M294" i="1" s="1"/>
  <c r="L282" i="1"/>
  <c r="M282" i="1" s="1"/>
  <c r="L270" i="1"/>
  <c r="M270" i="1" s="1"/>
  <c r="L258" i="1"/>
  <c r="M258" i="1" s="1"/>
  <c r="L246" i="1"/>
  <c r="M246" i="1" s="1"/>
  <c r="L234" i="1"/>
  <c r="M234" i="1" s="1"/>
  <c r="L222" i="1"/>
  <c r="M222" i="1" s="1"/>
  <c r="L210" i="1"/>
  <c r="M210" i="1" s="1"/>
  <c r="L198" i="1"/>
  <c r="M198" i="1" s="1"/>
  <c r="L186" i="1"/>
  <c r="M186" i="1" s="1"/>
  <c r="L174" i="1"/>
  <c r="M174" i="1" s="1"/>
  <c r="L162" i="1"/>
  <c r="M162" i="1" s="1"/>
  <c r="L150" i="1"/>
  <c r="M150" i="1" s="1"/>
  <c r="L138" i="1"/>
  <c r="M138" i="1" s="1"/>
  <c r="L126" i="1"/>
  <c r="M126" i="1" s="1"/>
  <c r="L114" i="1"/>
  <c r="M114" i="1" s="1"/>
  <c r="L102" i="1"/>
  <c r="M102" i="1" s="1"/>
  <c r="L90" i="1"/>
  <c r="M90" i="1" s="1"/>
  <c r="L78" i="1"/>
  <c r="M78" i="1" s="1"/>
  <c r="L66" i="1"/>
  <c r="M66" i="1" s="1"/>
  <c r="L54" i="1"/>
  <c r="M54" i="1" s="1"/>
  <c r="L42" i="1"/>
  <c r="M42" i="1" s="1"/>
  <c r="L30" i="1"/>
  <c r="M30" i="1" s="1"/>
  <c r="L18" i="1"/>
  <c r="M18" i="1" s="1"/>
  <c r="L6" i="1"/>
  <c r="M6" i="1" s="1"/>
  <c r="N439" i="1"/>
  <c r="O439" i="1" s="1"/>
  <c r="N427" i="1"/>
  <c r="O427" i="1" s="1"/>
  <c r="N415" i="1"/>
  <c r="O415" i="1" s="1"/>
  <c r="N403" i="1"/>
  <c r="O403" i="1" s="1"/>
  <c r="N391" i="1"/>
  <c r="N379" i="1"/>
  <c r="O379" i="1" s="1"/>
  <c r="N367" i="1"/>
  <c r="N355" i="1"/>
  <c r="N343" i="1"/>
  <c r="O343" i="1" s="1"/>
  <c r="N331" i="1"/>
  <c r="O331" i="1" s="1"/>
  <c r="N319" i="1"/>
  <c r="O319" i="1" s="1"/>
  <c r="N307" i="1"/>
  <c r="O307" i="1" s="1"/>
  <c r="N295" i="1"/>
  <c r="O295" i="1" s="1"/>
  <c r="N283" i="1"/>
  <c r="N271" i="1"/>
  <c r="O271" i="1" s="1"/>
  <c r="N259" i="1"/>
  <c r="O259" i="1" s="1"/>
  <c r="N247" i="1"/>
  <c r="O247" i="1" s="1"/>
  <c r="N235" i="1"/>
  <c r="O235" i="1" s="1"/>
  <c r="N223" i="1"/>
  <c r="O223" i="1" s="1"/>
  <c r="N211" i="1"/>
  <c r="N199" i="1"/>
  <c r="O199" i="1" s="1"/>
  <c r="N187" i="1"/>
  <c r="O187" i="1" s="1"/>
  <c r="N175" i="1"/>
  <c r="N163" i="1"/>
  <c r="O163" i="1" s="1"/>
  <c r="N151" i="1"/>
  <c r="O151" i="1" s="1"/>
  <c r="N139" i="1"/>
  <c r="O139" i="1" s="1"/>
  <c r="N127" i="1"/>
  <c r="O127" i="1" s="1"/>
  <c r="N115" i="1"/>
  <c r="O115" i="1" s="1"/>
  <c r="N103" i="1"/>
  <c r="O103" i="1" s="1"/>
  <c r="N91" i="1"/>
  <c r="O91" i="1" s="1"/>
  <c r="N79" i="1"/>
  <c r="N67" i="1"/>
  <c r="O67" i="1" s="1"/>
  <c r="N55" i="1"/>
  <c r="O55" i="1" s="1"/>
  <c r="N43" i="1"/>
  <c r="O43" i="1" s="1"/>
  <c r="N31" i="1"/>
  <c r="O31" i="1" s="1"/>
  <c r="N19" i="1"/>
  <c r="O19" i="1" s="1"/>
  <c r="N7" i="1"/>
  <c r="O7" i="1" s="1"/>
  <c r="L437" i="1"/>
  <c r="M437" i="1" s="1"/>
  <c r="L425" i="1"/>
  <c r="M425" i="1" s="1"/>
  <c r="L413" i="1"/>
  <c r="M413" i="1" s="1"/>
  <c r="L401" i="1"/>
  <c r="M401" i="1" s="1"/>
  <c r="L389" i="1"/>
  <c r="M389" i="1" s="1"/>
  <c r="L377" i="1"/>
  <c r="M377" i="1" s="1"/>
  <c r="L365" i="1"/>
  <c r="M365" i="1" s="1"/>
  <c r="L353" i="1"/>
  <c r="M353" i="1" s="1"/>
  <c r="L341" i="1"/>
  <c r="M341" i="1" s="1"/>
  <c r="L329" i="1"/>
  <c r="M329" i="1" s="1"/>
  <c r="L317" i="1"/>
  <c r="M317" i="1" s="1"/>
  <c r="L305" i="1"/>
  <c r="M305" i="1" s="1"/>
  <c r="L293" i="1"/>
  <c r="M293" i="1" s="1"/>
  <c r="L281" i="1"/>
  <c r="M281" i="1" s="1"/>
  <c r="L269" i="1"/>
  <c r="M269" i="1" s="1"/>
  <c r="L257" i="1"/>
  <c r="M257" i="1" s="1"/>
  <c r="L245" i="1"/>
  <c r="M245" i="1" s="1"/>
  <c r="L233" i="1"/>
  <c r="M233" i="1" s="1"/>
  <c r="L221" i="1"/>
  <c r="M221" i="1" s="1"/>
  <c r="L209" i="1"/>
  <c r="M209" i="1" s="1"/>
  <c r="L197" i="1"/>
  <c r="M197" i="1" s="1"/>
  <c r="L185" i="1"/>
  <c r="M185" i="1" s="1"/>
  <c r="L173" i="1"/>
  <c r="M173" i="1" s="1"/>
  <c r="L161" i="1"/>
  <c r="M161" i="1" s="1"/>
  <c r="L149" i="1"/>
  <c r="M149" i="1" s="1"/>
  <c r="L137" i="1"/>
  <c r="M137" i="1" s="1"/>
  <c r="L125" i="1"/>
  <c r="M125" i="1" s="1"/>
  <c r="L113" i="1"/>
  <c r="M113" i="1" s="1"/>
  <c r="L101" i="1"/>
  <c r="M101" i="1" s="1"/>
  <c r="L89" i="1"/>
  <c r="M89" i="1" s="1"/>
  <c r="L77" i="1"/>
  <c r="M77" i="1" s="1"/>
  <c r="L65" i="1"/>
  <c r="M65" i="1" s="1"/>
  <c r="L53" i="1"/>
  <c r="M53" i="1" s="1"/>
  <c r="L41" i="1"/>
  <c r="M41" i="1" s="1"/>
  <c r="L29" i="1"/>
  <c r="M29" i="1" s="1"/>
  <c r="L17" i="1"/>
  <c r="M17" i="1" s="1"/>
  <c r="L5" i="1"/>
  <c r="M5" i="1" s="1"/>
  <c r="N438" i="1"/>
  <c r="O438" i="1" s="1"/>
  <c r="N426" i="1"/>
  <c r="O426" i="1" s="1"/>
  <c r="N414" i="1"/>
  <c r="O414" i="1" s="1"/>
  <c r="N402" i="1"/>
  <c r="O402" i="1" s="1"/>
  <c r="N390" i="1"/>
  <c r="N378" i="1"/>
  <c r="O378" i="1" s="1"/>
  <c r="N366" i="1"/>
  <c r="N354" i="1"/>
  <c r="N342" i="1"/>
  <c r="O342" i="1" s="1"/>
  <c r="N330" i="1"/>
  <c r="O330" i="1" s="1"/>
  <c r="N318" i="1"/>
  <c r="O318" i="1" s="1"/>
  <c r="N306" i="1"/>
  <c r="N294" i="1"/>
  <c r="O294" i="1" s="1"/>
  <c r="N282" i="1"/>
  <c r="O282" i="1" s="1"/>
  <c r="N270" i="1"/>
  <c r="O270" i="1" s="1"/>
  <c r="N258" i="1"/>
  <c r="O258" i="1" s="1"/>
  <c r="N246" i="1"/>
  <c r="O246" i="1" s="1"/>
  <c r="N234" i="1"/>
  <c r="O234" i="1" s="1"/>
  <c r="N222" i="1"/>
  <c r="O222" i="1" s="1"/>
  <c r="N210" i="1"/>
  <c r="N198" i="1"/>
  <c r="O198" i="1" s="1"/>
  <c r="N186" i="1"/>
  <c r="O186" i="1" s="1"/>
  <c r="N174" i="1"/>
  <c r="N162" i="1"/>
  <c r="O162" i="1" s="1"/>
  <c r="N150" i="1"/>
  <c r="O150" i="1" s="1"/>
  <c r="N138" i="1"/>
  <c r="O138" i="1" s="1"/>
  <c r="N126" i="1"/>
  <c r="O126" i="1" s="1"/>
  <c r="N114" i="1"/>
  <c r="O114" i="1" s="1"/>
  <c r="N102" i="1"/>
  <c r="O102" i="1" s="1"/>
  <c r="N90" i="1"/>
  <c r="O90" i="1" s="1"/>
  <c r="N78" i="1"/>
  <c r="N66" i="1"/>
  <c r="O66" i="1" s="1"/>
  <c r="N54" i="1"/>
  <c r="O54" i="1" s="1"/>
  <c r="N42" i="1"/>
  <c r="O42" i="1" s="1"/>
  <c r="N30" i="1"/>
  <c r="O30" i="1" s="1"/>
  <c r="N18" i="1"/>
  <c r="O18" i="1" s="1"/>
  <c r="N6" i="1"/>
  <c r="O6" i="1" s="1"/>
  <c r="L436" i="1"/>
  <c r="M436" i="1" s="1"/>
  <c r="L424" i="1"/>
  <c r="M424" i="1" s="1"/>
  <c r="L412" i="1"/>
  <c r="M412" i="1" s="1"/>
  <c r="L400" i="1"/>
  <c r="M400" i="1" s="1"/>
  <c r="L388" i="1"/>
  <c r="M388" i="1" s="1"/>
  <c r="L376" i="1"/>
  <c r="M376" i="1" s="1"/>
  <c r="L364" i="1"/>
  <c r="M364" i="1" s="1"/>
  <c r="L352" i="1"/>
  <c r="M352" i="1" s="1"/>
  <c r="L340" i="1"/>
  <c r="M340" i="1" s="1"/>
  <c r="L328" i="1"/>
  <c r="M328" i="1" s="1"/>
  <c r="L316" i="1"/>
  <c r="M316" i="1" s="1"/>
  <c r="L304" i="1"/>
  <c r="M304" i="1" s="1"/>
  <c r="L292" i="1"/>
  <c r="M292" i="1" s="1"/>
  <c r="L280" i="1"/>
  <c r="M280" i="1" s="1"/>
  <c r="L268" i="1"/>
  <c r="M268" i="1" s="1"/>
  <c r="L256" i="1"/>
  <c r="M256" i="1" s="1"/>
  <c r="L244" i="1"/>
  <c r="M244" i="1" s="1"/>
  <c r="L232" i="1"/>
  <c r="M232" i="1" s="1"/>
  <c r="L220" i="1"/>
  <c r="M220" i="1" s="1"/>
  <c r="L208" i="1"/>
  <c r="M208" i="1" s="1"/>
  <c r="L196" i="1"/>
  <c r="M196" i="1" s="1"/>
  <c r="L184" i="1"/>
  <c r="M184" i="1" s="1"/>
  <c r="L172" i="1"/>
  <c r="M172" i="1" s="1"/>
  <c r="L160" i="1"/>
  <c r="M160" i="1" s="1"/>
  <c r="L148" i="1"/>
  <c r="M148" i="1" s="1"/>
  <c r="L136" i="1"/>
  <c r="M136" i="1" s="1"/>
  <c r="L124" i="1"/>
  <c r="M124" i="1" s="1"/>
  <c r="L112" i="1"/>
  <c r="M112" i="1" s="1"/>
  <c r="L100" i="1"/>
  <c r="M100" i="1" s="1"/>
  <c r="L88" i="1"/>
  <c r="M88" i="1" s="1"/>
  <c r="L76" i="1"/>
  <c r="M76" i="1" s="1"/>
  <c r="L64" i="1"/>
  <c r="M64" i="1" s="1"/>
  <c r="L52" i="1"/>
  <c r="M52" i="1" s="1"/>
  <c r="L40" i="1"/>
  <c r="M40" i="1" s="1"/>
  <c r="L28" i="1"/>
  <c r="M28" i="1" s="1"/>
  <c r="L16" i="1"/>
  <c r="M16" i="1" s="1"/>
  <c r="L4" i="1"/>
  <c r="M4" i="1" s="1"/>
  <c r="N437" i="1"/>
  <c r="O437" i="1" s="1"/>
  <c r="N425" i="1"/>
  <c r="O425" i="1" s="1"/>
  <c r="N413" i="1"/>
  <c r="O413" i="1" s="1"/>
  <c r="N401" i="1"/>
  <c r="O401" i="1" s="1"/>
  <c r="N389" i="1"/>
  <c r="N377" i="1"/>
  <c r="O377" i="1" s="1"/>
  <c r="N365" i="1"/>
  <c r="N353" i="1"/>
  <c r="N341" i="1"/>
  <c r="O341" i="1" s="1"/>
  <c r="N329" i="1"/>
  <c r="O329" i="1" s="1"/>
  <c r="N317" i="1"/>
  <c r="O317" i="1" s="1"/>
  <c r="N305" i="1"/>
  <c r="O305" i="1" s="1"/>
  <c r="N293" i="1"/>
  <c r="O293" i="1" s="1"/>
  <c r="N281" i="1"/>
  <c r="O281" i="1" s="1"/>
  <c r="N269" i="1"/>
  <c r="O269" i="1" s="1"/>
  <c r="N257" i="1"/>
  <c r="O257" i="1" s="1"/>
  <c r="N245" i="1"/>
  <c r="O245" i="1" s="1"/>
  <c r="N233" i="1"/>
  <c r="O233" i="1" s="1"/>
  <c r="N221" i="1"/>
  <c r="O221" i="1" s="1"/>
  <c r="N209" i="1"/>
  <c r="O209" i="1" s="1"/>
  <c r="N197" i="1"/>
  <c r="O197" i="1" s="1"/>
  <c r="N185" i="1"/>
  <c r="O185" i="1" s="1"/>
  <c r="N173" i="1"/>
  <c r="O173" i="1" s="1"/>
  <c r="N161" i="1"/>
  <c r="O161" i="1" s="1"/>
  <c r="N149" i="1"/>
  <c r="O149" i="1" s="1"/>
  <c r="N137" i="1"/>
  <c r="O137" i="1" s="1"/>
  <c r="N125" i="1"/>
  <c r="O125" i="1" s="1"/>
  <c r="N113" i="1"/>
  <c r="O113" i="1" s="1"/>
  <c r="N101" i="1"/>
  <c r="O101" i="1" s="1"/>
  <c r="N89" i="1"/>
  <c r="O89" i="1" s="1"/>
  <c r="N77" i="1"/>
  <c r="O77" i="1" s="1"/>
  <c r="N65" i="1"/>
  <c r="O65" i="1" s="1"/>
  <c r="N53" i="1"/>
  <c r="O53" i="1" s="1"/>
  <c r="N41" i="1"/>
  <c r="O41" i="1" s="1"/>
  <c r="N29" i="1"/>
  <c r="O29" i="1" s="1"/>
  <c r="N17" i="1"/>
  <c r="O17" i="1" s="1"/>
  <c r="N5" i="1"/>
  <c r="O5" i="1" s="1"/>
  <c r="L435" i="1"/>
  <c r="M435" i="1" s="1"/>
  <c r="L423" i="1"/>
  <c r="M423" i="1" s="1"/>
  <c r="L411" i="1"/>
  <c r="M411" i="1" s="1"/>
  <c r="L399" i="1"/>
  <c r="M399" i="1" s="1"/>
  <c r="L387" i="1"/>
  <c r="M387" i="1" s="1"/>
  <c r="L375" i="1"/>
  <c r="M375" i="1" s="1"/>
  <c r="L363" i="1"/>
  <c r="M363" i="1" s="1"/>
  <c r="L351" i="1"/>
  <c r="M351" i="1" s="1"/>
  <c r="L339" i="1"/>
  <c r="M339" i="1" s="1"/>
  <c r="L327" i="1"/>
  <c r="M327" i="1" s="1"/>
  <c r="L315" i="1"/>
  <c r="M315" i="1" s="1"/>
  <c r="L303" i="1"/>
  <c r="M303" i="1" s="1"/>
  <c r="L291" i="1"/>
  <c r="M291" i="1" s="1"/>
  <c r="L279" i="1"/>
  <c r="M279" i="1" s="1"/>
  <c r="L267" i="1"/>
  <c r="M267" i="1" s="1"/>
  <c r="L255" i="1"/>
  <c r="M255" i="1" s="1"/>
  <c r="L243" i="1"/>
  <c r="M243" i="1" s="1"/>
  <c r="L231" i="1"/>
  <c r="M231" i="1" s="1"/>
  <c r="L219" i="1"/>
  <c r="M219" i="1" s="1"/>
  <c r="L207" i="1"/>
  <c r="M207" i="1" s="1"/>
  <c r="L195" i="1"/>
  <c r="M195" i="1" s="1"/>
  <c r="L183" i="1"/>
  <c r="M183" i="1" s="1"/>
  <c r="L171" i="1"/>
  <c r="M171" i="1" s="1"/>
  <c r="L159" i="1"/>
  <c r="M159" i="1" s="1"/>
  <c r="L147" i="1"/>
  <c r="M147" i="1" s="1"/>
  <c r="L135" i="1"/>
  <c r="M135" i="1" s="1"/>
  <c r="L123" i="1"/>
  <c r="M123" i="1" s="1"/>
  <c r="L111" i="1"/>
  <c r="M111" i="1" s="1"/>
  <c r="L99" i="1"/>
  <c r="M99" i="1" s="1"/>
  <c r="L87" i="1"/>
  <c r="M87" i="1" s="1"/>
  <c r="L75" i="1"/>
  <c r="M75" i="1" s="1"/>
  <c r="L63" i="1"/>
  <c r="M63" i="1" s="1"/>
  <c r="L51" i="1"/>
  <c r="M51" i="1" s="1"/>
  <c r="L39" i="1"/>
  <c r="M39" i="1" s="1"/>
  <c r="L27" i="1"/>
  <c r="M27" i="1" s="1"/>
  <c r="L15" i="1"/>
  <c r="M15" i="1" s="1"/>
  <c r="L3" i="1"/>
  <c r="M3" i="1" s="1"/>
  <c r="N436" i="1"/>
  <c r="O436" i="1" s="1"/>
  <c r="N424" i="1"/>
  <c r="O424" i="1" s="1"/>
  <c r="N412" i="1"/>
  <c r="O412" i="1" s="1"/>
  <c r="N400" i="1"/>
  <c r="O400" i="1" s="1"/>
  <c r="N388" i="1"/>
  <c r="N376" i="1"/>
  <c r="O376" i="1" s="1"/>
  <c r="N364" i="1"/>
  <c r="N352" i="1"/>
  <c r="N340" i="1"/>
  <c r="O340" i="1" s="1"/>
  <c r="N328" i="1"/>
  <c r="O328" i="1" s="1"/>
  <c r="N316" i="1"/>
  <c r="O316" i="1" s="1"/>
  <c r="N304" i="1"/>
  <c r="O304" i="1" s="1"/>
  <c r="N292" i="1"/>
  <c r="O292" i="1" s="1"/>
  <c r="N280" i="1"/>
  <c r="O280" i="1" s="1"/>
  <c r="N268" i="1"/>
  <c r="O268" i="1" s="1"/>
  <c r="N256" i="1"/>
  <c r="O256" i="1" s="1"/>
  <c r="N244" i="1"/>
  <c r="O244" i="1" s="1"/>
  <c r="N232" i="1"/>
  <c r="O232" i="1" s="1"/>
  <c r="N220" i="1"/>
  <c r="O220" i="1" s="1"/>
  <c r="N208" i="1"/>
  <c r="O208" i="1" s="1"/>
  <c r="N196" i="1"/>
  <c r="O196" i="1" s="1"/>
  <c r="N184" i="1"/>
  <c r="N172" i="1"/>
  <c r="O172" i="1" s="1"/>
  <c r="N160" i="1"/>
  <c r="O160" i="1" s="1"/>
  <c r="N148" i="1"/>
  <c r="O148" i="1" s="1"/>
  <c r="N136" i="1"/>
  <c r="O136" i="1" s="1"/>
  <c r="N124" i="1"/>
  <c r="O124" i="1" s="1"/>
  <c r="N112" i="1"/>
  <c r="O112" i="1" s="1"/>
  <c r="N100" i="1"/>
  <c r="O100" i="1" s="1"/>
  <c r="N88" i="1"/>
  <c r="O88" i="1" s="1"/>
  <c r="N76" i="1"/>
  <c r="O76" i="1" s="1"/>
  <c r="N64" i="1"/>
  <c r="O64" i="1" s="1"/>
  <c r="N52" i="1"/>
  <c r="O52" i="1" s="1"/>
  <c r="N40" i="1"/>
  <c r="O40" i="1" s="1"/>
  <c r="N28" i="1"/>
  <c r="O28" i="1" s="1"/>
  <c r="N16" i="1"/>
  <c r="N4" i="1"/>
  <c r="O4" i="1" s="1"/>
  <c r="L446" i="1"/>
  <c r="L434" i="1"/>
  <c r="M434" i="1" s="1"/>
  <c r="L422" i="1"/>
  <c r="M422" i="1" s="1"/>
  <c r="L410" i="1"/>
  <c r="M410" i="1" s="1"/>
  <c r="L398" i="1"/>
  <c r="M398" i="1" s="1"/>
  <c r="L386" i="1"/>
  <c r="M386" i="1" s="1"/>
  <c r="L374" i="1"/>
  <c r="M374" i="1" s="1"/>
  <c r="L362" i="1"/>
  <c r="M362" i="1" s="1"/>
  <c r="L350" i="1"/>
  <c r="M350" i="1" s="1"/>
  <c r="L338" i="1"/>
  <c r="M338" i="1" s="1"/>
  <c r="L326" i="1"/>
  <c r="M326" i="1" s="1"/>
  <c r="L314" i="1"/>
  <c r="M314" i="1" s="1"/>
  <c r="L302" i="1"/>
  <c r="M302" i="1" s="1"/>
  <c r="L290" i="1"/>
  <c r="M290" i="1" s="1"/>
  <c r="L278" i="1"/>
  <c r="M278" i="1" s="1"/>
  <c r="L266" i="1"/>
  <c r="M266" i="1" s="1"/>
  <c r="L254" i="1"/>
  <c r="M254" i="1" s="1"/>
  <c r="L242" i="1"/>
  <c r="M242" i="1" s="1"/>
  <c r="N435" i="1"/>
  <c r="N423" i="1"/>
  <c r="O423" i="1" s="1"/>
  <c r="N411" i="1"/>
  <c r="O411" i="1" s="1"/>
  <c r="N399" i="1"/>
  <c r="O399" i="1" s="1"/>
  <c r="N387" i="1"/>
  <c r="O387" i="1" s="1"/>
  <c r="N375" i="1"/>
  <c r="O375" i="1" s="1"/>
  <c r="N363" i="1"/>
  <c r="O363" i="1" s="1"/>
  <c r="N351" i="1"/>
  <c r="O351" i="1" s="1"/>
  <c r="L445" i="1"/>
  <c r="M445" i="1" s="1"/>
  <c r="L433" i="1"/>
  <c r="M433" i="1" s="1"/>
  <c r="L421" i="1"/>
  <c r="L409" i="1"/>
  <c r="M409" i="1" s="1"/>
  <c r="L397" i="1"/>
  <c r="M397" i="1" s="1"/>
  <c r="L385" i="1"/>
  <c r="M385" i="1" s="1"/>
  <c r="L373" i="1"/>
  <c r="M373" i="1" s="1"/>
  <c r="L361" i="1"/>
  <c r="M361" i="1" s="1"/>
  <c r="L349" i="1"/>
  <c r="M349" i="1" s="1"/>
  <c r="L337" i="1"/>
  <c r="M337" i="1" s="1"/>
  <c r="L325" i="1"/>
  <c r="M325" i="1" s="1"/>
  <c r="L313" i="1"/>
  <c r="M313" i="1" s="1"/>
  <c r="L301" i="1"/>
  <c r="M301" i="1" s="1"/>
  <c r="L289" i="1"/>
  <c r="M289" i="1" s="1"/>
  <c r="L277" i="1"/>
  <c r="M277" i="1" s="1"/>
  <c r="L265" i="1"/>
  <c r="M265" i="1" s="1"/>
  <c r="L253" i="1"/>
  <c r="M253" i="1" s="1"/>
  <c r="L241" i="1"/>
  <c r="M241" i="1" s="1"/>
  <c r="L229" i="1"/>
  <c r="M229" i="1" s="1"/>
  <c r="L217" i="1"/>
  <c r="M217" i="1" s="1"/>
  <c r="L205" i="1"/>
  <c r="M205" i="1" s="1"/>
  <c r="L193" i="1"/>
  <c r="M193" i="1" s="1"/>
  <c r="L181" i="1"/>
  <c r="M181" i="1" s="1"/>
  <c r="L169" i="1"/>
  <c r="M169" i="1" s="1"/>
  <c r="L157" i="1"/>
  <c r="M157" i="1" s="1"/>
  <c r="L145" i="1"/>
  <c r="M145" i="1" s="1"/>
  <c r="L133" i="1"/>
  <c r="M133" i="1" s="1"/>
  <c r="L121" i="1"/>
  <c r="M121" i="1" s="1"/>
  <c r="L109" i="1"/>
  <c r="M109" i="1" s="1"/>
  <c r="L97" i="1"/>
  <c r="M97" i="1" s="1"/>
  <c r="L85" i="1"/>
  <c r="M85" i="1" s="1"/>
  <c r="L73" i="1"/>
  <c r="M73" i="1" s="1"/>
  <c r="L61" i="1"/>
  <c r="M61" i="1" s="1"/>
  <c r="L49" i="1"/>
  <c r="M49" i="1" s="1"/>
  <c r="L37" i="1"/>
  <c r="M37" i="1" s="1"/>
  <c r="L25" i="1"/>
  <c r="M25" i="1" s="1"/>
  <c r="L13" i="1"/>
  <c r="M13" i="1" s="1"/>
  <c r="N446" i="1"/>
  <c r="O446" i="1" s="1"/>
  <c r="N434" i="1"/>
  <c r="O434" i="1" s="1"/>
  <c r="N422" i="1"/>
  <c r="O422" i="1" s="1"/>
  <c r="N410" i="1"/>
  <c r="O410" i="1" s="1"/>
  <c r="N398" i="1"/>
  <c r="N386" i="1"/>
  <c r="O386" i="1" s="1"/>
  <c r="N374" i="1"/>
  <c r="N362" i="1"/>
  <c r="N350" i="1"/>
  <c r="O350" i="1" s="1"/>
  <c r="N338" i="1"/>
  <c r="O338" i="1" s="1"/>
  <c r="N326" i="1"/>
  <c r="O326" i="1" s="1"/>
  <c r="N314" i="1"/>
  <c r="O314" i="1" s="1"/>
  <c r="N302" i="1"/>
  <c r="O302" i="1" s="1"/>
  <c r="N290" i="1"/>
  <c r="O290" i="1" s="1"/>
  <c r="N278" i="1"/>
  <c r="O278" i="1" s="1"/>
  <c r="N266" i="1"/>
  <c r="O266" i="1" s="1"/>
  <c r="N254" i="1"/>
  <c r="O254" i="1" s="1"/>
  <c r="N242" i="1"/>
  <c r="O242" i="1" s="1"/>
  <c r="N230" i="1"/>
  <c r="O230" i="1" s="1"/>
  <c r="N218" i="1"/>
  <c r="O218" i="1" s="1"/>
  <c r="N206" i="1"/>
  <c r="O206" i="1" s="1"/>
  <c r="N194" i="1"/>
  <c r="O194" i="1" s="1"/>
  <c r="N182" i="1"/>
  <c r="O182" i="1" s="1"/>
  <c r="N170" i="1"/>
  <c r="O170" i="1" s="1"/>
  <c r="N158" i="1"/>
  <c r="O158" i="1" s="1"/>
  <c r="N146" i="1"/>
  <c r="O146" i="1" s="1"/>
  <c r="N134" i="1"/>
  <c r="O134" i="1" s="1"/>
  <c r="N122" i="1"/>
  <c r="O122" i="1" s="1"/>
  <c r="N110" i="1"/>
  <c r="O110" i="1" s="1"/>
  <c r="N98" i="1"/>
  <c r="O98" i="1" s="1"/>
  <c r="N86" i="1"/>
  <c r="O86" i="1" s="1"/>
  <c r="N74" i="1"/>
  <c r="O74" i="1" s="1"/>
  <c r="N62" i="1"/>
  <c r="O62" i="1" s="1"/>
  <c r="N50" i="1"/>
  <c r="O50" i="1" s="1"/>
  <c r="N38" i="1"/>
  <c r="O38" i="1" s="1"/>
  <c r="N26" i="1"/>
  <c r="O26" i="1" s="1"/>
  <c r="N14" i="1"/>
  <c r="O14" i="1" s="1"/>
  <c r="N2" i="1"/>
  <c r="O2" i="1" s="1"/>
  <c r="J133" i="1"/>
  <c r="K133" i="1" s="1"/>
  <c r="J25" i="1"/>
  <c r="K25" i="1" s="1"/>
  <c r="J265" i="1"/>
  <c r="K265" i="1" s="1"/>
  <c r="J109" i="1"/>
  <c r="K109" i="1" s="1"/>
  <c r="J229" i="1"/>
  <c r="K229" i="1" s="1"/>
  <c r="J217" i="1"/>
  <c r="K217" i="1" s="1"/>
  <c r="J73" i="1"/>
  <c r="K73" i="1" s="1"/>
  <c r="J205" i="1"/>
  <c r="K205" i="1" s="1"/>
  <c r="J61" i="1"/>
  <c r="K61" i="1" s="1"/>
  <c r="J337" i="1"/>
  <c r="K337" i="1" s="1"/>
  <c r="J301" i="1"/>
  <c r="K301" i="1" s="1"/>
  <c r="J157" i="1"/>
  <c r="K157" i="1" s="1"/>
  <c r="J289" i="1"/>
  <c r="K289" i="1" s="1"/>
  <c r="J145" i="1"/>
  <c r="K145" i="1" s="1"/>
  <c r="J433" i="1"/>
  <c r="K433" i="1" s="1"/>
  <c r="J373" i="1"/>
  <c r="K373" i="1" s="1"/>
  <c r="J361" i="1"/>
  <c r="K361" i="1" s="1"/>
  <c r="J444" i="1"/>
  <c r="K444" i="1" s="1"/>
  <c r="J432" i="1"/>
  <c r="K432" i="1" s="1"/>
  <c r="J384" i="1"/>
  <c r="K384" i="1" s="1"/>
  <c r="J360" i="1"/>
  <c r="K360" i="1" s="1"/>
  <c r="J336" i="1"/>
  <c r="K336" i="1" s="1"/>
  <c r="J288" i="1"/>
  <c r="K288" i="1" s="1"/>
  <c r="J264" i="1"/>
  <c r="K264" i="1" s="1"/>
  <c r="J216" i="1"/>
  <c r="K216" i="1" s="1"/>
  <c r="J204" i="1"/>
  <c r="K204" i="1" s="1"/>
  <c r="J144" i="1"/>
  <c r="K144" i="1" s="1"/>
  <c r="J132" i="1"/>
  <c r="K132" i="1" s="1"/>
  <c r="J96" i="1"/>
  <c r="K96" i="1" s="1"/>
  <c r="J84" i="1"/>
  <c r="K84" i="1" s="1"/>
  <c r="J72" i="1"/>
  <c r="K72" i="1" s="1"/>
  <c r="J60" i="1"/>
  <c r="K60" i="1" s="1"/>
  <c r="J24" i="1"/>
  <c r="K24" i="1" s="1"/>
  <c r="J12" i="1"/>
  <c r="K12" i="1" s="1"/>
  <c r="J431" i="1"/>
  <c r="J419" i="1"/>
  <c r="K419" i="1" s="1"/>
  <c r="J383" i="1"/>
  <c r="K383" i="1" s="1"/>
  <c r="J359" i="1"/>
  <c r="K359" i="1" s="1"/>
  <c r="J347" i="1"/>
  <c r="K347" i="1" s="1"/>
  <c r="J287" i="1"/>
  <c r="K287" i="1" s="1"/>
  <c r="J275" i="1"/>
  <c r="K275" i="1" s="1"/>
  <c r="J263" i="1"/>
  <c r="K263" i="1" s="1"/>
  <c r="J215" i="1"/>
  <c r="K215" i="1" s="1"/>
  <c r="J203" i="1"/>
  <c r="K203" i="1" s="1"/>
  <c r="J167" i="1"/>
  <c r="K167" i="1" s="1"/>
  <c r="J143" i="1"/>
  <c r="K143" i="1" s="1"/>
  <c r="J131" i="1"/>
  <c r="K131" i="1" s="1"/>
  <c r="J95" i="1"/>
  <c r="K95" i="1" s="1"/>
  <c r="J83" i="1"/>
  <c r="K83" i="1" s="1"/>
  <c r="J71" i="1"/>
  <c r="K71" i="1" s="1"/>
  <c r="J59" i="1"/>
  <c r="K59" i="1" s="1"/>
  <c r="J23" i="1"/>
  <c r="K23" i="1" s="1"/>
  <c r="J11" i="1"/>
  <c r="K11" i="1" s="1"/>
  <c r="J442" i="1"/>
  <c r="J430" i="1"/>
  <c r="K430" i="1" s="1"/>
  <c r="J418" i="1"/>
  <c r="K418" i="1" s="1"/>
  <c r="J406" i="1"/>
  <c r="K406" i="1" s="1"/>
  <c r="J394" i="1"/>
  <c r="K394" i="1" s="1"/>
  <c r="J382" i="1"/>
  <c r="K382" i="1" s="1"/>
  <c r="J370" i="1"/>
  <c r="K370" i="1" s="1"/>
  <c r="J358" i="1"/>
  <c r="K358" i="1" s="1"/>
  <c r="J346" i="1"/>
  <c r="K346" i="1" s="1"/>
  <c r="J334" i="1"/>
  <c r="K334" i="1" s="1"/>
  <c r="J322" i="1"/>
  <c r="K322" i="1" s="1"/>
  <c r="J310" i="1"/>
  <c r="K310" i="1" s="1"/>
  <c r="J298" i="1"/>
  <c r="K298" i="1" s="1"/>
  <c r="J286" i="1"/>
  <c r="K286" i="1" s="1"/>
  <c r="J274" i="1"/>
  <c r="K274" i="1" s="1"/>
  <c r="J262" i="1"/>
  <c r="K262" i="1" s="1"/>
  <c r="J250" i="1"/>
  <c r="K250" i="1" s="1"/>
  <c r="J238" i="1"/>
  <c r="K238" i="1" s="1"/>
  <c r="J226" i="1"/>
  <c r="K226" i="1" s="1"/>
  <c r="J214" i="1"/>
  <c r="K214" i="1" s="1"/>
  <c r="J190" i="1"/>
  <c r="K190" i="1" s="1"/>
  <c r="J178" i="1"/>
  <c r="K178" i="1" s="1"/>
  <c r="J154" i="1"/>
  <c r="K154" i="1" s="1"/>
  <c r="J142" i="1"/>
  <c r="K142" i="1" s="1"/>
  <c r="J130" i="1"/>
  <c r="K130" i="1" s="1"/>
  <c r="J94" i="1"/>
  <c r="K94" i="1" s="1"/>
  <c r="J82" i="1"/>
  <c r="K82" i="1" s="1"/>
  <c r="J70" i="1"/>
  <c r="K70" i="1" s="1"/>
  <c r="J58" i="1"/>
  <c r="K58" i="1" s="1"/>
  <c r="J10" i="1"/>
  <c r="K10" i="1" s="1"/>
  <c r="J429" i="1"/>
  <c r="K429" i="1" s="1"/>
  <c r="J417" i="1"/>
  <c r="K417" i="1" s="1"/>
  <c r="J405" i="1"/>
  <c r="K405" i="1" s="1"/>
  <c r="J393" i="1"/>
  <c r="K393" i="1" s="1"/>
  <c r="J381" i="1"/>
  <c r="K381" i="1" s="1"/>
  <c r="J369" i="1"/>
  <c r="K369" i="1" s="1"/>
  <c r="J357" i="1"/>
  <c r="K357" i="1" s="1"/>
  <c r="J345" i="1"/>
  <c r="K345" i="1" s="1"/>
  <c r="J333" i="1"/>
  <c r="K333" i="1" s="1"/>
  <c r="J321" i="1"/>
  <c r="K321" i="1" s="1"/>
  <c r="J309" i="1"/>
  <c r="K309" i="1" s="1"/>
  <c r="J297" i="1"/>
  <c r="K297" i="1" s="1"/>
  <c r="J285" i="1"/>
  <c r="K285" i="1" s="1"/>
  <c r="J273" i="1"/>
  <c r="K273" i="1" s="1"/>
  <c r="J261" i="1"/>
  <c r="K261" i="1" s="1"/>
  <c r="J249" i="1"/>
  <c r="K249" i="1" s="1"/>
  <c r="J237" i="1"/>
  <c r="K237" i="1" s="1"/>
  <c r="J225" i="1"/>
  <c r="K225" i="1" s="1"/>
  <c r="J213" i="1"/>
  <c r="K213" i="1" s="1"/>
  <c r="J189" i="1"/>
  <c r="K189" i="1" s="1"/>
  <c r="J177" i="1"/>
  <c r="K177" i="1" s="1"/>
  <c r="J153" i="1"/>
  <c r="K153" i="1" s="1"/>
  <c r="J141" i="1"/>
  <c r="K141" i="1" s="1"/>
  <c r="J416" i="1"/>
  <c r="J392" i="1"/>
  <c r="K392" i="1" s="1"/>
  <c r="J344" i="1"/>
  <c r="K344" i="1" s="1"/>
  <c r="J320" i="1"/>
  <c r="K320" i="1" s="1"/>
  <c r="J272" i="1"/>
  <c r="K272" i="1" s="1"/>
  <c r="J92" i="1"/>
  <c r="K92" i="1" s="1"/>
  <c r="J44" i="1"/>
  <c r="K44" i="1" s="1"/>
  <c r="J415" i="1"/>
  <c r="K415" i="1" s="1"/>
  <c r="J403" i="1"/>
  <c r="K403" i="1" s="1"/>
  <c r="J391" i="1"/>
  <c r="K391" i="1" s="1"/>
  <c r="J343" i="1"/>
  <c r="K343" i="1" s="1"/>
  <c r="J331" i="1"/>
  <c r="K331" i="1" s="1"/>
  <c r="J319" i="1"/>
  <c r="K319" i="1" s="1"/>
  <c r="J271" i="1"/>
  <c r="K271" i="1" s="1"/>
  <c r="J259" i="1"/>
  <c r="K259" i="1" s="1"/>
  <c r="J223" i="1"/>
  <c r="K223" i="1" s="1"/>
  <c r="J199" i="1"/>
  <c r="K199" i="1" s="1"/>
  <c r="J187" i="1"/>
  <c r="K187" i="1" s="1"/>
  <c r="J163" i="1"/>
  <c r="K163" i="1" s="1"/>
  <c r="J151" i="1"/>
  <c r="K151" i="1" s="1"/>
  <c r="J115" i="1"/>
  <c r="K115" i="1" s="1"/>
  <c r="J79" i="1"/>
  <c r="K79" i="1" s="1"/>
  <c r="J43" i="1"/>
  <c r="K43" i="1" s="1"/>
  <c r="J19" i="1"/>
  <c r="K19" i="1" s="1"/>
  <c r="J7" i="1"/>
  <c r="K7" i="1" s="1"/>
  <c r="J438" i="1"/>
  <c r="J426" i="1"/>
  <c r="K426" i="1" s="1"/>
  <c r="J402" i="1"/>
  <c r="K402" i="1" s="1"/>
  <c r="J390" i="1"/>
  <c r="K390" i="1" s="1"/>
  <c r="J378" i="1"/>
  <c r="K378" i="1" s="1"/>
  <c r="J342" i="1"/>
  <c r="K342" i="1" s="1"/>
  <c r="J330" i="1"/>
  <c r="K330" i="1" s="1"/>
  <c r="J318" i="1"/>
  <c r="K318" i="1" s="1"/>
  <c r="J306" i="1"/>
  <c r="K306" i="1" s="1"/>
  <c r="J258" i="1"/>
  <c r="K258" i="1" s="1"/>
  <c r="J246" i="1"/>
  <c r="K246" i="1" s="1"/>
  <c r="J234" i="1"/>
  <c r="K234" i="1" s="1"/>
  <c r="J222" i="1"/>
  <c r="K222" i="1" s="1"/>
  <c r="J186" i="1"/>
  <c r="K186" i="1" s="1"/>
  <c r="J162" i="1"/>
  <c r="K162" i="1" s="1"/>
  <c r="J150" i="1"/>
  <c r="K150" i="1" s="1"/>
  <c r="J114" i="1"/>
  <c r="K114" i="1" s="1"/>
  <c r="J78" i="1"/>
  <c r="K78" i="1" s="1"/>
  <c r="J42" i="1"/>
  <c r="K42" i="1" s="1"/>
  <c r="J30" i="1"/>
  <c r="K30" i="1" s="1"/>
  <c r="J18" i="1"/>
  <c r="K18" i="1" s="1"/>
  <c r="J6" i="1"/>
  <c r="K6" i="1" s="1"/>
  <c r="J425" i="1"/>
  <c r="K425" i="1" s="1"/>
  <c r="J329" i="1"/>
  <c r="K329" i="1" s="1"/>
  <c r="J305" i="1"/>
  <c r="K305" i="1" s="1"/>
  <c r="J233" i="1"/>
  <c r="K233" i="1" s="1"/>
  <c r="J221" i="1"/>
  <c r="K221" i="1" s="1"/>
  <c r="J161" i="1"/>
  <c r="K161" i="1" s="1"/>
  <c r="J149" i="1"/>
  <c r="K149" i="1" s="1"/>
  <c r="J113" i="1"/>
  <c r="K113" i="1" s="1"/>
  <c r="J101" i="1"/>
  <c r="K101" i="1" s="1"/>
  <c r="J41" i="1"/>
  <c r="K41" i="1" s="1"/>
  <c r="J29" i="1"/>
  <c r="K29" i="1" s="1"/>
  <c r="J17" i="1"/>
  <c r="K17" i="1" s="1"/>
  <c r="J424" i="1"/>
  <c r="K424" i="1" s="1"/>
  <c r="J352" i="1"/>
  <c r="K352" i="1" s="1"/>
  <c r="J304" i="1"/>
  <c r="K304" i="1" s="1"/>
  <c r="J256" i="1"/>
  <c r="K256" i="1" s="1"/>
  <c r="J232" i="1"/>
  <c r="K232" i="1" s="1"/>
  <c r="J208" i="1"/>
  <c r="K208" i="1" s="1"/>
  <c r="J172" i="1"/>
  <c r="K172" i="1" s="1"/>
  <c r="J160" i="1"/>
  <c r="K160" i="1" s="1"/>
  <c r="J136" i="1"/>
  <c r="K136" i="1" s="1"/>
  <c r="J112" i="1"/>
  <c r="K112" i="1" s="1"/>
  <c r="J100" i="1"/>
  <c r="K100" i="1" s="1"/>
  <c r="J64" i="1"/>
  <c r="K64" i="1" s="1"/>
  <c r="J28" i="1"/>
  <c r="K28" i="1" s="1"/>
  <c r="J4" i="1"/>
  <c r="K4" i="1" s="1"/>
  <c r="J435" i="1"/>
  <c r="K435" i="1" s="1"/>
  <c r="J423" i="1"/>
  <c r="K423" i="1" s="1"/>
  <c r="J375" i="1"/>
  <c r="K375" i="1" s="1"/>
  <c r="J351" i="1"/>
  <c r="K351" i="1" s="1"/>
  <c r="J339" i="1"/>
  <c r="K339" i="1" s="1"/>
  <c r="J303" i="1"/>
  <c r="K303" i="1" s="1"/>
  <c r="J255" i="1"/>
  <c r="K255" i="1" s="1"/>
  <c r="J231" i="1"/>
  <c r="K231" i="1" s="1"/>
  <c r="J207" i="1"/>
  <c r="K207" i="1" s="1"/>
  <c r="J159" i="1"/>
  <c r="K159" i="1" s="1"/>
  <c r="J446" i="1"/>
  <c r="J434" i="1"/>
  <c r="K434" i="1" s="1"/>
  <c r="J422" i="1"/>
  <c r="K422" i="1" s="1"/>
  <c r="J374" i="1"/>
  <c r="K374" i="1" s="1"/>
  <c r="J362" i="1"/>
  <c r="K362" i="1" s="1"/>
  <c r="J350" i="1"/>
  <c r="K350" i="1" s="1"/>
  <c r="J338" i="1"/>
  <c r="K338" i="1" s="1"/>
  <c r="J302" i="1"/>
  <c r="K302" i="1" s="1"/>
  <c r="J278" i="1"/>
  <c r="K278" i="1" s="1"/>
  <c r="J266" i="1"/>
  <c r="K266" i="1" s="1"/>
  <c r="J230" i="1"/>
  <c r="K230" i="1" s="1"/>
  <c r="H185" i="1"/>
  <c r="H171" i="1"/>
  <c r="I171" i="1" s="1"/>
  <c r="H126" i="1"/>
  <c r="I126" i="1" s="1"/>
  <c r="H76" i="1"/>
  <c r="H40" i="1"/>
  <c r="H389" i="1"/>
  <c r="I389" i="1" s="1"/>
  <c r="H401" i="1"/>
  <c r="H387" i="1"/>
  <c r="H257" i="1"/>
  <c r="H243" i="1"/>
  <c r="I243" i="1" s="1"/>
  <c r="H86" i="1"/>
  <c r="I86" i="1" s="1"/>
  <c r="H3" i="1"/>
  <c r="I3" i="1" s="1"/>
  <c r="H443" i="1"/>
  <c r="H428" i="1"/>
  <c r="H414" i="1"/>
  <c r="H400" i="1"/>
  <c r="H386" i="1"/>
  <c r="H372" i="1"/>
  <c r="I372" i="1" s="1"/>
  <c r="H356" i="1"/>
  <c r="H328" i="1"/>
  <c r="H314" i="1"/>
  <c r="H300" i="1"/>
  <c r="I300" i="1" s="1"/>
  <c r="H284" i="1"/>
  <c r="I284" i="1" s="1"/>
  <c r="H270" i="1"/>
  <c r="H242" i="1"/>
  <c r="I242" i="1" s="1"/>
  <c r="H228" i="1"/>
  <c r="H212" i="1"/>
  <c r="I212" i="1" s="1"/>
  <c r="H198" i="1"/>
  <c r="I198" i="1" s="1"/>
  <c r="H184" i="1"/>
  <c r="H170" i="1"/>
  <c r="I170" i="1" s="1"/>
  <c r="H156" i="1"/>
  <c r="I156" i="1" s="1"/>
  <c r="H140" i="1"/>
  <c r="I140" i="1" s="1"/>
  <c r="H125" i="1"/>
  <c r="H108" i="1"/>
  <c r="I108" i="1" s="1"/>
  <c r="H91" i="1"/>
  <c r="I91" i="1" s="1"/>
  <c r="H74" i="1"/>
  <c r="I74" i="1" s="1"/>
  <c r="H55" i="1"/>
  <c r="I55" i="1" s="1"/>
  <c r="H38" i="1"/>
  <c r="I38" i="1" s="1"/>
  <c r="H22" i="1"/>
  <c r="I22" i="1" s="1"/>
  <c r="H2" i="1"/>
  <c r="I2" i="1" s="1"/>
  <c r="H123" i="1"/>
  <c r="I123" i="1" s="1"/>
  <c r="H111" i="1"/>
  <c r="I111" i="1" s="1"/>
  <c r="H99" i="1"/>
  <c r="I99" i="1" s="1"/>
  <c r="H87" i="1"/>
  <c r="I87" i="1" s="1"/>
  <c r="H75" i="1"/>
  <c r="I75" i="1" s="1"/>
  <c r="H63" i="1"/>
  <c r="I63" i="1" s="1"/>
  <c r="H51" i="1"/>
  <c r="I51" i="1" s="1"/>
  <c r="H39" i="1"/>
  <c r="I39" i="1" s="1"/>
  <c r="H27" i="1"/>
  <c r="I27" i="1" s="1"/>
  <c r="H15" i="1"/>
  <c r="I15" i="1" s="1"/>
  <c r="H85" i="1"/>
  <c r="I85" i="1" s="1"/>
  <c r="H13" i="1"/>
  <c r="H441" i="1"/>
  <c r="H427" i="1"/>
  <c r="H413" i="1"/>
  <c r="H399" i="1"/>
  <c r="H385" i="1"/>
  <c r="I385" i="1" s="1"/>
  <c r="H371" i="1"/>
  <c r="I371" i="1" s="1"/>
  <c r="H355" i="1"/>
  <c r="H341" i="1"/>
  <c r="I341" i="1" s="1"/>
  <c r="H327" i="1"/>
  <c r="I327" i="1" s="1"/>
  <c r="H313" i="1"/>
  <c r="H299" i="1"/>
  <c r="I299" i="1" s="1"/>
  <c r="H283" i="1"/>
  <c r="I283" i="1" s="1"/>
  <c r="H269" i="1"/>
  <c r="H241" i="1"/>
  <c r="I241" i="1" s="1"/>
  <c r="H227" i="1"/>
  <c r="H211" i="1"/>
  <c r="I211" i="1" s="1"/>
  <c r="H197" i="1"/>
  <c r="H183" i="1"/>
  <c r="I183" i="1" s="1"/>
  <c r="H169" i="1"/>
  <c r="I169" i="1" s="1"/>
  <c r="H155" i="1"/>
  <c r="I155" i="1" s="1"/>
  <c r="H139" i="1"/>
  <c r="I139" i="1" s="1"/>
  <c r="H124" i="1"/>
  <c r="H107" i="1"/>
  <c r="I107" i="1" s="1"/>
  <c r="H90" i="1"/>
  <c r="I90" i="1" s="1"/>
  <c r="H54" i="1"/>
  <c r="I54" i="1" s="1"/>
  <c r="H37" i="1"/>
  <c r="I37" i="1" s="1"/>
  <c r="H20" i="1"/>
  <c r="I20" i="1" s="1"/>
  <c r="H315" i="1"/>
  <c r="H440" i="1"/>
  <c r="H412" i="1"/>
  <c r="H398" i="1"/>
  <c r="H368" i="1"/>
  <c r="I368" i="1" s="1"/>
  <c r="H354" i="1"/>
  <c r="H340" i="1"/>
  <c r="I340" i="1" s="1"/>
  <c r="H326" i="1"/>
  <c r="I326" i="1" s="1"/>
  <c r="H312" i="1"/>
  <c r="H296" i="1"/>
  <c r="I296" i="1" s="1"/>
  <c r="H282" i="1"/>
  <c r="I282" i="1" s="1"/>
  <c r="H268" i="1"/>
  <c r="H254" i="1"/>
  <c r="I254" i="1" s="1"/>
  <c r="H240" i="1"/>
  <c r="I240" i="1" s="1"/>
  <c r="H224" i="1"/>
  <c r="H210" i="1"/>
  <c r="I210" i="1" s="1"/>
  <c r="H196" i="1"/>
  <c r="H182" i="1"/>
  <c r="I182" i="1" s="1"/>
  <c r="H168" i="1"/>
  <c r="I168" i="1" s="1"/>
  <c r="H152" i="1"/>
  <c r="I152" i="1" s="1"/>
  <c r="H138" i="1"/>
  <c r="I138" i="1" s="1"/>
  <c r="H122" i="1"/>
  <c r="I122" i="1" s="1"/>
  <c r="H106" i="1"/>
  <c r="I106" i="1" s="1"/>
  <c r="H89" i="1"/>
  <c r="H53" i="1"/>
  <c r="H36" i="1"/>
  <c r="I36" i="1" s="1"/>
  <c r="H5" i="1"/>
  <c r="I5" i="1" s="1"/>
  <c r="H439" i="1"/>
  <c r="H411" i="1"/>
  <c r="H397" i="1"/>
  <c r="I397" i="1" s="1"/>
  <c r="H367" i="1"/>
  <c r="I367" i="1" s="1"/>
  <c r="H353" i="1"/>
  <c r="H325" i="1"/>
  <c r="I325" i="1" s="1"/>
  <c r="H311" i="1"/>
  <c r="H295" i="1"/>
  <c r="I295" i="1" s="1"/>
  <c r="H281" i="1"/>
  <c r="H267" i="1"/>
  <c r="I267" i="1" s="1"/>
  <c r="H253" i="1"/>
  <c r="I253" i="1" s="1"/>
  <c r="H239" i="1"/>
  <c r="I239" i="1" s="1"/>
  <c r="H209" i="1"/>
  <c r="H195" i="1"/>
  <c r="I195" i="1" s="1"/>
  <c r="H181" i="1"/>
  <c r="I181" i="1" s="1"/>
  <c r="H137" i="1"/>
  <c r="H121" i="1"/>
  <c r="I121" i="1" s="1"/>
  <c r="H104" i="1"/>
  <c r="I104" i="1" s="1"/>
  <c r="H88" i="1"/>
  <c r="H68" i="1"/>
  <c r="I68" i="1" s="1"/>
  <c r="H52" i="1"/>
  <c r="I52" i="1" s="1"/>
  <c r="H35" i="1"/>
  <c r="I35" i="1" s="1"/>
  <c r="H202" i="1"/>
  <c r="I202" i="1" s="1"/>
  <c r="H166" i="1"/>
  <c r="I166" i="1" s="1"/>
  <c r="H410" i="1"/>
  <c r="H396" i="1"/>
  <c r="I396" i="1" s="1"/>
  <c r="H380" i="1"/>
  <c r="I380" i="1" s="1"/>
  <c r="H366" i="1"/>
  <c r="I366" i="1" s="1"/>
  <c r="H324" i="1"/>
  <c r="I324" i="1" s="1"/>
  <c r="H308" i="1"/>
  <c r="H294" i="1"/>
  <c r="I294" i="1" s="1"/>
  <c r="H280" i="1"/>
  <c r="H252" i="1"/>
  <c r="I252" i="1" s="1"/>
  <c r="H236" i="1"/>
  <c r="I236" i="1" s="1"/>
  <c r="H194" i="1"/>
  <c r="I194" i="1" s="1"/>
  <c r="H180" i="1"/>
  <c r="I180" i="1" s="1"/>
  <c r="H164" i="1"/>
  <c r="I164" i="1" s="1"/>
  <c r="H120" i="1"/>
  <c r="I120" i="1" s="1"/>
  <c r="H103" i="1"/>
  <c r="I103" i="1" s="1"/>
  <c r="H67" i="1"/>
  <c r="I67" i="1" s="1"/>
  <c r="H50" i="1"/>
  <c r="I50" i="1" s="1"/>
  <c r="H34" i="1"/>
  <c r="I34" i="1" s="1"/>
  <c r="H16" i="1"/>
  <c r="H201" i="1"/>
  <c r="I201" i="1" s="1"/>
  <c r="H165" i="1"/>
  <c r="I165" i="1" s="1"/>
  <c r="H129" i="1"/>
  <c r="I129" i="1" s="1"/>
  <c r="H117" i="1"/>
  <c r="I117" i="1" s="1"/>
  <c r="H105" i="1"/>
  <c r="I105" i="1" s="1"/>
  <c r="H93" i="1"/>
  <c r="I93" i="1" s="1"/>
  <c r="H81" i="1"/>
  <c r="I81" i="1" s="1"/>
  <c r="H69" i="1"/>
  <c r="I69" i="1" s="1"/>
  <c r="H57" i="1"/>
  <c r="I57" i="1" s="1"/>
  <c r="H45" i="1"/>
  <c r="I45" i="1" s="1"/>
  <c r="H33" i="1"/>
  <c r="I33" i="1" s="1"/>
  <c r="H21" i="1"/>
  <c r="I21" i="1" s="1"/>
  <c r="H9" i="1"/>
  <c r="I9" i="1" s="1"/>
  <c r="H437" i="1"/>
  <c r="H409" i="1"/>
  <c r="H395" i="1"/>
  <c r="I395" i="1" s="1"/>
  <c r="H379" i="1"/>
  <c r="I379" i="1" s="1"/>
  <c r="H365" i="1"/>
  <c r="I365" i="1" s="1"/>
  <c r="H323" i="1"/>
  <c r="I323" i="1" s="1"/>
  <c r="H307" i="1"/>
  <c r="H293" i="1"/>
  <c r="H279" i="1"/>
  <c r="H251" i="1"/>
  <c r="I251" i="1" s="1"/>
  <c r="H235" i="1"/>
  <c r="I235" i="1" s="1"/>
  <c r="H193" i="1"/>
  <c r="I193" i="1" s="1"/>
  <c r="H179" i="1"/>
  <c r="I179" i="1" s="1"/>
  <c r="H135" i="1"/>
  <c r="I135" i="1" s="1"/>
  <c r="H119" i="1"/>
  <c r="I119" i="1" s="1"/>
  <c r="H102" i="1"/>
  <c r="I102" i="1" s="1"/>
  <c r="H66" i="1"/>
  <c r="I66" i="1" s="1"/>
  <c r="H49" i="1"/>
  <c r="I49" i="1" s="1"/>
  <c r="H32" i="1"/>
  <c r="I32" i="1" s="1"/>
  <c r="H14" i="1"/>
  <c r="I14" i="1" s="1"/>
  <c r="H128" i="1"/>
  <c r="I128" i="1" s="1"/>
  <c r="H56" i="1"/>
  <c r="I56" i="1" s="1"/>
  <c r="H436" i="1"/>
  <c r="H408" i="1"/>
  <c r="H364" i="1"/>
  <c r="I364" i="1" s="1"/>
  <c r="H292" i="1"/>
  <c r="H248" i="1"/>
  <c r="I248" i="1" s="1"/>
  <c r="H220" i="1"/>
  <c r="H206" i="1"/>
  <c r="I206" i="1" s="1"/>
  <c r="H192" i="1"/>
  <c r="I192" i="1" s="1"/>
  <c r="H176" i="1"/>
  <c r="I176" i="1" s="1"/>
  <c r="H148" i="1"/>
  <c r="H134" i="1"/>
  <c r="I134" i="1" s="1"/>
  <c r="H118" i="1"/>
  <c r="I118" i="1" s="1"/>
  <c r="H98" i="1"/>
  <c r="I98" i="1" s="1"/>
  <c r="H65" i="1"/>
  <c r="H48" i="1"/>
  <c r="I48" i="1" s="1"/>
  <c r="H31" i="1"/>
  <c r="I31" i="1" s="1"/>
  <c r="H421" i="1"/>
  <c r="H407" i="1"/>
  <c r="H377" i="1"/>
  <c r="I377" i="1" s="1"/>
  <c r="H363" i="1"/>
  <c r="H349" i="1"/>
  <c r="I349" i="1" s="1"/>
  <c r="H335" i="1"/>
  <c r="H291" i="1"/>
  <c r="I291" i="1" s="1"/>
  <c r="H277" i="1"/>
  <c r="H247" i="1"/>
  <c r="I247" i="1" s="1"/>
  <c r="H219" i="1"/>
  <c r="I219" i="1" s="1"/>
  <c r="H191" i="1"/>
  <c r="I191" i="1" s="1"/>
  <c r="H175" i="1"/>
  <c r="I175" i="1" s="1"/>
  <c r="H147" i="1"/>
  <c r="I147" i="1" s="1"/>
  <c r="H116" i="1"/>
  <c r="I116" i="1" s="1"/>
  <c r="H97" i="1"/>
  <c r="I97" i="1" s="1"/>
  <c r="H80" i="1"/>
  <c r="I80" i="1" s="1"/>
  <c r="H47" i="1"/>
  <c r="I47" i="1" s="1"/>
  <c r="H420" i="1"/>
  <c r="H404" i="1"/>
  <c r="H376" i="1"/>
  <c r="I376" i="1" s="1"/>
  <c r="H348" i="1"/>
  <c r="I348" i="1" s="1"/>
  <c r="H332" i="1"/>
  <c r="H290" i="1"/>
  <c r="I290" i="1" s="1"/>
  <c r="H276" i="1"/>
  <c r="H260" i="1"/>
  <c r="I260" i="1" s="1"/>
  <c r="H218" i="1"/>
  <c r="I218" i="1" s="1"/>
  <c r="H188" i="1"/>
  <c r="I188" i="1" s="1"/>
  <c r="H174" i="1"/>
  <c r="I174" i="1" s="1"/>
  <c r="H146" i="1"/>
  <c r="I146" i="1" s="1"/>
  <c r="H62" i="1"/>
  <c r="I62" i="1" s="1"/>
  <c r="H46" i="1"/>
  <c r="I46" i="1" s="1"/>
  <c r="H26" i="1"/>
  <c r="I26" i="1" s="1"/>
  <c r="H8" i="1"/>
  <c r="I8" i="1" s="1"/>
  <c r="H317" i="1"/>
  <c r="H245" i="1"/>
  <c r="H173" i="1"/>
  <c r="H445" i="1"/>
  <c r="H388" i="1"/>
  <c r="I388" i="1" s="1"/>
  <c r="H316" i="1"/>
  <c r="H244" i="1"/>
  <c r="H200" i="1"/>
  <c r="I200" i="1" s="1"/>
  <c r="H158" i="1"/>
  <c r="I158" i="1" s="1"/>
  <c r="H127" i="1"/>
  <c r="I127" i="1" s="1"/>
  <c r="H110" i="1"/>
  <c r="I110" i="1" s="1"/>
  <c r="H77" i="1"/>
  <c r="O178" i="1" l="1"/>
  <c r="I244" i="1"/>
  <c r="O180" i="1"/>
  <c r="I275" i="1"/>
  <c r="I423" i="1"/>
  <c r="I101" i="1"/>
  <c r="I402" i="1"/>
  <c r="I429" i="1"/>
  <c r="I444" i="1"/>
  <c r="I28" i="1"/>
  <c r="O371" i="1"/>
  <c r="I359" i="1"/>
  <c r="I435" i="1"/>
  <c r="I113" i="1"/>
  <c r="I426" i="1"/>
  <c r="I310" i="1"/>
  <c r="K421" i="1"/>
  <c r="I64" i="1"/>
  <c r="O357" i="1"/>
  <c r="O181" i="1"/>
  <c r="I419" i="1"/>
  <c r="I112" i="1"/>
  <c r="I149" i="1"/>
  <c r="I438" i="1"/>
  <c r="I334" i="1"/>
  <c r="I229" i="1"/>
  <c r="I100" i="1"/>
  <c r="O395" i="1"/>
  <c r="O215" i="1"/>
  <c r="I431" i="1"/>
  <c r="I136" i="1"/>
  <c r="I161" i="1"/>
  <c r="I331" i="1"/>
  <c r="I358" i="1"/>
  <c r="I337" i="1"/>
  <c r="I17" i="1"/>
  <c r="O358" i="1"/>
  <c r="K443" i="1"/>
  <c r="I160" i="1"/>
  <c r="I221" i="1"/>
  <c r="I403" i="1"/>
  <c r="I406" i="1"/>
  <c r="I361" i="1"/>
  <c r="I29" i="1"/>
  <c r="O370" i="1"/>
  <c r="O183" i="1"/>
  <c r="I350" i="1"/>
  <c r="I172" i="1"/>
  <c r="I233" i="1"/>
  <c r="I415" i="1"/>
  <c r="I418" i="1"/>
  <c r="I433" i="1"/>
  <c r="I41" i="1"/>
  <c r="I362" i="1"/>
  <c r="I208" i="1"/>
  <c r="I305" i="1"/>
  <c r="K440" i="1"/>
  <c r="I430" i="1"/>
  <c r="I230" i="1"/>
  <c r="I42" i="1"/>
  <c r="O394" i="1"/>
  <c r="O359" i="1"/>
  <c r="I374" i="1"/>
  <c r="I232" i="1"/>
  <c r="I329" i="1"/>
  <c r="I309" i="1"/>
  <c r="I442" i="1"/>
  <c r="I278" i="1"/>
  <c r="I114" i="1"/>
  <c r="I307" i="1"/>
  <c r="I354" i="1"/>
  <c r="I443" i="1"/>
  <c r="I185" i="1"/>
  <c r="O389" i="1"/>
  <c r="O78" i="1"/>
  <c r="O366" i="1"/>
  <c r="I363" i="1"/>
  <c r="I411" i="1"/>
  <c r="I196" i="1"/>
  <c r="I270" i="1"/>
  <c r="O211" i="1"/>
  <c r="O355" i="1"/>
  <c r="O286" i="1"/>
  <c r="I316" i="1"/>
  <c r="I410" i="1"/>
  <c r="I209" i="1"/>
  <c r="I439" i="1"/>
  <c r="I398" i="1"/>
  <c r="I355" i="1"/>
  <c r="O390" i="1"/>
  <c r="O79" i="1"/>
  <c r="O367" i="1"/>
  <c r="O177" i="1"/>
  <c r="I407" i="1"/>
  <c r="I220" i="1"/>
  <c r="I224" i="1"/>
  <c r="I412" i="1"/>
  <c r="K442" i="1"/>
  <c r="O362" i="1"/>
  <c r="O16" i="1"/>
  <c r="O212" i="1"/>
  <c r="O356" i="1"/>
  <c r="I445" i="1"/>
  <c r="I421" i="1"/>
  <c r="I440" i="1"/>
  <c r="I197" i="1"/>
  <c r="I125" i="1"/>
  <c r="I314" i="1"/>
  <c r="I257" i="1"/>
  <c r="O374" i="1"/>
  <c r="O391" i="1"/>
  <c r="O368" i="1"/>
  <c r="I173" i="1"/>
  <c r="I276" i="1"/>
  <c r="I292" i="1"/>
  <c r="I409" i="1"/>
  <c r="I53" i="1"/>
  <c r="I315" i="1"/>
  <c r="I399" i="1"/>
  <c r="I328" i="1"/>
  <c r="I387" i="1"/>
  <c r="O184" i="1"/>
  <c r="I245" i="1"/>
  <c r="I437" i="1"/>
  <c r="I281" i="1"/>
  <c r="I89" i="1"/>
  <c r="I268" i="1"/>
  <c r="I227" i="1"/>
  <c r="I413" i="1"/>
  <c r="I356" i="1"/>
  <c r="I401" i="1"/>
  <c r="O398" i="1"/>
  <c r="O392" i="1"/>
  <c r="O369" i="1"/>
  <c r="I317" i="1"/>
  <c r="I332" i="1"/>
  <c r="I65" i="1"/>
  <c r="I408" i="1"/>
  <c r="I280" i="1"/>
  <c r="I427" i="1"/>
  <c r="O435" i="1"/>
  <c r="O352" i="1"/>
  <c r="O306" i="1"/>
  <c r="O283" i="1"/>
  <c r="I77" i="1"/>
  <c r="I436" i="1"/>
  <c r="I16" i="1"/>
  <c r="I88" i="1"/>
  <c r="I311" i="1"/>
  <c r="I269" i="1"/>
  <c r="I441" i="1"/>
  <c r="I184" i="1"/>
  <c r="I386" i="1"/>
  <c r="I40" i="1"/>
  <c r="O364" i="1"/>
  <c r="O174" i="1"/>
  <c r="O416" i="1"/>
  <c r="O393" i="1"/>
  <c r="I277" i="1"/>
  <c r="I308" i="1"/>
  <c r="I312" i="1"/>
  <c r="I13" i="1"/>
  <c r="I400" i="1"/>
  <c r="I76" i="1"/>
  <c r="K438" i="1"/>
  <c r="O353" i="1"/>
  <c r="I404" i="1"/>
  <c r="I279" i="1"/>
  <c r="I353" i="1"/>
  <c r="I414" i="1"/>
  <c r="K416" i="1"/>
  <c r="K431" i="1"/>
  <c r="O388" i="1"/>
  <c r="O365" i="1"/>
  <c r="O175" i="1"/>
  <c r="I420" i="1"/>
  <c r="I335" i="1"/>
  <c r="I148" i="1"/>
  <c r="I293" i="1"/>
  <c r="I137" i="1"/>
  <c r="I124" i="1"/>
  <c r="I313" i="1"/>
  <c r="I228" i="1"/>
  <c r="I428" i="1"/>
  <c r="K446" i="1"/>
  <c r="O210" i="1"/>
  <c r="O354" i="1"/>
  <c r="O179" i="1"/>
  <c r="I225" i="1"/>
  <c r="I422" i="1"/>
  <c r="I256" i="1"/>
  <c r="I425" i="1"/>
  <c r="I333" i="1"/>
  <c r="I12" i="1"/>
  <c r="I338" i="1"/>
  <c r="I223" i="1"/>
  <c r="O176" i="1"/>
  <c r="I273" i="1"/>
  <c r="I434" i="1"/>
  <c r="I304" i="1"/>
  <c r="I222" i="1"/>
  <c r="I357" i="1"/>
  <c r="I336" i="1"/>
  <c r="I231" i="1"/>
  <c r="I271" i="1"/>
  <c r="I226" i="1"/>
  <c r="I446" i="1"/>
  <c r="I352" i="1"/>
  <c r="I306" i="1"/>
  <c r="I405" i="1"/>
  <c r="I360" i="1"/>
  <c r="I339" i="1"/>
  <c r="I272" i="1"/>
  <c r="I274" i="1"/>
  <c r="I375" i="1"/>
  <c r="I424" i="1"/>
  <c r="I330" i="1"/>
  <c r="I417" i="1"/>
  <c r="I432" i="1"/>
  <c r="I351" i="1"/>
  <c r="I416" i="1"/>
  <c r="M416" i="1"/>
  <c r="M442" i="1"/>
  <c r="M446" i="1"/>
  <c r="M440" i="1"/>
  <c r="M431" i="1"/>
  <c r="M443" i="1"/>
  <c r="M438" i="1"/>
  <c r="M421" i="1"/>
</calcChain>
</file>

<file path=xl/sharedStrings.xml><?xml version="1.0" encoding="utf-8"?>
<sst xmlns="http://schemas.openxmlformats.org/spreadsheetml/2006/main" count="17559" uniqueCount="1369">
  <si>
    <t>STATE</t>
  </si>
  <si>
    <t>YEAR</t>
  </si>
  <si>
    <t>elementary_education</t>
  </si>
  <si>
    <t>adult_education</t>
  </si>
  <si>
    <t>higher_education</t>
  </si>
  <si>
    <t>computer_course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</si>
  <si>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</si>
  <si>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</si>
  <si>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</si>
  <si>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</si>
  <si>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</si>
  <si>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</si>
  <si>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</si>
  <si>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</si>
  <si>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</si>
  <si>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</si>
  <si>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</si>
  <si>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</si>
  <si>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</si>
  <si>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</si>
  <si>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</si>
  <si>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</si>
  <si>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</si>
  <si>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</si>
  <si>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</si>
  <si>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Orissa</t>
  </si>
  <si>
    <t>Punjab</t>
  </si>
  <si>
    <t>Rajasthan</t>
  </si>
  <si>
    <t>Sikkim</t>
  </si>
  <si>
    <t>Tamilnadu</t>
  </si>
  <si>
    <t>Tripura</t>
  </si>
  <si>
    <t>Uttar Pradesh</t>
  </si>
  <si>
    <t>Uttaranchal</t>
  </si>
  <si>
    <t>West Bengal</t>
  </si>
  <si>
    <t>A &amp; N Islands</t>
  </si>
  <si>
    <t>Chandigarh</t>
  </si>
  <si>
    <t>D &amp; N Haveli</t>
  </si>
  <si>
    <t>Daman &amp; Diu</t>
  </si>
  <si>
    <t>Delhi</t>
  </si>
  <si>
    <t>Lakshadweep</t>
  </si>
  <si>
    <t>Pondicherry</t>
  </si>
  <si>
    <t>Chhatisgarh</t>
  </si>
  <si>
    <t>Tamil Nadu</t>
  </si>
  <si>
    <t>Year</t>
  </si>
  <si>
    <t>Group_Name</t>
  </si>
  <si>
    <t>Sub_Group_Name</t>
  </si>
  <si>
    <t>Rank_All_Ranks_Total</t>
  </si>
  <si>
    <t>Rank_ASI_Equivalent</t>
  </si>
  <si>
    <t>Rank_ASPDySPAssttCommandant</t>
  </si>
  <si>
    <t>Rank_Below_HC_and_Above_Constables</t>
  </si>
  <si>
    <t>Rank_Constables</t>
  </si>
  <si>
    <t>Rank_DGAddl_DG</t>
  </si>
  <si>
    <t>Rank_DIG</t>
  </si>
  <si>
    <t>Rank_Head_Constables</t>
  </si>
  <si>
    <t>Rank_IGSplIG</t>
  </si>
  <si>
    <t>Rank_Inspectors_Equivalent</t>
  </si>
  <si>
    <t>Rank_SI_Equivalent</t>
  </si>
  <si>
    <t>Rank_SSPSPAddlSPCommandant</t>
  </si>
  <si>
    <t>total_police</t>
  </si>
  <si>
    <t>Andaman &amp; Nicobar Islands</t>
  </si>
  <si>
    <t>Actual Police Strength - Armed Police</t>
  </si>
  <si>
    <t>A2. Acual Armed Police (Incl. Women Police)</t>
  </si>
  <si>
    <t>Dadra &amp; Nagar Haveli</t>
  </si>
  <si>
    <t>Odisha</t>
  </si>
  <si>
    <t>Puducherry</t>
  </si>
  <si>
    <t>Uttarakhand</t>
  </si>
  <si>
    <t>Actual Police Strength - Civil Police</t>
  </si>
  <si>
    <t>A1. Actual Civil Police (Incl. District Armed Police and Women Police)</t>
  </si>
  <si>
    <t>S</t>
  </si>
  <si>
    <t>Actual Women Police Strength - Armed Police</t>
  </si>
  <si>
    <t>B2. Actual Women Armed Police</t>
  </si>
  <si>
    <t>Actual Women Police Strength - Civil Police</t>
  </si>
  <si>
    <t>B1. Acual Women Civil Police (Incl. District Armed Force)</t>
  </si>
  <si>
    <t>Sanctioned Police Strength - Armed Police</t>
  </si>
  <si>
    <t>C2. Santioned Armed Police (Incl. Women Police)</t>
  </si>
  <si>
    <t>Sanctioned Police Strength - Civil Police</t>
  </si>
  <si>
    <t>C1. Sanctioned Civil Police (Incl. District Armed Police)</t>
  </si>
  <si>
    <t>Sanctioned Women Police Strength - Armed Police</t>
  </si>
  <si>
    <t>D2. Sanctioned Women Armed Police</t>
  </si>
  <si>
    <t>Sanctioned Women Police Strength - Civil Police</t>
  </si>
  <si>
    <t>D1. Sanctioned Women Civil Police (Incl. District Armed Police)</t>
  </si>
  <si>
    <t>convicts_admitted</t>
  </si>
  <si>
    <t>habitual_offenders</t>
  </si>
  <si>
    <t>Jammu And Kashmir</t>
  </si>
  <si>
    <t>Andaman And Nicobar Islands</t>
  </si>
  <si>
    <t>Dadra And Nagar Haveli</t>
  </si>
  <si>
    <t>Daman And Diu</t>
  </si>
  <si>
    <t>Steel Unit</t>
  </si>
  <si>
    <t>Phenyl</t>
  </si>
  <si>
    <t>Soap Unit</t>
  </si>
  <si>
    <t>Weaving</t>
  </si>
  <si>
    <t>Tailoring Unit</t>
  </si>
  <si>
    <t>Durry Unit</t>
  </si>
  <si>
    <t>Dyeing Unit</t>
  </si>
  <si>
    <t>Printing Unit</t>
  </si>
  <si>
    <t>Coir</t>
  </si>
  <si>
    <t>Book Binding</t>
  </si>
  <si>
    <t>House Wiring</t>
  </si>
  <si>
    <t>Plumbering</t>
  </si>
  <si>
    <t>Others</t>
  </si>
  <si>
    <t>Steel</t>
  </si>
  <si>
    <t>Phenyle</t>
  </si>
  <si>
    <t>Soap</t>
  </si>
  <si>
    <t>Tailoring</t>
  </si>
  <si>
    <t>Durry</t>
  </si>
  <si>
    <t>Cotton Tape</t>
  </si>
  <si>
    <t>Tooth Powder</t>
  </si>
  <si>
    <t>Chalk Piece</t>
  </si>
  <si>
    <t>Masary</t>
  </si>
  <si>
    <t>Plumber</t>
  </si>
  <si>
    <t>Electrician</t>
  </si>
  <si>
    <t>Phyenyle</t>
  </si>
  <si>
    <t>Dtp</t>
  </si>
  <si>
    <t>Carpentry Unit</t>
  </si>
  <si>
    <t>Tooth Powder Unit</t>
  </si>
  <si>
    <t>Chalk Piece Unit</t>
  </si>
  <si>
    <t>Candle Making</t>
  </si>
  <si>
    <t>Amber Charka</t>
  </si>
  <si>
    <t>Coir Making Unit</t>
  </si>
  <si>
    <t>Cover Making</t>
  </si>
  <si>
    <t>Electrical</t>
  </si>
  <si>
    <t>Dyeing</t>
  </si>
  <si>
    <t>Black Smithy</t>
  </si>
  <si>
    <t>Carpentry</t>
  </si>
  <si>
    <t>Electrical Motor Vinding</t>
  </si>
  <si>
    <t>Candle</t>
  </si>
  <si>
    <t>Chalk</t>
  </si>
  <si>
    <t>Coir Mat</t>
  </si>
  <si>
    <t>Masanary</t>
  </si>
  <si>
    <t>Candle Unit</t>
  </si>
  <si>
    <t>Chalkpiece</t>
  </si>
  <si>
    <t>D.T.P.</t>
  </si>
  <si>
    <t>Dyaing</t>
  </si>
  <si>
    <t>Eiectrical Motarvinding</t>
  </si>
  <si>
    <t>Embrodary Unit</t>
  </si>
  <si>
    <t>Weaving Unit</t>
  </si>
  <si>
    <t>Wire Unit</t>
  </si>
  <si>
    <t>Masonry</t>
  </si>
  <si>
    <t>Making Candles</t>
  </si>
  <si>
    <t>Dari Weaving</t>
  </si>
  <si>
    <t>Embroidery</t>
  </si>
  <si>
    <t>Printing</t>
  </si>
  <si>
    <t>Wire Men</t>
  </si>
  <si>
    <t>Others (Candle Making)</t>
  </si>
  <si>
    <t>Dari Making</t>
  </si>
  <si>
    <t>Electrical Motor Winding</t>
  </si>
  <si>
    <t>Welding</t>
  </si>
  <si>
    <t>Other (Candle Making Unit)</t>
  </si>
  <si>
    <t>Plumbing &amp; Sanitation</t>
  </si>
  <si>
    <t>Printing &amp; Decorators</t>
  </si>
  <si>
    <t>Electrical &amp; House Wiring</t>
  </si>
  <si>
    <t>Soap &amp; Phenyle</t>
  </si>
  <si>
    <t>Pillows</t>
  </si>
  <si>
    <t>Woolen</t>
  </si>
  <si>
    <t>Italian Lace Making</t>
  </si>
  <si>
    <t>Painting &amp; Decorators</t>
  </si>
  <si>
    <t>Automobile Mechanic</t>
  </si>
  <si>
    <t>Refrigeration &amp; Air Condition</t>
  </si>
  <si>
    <t>Computer (Ms Office)</t>
  </si>
  <si>
    <t>Computer (Dtp)</t>
  </si>
  <si>
    <t>Handloom (Durry Unit)</t>
  </si>
  <si>
    <t>Dying</t>
  </si>
  <si>
    <t>Weaving (Durry Making)</t>
  </si>
  <si>
    <t>Soap Making</t>
  </si>
  <si>
    <t>Steel Manufacturing</t>
  </si>
  <si>
    <t>Tailoring And Embroidary</t>
  </si>
  <si>
    <t>Paper Plate Making</t>
  </si>
  <si>
    <t>Painting And Decoration</t>
  </si>
  <si>
    <t>Electrical House &amp; Motor Wiring</t>
  </si>
  <si>
    <t>Bakery Unit</t>
  </si>
  <si>
    <t>Computer</t>
  </si>
  <si>
    <t>Lab Technician</t>
  </si>
  <si>
    <t>Tooth Powder Making</t>
  </si>
  <si>
    <t>Other (Candle Making)</t>
  </si>
  <si>
    <t>Woolen Unit</t>
  </si>
  <si>
    <t>Plumbing/Sanitation</t>
  </si>
  <si>
    <t>Tailoring/Embroidery</t>
  </si>
  <si>
    <t>Painting/Decoration</t>
  </si>
  <si>
    <t>Electrical House/Motor Wiring</t>
  </si>
  <si>
    <t>Nac</t>
  </si>
  <si>
    <t>Others (Candle Making Unit)</t>
  </si>
  <si>
    <t>Nil</t>
  </si>
  <si>
    <t>Gardening</t>
  </si>
  <si>
    <t>Mora Making</t>
  </si>
  <si>
    <t>Bamboo &amp; Cane</t>
  </si>
  <si>
    <t>Handloom</t>
  </si>
  <si>
    <t>Type Writing</t>
  </si>
  <si>
    <t>Black Smith</t>
  </si>
  <si>
    <t>Radio Mechanic</t>
  </si>
  <si>
    <t>Blacksmithy</t>
  </si>
  <si>
    <t>Canning</t>
  </si>
  <si>
    <t>Canning &amp; Bamboo</t>
  </si>
  <si>
    <t>Others (Blacksmith)</t>
  </si>
  <si>
    <t>Other</t>
  </si>
  <si>
    <t>Can &amp; Bamboo</t>
  </si>
  <si>
    <t>Can And Bamboo/Carpentry</t>
  </si>
  <si>
    <t>Electrical Training</t>
  </si>
  <si>
    <t>Agriculture</t>
  </si>
  <si>
    <t>Industries</t>
  </si>
  <si>
    <t>Adult Education</t>
  </si>
  <si>
    <t>Meditation</t>
  </si>
  <si>
    <t>Yoga</t>
  </si>
  <si>
    <t>Industrial</t>
  </si>
  <si>
    <t>Tailoring, Knitting &amp; Weaving</t>
  </si>
  <si>
    <t>Yoga/Teaching/Adult Education</t>
  </si>
  <si>
    <t>Meditation &amp; Yoga Programme</t>
  </si>
  <si>
    <t>Art &amp; Living</t>
  </si>
  <si>
    <t>Aids Awarness Programme</t>
  </si>
  <si>
    <t>Weaving &amp; Tailoring</t>
  </si>
  <si>
    <t>Phenyle &amp; Soap Making</t>
  </si>
  <si>
    <t>Industrial Training</t>
  </si>
  <si>
    <t>Aids Awareness And Yoga</t>
  </si>
  <si>
    <t>Art Of Living</t>
  </si>
  <si>
    <t>Tailoring And Cutting</t>
  </si>
  <si>
    <t>Caustic Soap &amp; Phenyle Making</t>
  </si>
  <si>
    <t>Literacy Programme</t>
  </si>
  <si>
    <t>Agricultural</t>
  </si>
  <si>
    <t>Aids Awareness</t>
  </si>
  <si>
    <t>Embroidary, Cutting, Typing</t>
  </si>
  <si>
    <t>Yoga &amp; Meditation</t>
  </si>
  <si>
    <t>Embroidery, Cutting, Typing Etc</t>
  </si>
  <si>
    <t>Powerloom</t>
  </si>
  <si>
    <t>Woollen Blanket</t>
  </si>
  <si>
    <t>Tent Making</t>
  </si>
  <si>
    <t>Aluminium Utensil</t>
  </si>
  <si>
    <t>Soap &amp; Phenyl Making</t>
  </si>
  <si>
    <t>Aluminium</t>
  </si>
  <si>
    <t>Embroidery, Cutting, Typing, Etc</t>
  </si>
  <si>
    <t>Atta Chakki Milling</t>
  </si>
  <si>
    <t>Charkha Suta Katai</t>
  </si>
  <si>
    <t>Computer Training</t>
  </si>
  <si>
    <t>Cutting And Stitching Cloths</t>
  </si>
  <si>
    <t>Embroidery Training</t>
  </si>
  <si>
    <t>Mushroom Training</t>
  </si>
  <si>
    <t>Practical Training In Jail Industry</t>
  </si>
  <si>
    <t>Prayas As Candle, Needle, Phenyle, Etc.</t>
  </si>
  <si>
    <t>Prayas As Mithila Painting, Tailoring</t>
  </si>
  <si>
    <t>Sewing Centre</t>
  </si>
  <si>
    <t>Tent/Tamboo Making</t>
  </si>
  <si>
    <t>Weaving (Cotton, Carpet, Kalin)</t>
  </si>
  <si>
    <t>Weaving (Woolen)</t>
  </si>
  <si>
    <t>Weaving Handloom Cloths</t>
  </si>
  <si>
    <t>Tailoring And Stitching</t>
  </si>
  <si>
    <t>Tent And Tamboo Making</t>
  </si>
  <si>
    <t>Weaving (Cotton, Carpet &amp; Kalin)</t>
  </si>
  <si>
    <t>Soap &amp; Phenyle Manufacturing</t>
  </si>
  <si>
    <t>Woolen Wearing</t>
  </si>
  <si>
    <t>Soap (Caustic Soap Production)</t>
  </si>
  <si>
    <t>Soap (Phenyle Production Training)</t>
  </si>
  <si>
    <t>Tailoring (Sewing Centre)</t>
  </si>
  <si>
    <t>Typing Training</t>
  </si>
  <si>
    <t>Tailoring (Stitching And Cutting)</t>
  </si>
  <si>
    <t>Mushroom Production</t>
  </si>
  <si>
    <t>Bee Keeping</t>
  </si>
  <si>
    <t>Poultry Farm</t>
  </si>
  <si>
    <t>Vermi Compost</t>
  </si>
  <si>
    <t>Keep And Watch Of Fruit And Vegetable</t>
  </si>
  <si>
    <t>Weaving (Uniform)</t>
  </si>
  <si>
    <t>Crech Kendra For Children</t>
  </si>
  <si>
    <t>Typing</t>
  </si>
  <si>
    <t>Saksharta Karyakaram</t>
  </si>
  <si>
    <t>Computer Data Entry Training</t>
  </si>
  <si>
    <t>Tailoring (Cutting And Stiching Cloths)</t>
  </si>
  <si>
    <t>Tailoring (Stitch Training)</t>
  </si>
  <si>
    <t>Tailoring (Sewing Training)</t>
  </si>
  <si>
    <t>Mushroom Cultivation Training</t>
  </si>
  <si>
    <t>Screen Printing</t>
  </si>
  <si>
    <t>Bamboo Craft</t>
  </si>
  <si>
    <t>Steel Work</t>
  </si>
  <si>
    <t>Weaving Work</t>
  </si>
  <si>
    <t>Terracoata</t>
  </si>
  <si>
    <t>Wooden Carving</t>
  </si>
  <si>
    <t>Offset Printing</t>
  </si>
  <si>
    <t>Soap (Washing Powder)</t>
  </si>
  <si>
    <t>Chalk/Masala</t>
  </si>
  <si>
    <t>Weaving (Nylon Dari)</t>
  </si>
  <si>
    <t>Bend</t>
  </si>
  <si>
    <t>Cloth Press</t>
  </si>
  <si>
    <t>Knitting Industry</t>
  </si>
  <si>
    <t>Metal</t>
  </si>
  <si>
    <t>Sewing</t>
  </si>
  <si>
    <t>Jute</t>
  </si>
  <si>
    <t>Carpentry, Idol</t>
  </si>
  <si>
    <t>Wood Work</t>
  </si>
  <si>
    <t>Metal Industry</t>
  </si>
  <si>
    <t>Spice</t>
  </si>
  <si>
    <t>Knitting</t>
  </si>
  <si>
    <t>Laundry</t>
  </si>
  <si>
    <t>Kosa</t>
  </si>
  <si>
    <t>Metal Works</t>
  </si>
  <si>
    <t>Ivory</t>
  </si>
  <si>
    <t>Bal Metal</t>
  </si>
  <si>
    <t>Bamboo Work</t>
  </si>
  <si>
    <t>Art &amp; Crafts</t>
  </si>
  <si>
    <t>Knitting &amp; Weaving</t>
  </si>
  <si>
    <t>Band</t>
  </si>
  <si>
    <t>Tatpatti</t>
  </si>
  <si>
    <t>Washerman</t>
  </si>
  <si>
    <t>Dari</t>
  </si>
  <si>
    <t>Spices</t>
  </si>
  <si>
    <t>Embroidry</t>
  </si>
  <si>
    <t>Marwahi Art</t>
  </si>
  <si>
    <t>Gona Patti</t>
  </si>
  <si>
    <t>Electronics</t>
  </si>
  <si>
    <t>Pathology</t>
  </si>
  <si>
    <t>Sweing</t>
  </si>
  <si>
    <t>Bail Metal</t>
  </si>
  <si>
    <t>Kikati</t>
  </si>
  <si>
    <t>Bamboo</t>
  </si>
  <si>
    <t>Soap/Washing Powder</t>
  </si>
  <si>
    <t>Sheeshal</t>
  </si>
  <si>
    <t>Washermanship</t>
  </si>
  <si>
    <t>Chalk Making</t>
  </si>
  <si>
    <t>Wood Crafting</t>
  </si>
  <si>
    <t>Carpentary</t>
  </si>
  <si>
    <t>Sculpture</t>
  </si>
  <si>
    <t>Spice Making</t>
  </si>
  <si>
    <t>Embroidary</t>
  </si>
  <si>
    <t>Washing Power Making</t>
  </si>
  <si>
    <t>Nylon Thread Spinning</t>
  </si>
  <si>
    <t>Band Training</t>
  </si>
  <si>
    <t>Bans Shilps</t>
  </si>
  <si>
    <t>Chalk Industry</t>
  </si>
  <si>
    <t>Jute Craft</t>
  </si>
  <si>
    <t>Masala</t>
  </si>
  <si>
    <t>Nylon Dari</t>
  </si>
  <si>
    <t>Washing Powder</t>
  </si>
  <si>
    <t>Wooden</t>
  </si>
  <si>
    <t>Wooden Art</t>
  </si>
  <si>
    <t>Betmetal</t>
  </si>
  <si>
    <t>Soap &amp; Washing Powder</t>
  </si>
  <si>
    <t>Nylon</t>
  </si>
  <si>
    <t>Jute Art</t>
  </si>
  <si>
    <t>Bamboo Art</t>
  </si>
  <si>
    <t>Sweep Making</t>
  </si>
  <si>
    <t>Others (Candle)</t>
  </si>
  <si>
    <t>Nylon Doi</t>
  </si>
  <si>
    <t>Screen</t>
  </si>
  <si>
    <t>Steel Furniture</t>
  </si>
  <si>
    <t>Sweeping</t>
  </si>
  <si>
    <t>Belmetal</t>
  </si>
  <si>
    <t>Eaving</t>
  </si>
  <si>
    <t>Teddy Bear</t>
  </si>
  <si>
    <t>Soap And Washing Powder</t>
  </si>
  <si>
    <t>Iron And Aluminium</t>
  </si>
  <si>
    <t>Wood Carving</t>
  </si>
  <si>
    <t>Kitchen Masala</t>
  </si>
  <si>
    <t>Music Band</t>
  </si>
  <si>
    <t>Nylon Dori</t>
  </si>
  <si>
    <t>Others (Candal)</t>
  </si>
  <si>
    <t>Horticulture</t>
  </si>
  <si>
    <t>Bakery</t>
  </si>
  <si>
    <t>Agro Horticulture</t>
  </si>
  <si>
    <t>Sudharshan Kriya</t>
  </si>
  <si>
    <t>Paper Bags</t>
  </si>
  <si>
    <t>Craft</t>
  </si>
  <si>
    <t>Paper Bags Making</t>
  </si>
  <si>
    <t>Others (Hand Craft)</t>
  </si>
  <si>
    <t>Bey Worker</t>
  </si>
  <si>
    <t>Complete Training Programme</t>
  </si>
  <si>
    <t>Computer Training Programme</t>
  </si>
  <si>
    <t>Other (Handicraft)</t>
  </si>
  <si>
    <t>Art Section</t>
  </si>
  <si>
    <t>Chemical</t>
  </si>
  <si>
    <t>Leathering</t>
  </si>
  <si>
    <t>Scooter Repairing</t>
  </si>
  <si>
    <t>Vipshyana</t>
  </si>
  <si>
    <t>Instrument Repairing</t>
  </si>
  <si>
    <t>Leather</t>
  </si>
  <si>
    <t>Carpentry Section</t>
  </si>
  <si>
    <t>Weaving Section</t>
  </si>
  <si>
    <t>Printing Section</t>
  </si>
  <si>
    <t>Bakery Section</t>
  </si>
  <si>
    <t>Chemical Section</t>
  </si>
  <si>
    <t>Tailoring Section</t>
  </si>
  <si>
    <t>Leather Section</t>
  </si>
  <si>
    <t>Washing</t>
  </si>
  <si>
    <t>Vtp (Under Mes, Govt. Of India)</t>
  </si>
  <si>
    <t>Beauty Parlour</t>
  </si>
  <si>
    <t>Motor Cycle Repairing</t>
  </si>
  <si>
    <t>Sewing Work, Handicraft, Making Soft Toy</t>
  </si>
  <si>
    <t>Jewellery Making</t>
  </si>
  <si>
    <t>Hair Style</t>
  </si>
  <si>
    <t>Making Papad</t>
  </si>
  <si>
    <t>Baba Pithora Painting</t>
  </si>
  <si>
    <t>Tent</t>
  </si>
  <si>
    <t>Niwar Making</t>
  </si>
  <si>
    <t>Cloth Weaving</t>
  </si>
  <si>
    <t>Atta Chakki</t>
  </si>
  <si>
    <t>Miscellaneous</t>
  </si>
  <si>
    <t>Niwar</t>
  </si>
  <si>
    <t>Textile</t>
  </si>
  <si>
    <t>Tent Making / Tailoring</t>
  </si>
  <si>
    <t>Niwar / Making / Canning</t>
  </si>
  <si>
    <t>Misc / Agriculture</t>
  </si>
  <si>
    <t>Handloom / Soap</t>
  </si>
  <si>
    <t>Tent Making, Carpentary, Niwar Making</t>
  </si>
  <si>
    <t>Welding And Drilling</t>
  </si>
  <si>
    <t>Turning</t>
  </si>
  <si>
    <t>Stiching</t>
  </si>
  <si>
    <t>Paintaining</t>
  </si>
  <si>
    <t>Cooking</t>
  </si>
  <si>
    <t>Tripolion Stiching</t>
  </si>
  <si>
    <t>Certificate In Library Science</t>
  </si>
  <si>
    <t>Tailoring And Dress Making</t>
  </si>
  <si>
    <t>Laundry Services</t>
  </si>
  <si>
    <t>Bakery And Confectionary</t>
  </si>
  <si>
    <t>Welding Technology</t>
  </si>
  <si>
    <t>Plant Protection</t>
  </si>
  <si>
    <t>Catering Management</t>
  </si>
  <si>
    <t>Beauty Culture</t>
  </si>
  <si>
    <t>Indian Embroidery</t>
  </si>
  <si>
    <t>Soap And Phenyle</t>
  </si>
  <si>
    <t>Electrician Training Programme</t>
  </si>
  <si>
    <t>Powerloom And Handloom</t>
  </si>
  <si>
    <t>Canning Etc.</t>
  </si>
  <si>
    <t>Tent/Tirpolian</t>
  </si>
  <si>
    <t>Weaving Cloth</t>
  </si>
  <si>
    <t>Agro Dairy Farming 4 Days Camp</t>
  </si>
  <si>
    <t>Bee Keeping 4 Days Camp</t>
  </si>
  <si>
    <t>Computer Application</t>
  </si>
  <si>
    <t>Data Entry</t>
  </si>
  <si>
    <t>Tailoring (Cutting &amp; Tailoring)</t>
  </si>
  <si>
    <t>Library Science</t>
  </si>
  <si>
    <t>Tv Repairing</t>
  </si>
  <si>
    <t>Tailoring, Knitting &amp; Weaving Soft Toys</t>
  </si>
  <si>
    <t>Aloe-Vera Products Juice, Gel, Shampoo,</t>
  </si>
  <si>
    <t>Electric Motor Winding, Assembling</t>
  </si>
  <si>
    <t>Canning &amp; Carpentry</t>
  </si>
  <si>
    <t>Plumbing, Welding</t>
  </si>
  <si>
    <t>Weaving Cloth And Spinning Of Yarn</t>
  </si>
  <si>
    <t>Vermi Compost Making</t>
  </si>
  <si>
    <t>Certificate In Computer Application</t>
  </si>
  <si>
    <t>Electrical Technician</t>
  </si>
  <si>
    <t>Tailoring, Cutting &amp; Dress Making</t>
  </si>
  <si>
    <t>Carpentry/Weilding</t>
  </si>
  <si>
    <t>Vocational (Typing Training)</t>
  </si>
  <si>
    <t>Weaving Training</t>
  </si>
  <si>
    <t>Tailoring Training</t>
  </si>
  <si>
    <t>Carpentry Training</t>
  </si>
  <si>
    <t>Welding Training</t>
  </si>
  <si>
    <t>Canning (Re-Canning Training)</t>
  </si>
  <si>
    <t>Pine Needles</t>
  </si>
  <si>
    <t>Canning (Re-Canning)</t>
  </si>
  <si>
    <t>Rexen Cushan</t>
  </si>
  <si>
    <t>Weaving Of Shawls And Blanket</t>
  </si>
  <si>
    <t>Agriculture (Mushroom Cultivation)</t>
  </si>
  <si>
    <t>Carpentary Section</t>
  </si>
  <si>
    <t>Other (Embroidery)</t>
  </si>
  <si>
    <t>Others (Carpet)</t>
  </si>
  <si>
    <t>Others (Pipe Band)</t>
  </si>
  <si>
    <t>Weavingof Clothes</t>
  </si>
  <si>
    <t>Others ( Tv/Fan Repairing)</t>
  </si>
  <si>
    <t>Others ( Transformer Making)</t>
  </si>
  <si>
    <t>Others (Powerloom)</t>
  </si>
  <si>
    <t>Others (Winder)</t>
  </si>
  <si>
    <t>Others (Gucchi Making)</t>
  </si>
  <si>
    <t>Others (Dari Making)</t>
  </si>
  <si>
    <t>Others (Electrician)</t>
  </si>
  <si>
    <t>Others (Embriodery)</t>
  </si>
  <si>
    <t>Others (Typing/Computer)</t>
  </si>
  <si>
    <t>Others (Electricain)</t>
  </si>
  <si>
    <t>Embroidery Section</t>
  </si>
  <si>
    <t>Others (Carpet Section)</t>
  </si>
  <si>
    <t>Pipe Band Section</t>
  </si>
  <si>
    <t>Computer Trade</t>
  </si>
  <si>
    <t>Transformer Electrician</t>
  </si>
  <si>
    <t>Winding</t>
  </si>
  <si>
    <t>Tana Making</t>
  </si>
  <si>
    <t>Gucchi Making</t>
  </si>
  <si>
    <t>Weaving (Dari Making)</t>
  </si>
  <si>
    <t>Motor Winding</t>
  </si>
  <si>
    <t>Khadi Khana</t>
  </si>
  <si>
    <t>Embroidary Section</t>
  </si>
  <si>
    <t>Cloth Printing</t>
  </si>
  <si>
    <t>Jail Inmate Pipe Band</t>
  </si>
  <si>
    <t>Carpentry Trade</t>
  </si>
  <si>
    <t>Transformer Winding</t>
  </si>
  <si>
    <t>Nitting</t>
  </si>
  <si>
    <t>Other Trades</t>
  </si>
  <si>
    <t>Carpentary Trade</t>
  </si>
  <si>
    <t>Weaving (Clothing)</t>
  </si>
  <si>
    <t>Radio Tv Mechanic</t>
  </si>
  <si>
    <t>Painting</t>
  </si>
  <si>
    <t>Motor Mechanic</t>
  </si>
  <si>
    <t>Tailoring/Wiring</t>
  </si>
  <si>
    <t>Paper Making</t>
  </si>
  <si>
    <t>Prison Smart Course</t>
  </si>
  <si>
    <t>Radio &amp; Tv Repairing</t>
  </si>
  <si>
    <t>Flyleaf, Candle, Envelop Making</t>
  </si>
  <si>
    <t>Jute Making</t>
  </si>
  <si>
    <t>Academic</t>
  </si>
  <si>
    <t>Cottage</t>
  </si>
  <si>
    <t>Educational Prog.</t>
  </si>
  <si>
    <t>Fly Leaf</t>
  </si>
  <si>
    <t>Handicrafting</t>
  </si>
  <si>
    <t>Handlook Training</t>
  </si>
  <si>
    <t>Envelope</t>
  </si>
  <si>
    <t>Mat Weaving</t>
  </si>
  <si>
    <t>Paper Making &amp; Printing</t>
  </si>
  <si>
    <t>Brahma Kumari</t>
  </si>
  <si>
    <t>Counselling</t>
  </si>
  <si>
    <t>Carpentry &amp; Black Smithy</t>
  </si>
  <si>
    <t>Computer Literacy</t>
  </si>
  <si>
    <t>Envelope Making</t>
  </si>
  <si>
    <t>Hand Paper Making</t>
  </si>
  <si>
    <t>Handi Crafts</t>
  </si>
  <si>
    <t>Handloom Training</t>
  </si>
  <si>
    <t>Masrum</t>
  </si>
  <si>
    <t>Phenyle Making</t>
  </si>
  <si>
    <t>Phenyle &amp; Caustic Soap</t>
  </si>
  <si>
    <t>Press Printing</t>
  </si>
  <si>
    <t>Stick Work</t>
  </si>
  <si>
    <t>Cotton Cloth Weaving (Handloom)</t>
  </si>
  <si>
    <t>Cycle Repairing</t>
  </si>
  <si>
    <t>Designed Candle</t>
  </si>
  <si>
    <t>Fly Leaf And Tag</t>
  </si>
  <si>
    <t>Hand Paper</t>
  </si>
  <si>
    <t>Seed Production</t>
  </si>
  <si>
    <t>Work Incorodenge</t>
  </si>
  <si>
    <t>Envelop Making</t>
  </si>
  <si>
    <t>Dabba Making</t>
  </si>
  <si>
    <t>Aplic &amp; Embroidery</t>
  </si>
  <si>
    <t>Baby &amp; Female Clothing &amp; Bag Making</t>
  </si>
  <si>
    <t>Beautician Course/Trg</t>
  </si>
  <si>
    <t>Bicycle Repairing</t>
  </si>
  <si>
    <t>Carpet &amp; Basket Manufacturing</t>
  </si>
  <si>
    <t>Catering Services</t>
  </si>
  <si>
    <t>Commercial Training</t>
  </si>
  <si>
    <t>Earth Worm Fertilizer Manufacturing</t>
  </si>
  <si>
    <t>Earthworm Manure</t>
  </si>
  <si>
    <t>Educational</t>
  </si>
  <si>
    <t>First Aid</t>
  </si>
  <si>
    <t>Gardening Trg Programme</t>
  </si>
  <si>
    <t>Hand Paper Making &amp; Printing</t>
  </si>
  <si>
    <t>Kenchua Khad</t>
  </si>
  <si>
    <t>Mali</t>
  </si>
  <si>
    <t>Mushroom Production/Cultivation</t>
  </si>
  <si>
    <t>Pumpset Repairing Trg Programme</t>
  </si>
  <si>
    <t>Tokevy Making</t>
  </si>
  <si>
    <t>Generator Repairing</t>
  </si>
  <si>
    <t>Pumpset Repairing</t>
  </si>
  <si>
    <t>Traditional Training</t>
  </si>
  <si>
    <t>30 Days Tasar (Silk) Manufacturing</t>
  </si>
  <si>
    <t>Anm &amp; Aww For Groth Chart &amp; Nutrition</t>
  </si>
  <si>
    <t>Agarbati Manufactuing</t>
  </si>
  <si>
    <t>Weaving (Cotton Cloth)</t>
  </si>
  <si>
    <t>Cycle Repairing Training</t>
  </si>
  <si>
    <t>Soap (Detergent Powder Making)</t>
  </si>
  <si>
    <t>Electric Work Training</t>
  </si>
  <si>
    <t>Gardening Training</t>
  </si>
  <si>
    <t>Printing &amp; Hand Paper Making</t>
  </si>
  <si>
    <t>Kalazattha</t>
  </si>
  <si>
    <t>Lah Bangle</t>
  </si>
  <si>
    <t>Making Of Fly Leaf</t>
  </si>
  <si>
    <t>Photo Framing</t>
  </si>
  <si>
    <t>Pump Repairing</t>
  </si>
  <si>
    <t>Radio Training</t>
  </si>
  <si>
    <t>Resum Katai</t>
  </si>
  <si>
    <t>Soap Manufacturing</t>
  </si>
  <si>
    <t>Weaving (Sweater)</t>
  </si>
  <si>
    <t>Tv Training</t>
  </si>
  <si>
    <t>Others (Wearing)</t>
  </si>
  <si>
    <t>Wood Craft</t>
  </si>
  <si>
    <t>Fly Leaf Making</t>
  </si>
  <si>
    <t>Teacher Training (15 Days)</t>
  </si>
  <si>
    <t>Anm &amp; Aww</t>
  </si>
  <si>
    <t>Beautician &amp; Jewellery Making</t>
  </si>
  <si>
    <t>Chalk Manufacturing Training</t>
  </si>
  <si>
    <t>Crafting</t>
  </si>
  <si>
    <t>Frame Making</t>
  </si>
  <si>
    <t>Craft (Hand)</t>
  </si>
  <si>
    <t>Kala Jatha</t>
  </si>
  <si>
    <t>Paper, Aachar Manufacturing</t>
  </si>
  <si>
    <t>Silk Reeling</t>
  </si>
  <si>
    <t>Sweater Weaving</t>
  </si>
  <si>
    <t>T.V. Training</t>
  </si>
  <si>
    <t>Wearing</t>
  </si>
  <si>
    <t>Woollen Cutting</t>
  </si>
  <si>
    <t>Others (Handpump Repairing Trg (3 Days))</t>
  </si>
  <si>
    <t>Others(Handmade Packaged Food Productn)</t>
  </si>
  <si>
    <t>Anm</t>
  </si>
  <si>
    <t>Agarbatti Making</t>
  </si>
  <si>
    <t>Soap (Bathing) Making</t>
  </si>
  <si>
    <t>Weaving (Cloth Weaving)</t>
  </si>
  <si>
    <t>Others (Hand Paper Making &amp; Printing)</t>
  </si>
  <si>
    <t>Panting</t>
  </si>
  <si>
    <t>Radio Reparing</t>
  </si>
  <si>
    <t>Screen Printing/Book Binding</t>
  </si>
  <si>
    <t>Silk Yarn</t>
  </si>
  <si>
    <t>Carpentry / Wood Work</t>
  </si>
  <si>
    <t>Animal Husbandary</t>
  </si>
  <si>
    <t>Handloom (Cotton Cloth Weaving)</t>
  </si>
  <si>
    <t>Weaving (Cotton Cloth - Power Loom)</t>
  </si>
  <si>
    <t>Fishery</t>
  </si>
  <si>
    <t>Health Training</t>
  </si>
  <si>
    <t>Jute Mat Power Loom</t>
  </si>
  <si>
    <t>Offset Printing Press &amp; Hand Paper Mill</t>
  </si>
  <si>
    <t>Radio And Tv Repairing</t>
  </si>
  <si>
    <t>Swing</t>
  </si>
  <si>
    <t>Other (Wearing)</t>
  </si>
  <si>
    <t>Handloom Weaving Training</t>
  </si>
  <si>
    <t>Tailoring (Cloth Sewing)</t>
  </si>
  <si>
    <t>Soap (Caustic Soap Making)</t>
  </si>
  <si>
    <t>Soap (Phenyle Making Training)</t>
  </si>
  <si>
    <t>Gunny Bag Door Mat/Pooja Asni Making</t>
  </si>
  <si>
    <t>Resum Or Cocoon Katai Training</t>
  </si>
  <si>
    <t>Weaving (Sweater Weaving)</t>
  </si>
  <si>
    <t>Powerloom (Jute Mat)</t>
  </si>
  <si>
    <t>Carpentry (Wood Craft)</t>
  </si>
  <si>
    <t>Tv, Fan, Cfl Bulb Repairing</t>
  </si>
  <si>
    <t>Tailoring (Sewing)</t>
  </si>
  <si>
    <t>Radio &amp; Tv</t>
  </si>
  <si>
    <t>Powerloom (Cotton Cloth Weaving)</t>
  </si>
  <si>
    <t>Smithy</t>
  </si>
  <si>
    <t>Printing &amp; Binding</t>
  </si>
  <si>
    <t>Dhobi</t>
  </si>
  <si>
    <t>Electrical Wiring</t>
  </si>
  <si>
    <t>Tv &amp; Transistor Repair</t>
  </si>
  <si>
    <t>Service &amp; Repair - Two Wheeler</t>
  </si>
  <si>
    <t>Tv Repair</t>
  </si>
  <si>
    <t>Power Loom &amp; Handloom</t>
  </si>
  <si>
    <t>Carpet Making</t>
  </si>
  <si>
    <t>Footwear Making</t>
  </si>
  <si>
    <t>Two Wheeler Servicing</t>
  </si>
  <si>
    <t>Black Smithy &amp; Steel</t>
  </si>
  <si>
    <t>Carpet</t>
  </si>
  <si>
    <t>Foot Wear</t>
  </si>
  <si>
    <t>Power &amp; Handloom</t>
  </si>
  <si>
    <t>Steel Furniture Making</t>
  </si>
  <si>
    <t>Press And Printing</t>
  </si>
  <si>
    <t>Phenyle And Soap Oil Making</t>
  </si>
  <si>
    <t>Soft Toys Making</t>
  </si>
  <si>
    <t>Beautician Course</t>
  </si>
  <si>
    <t>Car Driving</t>
  </si>
  <si>
    <t>Nurse Training</t>
  </si>
  <si>
    <t>Foot Wear Making</t>
  </si>
  <si>
    <t>Soap And Phenyle Making</t>
  </si>
  <si>
    <t>Black Smity And Steel Making</t>
  </si>
  <si>
    <t>Bakery Items Making</t>
  </si>
  <si>
    <t>Mid Wife Training</t>
  </si>
  <si>
    <t>Beautician Couse</t>
  </si>
  <si>
    <t>Fabric Painting</t>
  </si>
  <si>
    <t>Veternary -Animal Rearing</t>
  </si>
  <si>
    <t>Decorative Items Making</t>
  </si>
  <si>
    <t>Handlooms &amp; Powerlooms</t>
  </si>
  <si>
    <t>Wheel Chair Refurbishing</t>
  </si>
  <si>
    <t>Other (Black Smithy And Steel Furniture)</t>
  </si>
  <si>
    <t>Wheel Chair Refurnishing</t>
  </si>
  <si>
    <t>Other (Candle Making &amp; Agarpatti)</t>
  </si>
  <si>
    <t>Others (Black Smity And Steel Furniture)</t>
  </si>
  <si>
    <t>Agriculture &amp; Horticulture</t>
  </si>
  <si>
    <t>Weaving Powerlooms And Handlooms</t>
  </si>
  <si>
    <t>Others (Carpet Making)</t>
  </si>
  <si>
    <t>Other-Blacksmity &amp;Steel Furniture Making</t>
  </si>
  <si>
    <t>Garmet Industry</t>
  </si>
  <si>
    <t>Soft Toy And Decorative Items Making</t>
  </si>
  <si>
    <t>Flour Mill</t>
  </si>
  <si>
    <t>Rubber Tapping</t>
  </si>
  <si>
    <t>Intensive Diary</t>
  </si>
  <si>
    <t>Dairy</t>
  </si>
  <si>
    <t>Mason Work</t>
  </si>
  <si>
    <t>Carpentry Work</t>
  </si>
  <si>
    <t>Chappathi Making</t>
  </si>
  <si>
    <t>Laterite Stone Cutting</t>
  </si>
  <si>
    <t>Vegetable Cultivation</t>
  </si>
  <si>
    <t>Mushroom Cultivation</t>
  </si>
  <si>
    <t>Printing &amp; Textile Designing</t>
  </si>
  <si>
    <t>Soap, Phenyle &amp; Squash Making</t>
  </si>
  <si>
    <t>Diary Farm</t>
  </si>
  <si>
    <t>Pig Farm</t>
  </si>
  <si>
    <t>Floriculture</t>
  </si>
  <si>
    <t>Rubber Nursery</t>
  </si>
  <si>
    <t>Poultry</t>
  </si>
  <si>
    <t>Printing And Textile Designing</t>
  </si>
  <si>
    <t>Soap Making Training</t>
  </si>
  <si>
    <t>Idly Making</t>
  </si>
  <si>
    <t>Paper Bag/Umbrella</t>
  </si>
  <si>
    <t>Band Master</t>
  </si>
  <si>
    <t>Cane Work</t>
  </si>
  <si>
    <t>Doll Making</t>
  </si>
  <si>
    <t>Light Fitting</t>
  </si>
  <si>
    <t>Motor Binding</t>
  </si>
  <si>
    <t>Music Training</t>
  </si>
  <si>
    <t>Printing And Book Binding</t>
  </si>
  <si>
    <t>Soap And Detergent</t>
  </si>
  <si>
    <t>Spices Inddustries</t>
  </si>
  <si>
    <t>Steaching</t>
  </si>
  <si>
    <t>Steel Industry</t>
  </si>
  <si>
    <t>Can Work</t>
  </si>
  <si>
    <t>Carpentry &amp; Wood Carving</t>
  </si>
  <si>
    <t>Printing &amp; Book Binding</t>
  </si>
  <si>
    <t>Soap &amp; Detergent</t>
  </si>
  <si>
    <t>Soap Indutries</t>
  </si>
  <si>
    <t>Fabrication</t>
  </si>
  <si>
    <t>Masala Industries</t>
  </si>
  <si>
    <t>Picle Indusries</t>
  </si>
  <si>
    <t>Chemical Industries</t>
  </si>
  <si>
    <t>Printing Press</t>
  </si>
  <si>
    <t>Spices Factory</t>
  </si>
  <si>
    <t>Vocational</t>
  </si>
  <si>
    <t>Jan Prohit</t>
  </si>
  <si>
    <t>Chemical Factory</t>
  </si>
  <si>
    <t>Raj Mistri</t>
  </si>
  <si>
    <t>Other Training</t>
  </si>
  <si>
    <t>Canning &amp; Power Loom</t>
  </si>
  <si>
    <t>Others (Blanket Udyog)</t>
  </si>
  <si>
    <t>Mat Training</t>
  </si>
  <si>
    <t>Chemicals Factory</t>
  </si>
  <si>
    <t>Computer &amp; Typing</t>
  </si>
  <si>
    <t>Zari Zardojy</t>
  </si>
  <si>
    <t>Leather Industries</t>
  </si>
  <si>
    <t>Mate Training</t>
  </si>
  <si>
    <t>Vocational Training</t>
  </si>
  <si>
    <t>Catering</t>
  </si>
  <si>
    <t>Printing Press &amp; Screen Printing</t>
  </si>
  <si>
    <t>Raj Mistri (Building)</t>
  </si>
  <si>
    <t>Others (Blanket Industries)</t>
  </si>
  <si>
    <t>Printing Press And Screen Printing</t>
  </si>
  <si>
    <t>Other (Blanket Udyog)</t>
  </si>
  <si>
    <t>Computer, Hindi And English Typing</t>
  </si>
  <si>
    <t>Others (Blanket)</t>
  </si>
  <si>
    <t>Agarbatti Industries</t>
  </si>
  <si>
    <t>Chemicals</t>
  </si>
  <si>
    <t>Lether Work</t>
  </si>
  <si>
    <t>Leather Work</t>
  </si>
  <si>
    <t>Masons</t>
  </si>
  <si>
    <t>Gardener/Agri.</t>
  </si>
  <si>
    <t>Air Coolaring</t>
  </si>
  <si>
    <t>Gardener / Agric.</t>
  </si>
  <si>
    <t>Welder</t>
  </si>
  <si>
    <t>Paper Cutting</t>
  </si>
  <si>
    <t>Textile (Yantramag, Hatmag, Panjakam)</t>
  </si>
  <si>
    <t>Textile (Yantramag,Hatmag,Panjakam)</t>
  </si>
  <si>
    <t>Agriculture/Gardening</t>
  </si>
  <si>
    <t>Textile (Yantra/Hatmag/Panjakam)</t>
  </si>
  <si>
    <t>Textile (Yantra, Hathmag, Panjakam)</t>
  </si>
  <si>
    <t>Moulding</t>
  </si>
  <si>
    <t>Moulder</t>
  </si>
  <si>
    <t>Cane &amp; Bamboo</t>
  </si>
  <si>
    <t>Tailoring / Flower Making/ Knitting</t>
  </si>
  <si>
    <t>Handicraft, Cane &amp; Bamboo Works</t>
  </si>
  <si>
    <t>Canning, Bamboo Works And Handicraft</t>
  </si>
  <si>
    <t>Tailoring,Embroidery, Knitting &amp; Weaving</t>
  </si>
  <si>
    <t>Others-Handicraft, Cane And Bamboo Works</t>
  </si>
  <si>
    <t>Tailoring &amp; Embroidery, Knitting &amp; Weavi</t>
  </si>
  <si>
    <t>Can &amp; Bamboo Works And Handicraft</t>
  </si>
  <si>
    <t>Tailoring, Embroidery, Knitting, Weaving</t>
  </si>
  <si>
    <t>Handloom / Weaving</t>
  </si>
  <si>
    <t>Handloom Section</t>
  </si>
  <si>
    <t>Cane &amp; Bamboo Section</t>
  </si>
  <si>
    <t>Jute Diversity Programme</t>
  </si>
  <si>
    <t>Tailoring &amp; Music</t>
  </si>
  <si>
    <t>Others (Handicraft - Mora Making)</t>
  </si>
  <si>
    <t>Others - Handicraft (Mora Making)</t>
  </si>
  <si>
    <t>Basket Making</t>
  </si>
  <si>
    <t>Durry Making</t>
  </si>
  <si>
    <t>Jute Mat Making</t>
  </si>
  <si>
    <t>Safai Grass Making</t>
  </si>
  <si>
    <t>Press</t>
  </si>
  <si>
    <t>Satar Grass Making</t>
  </si>
  <si>
    <t>Weaving &amp; Durry</t>
  </si>
  <si>
    <t>Binding</t>
  </si>
  <si>
    <t>Craft Making</t>
  </si>
  <si>
    <t>Type &amp; Computer</t>
  </si>
  <si>
    <t>Weaving &amp; Durry-Making</t>
  </si>
  <si>
    <t>Phynyle Manufacturing</t>
  </si>
  <si>
    <t>Carpentary/Craft</t>
  </si>
  <si>
    <t>Binding/Type &amp; Computer</t>
  </si>
  <si>
    <t>Binding / Type &amp; Computer</t>
  </si>
  <si>
    <t>Weaving &amp; Dary Making</t>
  </si>
  <si>
    <t>Binding/Typing &amp; Computer</t>
  </si>
  <si>
    <t>Weaving &amp; Durry Making</t>
  </si>
  <si>
    <t>Other (Carpet)</t>
  </si>
  <si>
    <t>Carpentry / Craft</t>
  </si>
  <si>
    <t>Carpentry/Craft</t>
  </si>
  <si>
    <t>Binding, Type And Computer</t>
  </si>
  <si>
    <t>Soap (Phenyle)</t>
  </si>
  <si>
    <t>Weaving (Durry Weaving/Making)</t>
  </si>
  <si>
    <t>Weilding</t>
  </si>
  <si>
    <t>Duries</t>
  </si>
  <si>
    <t>Diesel Engine</t>
  </si>
  <si>
    <t>Combine Repairs</t>
  </si>
  <si>
    <t>Tents</t>
  </si>
  <si>
    <t>Duri Section</t>
  </si>
  <si>
    <t>Soap Phenyle</t>
  </si>
  <si>
    <t>Tailoring/Weaving</t>
  </si>
  <si>
    <t>Durri</t>
  </si>
  <si>
    <t>Soap / Phenyle</t>
  </si>
  <si>
    <t>Tailoring / Weaving</t>
  </si>
  <si>
    <t>Darri</t>
  </si>
  <si>
    <t>Dannian</t>
  </si>
  <si>
    <t>Darrian</t>
  </si>
  <si>
    <t>Rassa/Dori</t>
  </si>
  <si>
    <t>Rangat</t>
  </si>
  <si>
    <t>Pipe</t>
  </si>
  <si>
    <t>Repair</t>
  </si>
  <si>
    <t>Rangot</t>
  </si>
  <si>
    <t>Soap &amp; Phynile</t>
  </si>
  <si>
    <t>Tant</t>
  </si>
  <si>
    <t>Floor Mill</t>
  </si>
  <si>
    <t>Weaving (Daries)</t>
  </si>
  <si>
    <t>Cloth</t>
  </si>
  <si>
    <t>Dari Industry</t>
  </si>
  <si>
    <t>Cooler Industry</t>
  </si>
  <si>
    <t>Furniture</t>
  </si>
  <si>
    <t>Fitter</t>
  </si>
  <si>
    <t>Cooler</t>
  </si>
  <si>
    <t>Machenical Diesel</t>
  </si>
  <si>
    <t>Blacksmith</t>
  </si>
  <si>
    <t>Weaving (Dari)</t>
  </si>
  <si>
    <t>Mechanical Diesel</t>
  </si>
  <si>
    <t>Pl Cloths</t>
  </si>
  <si>
    <t>Weaving (Niwar Weaving)</t>
  </si>
  <si>
    <t>Tailoring (Bandi Cloths Stitching)</t>
  </si>
  <si>
    <t>Weaving (Durries)</t>
  </si>
  <si>
    <t>Carpenter</t>
  </si>
  <si>
    <t>Cutting-Shaving</t>
  </si>
  <si>
    <t>Bag Training</t>
  </si>
  <si>
    <t>Flower Bouquet</t>
  </si>
  <si>
    <t>Soft Toys</t>
  </si>
  <si>
    <t>Weaving (Niwar)</t>
  </si>
  <si>
    <t>Iron Industry</t>
  </si>
  <si>
    <t>Tailoring (Silai Kachh)</t>
  </si>
  <si>
    <t>Angora Rearing</t>
  </si>
  <si>
    <t>Bag Weaving</t>
  </si>
  <si>
    <t>Plastic Bag, Weaving</t>
  </si>
  <si>
    <t>Cane And Bamboo</t>
  </si>
  <si>
    <t>Plastic Weaving</t>
  </si>
  <si>
    <t>Piggery</t>
  </si>
  <si>
    <t>Dairy Farming</t>
  </si>
  <si>
    <t>Goatery</t>
  </si>
  <si>
    <t>Mushroom</t>
  </si>
  <si>
    <t>Knitting / Envelope</t>
  </si>
  <si>
    <t>Agriculture (Floriculture)</t>
  </si>
  <si>
    <t>Knitting, Needle &amp; Thread Work</t>
  </si>
  <si>
    <t>Printing / Envelope Making</t>
  </si>
  <si>
    <t>Prison Bakery</t>
  </si>
  <si>
    <t>Piggery &amp; Goatery</t>
  </si>
  <si>
    <t>Carpentry/Carving</t>
  </si>
  <si>
    <t>Printing/Envelope Making</t>
  </si>
  <si>
    <t>Flower Making</t>
  </si>
  <si>
    <t>Plumber Training</t>
  </si>
  <si>
    <t>Simple Trade</t>
  </si>
  <si>
    <t>Electrical Simple Trade</t>
  </si>
  <si>
    <t>Agarbatti</t>
  </si>
  <si>
    <t>Handmade Paper</t>
  </si>
  <si>
    <t>Napkins</t>
  </si>
  <si>
    <t>Lamination</t>
  </si>
  <si>
    <t>Book Making</t>
  </si>
  <si>
    <t>Brick Making</t>
  </si>
  <si>
    <t>Hand Made Paper</t>
  </si>
  <si>
    <t>Mat Work</t>
  </si>
  <si>
    <t>Preparation Of Greeting Cards</t>
  </si>
  <si>
    <t>Simple Trade Electrical</t>
  </si>
  <si>
    <t>Tag Making</t>
  </si>
  <si>
    <t>Tailoring &amp; Embroding</t>
  </si>
  <si>
    <t>Phenyle1</t>
  </si>
  <si>
    <t>Plumbing Trade</t>
  </si>
  <si>
    <t>Paper Binding</t>
  </si>
  <si>
    <t>Hollow Brick Making</t>
  </si>
  <si>
    <t>Simple Trade Wiring Training</t>
  </si>
  <si>
    <t>Tag Making And Phenyle</t>
  </si>
  <si>
    <t>Tailoring  &amp; Embroidery 3 Month Course</t>
  </si>
  <si>
    <t>Carpentary Training</t>
  </si>
  <si>
    <t>Tag Making, Phenyle</t>
  </si>
  <si>
    <t>Tailoring And Embraiding 3 Month Course</t>
  </si>
  <si>
    <t>Hallow Block Making</t>
  </si>
  <si>
    <t>Flower Wash Training</t>
  </si>
  <si>
    <t>Drawing Training</t>
  </si>
  <si>
    <t>Boiler Training</t>
  </si>
  <si>
    <t>Spinning</t>
  </si>
  <si>
    <t>Bag Making</t>
  </si>
  <si>
    <t>Drawing</t>
  </si>
  <si>
    <t>Flower Vase Making</t>
  </si>
  <si>
    <t>Hollow Block Bricks</t>
  </si>
  <si>
    <t>Purse Making</t>
  </si>
  <si>
    <t>Toy Making / Basket Making</t>
  </si>
  <si>
    <t>Woolen Articles Making</t>
  </si>
  <si>
    <t>Areca Plates</t>
  </si>
  <si>
    <t>Rope</t>
  </si>
  <si>
    <t>Insulator Box</t>
  </si>
  <si>
    <t>Wiring</t>
  </si>
  <si>
    <t>Soap Oil/Automobile Cleaning/Deionised</t>
  </si>
  <si>
    <t>Napkin Making</t>
  </si>
  <si>
    <t>Agriculture (Mushroom Cultivating)</t>
  </si>
  <si>
    <t>Block Printing</t>
  </si>
  <si>
    <t>Greeting / Muffler Making</t>
  </si>
  <si>
    <t>Poly Bags</t>
  </si>
  <si>
    <t>Automobile Mechanism</t>
  </si>
  <si>
    <t>Automobile Cleaning /Soap Oil/Deionised</t>
  </si>
  <si>
    <t>Readymade Garments</t>
  </si>
  <si>
    <t>Greeting Card / Muffler Making</t>
  </si>
  <si>
    <t>Rope Making</t>
  </si>
  <si>
    <t>Four Wheeler Mechanism</t>
  </si>
  <si>
    <t>Diploma In House Electrician</t>
  </si>
  <si>
    <t>Plumbing Work</t>
  </si>
  <si>
    <t>Toy Making Basket Making</t>
  </si>
  <si>
    <t>Other (Hand Made Paper Industry)</t>
  </si>
  <si>
    <t>Sambrani Making</t>
  </si>
  <si>
    <t>Kundankal Making In Sarees</t>
  </si>
  <si>
    <t>Soap (Washing Powder Making)</t>
  </si>
  <si>
    <t>Zarthoshi</t>
  </si>
  <si>
    <t>Jewell Making</t>
  </si>
  <si>
    <t>Palm Flower Making</t>
  </si>
  <si>
    <t>Prison Ministry India (Pmi) Musical Trg</t>
  </si>
  <si>
    <t>Mahathma Gandhi Community College</t>
  </si>
  <si>
    <t>Agricultural Training</t>
  </si>
  <si>
    <t>Led Lamp Training</t>
  </si>
  <si>
    <t>Embroidering (Women Prisoner)</t>
  </si>
  <si>
    <t>Garden</t>
  </si>
  <si>
    <t>Plumbing Training</t>
  </si>
  <si>
    <t>Basic Welding (Arc)</t>
  </si>
  <si>
    <t>Industrial Security Guard</t>
  </si>
  <si>
    <t>Diploma In Beautician Course</t>
  </si>
  <si>
    <t>Diploma In Fashing Designing And Garment</t>
  </si>
  <si>
    <t>Toys And Basket Making</t>
  </si>
  <si>
    <t>Greeting &amp; Muffler Making</t>
  </si>
  <si>
    <t>Textile Making/Training</t>
  </si>
  <si>
    <t>Wax Making Training</t>
  </si>
  <si>
    <t>Steel Utensils Manufacturing Training</t>
  </si>
  <si>
    <t>Carpentry Workshop/Training</t>
  </si>
  <si>
    <t>Paper Making Unit/Training</t>
  </si>
  <si>
    <t>File Pad Making/Training</t>
  </si>
  <si>
    <t>Shoe Making Industry/Training</t>
  </si>
  <si>
    <t>Piggery Firm</t>
  </si>
  <si>
    <t>Vegetable</t>
  </si>
  <si>
    <t>Basketry</t>
  </si>
  <si>
    <t>Piggery Farming</t>
  </si>
  <si>
    <t>Duckery Farming</t>
  </si>
  <si>
    <t>Poultry Farming</t>
  </si>
  <si>
    <t>Rabbit Farming</t>
  </si>
  <si>
    <t>Press Unit</t>
  </si>
  <si>
    <t>Computer Unit</t>
  </si>
  <si>
    <t>Pisciculture Unit</t>
  </si>
  <si>
    <t>Lendry</t>
  </si>
  <si>
    <t>Can And Bamboo</t>
  </si>
  <si>
    <t>Agriculture Unit</t>
  </si>
  <si>
    <t>Blanket Factory</t>
  </si>
  <si>
    <t>Data Entry &amp; Typing</t>
  </si>
  <si>
    <t>Durri Industry</t>
  </si>
  <si>
    <t>Automobile</t>
  </si>
  <si>
    <t>Blanket Industry</t>
  </si>
  <si>
    <t>Education</t>
  </si>
  <si>
    <t>Tailoring Industry</t>
  </si>
  <si>
    <t>Embriodary</t>
  </si>
  <si>
    <t>Atta Training</t>
  </si>
  <si>
    <t>Masson</t>
  </si>
  <si>
    <t>Chess</t>
  </si>
  <si>
    <t>Screen Training</t>
  </si>
  <si>
    <t>Blanket</t>
  </si>
  <si>
    <t>Motor Training</t>
  </si>
  <si>
    <t>Woman Tailoring</t>
  </si>
  <si>
    <t>Blanket Training</t>
  </si>
  <si>
    <t>Tailoring, Sewing &amp; Embriodry</t>
  </si>
  <si>
    <t>Wireman Electric</t>
  </si>
  <si>
    <t>Cycle Rikshaw Repairing</t>
  </si>
  <si>
    <t>Tailoring Sewing &amp; Embroidery</t>
  </si>
  <si>
    <t>Bakery Product (Band)</t>
  </si>
  <si>
    <t>Hosiery</t>
  </si>
  <si>
    <t>Football Making</t>
  </si>
  <si>
    <t>Packeting Of Grane</t>
  </si>
  <si>
    <t>Automobile Repairing</t>
  </si>
  <si>
    <t>Weaving (Blanket Weaving)</t>
  </si>
  <si>
    <t>Soap Phenyle Making</t>
  </si>
  <si>
    <t>Boot/Shoe Making</t>
  </si>
  <si>
    <t>Others (Handmade Paper Making)</t>
  </si>
  <si>
    <t>Printing Press Operation</t>
  </si>
  <si>
    <t>House Wiring/Motor Wiring</t>
  </si>
  <si>
    <t>House/Motor Wiring</t>
  </si>
  <si>
    <t>House Wiring And Moter Winding</t>
  </si>
  <si>
    <t>House Wiring / Motor Binding</t>
  </si>
  <si>
    <t>Coupler Training</t>
  </si>
  <si>
    <t>Electric Fitting</t>
  </si>
  <si>
    <t>Computer Training By Sterlite Foundation</t>
  </si>
  <si>
    <t>Cutting, Knitting Training For Females</t>
  </si>
  <si>
    <t>Spinning-Knitting By Ua Kvic</t>
  </si>
  <si>
    <t>Carpentry, Furniture Making, Wood Work</t>
  </si>
  <si>
    <t>Iron Fabrication &amp; Other Work</t>
  </si>
  <si>
    <t>Garment Making</t>
  </si>
  <si>
    <t>Handloom (Resham Spooling / Threading)</t>
  </si>
  <si>
    <t>Art &amp; Painting</t>
  </si>
  <si>
    <t>Luggage Assembly Job Work</t>
  </si>
  <si>
    <t>Tailoring Training For Females</t>
  </si>
  <si>
    <t>Weaving (Carpet Weaving)</t>
  </si>
  <si>
    <t>Motor Driving</t>
  </si>
  <si>
    <t>Electrical Fittings</t>
  </si>
  <si>
    <t>Painting, Sculpture &amp; Handicrafts</t>
  </si>
  <si>
    <t>Sewing &amp; Embroidary</t>
  </si>
  <si>
    <t>Cane Works</t>
  </si>
  <si>
    <t>Tv Repairing &amp; Servicing</t>
  </si>
  <si>
    <t>Umbrella Assembly</t>
  </si>
  <si>
    <t>Phenyl Production</t>
  </si>
  <si>
    <t>Oil Mill</t>
  </si>
  <si>
    <t>Printing Works</t>
  </si>
  <si>
    <t>Papad Preparation</t>
  </si>
  <si>
    <t>Tv Mechanism</t>
  </si>
  <si>
    <t>Sheet Metal</t>
  </si>
  <si>
    <t>Ari School</t>
  </si>
  <si>
    <t>Press &amp; Forms</t>
  </si>
  <si>
    <t>Wheat Grinding</t>
  </si>
  <si>
    <t>Fan Reparing</t>
  </si>
  <si>
    <t>Tin</t>
  </si>
  <si>
    <t>Umbrella</t>
  </si>
  <si>
    <t>Electronic Lab</t>
  </si>
  <si>
    <t>Vegitable Plant Cultivation</t>
  </si>
  <si>
    <t>Detergent</t>
  </si>
  <si>
    <t>Tin Section</t>
  </si>
  <si>
    <t>Utensil Making</t>
  </si>
  <si>
    <t>Tanning</t>
  </si>
  <si>
    <t>Clay Modelling</t>
  </si>
  <si>
    <t>Silk Screen Printing</t>
  </si>
  <si>
    <t>All Utencil Making</t>
  </si>
  <si>
    <t>Oil Mill Section</t>
  </si>
  <si>
    <t>Fabrication Work</t>
  </si>
  <si>
    <t>Repairing &amp; Welding</t>
  </si>
  <si>
    <t>Utensils Making</t>
  </si>
  <si>
    <t>Umbrella Making</t>
  </si>
  <si>
    <t>Dhobi Section</t>
  </si>
  <si>
    <t>Bread Making</t>
  </si>
  <si>
    <t>Printing (Press)</t>
  </si>
  <si>
    <t>Incense Making</t>
  </si>
  <si>
    <t>Detergent Making</t>
  </si>
  <si>
    <t>Soap (Detergent Making)</t>
  </si>
  <si>
    <t>Book</t>
  </si>
  <si>
    <t>Weaving (Dari Weaving)</t>
  </si>
  <si>
    <t>Knitting/Stitching/Tailoring/Jorrimaking</t>
  </si>
  <si>
    <t>Computers</t>
  </si>
  <si>
    <t>Motor Driving/Motor Training/Repairing</t>
  </si>
  <si>
    <t>Soap &amp; Phenyle/Detergent Making</t>
  </si>
  <si>
    <t>Other (Candle / Umbrella Making)</t>
  </si>
  <si>
    <t>Fishing</t>
  </si>
  <si>
    <t>Vermi Compost Fertilizer</t>
  </si>
  <si>
    <t>Jute Slipper/Bag Making</t>
  </si>
  <si>
    <t>Music</t>
  </si>
  <si>
    <t>Tin Fabrication Section</t>
  </si>
  <si>
    <t>Aluminium Utensil/Oil Mill Section</t>
  </si>
  <si>
    <t>Miscellaneous Articles</t>
  </si>
  <si>
    <t>Dtp Advance Skill Development</t>
  </si>
  <si>
    <t>Watch Repairing And Assembling</t>
  </si>
  <si>
    <t>Dance Workshop</t>
  </si>
  <si>
    <t>Yatra Workshop (Drama)</t>
  </si>
  <si>
    <t>Soap (Phenyle Manufacturing)</t>
  </si>
  <si>
    <t>Anti Electrical Training</t>
  </si>
  <si>
    <t>Computer Course/Spoken English</t>
  </si>
  <si>
    <t>Electrical Wiring &amp; Motor Winding</t>
  </si>
  <si>
    <t>Jute Handicrafts/Kantha Stitch</t>
  </si>
  <si>
    <t>Umbrella Section</t>
  </si>
  <si>
    <t>Welding Section</t>
  </si>
  <si>
    <t>Wooden Work</t>
  </si>
  <si>
    <t>Mustard Oil Section</t>
  </si>
  <si>
    <t>Utensils Section</t>
  </si>
  <si>
    <t>Cultural Therapy</t>
  </si>
  <si>
    <t>Bread Section</t>
  </si>
  <si>
    <t>Kitchen &amp; Gardening</t>
  </si>
  <si>
    <t>Vermi Compost Production</t>
  </si>
  <si>
    <t>Barbar Training</t>
  </si>
  <si>
    <t>Organisation For Livelihood</t>
  </si>
  <si>
    <t>Advancement With Financial Aid</t>
  </si>
  <si>
    <t>Deep Tubewell Sinking</t>
  </si>
  <si>
    <t>Embroidery Making</t>
  </si>
  <si>
    <t>Sanitary Napkin Making</t>
  </si>
  <si>
    <t>Food Processing</t>
  </si>
  <si>
    <t>Carpentary (Wood Work)</t>
  </si>
  <si>
    <t>Canning (Cane Work)</t>
  </si>
  <si>
    <t>Others (Bamboo Work)</t>
  </si>
  <si>
    <t>Agriculture (Gardening)</t>
  </si>
  <si>
    <t>Canning Work</t>
  </si>
  <si>
    <t>Refrigration Repair</t>
  </si>
  <si>
    <t>Scooter Repair</t>
  </si>
  <si>
    <t>Refrigration</t>
  </si>
  <si>
    <t>Regrigeration</t>
  </si>
  <si>
    <t>Ignou Study</t>
  </si>
  <si>
    <t>Family Counselling</t>
  </si>
  <si>
    <t>Refregeration</t>
  </si>
  <si>
    <t>Farming</t>
  </si>
  <si>
    <t>Paper Unit</t>
  </si>
  <si>
    <t>Pottery</t>
  </si>
  <si>
    <t>Plubming</t>
  </si>
  <si>
    <t>Commercial Arts</t>
  </si>
  <si>
    <t>Creche Training</t>
  </si>
  <si>
    <t>Dhoop Making</t>
  </si>
  <si>
    <t>Envelope Making / Paper Unit</t>
  </si>
  <si>
    <t>Atta &amp; Masala Chakki</t>
  </si>
  <si>
    <t>Dhoop Batti Making</t>
  </si>
  <si>
    <t>Sculpture Making</t>
  </si>
  <si>
    <t>Herbal Packs</t>
  </si>
  <si>
    <t>Others (Shoe Making Etc.)</t>
  </si>
  <si>
    <t>Atta</t>
  </si>
  <si>
    <t>Shoe Making</t>
  </si>
  <si>
    <t>Masala Chakki</t>
  </si>
  <si>
    <t>Envelope Making/Paper Unit</t>
  </si>
  <si>
    <t>Porrery</t>
  </si>
  <si>
    <t>Spoken English</t>
  </si>
  <si>
    <t>Pickle</t>
  </si>
  <si>
    <t>Stores</t>
  </si>
  <si>
    <t>Automotive Repair</t>
  </si>
  <si>
    <t>Beauty Culture/Hair Dressing</t>
  </si>
  <si>
    <t>Garments</t>
  </si>
  <si>
    <t>Hospitality</t>
  </si>
  <si>
    <t>Weaving/Embroidary</t>
  </si>
  <si>
    <t>Chemical/Oil Extraction</t>
  </si>
  <si>
    <t>Pickle Project</t>
  </si>
  <si>
    <t>Electrical (House Wiring)</t>
  </si>
  <si>
    <t>Auto Repair</t>
  </si>
  <si>
    <t>Java/Papad</t>
  </si>
  <si>
    <t>Beauty Culture &amp; Hair Dressing</t>
  </si>
  <si>
    <t>Garments Making</t>
  </si>
  <si>
    <t>Construction</t>
  </si>
  <si>
    <t>Weaving / Embroidary</t>
  </si>
  <si>
    <t>Chemical / Oil Extraction</t>
  </si>
  <si>
    <t>Computer Hardware Course</t>
  </si>
  <si>
    <t>Flag Making</t>
  </si>
  <si>
    <t>Puppet Making</t>
  </si>
  <si>
    <t>Artificial Jewellery</t>
  </si>
  <si>
    <t>Nursery Training</t>
  </si>
  <si>
    <t>Beauty Culture And Hair Dressing</t>
  </si>
  <si>
    <t>Stenography Classes</t>
  </si>
  <si>
    <t>Poultry Training</t>
  </si>
  <si>
    <t>Electrical Mechanic</t>
  </si>
  <si>
    <t>Fashion Designing</t>
  </si>
  <si>
    <t>Electrical Welding</t>
  </si>
  <si>
    <t>Spinning Unit</t>
  </si>
  <si>
    <t>Weaving (Mat Weaving)</t>
  </si>
  <si>
    <t>Powerloom (Spinning Unit)</t>
  </si>
  <si>
    <t>Bookbinding</t>
  </si>
  <si>
    <t>Soap (Dying)</t>
  </si>
  <si>
    <t>Steel Mfg</t>
  </si>
  <si>
    <t>Others (Embroidary)</t>
  </si>
  <si>
    <t>Others (Painting/Decoration)</t>
  </si>
  <si>
    <t>Other (Coir Making Unit)</t>
  </si>
  <si>
    <t>Cover Making Unit</t>
  </si>
  <si>
    <t>Others (Bakery Unit)</t>
  </si>
  <si>
    <t>Nc</t>
  </si>
  <si>
    <t>Carpentary (Wooden Unit)</t>
  </si>
  <si>
    <t>Mora Makin</t>
  </si>
  <si>
    <t>Other (Can &amp; Bamboo/Carpenter)</t>
  </si>
  <si>
    <t>Others (Black Smith)</t>
  </si>
  <si>
    <t>Stick Making</t>
  </si>
  <si>
    <t>Steaching And Tailoring</t>
  </si>
  <si>
    <t>Weaving (Cotton ; Carpet And Kalin)</t>
  </si>
  <si>
    <t>Soap(Phenyl And Soap Making)</t>
  </si>
  <si>
    <t>Weaving (Woolen Weaving)</t>
  </si>
  <si>
    <t>Soap (Caustic Soap Production Training)</t>
  </si>
  <si>
    <t>Handlooms Cloths</t>
  </si>
  <si>
    <t>Weaving (Charkha Suta Katai)</t>
  </si>
  <si>
    <t>Others (Atta Chaki Milling)</t>
  </si>
  <si>
    <t>Embroidary Training</t>
  </si>
  <si>
    <t>Agriculture (Masroom Training)</t>
  </si>
  <si>
    <t>Educational Programme Prerna</t>
  </si>
  <si>
    <t>Krech Kendra For Children</t>
  </si>
  <si>
    <t>Other (Computer And Technology Training)</t>
  </si>
  <si>
    <t>Wax Candle</t>
  </si>
  <si>
    <t>Soap (White Phenyle)</t>
  </si>
  <si>
    <t>Others (Atta)</t>
  </si>
  <si>
    <t>Soap (Detergent Powder)</t>
  </si>
  <si>
    <t>Neel</t>
  </si>
  <si>
    <t>Mithila Painting</t>
  </si>
  <si>
    <t>Weaving ( Work)</t>
  </si>
  <si>
    <t>Offset And Screen Printing</t>
  </si>
  <si>
    <t>Others (Bamboo Craft)</t>
  </si>
  <si>
    <t>Steelwork</t>
  </si>
  <si>
    <t>Carpentary (Wooden Corbing)</t>
  </si>
  <si>
    <t>Soap And Phenyl Making And Washing Powde</t>
  </si>
  <si>
    <t>Kekti Work</t>
  </si>
  <si>
    <t>Agriculture (Moshroom Training)</t>
  </si>
  <si>
    <t>Agriculture Training</t>
  </si>
  <si>
    <t>Other (Chalk)</t>
  </si>
  <si>
    <t>Was Candle</t>
  </si>
  <si>
    <t>Plumbing Course</t>
  </si>
  <si>
    <t>Other (Computer)</t>
  </si>
  <si>
    <t>Others (Art Industry)</t>
  </si>
  <si>
    <t>Others (Bakery)</t>
  </si>
  <si>
    <t>Tailoring (Training For Women)</t>
  </si>
  <si>
    <t>Hair Cutting</t>
  </si>
  <si>
    <t>Othres (Painting)</t>
  </si>
  <si>
    <t>Washing/Ironer Work</t>
  </si>
  <si>
    <t>Other (Canteen)</t>
  </si>
  <si>
    <t>Others (Amber Charkha Sec.)</t>
  </si>
  <si>
    <t>Soap (Chemical Section)</t>
  </si>
  <si>
    <t>Weaving (Hand)</t>
  </si>
  <si>
    <t>Others (Basic Computing)</t>
  </si>
  <si>
    <t>Vocational Training Electrical (Male)</t>
  </si>
  <si>
    <t>Training For Making Of Soft Toys</t>
  </si>
  <si>
    <t>Beauty Parlour Course</t>
  </si>
  <si>
    <t>Programme Of Magician Inderjaal</t>
  </si>
  <si>
    <t>Tent/Tirpolion</t>
  </si>
  <si>
    <t>Misc./Cleaner</t>
  </si>
  <si>
    <t>Other (Certification In Library Science)</t>
  </si>
  <si>
    <t>Tailoring (Cutting &amp; Dress Making)</t>
  </si>
  <si>
    <t>Others (Bakery And Confectionary)</t>
  </si>
  <si>
    <t>Publishing</t>
  </si>
  <si>
    <t>Tailoring (Cutting And Tailoring)</t>
  </si>
  <si>
    <t>Plumbing</t>
  </si>
  <si>
    <t>Other (Computerand Office Application)</t>
  </si>
  <si>
    <t>Data Entry Operator</t>
  </si>
  <si>
    <t>Housing Wiring</t>
  </si>
  <si>
    <t>Tailoring (Knitting Weaving Of Soft T)</t>
  </si>
  <si>
    <t>Others (Aloe-Vera Products Juice ; Gel)</t>
  </si>
  <si>
    <t>Electric Motor Winding Assembling</t>
  </si>
  <si>
    <t>Carpentary And Canning</t>
  </si>
  <si>
    <t>Plumbing Welding</t>
  </si>
  <si>
    <t>Weaving (Cloth Weaving &amp; Spining Yarn)</t>
  </si>
  <si>
    <t>Carpentary (Training Carpentary Section)</t>
  </si>
  <si>
    <t>Tailoring (Trainig In Tailoring Section)</t>
  </si>
  <si>
    <t>Weaving (Training In Weaving Section)</t>
  </si>
  <si>
    <t>Training In Dairy Farming</t>
  </si>
  <si>
    <t>Trained Inmates In Barbar Section</t>
  </si>
  <si>
    <t>Fan Winding</t>
  </si>
  <si>
    <t>Weaving (Clothes Sewing Training)</t>
  </si>
  <si>
    <t>Soap Making Trainng</t>
  </si>
  <si>
    <t>Gunny Bag Door Mat/Pooja Asni Making Trg</t>
  </si>
  <si>
    <t>Reshum Or Cocoon Katai Training</t>
  </si>
  <si>
    <t>Soap (Phenyl Making)</t>
  </si>
  <si>
    <t>Off-Set Printing Press And Hand Paper Mi</t>
  </si>
  <si>
    <t>Handloom (Jute Mat Power Loom)</t>
  </si>
  <si>
    <t>Weaving (Cotton Cloth (Powerloom)</t>
  </si>
  <si>
    <t>Embroidery (Female Prisoners)</t>
  </si>
  <si>
    <t>Weaving (Saree Weaving (Female Pris)</t>
  </si>
  <si>
    <t>Fly Leaf Making (Female Prisoners)</t>
  </si>
  <si>
    <t>Calendaring And Dry Wash Of Cloths</t>
  </si>
  <si>
    <t>Soap (Phenyl And Soap Making)</t>
  </si>
  <si>
    <t>Carpentary (Frame Making)</t>
  </si>
  <si>
    <t>Beautician And Jewellery Making</t>
  </si>
  <si>
    <t>Handloom (Jute Craft)</t>
  </si>
  <si>
    <t>Screen Printing/Offset Printing</t>
  </si>
  <si>
    <t>Carpentary (Wood Craft/Carpentry)</t>
  </si>
  <si>
    <t>Electrician Training</t>
  </si>
  <si>
    <t>Others (Basic Computer Course)</t>
  </si>
  <si>
    <t>Tv Fan Cfl Bulb Repairing</t>
  </si>
  <si>
    <t>Handloom (Weaving)</t>
  </si>
  <si>
    <t>Basic Electronics</t>
  </si>
  <si>
    <t>Ligal Camp</t>
  </si>
  <si>
    <t>Tailoring (And Cloth Cutting)</t>
  </si>
  <si>
    <t>Electric Repairing Work</t>
  </si>
  <si>
    <t>Radio And T V Repairing</t>
  </si>
  <si>
    <t>Silk Yarn Production Through Ambar Chark</t>
  </si>
  <si>
    <t>Agriculture (Malberry Plantatin)</t>
  </si>
  <si>
    <t>White Washing/Painting</t>
  </si>
  <si>
    <t>Tailoring (Section)</t>
  </si>
  <si>
    <t>Other (Carpet Section)</t>
  </si>
  <si>
    <t>Weaving Of Cloth</t>
  </si>
  <si>
    <t>Tailoring(Cutting &amp; Tailoring)</t>
  </si>
  <si>
    <t>Tv/Fan Repairing</t>
  </si>
  <si>
    <t>Transformer Making</t>
  </si>
  <si>
    <t>Tailoring ( Cutting And Tailoring)</t>
  </si>
  <si>
    <t>Power Loom</t>
  </si>
  <si>
    <t>Winder</t>
  </si>
  <si>
    <t>Gushi Making</t>
  </si>
  <si>
    <t>Other ( Candle Making)</t>
  </si>
  <si>
    <t>Typing/Computer</t>
  </si>
  <si>
    <t>Tailoring (Cutting/Tailoring)</t>
  </si>
  <si>
    <t>Weaving (Knitting)</t>
  </si>
  <si>
    <t>Electration Trade</t>
  </si>
  <si>
    <t>Tailoring (Cutting/Tailorng)</t>
  </si>
  <si>
    <t>Handloom (Weaving Powerloom ;Handloom)</t>
  </si>
  <si>
    <t>Other (Carpet Making)</t>
  </si>
  <si>
    <t>Soap And Phenyl Making</t>
  </si>
  <si>
    <t>Others (Black Smith Steel Furnitur)</t>
  </si>
  <si>
    <t>Others (Agarbatti Making)</t>
  </si>
  <si>
    <t>Tailoring (Garmet Industry)</t>
  </si>
  <si>
    <t>Stone Cutting</t>
  </si>
  <si>
    <t>Others (Aluminium Fabrication Course)</t>
  </si>
  <si>
    <t>Other (Cement Concrete)</t>
  </si>
  <si>
    <t>Others (Agarbatti Industries)</t>
  </si>
  <si>
    <t>Tiles And Block Industries</t>
  </si>
  <si>
    <t>Computer ; Hindi And English Typing</t>
  </si>
  <si>
    <t>Iron Dept</t>
  </si>
  <si>
    <t>Others( Bakery)</t>
  </si>
  <si>
    <t>Nursery</t>
  </si>
  <si>
    <t>Wireman</t>
  </si>
  <si>
    <t>Agriculture (Mashroom)</t>
  </si>
  <si>
    <t>Canning (Handicraft ; Cane ; Bamboo Work)</t>
  </si>
  <si>
    <t>Weaving (Durry Weaving Durry Making)</t>
  </si>
  <si>
    <t>Binding ; Type And Computer</t>
  </si>
  <si>
    <t>Misc</t>
  </si>
  <si>
    <t>Weaving (Cloth)</t>
  </si>
  <si>
    <t>Handloom (Dari)</t>
  </si>
  <si>
    <t>Carpentary (Furniture)</t>
  </si>
  <si>
    <t>Canning (Cane And Bamboo))</t>
  </si>
  <si>
    <t>Weaving (Knitting ; Needle Thread Work)</t>
  </si>
  <si>
    <t>Other (Computer Hardware Programme)</t>
  </si>
  <si>
    <t>Handloom (Iti In Handloom)</t>
  </si>
  <si>
    <t>Iti In Book Binding</t>
  </si>
  <si>
    <t>Carpentary (Training)</t>
  </si>
  <si>
    <t>Others (Basic Assistant)</t>
  </si>
  <si>
    <t>Diploma In Fashion And Garment Making</t>
  </si>
  <si>
    <t>Other (Hand Made Paper Making)</t>
  </si>
  <si>
    <t>Prison Ministry India Musical Training</t>
  </si>
  <si>
    <t>Four Wheeler Mechansim</t>
  </si>
  <si>
    <t>Led Lamp</t>
  </si>
  <si>
    <t>Iti Sdi Mes</t>
  </si>
  <si>
    <t>Others (Black Smith Basic Welding)</t>
  </si>
  <si>
    <t>Other (Diploma In Beautician)</t>
  </si>
  <si>
    <t>Diploma In Fashion And Designing Technol</t>
  </si>
  <si>
    <t>Sanitary Napkin</t>
  </si>
  <si>
    <t>Other (Hand Embroidery)</t>
  </si>
  <si>
    <t>Bed Side Assistance</t>
  </si>
  <si>
    <t>Gem Cutting Trich Cii</t>
  </si>
  <si>
    <t>Canning (Iob Resti Pickles And Serials)</t>
  </si>
  <si>
    <t>Greeting And Muffler Making</t>
  </si>
  <si>
    <t>Other (Diploma In Catering)</t>
  </si>
  <si>
    <t>Others (Assistant Cook)</t>
  </si>
  <si>
    <t>Hospitality Assistant</t>
  </si>
  <si>
    <t>Agriculture (Cultivation Cereal Crops)</t>
  </si>
  <si>
    <t>Garment Packing Training</t>
  </si>
  <si>
    <t>Other (Beside Assistnat)</t>
  </si>
  <si>
    <t>Basic Training Beautician And Hair Dr</t>
  </si>
  <si>
    <t>Canning (Cane And Bamboo)</t>
  </si>
  <si>
    <t>Powerloom Trianing</t>
  </si>
  <si>
    <t>Computer Litrecy</t>
  </si>
  <si>
    <t>Agriculture (Masala Industry)</t>
  </si>
  <si>
    <t>Performance Management System</t>
  </si>
  <si>
    <t>Weaving Industry</t>
  </si>
  <si>
    <t>Carpentary (Fabrication &amp; Carpentary)</t>
  </si>
  <si>
    <t>Soap (Sangam Soap &amp; Phenyl Industry)</t>
  </si>
  <si>
    <t>Soap (Detergent Industry)</t>
  </si>
  <si>
    <t>Weaving (Dari And Cloth Industr)</t>
  </si>
  <si>
    <t>Tailoring (Female Sewing)</t>
  </si>
  <si>
    <t>Fan Widing Industry</t>
  </si>
  <si>
    <t>Others (Bakery Industry)</t>
  </si>
  <si>
    <t>Making Agarbatti Trg By Canara Bank</t>
  </si>
  <si>
    <t>Weaving (Kneating)</t>
  </si>
  <si>
    <t>Job Work For Vip Luggage And Wipro</t>
  </si>
  <si>
    <t>Dtp Course</t>
  </si>
  <si>
    <t>Watch Repairing</t>
  </si>
  <si>
    <t>Others (Auto Mobiling)</t>
  </si>
  <si>
    <t>Other (Computer And Spoken English)</t>
  </si>
  <si>
    <t>Handloom (Jute Handicraft Khanta Stitch)</t>
  </si>
  <si>
    <t>Soap (Phenyl Section)</t>
  </si>
  <si>
    <t>Tin (Smith) Section</t>
  </si>
  <si>
    <t>Wheat Grinding Section</t>
  </si>
  <si>
    <t>Tailoring (Knitting Cutting Handicraft)</t>
  </si>
  <si>
    <t>Beautician Training Course</t>
  </si>
  <si>
    <t>Kitchen</t>
  </si>
  <si>
    <t>Vermicompost</t>
  </si>
  <si>
    <t>Others (Barber)</t>
  </si>
  <si>
    <t>Making Of Traditional Side Bag Of Cotton</t>
  </si>
  <si>
    <t>Incense Stick Making And Liquid Hand Was</t>
  </si>
  <si>
    <t>Others (Paper Packet)</t>
  </si>
  <si>
    <t>Handloom (Jute Bag)</t>
  </si>
  <si>
    <t>Agriculture (Farming)</t>
  </si>
  <si>
    <t>NA</t>
  </si>
  <si>
    <t>Envelope Making (Paper Unit)</t>
  </si>
  <si>
    <t>Weaving (Embroidary)</t>
  </si>
  <si>
    <t>Others (Atta And Masala Chakki)</t>
  </si>
  <si>
    <t>Othres ( Painting)</t>
  </si>
  <si>
    <t>Othres (Dhoop Batti Making)</t>
  </si>
  <si>
    <t>Others (Bag Making)</t>
  </si>
  <si>
    <t>Soap(Chemical/Oil Extraction)</t>
  </si>
  <si>
    <t>Canning (Pickle Project)</t>
  </si>
  <si>
    <t>Canning (Herbal Pack)</t>
  </si>
  <si>
    <t>Others (Barber Training)</t>
  </si>
  <si>
    <t>Handloom (Jute)</t>
  </si>
  <si>
    <t>Grass Carpet</t>
  </si>
  <si>
    <t>Manure Proeject</t>
  </si>
  <si>
    <t>Factory Trade</t>
  </si>
  <si>
    <t>Charkha Unit</t>
  </si>
  <si>
    <t>Statue Making</t>
  </si>
  <si>
    <t>vocational_trainings_program</t>
  </si>
  <si>
    <t>inmates_trained</t>
  </si>
  <si>
    <t>total_ps</t>
  </si>
  <si>
    <t>Key</t>
  </si>
  <si>
    <t>vocational_count</t>
  </si>
  <si>
    <t>total_police_strength</t>
  </si>
  <si>
    <t>convicts_admitted_raw</t>
  </si>
  <si>
    <t>total_convicted</t>
  </si>
  <si>
    <t>total_habitual_offenders</t>
  </si>
  <si>
    <t>total_vocational_relief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</si>
</sst>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F5CC4A-A045-43A1-B7DC-3715469FD1BE}" name="Table1" displayName="Table1" ref="A1:O446" totalsRowShown="0">
  <autoFilter ref="A1:O446" xr:uid="{3EF5CC4A-A045-43A1-B7DC-3715469FD1BE}"/>
  <tableColumns count="15">
    <tableColumn id="1" xr3:uid="{42E637D7-EFC6-463F-A6F0-E0206D470DD2}" name="STATE"/>
    <tableColumn id="2" xr3:uid="{53F952FC-73F4-45BA-A5ED-01044F373CC7}" name="YEAR"/>
    <tableColumn id="8" xr3:uid="{67764603-50E2-4901-90EB-D9C23A9B3524}" name="Key" dataDxfId="12">
      <calculatedColumnFormula>_xlfn.CONCAT(Table1[[#This Row],[STATE]],"-",Table1[[#This Row],[YEAR]])</calculatedColumnFormula>
    </tableColumn>
    <tableColumn id="3" xr3:uid="{3DF66B3F-B7F8-4A43-9E8E-4BE29A468C48}" name="elementary_education"/>
    <tableColumn id="4" xr3:uid="{4B53BF27-FBA1-4D7F-8B54-E93E11DC2BAA}" name="adult_education"/>
    <tableColumn id="5" xr3:uid="{436A7DF8-D1D9-4A1A-9DD3-798B460FA416}" name="higher_education"/>
    <tableColumn id="6" xr3:uid="{7B178B52-D91B-4B4F-9090-15CCF7043654}" name="computer_course"/>
    <tableColumn id="7" xr3:uid="{BA30B666-F826-4EE6-9B56-832CFC41B2E4}" name="total_ps" dataDxfId="11">
      <calculatedColumnFormula>_xlfn.XLOOKUP(Table1[[#This Row],[Key]],policseStrength!C:C,policseStrength!R:R)</calculatedColumnFormula>
    </tableColumn>
    <tableColumn id="12" xr3:uid="{B66F8411-7238-4722-9275-58BEE986BDF2}" name="total_police_strength" dataDxfId="0">
      <calculatedColumnFormula>IF(ISNA(Table1[[#This Row],[total_ps]]), _xlfn.AGGREGATE(1, 6, Table1[total_ps]), Table1[[#This Row],[total_ps]])</calculatedColumnFormula>
    </tableColumn>
    <tableColumn id="9" xr3:uid="{04E78806-5288-45E7-B284-0B58BF392AED}" name="convicts_admitted_raw" dataDxfId="10">
      <calculatedColumnFormula>_xlfn.XLOOKUP(Table1[[#This Row],[Key]],Recidivism!C:C,Recidivism!D:D)</calculatedColumnFormula>
    </tableColumn>
    <tableColumn id="13" xr3:uid="{B79B8A85-2037-42A5-93C5-649946AE6277}" name="total_convicted" dataDxfId="1">
      <calculatedColumnFormula>IF(ISNA(Table1[[#This Row],[convicts_admitted_raw]]), _xlfn.AGGREGATE(1, 6, Table1[convicts_admitted_raw]), Table1[[#This Row],[convicts_admitted_raw]])</calculatedColumnFormula>
    </tableColumn>
    <tableColumn id="10" xr3:uid="{093D724E-0A91-40CA-9B12-E48FEF0D4342}" name="habitual_offenders" dataDxfId="9">
      <calculatedColumnFormula>_xlfn.XLOOKUP(Table1[[#This Row],[Key]],Recidivism!C:C,Recidivism!E:E)</calculatedColumnFormula>
    </tableColumn>
    <tableColumn id="14" xr3:uid="{CDBF8A4B-D63F-4672-B51C-3DB61F7D1255}" name="total_habitual_offenders" dataDxfId="8">
      <calculatedColumnFormula>IF(ISNA(Table1[[#This Row],[habitual_offenders]]), _xlfn.AGGREGATE(1, 6, Table1[habitual_offenders]), Table1[[#This Row],[habitual_offenders]])</calculatedColumnFormula>
    </tableColumn>
    <tableColumn id="11" xr3:uid="{F2B2ED9E-A595-4FF4-A7DF-8B661CDCD90A}" name="vocational_count" dataDxfId="7">
      <calculatedColumnFormula>_xlfn.XLOOKUP(Table1[[#This Row],[Key]],Vocational!C:C,Vocational!E:E)</calculatedColumnFormula>
    </tableColumn>
    <tableColumn id="15" xr3:uid="{C79CBA78-DC59-42E0-8784-D518EA920484}" name="total_vocational_relief" dataDxfId="6">
      <calculatedColumnFormula>IF(ISNA(Table1[[#This Row],[vocational_count]]), _xlfn.AGGREGATE(1, 6,Table1[vocational_count]), Table1[[#This Row],[vocational_count]])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4116655-AB61-41A5-92E0-669F0BA63F00}" name="Table16" displayName="Table16" ref="A1:E4123" totalsRowShown="0">
  <autoFilter ref="A1:E4123" xr:uid="{F4116655-AB61-41A5-92E0-669F0BA63F00}"/>
  <tableColumns count="5">
    <tableColumn id="1" xr3:uid="{BF6F2F62-A0B4-4A33-BD1F-993A4CBBAE3C}" name="STATE"/>
    <tableColumn id="2" xr3:uid="{FC9F04B9-1AA5-4F04-ACE9-111FCC7A6B88}" name="YEAR"/>
    <tableColumn id="5" xr3:uid="{DA6CC64B-CC2E-45E5-8648-5764722E18A5}" name="Key" dataDxfId="5">
      <calculatedColumnFormula>_xlfn.CONCAT(Table16[[#This Row],[STATE]],"-",Table16[[#This Row],[YEAR]])</calculatedColumnFormula>
    </tableColumn>
    <tableColumn id="3" xr3:uid="{D39740AD-3CEF-47F4-9A1D-401D886CF84C}" name="vocational_trainings_program"/>
    <tableColumn id="4" xr3:uid="{55F0C342-9DF8-4438-AB38-7C41A7EE82DE}" name="inmates_traine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4FE4484-7B32-4147-BFF8-1F12A81EB19A}" name="Table2" displayName="Table2" ref="A1:E448" totalsRowShown="0">
  <autoFilter ref="A1:E448" xr:uid="{54FE4484-7B32-4147-BFF8-1F12A81EB19A}"/>
  <tableColumns count="5">
    <tableColumn id="1" xr3:uid="{1E064DC3-C4D2-4ADE-89C4-5C315B362863}" name="STATE"/>
    <tableColumn id="2" xr3:uid="{E7291B0A-5264-40A3-96C9-514C2D04DDFA}" name="YEAR"/>
    <tableColumn id="5" xr3:uid="{DF9B6CE4-E82F-43CD-96CA-3B1404E66B48}" name="Key" dataDxfId="4">
      <calculatedColumnFormula>_xlfn.CONCAT(Table2[[#This Row],[STATE]],"-",Table2[[#This Row],[YEAR]])</calculatedColumnFormula>
    </tableColumn>
    <tableColumn id="3" xr3:uid="{6A5D73F2-87E4-42A2-ADFE-8872EB719584}" name="convicts_admitted"/>
    <tableColumn id="4" xr3:uid="{B6BF2431-0004-44C4-B851-4F9468CF22FE}" name="habitual_offender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AD1A6AC-5136-454B-B344-5A8913A3D03A}" name="Table13" displayName="Table13" ref="A1:R2794" totalsRowCount="1">
  <autoFilter ref="A1:R2793" xr:uid="{AAD1A6AC-5136-454B-B344-5A8913A3D03A}"/>
  <tableColumns count="18">
    <tableColumn id="1" xr3:uid="{579C6E8C-F5B7-416C-ADD9-6B54326C7B68}" name="STATE"/>
    <tableColumn id="2" xr3:uid="{03991D3B-B708-4AA5-A2C6-F3DD3D461D32}" name="Year"/>
    <tableColumn id="18" xr3:uid="{C2304D6E-EE46-465E-B375-601B2821761E}" name="Key" dataDxfId="3">
      <calculatedColumnFormula>_xlfn.CONCAT(Table13[[#This Row],[STATE]],"-",Table13[[#This Row],[Year]])</calculatedColumnFormula>
    </tableColumn>
    <tableColumn id="3" xr3:uid="{037AA04C-0371-4995-8830-2E42770DFBE1}" name="Group_Name"/>
    <tableColumn id="4" xr3:uid="{2288B0AD-4FA7-4BCB-8AF7-4E80807A8A7F}" name="Sub_Group_Name"/>
    <tableColumn id="5" xr3:uid="{EBCF207A-9C0B-4927-B8F6-D477D162960B}" name="Rank_All_Ranks_Total"/>
    <tableColumn id="6" xr3:uid="{FB6B9075-B77F-41A9-802E-C1643B92C9A9}" name="Rank_ASI_Equivalent"/>
    <tableColumn id="7" xr3:uid="{07FC5AD2-50ED-4936-B3A1-45C7860CD6ED}" name="Rank_ASPDySPAssttCommandant"/>
    <tableColumn id="8" xr3:uid="{77DE5A61-BC3F-4B76-9774-379AD662212B}" name="Rank_Below_HC_and_Above_Constables"/>
    <tableColumn id="9" xr3:uid="{5A47DFB6-AF16-4035-81CD-2169AF05808A}" name="Rank_Constables"/>
    <tableColumn id="10" xr3:uid="{CEEF6F34-60E4-4D05-B1CE-46F6F0A629C2}" name="Rank_DGAddl_DG"/>
    <tableColumn id="11" xr3:uid="{51F981DB-60EE-4FE4-A3AF-EF72EDF09925}" name="Rank_DIG"/>
    <tableColumn id="12" xr3:uid="{2153E9DA-41BE-40FA-BE6E-2B8358593874}" name="Rank_Head_Constables"/>
    <tableColumn id="13" xr3:uid="{1EC21122-0591-476F-BCF5-5F9C22B8A386}" name="Rank_IGSplIG"/>
    <tableColumn id="14" xr3:uid="{ED01FD6B-0BE3-4808-AAAA-553D827EFE0A}" name="Rank_Inspectors_Equivalent"/>
    <tableColumn id="15" xr3:uid="{F0750092-BB9B-4878-91FD-D87FBCDAE9EE}" name="Rank_SI_Equivalent"/>
    <tableColumn id="16" xr3:uid="{0F2EF1AD-1F0F-4BE6-A7B8-AB14E3D6FD1E}" name="Rank_SSPSPAddlSPCommandant"/>
    <tableColumn id="17" xr3:uid="{2EDC02F8-840D-4754-9465-6A46D29C83FD}" name="total_police" dataDxfId="2">
      <calculatedColumnFormula>SUM(Table13[[#This Row],[Rank_All_Ranks_Total]:[Rank_SSPSPAddlSPCommandant]])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46"/>
  <sheetViews>
    <sheetView tabSelected="1" topLeftCell="C7" workbookViewId="0">
      <selection activeCell="M1" sqref="M1"/>
    </sheetView>
  </sheetViews>
  <sheetFormatPr defaultRowHeight="14.4" x14ac:dyDescent="0.3"/>
  <cols>
    <col min="1" max="1" width="20.88671875" customWidth="1"/>
    <col min="2" max="3" width="25.44140625" customWidth="1"/>
    <col min="4" max="4" width="22.21875" customWidth="1"/>
    <col min="5" max="5" width="25" customWidth="1"/>
    <col min="6" max="6" width="17.6640625" customWidth="1"/>
    <col min="7" max="7" width="17.33203125" customWidth="1"/>
    <col min="10" max="11" width="16.33203125" customWidth="1"/>
  </cols>
  <sheetData>
    <row r="1" spans="1:15" x14ac:dyDescent="0.3">
      <c r="A1" t="s">
        <v>0</v>
      </c>
      <c r="B1" t="s">
        <v>1</v>
      </c>
      <c r="C1" t="s">
        <v>1362</v>
      </c>
      <c r="D1" t="s">
        <v>2</v>
      </c>
      <c r="E1" t="s">
        <v>3</v>
      </c>
      <c r="F1" t="s">
        <v>4</v>
      </c>
      <c r="G1" t="s">
        <v>5</v>
      </c>
      <c r="H1" t="s">
        <v>1361</v>
      </c>
      <c r="I1" t="s">
        <v>1364</v>
      </c>
      <c r="J1" t="s">
        <v>1365</v>
      </c>
      <c r="K1" t="s">
        <v>1366</v>
      </c>
      <c r="L1" t="s">
        <v>82</v>
      </c>
      <c r="M1" t="s">
        <v>1367</v>
      </c>
      <c r="N1" t="s">
        <v>1363</v>
      </c>
      <c r="O1" t="s">
        <v>1368</v>
      </c>
    </row>
    <row r="2" spans="1:15" x14ac:dyDescent="0.3">
      <c r="A2" t="s">
        <v>6</v>
      </c>
      <c r="B2">
        <v>2001</v>
      </c>
      <c r="C2" t="str">
        <f>_xlfn.CONCAT(Table1[[#This Row],[STATE]],"-",Table1[[#This Row],[YEAR]])</f>
        <v>Andhra Pradesh-2001</v>
      </c>
      <c r="D2">
        <v>2699</v>
      </c>
      <c r="E2">
        <v>2161</v>
      </c>
      <c r="F2">
        <v>301</v>
      </c>
      <c r="G2">
        <v>52</v>
      </c>
      <c r="H2">
        <f>_xlfn.XLOOKUP(Table1[[#This Row],[Key]],policseStrength!C:C,policseStrength!R:R)</f>
        <v>25020</v>
      </c>
      <c r="I2">
        <f>IF(ISNA(Table1[[#This Row],[total_ps]]), _xlfn.AGGREGATE(1, 6, Table1[total_ps]), Table1[[#This Row],[total_ps]])</f>
        <v>25020</v>
      </c>
      <c r="J2">
        <f>_xlfn.XLOOKUP(Table1[[#This Row],[Key]],Recidivism!C:C,Recidivism!D:D)</f>
        <v>17345</v>
      </c>
      <c r="K2">
        <f>IF(ISNA(Table1[[#This Row],[convicts_admitted_raw]]), _xlfn.AGGREGATE(1, 6, Table1[convicts_admitted_raw]), Table1[[#This Row],[convicts_admitted_raw]])</f>
        <v>17345</v>
      </c>
      <c r="L2">
        <f>_xlfn.XLOOKUP(Table1[[#This Row],[Key]],Recidivism!C:C,Recidivism!E:E)</f>
        <v>1063</v>
      </c>
      <c r="M2">
        <f>IF(ISNA(Table1[[#This Row],[habitual_offenders]]), _xlfn.AGGREGATE(1, 6, Table1[habitual_offenders]), Table1[[#This Row],[habitual_offenders]])</f>
        <v>1063</v>
      </c>
      <c r="N2">
        <f>_xlfn.XLOOKUP(Table1[[#This Row],[Key]],Vocational!C:C,Vocational!E:E)</f>
        <v>270</v>
      </c>
      <c r="O2">
        <f>IF(ISNA(Table1[[#This Row],[vocational_count]]), _xlfn.AGGREGATE(1, 6,Table1[vocational_count]), Table1[[#This Row],[vocational_count]])</f>
        <v>270</v>
      </c>
    </row>
    <row r="3" spans="1:15" x14ac:dyDescent="0.3">
      <c r="A3" t="s">
        <v>6</v>
      </c>
      <c r="B3">
        <v>2002</v>
      </c>
      <c r="C3" t="str">
        <f>_xlfn.CONCAT(Table1[[#This Row],[STATE]],"-",Table1[[#This Row],[YEAR]])</f>
        <v>Andhra Pradesh-2002</v>
      </c>
      <c r="D3">
        <v>2420</v>
      </c>
      <c r="E3">
        <v>4745</v>
      </c>
      <c r="F3">
        <v>396</v>
      </c>
      <c r="G3">
        <v>34</v>
      </c>
      <c r="H3">
        <f>_xlfn.XLOOKUP(Table1[[#This Row],[Key]],policseStrength!C:C,policseStrength!R:R)</f>
        <v>57650</v>
      </c>
      <c r="I3">
        <f>IF(ISNA(Table1[[#This Row],[total_ps]]), _xlfn.AGGREGATE(1, 6, Table1[total_ps]), Table1[[#This Row],[total_ps]])</f>
        <v>57650</v>
      </c>
      <c r="J3">
        <f>_xlfn.XLOOKUP(Table1[[#This Row],[Key]],Recidivism!C:C,Recidivism!D:D)</f>
        <v>13322</v>
      </c>
      <c r="K3">
        <f>IF(ISNA(Table1[[#This Row],[convicts_admitted_raw]]), _xlfn.AGGREGATE(1, 6, Table1[convicts_admitted_raw]), Table1[[#This Row],[convicts_admitted_raw]])</f>
        <v>13322</v>
      </c>
      <c r="L3">
        <f>_xlfn.XLOOKUP(Table1[[#This Row],[Key]],Recidivism!C:C,Recidivism!E:E)</f>
        <v>318</v>
      </c>
      <c r="M3">
        <f>IF(ISNA(Table1[[#This Row],[habitual_offenders]]), _xlfn.AGGREGATE(1, 6, Table1[habitual_offenders]), Table1[[#This Row],[habitual_offenders]])</f>
        <v>318</v>
      </c>
      <c r="N3">
        <f>_xlfn.XLOOKUP(Table1[[#This Row],[Key]],Vocational!C:C,Vocational!E:E)</f>
        <v>530</v>
      </c>
      <c r="O3">
        <f>IF(ISNA(Table1[[#This Row],[vocational_count]]), _xlfn.AGGREGATE(1, 6,Table1[vocational_count]), Table1[[#This Row],[vocational_count]])</f>
        <v>530</v>
      </c>
    </row>
    <row r="4" spans="1:15" x14ac:dyDescent="0.3">
      <c r="A4" t="s">
        <v>6</v>
      </c>
      <c r="B4">
        <v>2003</v>
      </c>
      <c r="C4" t="str">
        <f>_xlfn.CONCAT(Table1[[#This Row],[STATE]],"-",Table1[[#This Row],[YEAR]])</f>
        <v>Andhra Pradesh-2003</v>
      </c>
      <c r="D4">
        <v>1606</v>
      </c>
      <c r="E4">
        <v>7594</v>
      </c>
      <c r="F4">
        <v>369</v>
      </c>
      <c r="G4">
        <v>39</v>
      </c>
      <c r="H4">
        <f>_xlfn.XLOOKUP(Table1[[#This Row],[Key]],policseStrength!C:C,policseStrength!R:R)</f>
        <v>25272</v>
      </c>
      <c r="I4">
        <f>IF(ISNA(Table1[[#This Row],[total_ps]]), _xlfn.AGGREGATE(1, 6, Table1[total_ps]), Table1[[#This Row],[total_ps]])</f>
        <v>25272</v>
      </c>
      <c r="J4">
        <f>_xlfn.XLOOKUP(Table1[[#This Row],[Key]],Recidivism!C:C,Recidivism!D:D)</f>
        <v>15682</v>
      </c>
      <c r="K4">
        <f>IF(ISNA(Table1[[#This Row],[convicts_admitted_raw]]), _xlfn.AGGREGATE(1, 6, Table1[convicts_admitted_raw]), Table1[[#This Row],[convicts_admitted_raw]])</f>
        <v>15682</v>
      </c>
      <c r="L4">
        <f>_xlfn.XLOOKUP(Table1[[#This Row],[Key]],Recidivism!C:C,Recidivism!E:E)</f>
        <v>536</v>
      </c>
      <c r="M4">
        <f>IF(ISNA(Table1[[#This Row],[habitual_offenders]]), _xlfn.AGGREGATE(1, 6, Table1[habitual_offenders]), Table1[[#This Row],[habitual_offenders]])</f>
        <v>536</v>
      </c>
      <c r="N4">
        <f>_xlfn.XLOOKUP(Table1[[#This Row],[Key]],Vocational!C:C,Vocational!E:E)</f>
        <v>56</v>
      </c>
      <c r="O4">
        <f>IF(ISNA(Table1[[#This Row],[vocational_count]]), _xlfn.AGGREGATE(1, 6,Table1[vocational_count]), Table1[[#This Row],[vocational_count]])</f>
        <v>56</v>
      </c>
    </row>
    <row r="5" spans="1:15" x14ac:dyDescent="0.3">
      <c r="A5" t="s">
        <v>6</v>
      </c>
      <c r="B5">
        <v>2004</v>
      </c>
      <c r="C5" t="str">
        <f>_xlfn.CONCAT(Table1[[#This Row],[STATE]],"-",Table1[[#This Row],[YEAR]])</f>
        <v>Andhra Pradesh-2004</v>
      </c>
      <c r="D5">
        <v>5950</v>
      </c>
      <c r="E5">
        <v>8213</v>
      </c>
      <c r="F5">
        <v>305</v>
      </c>
      <c r="G5">
        <v>30</v>
      </c>
      <c r="H5">
        <f>_xlfn.XLOOKUP(Table1[[#This Row],[Key]],policseStrength!C:C,policseStrength!R:R)</f>
        <v>24886</v>
      </c>
      <c r="I5">
        <f>IF(ISNA(Table1[[#This Row],[total_ps]]), _xlfn.AGGREGATE(1, 6, Table1[total_ps]), Table1[[#This Row],[total_ps]])</f>
        <v>24886</v>
      </c>
      <c r="J5">
        <f>_xlfn.XLOOKUP(Table1[[#This Row],[Key]],Recidivism!C:C,Recidivism!D:D)</f>
        <v>14397</v>
      </c>
      <c r="K5">
        <f>IF(ISNA(Table1[[#This Row],[convicts_admitted_raw]]), _xlfn.AGGREGATE(1, 6, Table1[convicts_admitted_raw]), Table1[[#This Row],[convicts_admitted_raw]])</f>
        <v>14397</v>
      </c>
      <c r="L5">
        <f>_xlfn.XLOOKUP(Table1[[#This Row],[Key]],Recidivism!C:C,Recidivism!E:E)</f>
        <v>399</v>
      </c>
      <c r="M5">
        <f>IF(ISNA(Table1[[#This Row],[habitual_offenders]]), _xlfn.AGGREGATE(1, 6, Table1[habitual_offenders]), Table1[[#This Row],[habitual_offenders]])</f>
        <v>399</v>
      </c>
      <c r="N5">
        <f>_xlfn.XLOOKUP(Table1[[#This Row],[Key]],Vocational!C:C,Vocational!E:E)</f>
        <v>405</v>
      </c>
      <c r="O5">
        <f>IF(ISNA(Table1[[#This Row],[vocational_count]]), _xlfn.AGGREGATE(1, 6,Table1[vocational_count]), Table1[[#This Row],[vocational_count]])</f>
        <v>405</v>
      </c>
    </row>
    <row r="6" spans="1:15" x14ac:dyDescent="0.3">
      <c r="A6" t="s">
        <v>6</v>
      </c>
      <c r="B6">
        <v>2005</v>
      </c>
      <c r="C6" t="str">
        <f>_xlfn.CONCAT(Table1[[#This Row],[STATE]],"-",Table1[[#This Row],[YEAR]])</f>
        <v>Andhra Pradesh-2005</v>
      </c>
      <c r="D6">
        <v>3720</v>
      </c>
      <c r="E6">
        <v>10962</v>
      </c>
      <c r="F6">
        <v>389</v>
      </c>
      <c r="G6">
        <v>1</v>
      </c>
      <c r="H6">
        <f>_xlfn.XLOOKUP(Table1[[#This Row],[Key]],policseStrength!C:C,policseStrength!R:R)</f>
        <v>25748</v>
      </c>
      <c r="I6">
        <f>IF(ISNA(Table1[[#This Row],[total_ps]]), _xlfn.AGGREGATE(1, 6, Table1[total_ps]), Table1[[#This Row],[total_ps]])</f>
        <v>25748</v>
      </c>
      <c r="J6">
        <f>_xlfn.XLOOKUP(Table1[[#This Row],[Key]],Recidivism!C:C,Recidivism!D:D)</f>
        <v>12389</v>
      </c>
      <c r="K6">
        <f>IF(ISNA(Table1[[#This Row],[convicts_admitted_raw]]), _xlfn.AGGREGATE(1, 6, Table1[convicts_admitted_raw]), Table1[[#This Row],[convicts_admitted_raw]])</f>
        <v>12389</v>
      </c>
      <c r="L6">
        <f>_xlfn.XLOOKUP(Table1[[#This Row],[Key]],Recidivism!C:C,Recidivism!E:E)</f>
        <v>977</v>
      </c>
      <c r="M6">
        <f>IF(ISNA(Table1[[#This Row],[habitual_offenders]]), _xlfn.AGGREGATE(1, 6, Table1[habitual_offenders]), Table1[[#This Row],[habitual_offenders]])</f>
        <v>977</v>
      </c>
      <c r="N6">
        <f>_xlfn.XLOOKUP(Table1[[#This Row],[Key]],Vocational!C:C,Vocational!E:E)</f>
        <v>808</v>
      </c>
      <c r="O6">
        <f>IF(ISNA(Table1[[#This Row],[vocational_count]]), _xlfn.AGGREGATE(1, 6,Table1[vocational_count]), Table1[[#This Row],[vocational_count]])</f>
        <v>808</v>
      </c>
    </row>
    <row r="7" spans="1:15" x14ac:dyDescent="0.3">
      <c r="A7" t="s">
        <v>6</v>
      </c>
      <c r="B7">
        <v>2006</v>
      </c>
      <c r="C7" t="str">
        <f>_xlfn.CONCAT(Table1[[#This Row],[STATE]],"-",Table1[[#This Row],[YEAR]])</f>
        <v>Andhra Pradesh-2006</v>
      </c>
      <c r="D7">
        <v>3622</v>
      </c>
      <c r="E7">
        <v>22114</v>
      </c>
      <c r="F7">
        <v>441</v>
      </c>
      <c r="G7">
        <v>6</v>
      </c>
      <c r="H7">
        <f>_xlfn.XLOOKUP(Table1[[#This Row],[Key]],policseStrength!C:C,policseStrength!R:R)</f>
        <v>25306</v>
      </c>
      <c r="I7">
        <f>IF(ISNA(Table1[[#This Row],[total_ps]]), _xlfn.AGGREGATE(1, 6, Table1[total_ps]), Table1[[#This Row],[total_ps]])</f>
        <v>25306</v>
      </c>
      <c r="J7">
        <f>_xlfn.XLOOKUP(Table1[[#This Row],[Key]],Recidivism!C:C,Recidivism!D:D)</f>
        <v>13869</v>
      </c>
      <c r="K7">
        <f>IF(ISNA(Table1[[#This Row],[convicts_admitted_raw]]), _xlfn.AGGREGATE(1, 6, Table1[convicts_admitted_raw]), Table1[[#This Row],[convicts_admitted_raw]])</f>
        <v>13869</v>
      </c>
      <c r="L7">
        <f>_xlfn.XLOOKUP(Table1[[#This Row],[Key]],Recidivism!C:C,Recidivism!E:E)</f>
        <v>3625</v>
      </c>
      <c r="M7">
        <f>IF(ISNA(Table1[[#This Row],[habitual_offenders]]), _xlfn.AGGREGATE(1, 6, Table1[habitual_offenders]), Table1[[#This Row],[habitual_offenders]])</f>
        <v>3625</v>
      </c>
      <c r="N7">
        <f>_xlfn.XLOOKUP(Table1[[#This Row],[Key]],Vocational!C:C,Vocational!E:E)</f>
        <v>17</v>
      </c>
      <c r="O7">
        <f>IF(ISNA(Table1[[#This Row],[vocational_count]]), _xlfn.AGGREGATE(1, 6,Table1[vocational_count]), Table1[[#This Row],[vocational_count]])</f>
        <v>17</v>
      </c>
    </row>
    <row r="8" spans="1:15" x14ac:dyDescent="0.3">
      <c r="A8" t="s">
        <v>6</v>
      </c>
      <c r="B8">
        <v>2007</v>
      </c>
      <c r="C8" t="str">
        <f>_xlfn.CONCAT(Table1[[#This Row],[STATE]],"-",Table1[[#This Row],[YEAR]])</f>
        <v>Andhra Pradesh-2007</v>
      </c>
      <c r="D8">
        <v>5570</v>
      </c>
      <c r="E8">
        <v>25587</v>
      </c>
      <c r="F8">
        <v>494</v>
      </c>
      <c r="G8">
        <v>16</v>
      </c>
      <c r="H8">
        <f>_xlfn.XLOOKUP(Table1[[#This Row],[Key]],policseStrength!C:C,policseStrength!R:R)</f>
        <v>25584</v>
      </c>
      <c r="I8">
        <f>IF(ISNA(Table1[[#This Row],[total_ps]]), _xlfn.AGGREGATE(1, 6, Table1[total_ps]), Table1[[#This Row],[total_ps]])</f>
        <v>25584</v>
      </c>
      <c r="J8">
        <f>_xlfn.XLOOKUP(Table1[[#This Row],[Key]],Recidivism!C:C,Recidivism!D:D)</f>
        <v>15550</v>
      </c>
      <c r="K8">
        <f>IF(ISNA(Table1[[#This Row],[convicts_admitted_raw]]), _xlfn.AGGREGATE(1, 6, Table1[convicts_admitted_raw]), Table1[[#This Row],[convicts_admitted_raw]])</f>
        <v>15550</v>
      </c>
      <c r="L8">
        <f>_xlfn.XLOOKUP(Table1[[#This Row],[Key]],Recidivism!C:C,Recidivism!E:E)</f>
        <v>1267</v>
      </c>
      <c r="M8">
        <f>IF(ISNA(Table1[[#This Row],[habitual_offenders]]), _xlfn.AGGREGATE(1, 6, Table1[habitual_offenders]), Table1[[#This Row],[habitual_offenders]])</f>
        <v>1267</v>
      </c>
      <c r="N8">
        <f>_xlfn.XLOOKUP(Table1[[#This Row],[Key]],Vocational!C:C,Vocational!E:E)</f>
        <v>20</v>
      </c>
      <c r="O8">
        <f>IF(ISNA(Table1[[#This Row],[vocational_count]]), _xlfn.AGGREGATE(1, 6,Table1[vocational_count]), Table1[[#This Row],[vocational_count]])</f>
        <v>20</v>
      </c>
    </row>
    <row r="9" spans="1:15" x14ac:dyDescent="0.3">
      <c r="A9" t="s">
        <v>6</v>
      </c>
      <c r="B9">
        <v>2008</v>
      </c>
      <c r="C9" t="str">
        <f>_xlfn.CONCAT(Table1[[#This Row],[STATE]],"-",Table1[[#This Row],[YEAR]])</f>
        <v>Andhra Pradesh-2008</v>
      </c>
      <c r="D9">
        <v>2453</v>
      </c>
      <c r="E9">
        <v>18493</v>
      </c>
      <c r="F9">
        <v>875</v>
      </c>
      <c r="G9">
        <v>156</v>
      </c>
      <c r="H9">
        <f>_xlfn.XLOOKUP(Table1[[#This Row],[Key]],policseStrength!C:C,policseStrength!R:R)</f>
        <v>29602</v>
      </c>
      <c r="I9">
        <f>IF(ISNA(Table1[[#This Row],[total_ps]]), _xlfn.AGGREGATE(1, 6, Table1[total_ps]), Table1[[#This Row],[total_ps]])</f>
        <v>29602</v>
      </c>
      <c r="J9">
        <f>_xlfn.XLOOKUP(Table1[[#This Row],[Key]],Recidivism!C:C,Recidivism!D:D)</f>
        <v>13999</v>
      </c>
      <c r="K9">
        <f>IF(ISNA(Table1[[#This Row],[convicts_admitted_raw]]), _xlfn.AGGREGATE(1, 6, Table1[convicts_admitted_raw]), Table1[[#This Row],[convicts_admitted_raw]])</f>
        <v>13999</v>
      </c>
      <c r="L9">
        <f>_xlfn.XLOOKUP(Table1[[#This Row],[Key]],Recidivism!C:C,Recidivism!E:E)</f>
        <v>1231</v>
      </c>
      <c r="M9">
        <f>IF(ISNA(Table1[[#This Row],[habitual_offenders]]), _xlfn.AGGREGATE(1, 6, Table1[habitual_offenders]), Table1[[#This Row],[habitual_offenders]])</f>
        <v>1231</v>
      </c>
      <c r="N9">
        <f>_xlfn.XLOOKUP(Table1[[#This Row],[Key]],Vocational!C:C,Vocational!E:E)</f>
        <v>10</v>
      </c>
      <c r="O9">
        <f>IF(ISNA(Table1[[#This Row],[vocational_count]]), _xlfn.AGGREGATE(1, 6,Table1[vocational_count]), Table1[[#This Row],[vocational_count]])</f>
        <v>10</v>
      </c>
    </row>
    <row r="10" spans="1:15" x14ac:dyDescent="0.3">
      <c r="A10" t="s">
        <v>6</v>
      </c>
      <c r="B10">
        <v>2009</v>
      </c>
      <c r="C10" t="str">
        <f>_xlfn.CONCAT(Table1[[#This Row],[STATE]],"-",Table1[[#This Row],[YEAR]])</f>
        <v>Andhra Pradesh-2009</v>
      </c>
      <c r="D10">
        <v>2162</v>
      </c>
      <c r="E10">
        <v>19585</v>
      </c>
      <c r="F10">
        <v>533</v>
      </c>
      <c r="G10">
        <v>307</v>
      </c>
      <c r="H10">
        <f>_xlfn.XLOOKUP(Table1[[#This Row],[Key]],policseStrength!C:C,policseStrength!R:R)</f>
        <v>27710</v>
      </c>
      <c r="I10">
        <f>IF(ISNA(Table1[[#This Row],[total_ps]]), _xlfn.AGGREGATE(1, 6, Table1[total_ps]), Table1[[#This Row],[total_ps]])</f>
        <v>27710</v>
      </c>
      <c r="J10">
        <f>_xlfn.XLOOKUP(Table1[[#This Row],[Key]],Recidivism!C:C,Recidivism!D:D)</f>
        <v>12644</v>
      </c>
      <c r="K10">
        <f>IF(ISNA(Table1[[#This Row],[convicts_admitted_raw]]), _xlfn.AGGREGATE(1, 6, Table1[convicts_admitted_raw]), Table1[[#This Row],[convicts_admitted_raw]])</f>
        <v>12644</v>
      </c>
      <c r="L10">
        <f>_xlfn.XLOOKUP(Table1[[#This Row],[Key]],Recidivism!C:C,Recidivism!E:E)</f>
        <v>898</v>
      </c>
      <c r="M10">
        <f>IF(ISNA(Table1[[#This Row],[habitual_offenders]]), _xlfn.AGGREGATE(1, 6, Table1[habitual_offenders]), Table1[[#This Row],[habitual_offenders]])</f>
        <v>898</v>
      </c>
      <c r="N10">
        <f>_xlfn.XLOOKUP(Table1[[#This Row],[Key]],Vocational!C:C,Vocational!E:E)</f>
        <v>86</v>
      </c>
      <c r="O10">
        <f>IF(ISNA(Table1[[#This Row],[vocational_count]]), _xlfn.AGGREGATE(1, 6,Table1[vocational_count]), Table1[[#This Row],[vocational_count]])</f>
        <v>86</v>
      </c>
    </row>
    <row r="11" spans="1:15" x14ac:dyDescent="0.3">
      <c r="A11" t="s">
        <v>6</v>
      </c>
      <c r="B11">
        <v>2010</v>
      </c>
      <c r="C11" t="str">
        <f>_xlfn.CONCAT(Table1[[#This Row],[STATE]],"-",Table1[[#This Row],[YEAR]])</f>
        <v>Andhra Pradesh-2010</v>
      </c>
      <c r="D11">
        <v>3457</v>
      </c>
      <c r="E11">
        <v>11828</v>
      </c>
      <c r="F11">
        <v>530</v>
      </c>
      <c r="G11">
        <v>175</v>
      </c>
      <c r="H11">
        <f>_xlfn.XLOOKUP(Table1[[#This Row],[Key]],policseStrength!C:C,policseStrength!R:R)</f>
        <v>29068</v>
      </c>
      <c r="I11">
        <f>IF(ISNA(Table1[[#This Row],[total_ps]]), _xlfn.AGGREGATE(1, 6, Table1[total_ps]), Table1[[#This Row],[total_ps]])</f>
        <v>29068</v>
      </c>
      <c r="J11">
        <f>_xlfn.XLOOKUP(Table1[[#This Row],[Key]],Recidivism!C:C,Recidivism!D:D)</f>
        <v>13122</v>
      </c>
      <c r="K11">
        <f>IF(ISNA(Table1[[#This Row],[convicts_admitted_raw]]), _xlfn.AGGREGATE(1, 6, Table1[convicts_admitted_raw]), Table1[[#This Row],[convicts_admitted_raw]])</f>
        <v>13122</v>
      </c>
      <c r="L11">
        <f>_xlfn.XLOOKUP(Table1[[#This Row],[Key]],Recidivism!C:C,Recidivism!E:E)</f>
        <v>1094</v>
      </c>
      <c r="M11">
        <f>IF(ISNA(Table1[[#This Row],[habitual_offenders]]), _xlfn.AGGREGATE(1, 6, Table1[habitual_offenders]), Table1[[#This Row],[habitual_offenders]])</f>
        <v>1094</v>
      </c>
      <c r="N11">
        <f>_xlfn.XLOOKUP(Table1[[#This Row],[Key]],Vocational!C:C,Vocational!E:E)</f>
        <v>102</v>
      </c>
      <c r="O11">
        <f>IF(ISNA(Table1[[#This Row],[vocational_count]]), _xlfn.AGGREGATE(1, 6,Table1[vocational_count]), Table1[[#This Row],[vocational_count]])</f>
        <v>102</v>
      </c>
    </row>
    <row r="12" spans="1:15" x14ac:dyDescent="0.3">
      <c r="A12" t="s">
        <v>6</v>
      </c>
      <c r="B12">
        <v>2011</v>
      </c>
      <c r="C12" t="str">
        <f>_xlfn.CONCAT(Table1[[#This Row],[STATE]],"-",Table1[[#This Row],[YEAR]])</f>
        <v>Andhra Pradesh-2011</v>
      </c>
      <c r="D12">
        <v>10108</v>
      </c>
      <c r="E12">
        <v>19033</v>
      </c>
      <c r="F12">
        <v>593</v>
      </c>
      <c r="G12">
        <v>432</v>
      </c>
      <c r="H12" t="e">
        <f>_xlfn.XLOOKUP(Table1[[#This Row],[Key]],policseStrength!C:C,policseStrength!R:R)</f>
        <v>#N/A</v>
      </c>
      <c r="I12">
        <f>IF(ISNA(Table1[[#This Row],[total_ps]]), _xlfn.AGGREGATE(1, 6, Table1[total_ps]), Table1[[#This Row],[total_ps]])</f>
        <v>20128.370106761566</v>
      </c>
      <c r="J12">
        <f>_xlfn.XLOOKUP(Table1[[#This Row],[Key]],Recidivism!C:C,Recidivism!D:D)</f>
        <v>14577</v>
      </c>
      <c r="K12">
        <f>IF(ISNA(Table1[[#This Row],[convicts_admitted_raw]]), _xlfn.AGGREGATE(1, 6, Table1[convicts_admitted_raw]), Table1[[#This Row],[convicts_admitted_raw]])</f>
        <v>14577</v>
      </c>
      <c r="L12">
        <f>_xlfn.XLOOKUP(Table1[[#This Row],[Key]],Recidivism!C:C,Recidivism!E:E)</f>
        <v>1501</v>
      </c>
      <c r="M12">
        <f>IF(ISNA(Table1[[#This Row],[habitual_offenders]]), _xlfn.AGGREGATE(1, 6, Table1[habitual_offenders]), Table1[[#This Row],[habitual_offenders]])</f>
        <v>1501</v>
      </c>
      <c r="N12">
        <f>_xlfn.XLOOKUP(Table1[[#This Row],[Key]],Vocational!C:C,Vocational!E:E)</f>
        <v>537</v>
      </c>
      <c r="O12">
        <f>IF(ISNA(Table1[[#This Row],[vocational_count]]), _xlfn.AGGREGATE(1, 6,Table1[vocational_count]), Table1[[#This Row],[vocational_count]])</f>
        <v>537</v>
      </c>
    </row>
    <row r="13" spans="1:15" x14ac:dyDescent="0.3">
      <c r="A13" t="s">
        <v>6</v>
      </c>
      <c r="B13">
        <v>2012</v>
      </c>
      <c r="C13" t="str">
        <f>_xlfn.CONCAT(Table1[[#This Row],[STATE]],"-",Table1[[#This Row],[YEAR]])</f>
        <v>Andhra Pradesh-2012</v>
      </c>
      <c r="D13">
        <v>12189</v>
      </c>
      <c r="E13">
        <v>19539</v>
      </c>
      <c r="F13">
        <v>514</v>
      </c>
      <c r="G13">
        <v>154</v>
      </c>
      <c r="H13" t="e">
        <f>_xlfn.XLOOKUP(Table1[[#This Row],[Key]],policseStrength!C:C,policseStrength!R:R)</f>
        <v>#N/A</v>
      </c>
      <c r="I13">
        <f>IF(ISNA(Table1[[#This Row],[total_ps]]), _xlfn.AGGREGATE(1, 6, Table1[total_ps]), Table1[[#This Row],[total_ps]])</f>
        <v>20128.370106761566</v>
      </c>
      <c r="J13">
        <f>_xlfn.XLOOKUP(Table1[[#This Row],[Key]],Recidivism!C:C,Recidivism!D:D)</f>
        <v>9700</v>
      </c>
      <c r="K13">
        <f>IF(ISNA(Table1[[#This Row],[convicts_admitted_raw]]), _xlfn.AGGREGATE(1, 6, Table1[convicts_admitted_raw]), Table1[[#This Row],[convicts_admitted_raw]])</f>
        <v>9700</v>
      </c>
      <c r="L13">
        <f>_xlfn.XLOOKUP(Table1[[#This Row],[Key]],Recidivism!C:C,Recidivism!E:E)</f>
        <v>1328</v>
      </c>
      <c r="M13">
        <f>IF(ISNA(Table1[[#This Row],[habitual_offenders]]), _xlfn.AGGREGATE(1, 6, Table1[habitual_offenders]), Table1[[#This Row],[habitual_offenders]])</f>
        <v>1328</v>
      </c>
      <c r="N13">
        <f>_xlfn.XLOOKUP(Table1[[#This Row],[Key]],Vocational!C:C,Vocational!E:E)</f>
        <v>219</v>
      </c>
      <c r="O13">
        <f>IF(ISNA(Table1[[#This Row],[vocational_count]]), _xlfn.AGGREGATE(1, 6,Table1[vocational_count]), Table1[[#This Row],[vocational_count]])</f>
        <v>219</v>
      </c>
    </row>
    <row r="14" spans="1:15" x14ac:dyDescent="0.3">
      <c r="A14" t="s">
        <v>7</v>
      </c>
      <c r="B14">
        <v>2009</v>
      </c>
      <c r="C14" t="str">
        <f>_xlfn.CONCAT(Table1[[#This Row],[STATE]],"-",Table1[[#This Row],[YEAR]])</f>
        <v>Arunachal Pradesh-2009</v>
      </c>
      <c r="D14">
        <v>0</v>
      </c>
      <c r="E14">
        <v>0</v>
      </c>
      <c r="F14">
        <v>0</v>
      </c>
      <c r="G14">
        <v>0</v>
      </c>
      <c r="H14">
        <f>_xlfn.XLOOKUP(Table1[[#This Row],[Key]],policseStrength!C:C,policseStrength!R:R)</f>
        <v>7666</v>
      </c>
      <c r="I14">
        <f>IF(ISNA(Table1[[#This Row],[total_ps]]), _xlfn.AGGREGATE(1, 6, Table1[total_ps]), Table1[[#This Row],[total_ps]])</f>
        <v>7666</v>
      </c>
      <c r="J14">
        <f>_xlfn.XLOOKUP(Table1[[#This Row],[Key]],Recidivism!C:C,Recidivism!D:D)</f>
        <v>2</v>
      </c>
      <c r="K14">
        <f>IF(ISNA(Table1[[#This Row],[convicts_admitted_raw]]), _xlfn.AGGREGATE(1, 6, Table1[convicts_admitted_raw]), Table1[[#This Row],[convicts_admitted_raw]])</f>
        <v>2</v>
      </c>
      <c r="L14">
        <f>_xlfn.XLOOKUP(Table1[[#This Row],[Key]],Recidivism!C:C,Recidivism!E:E)</f>
        <v>0</v>
      </c>
      <c r="M14">
        <f>IF(ISNA(Table1[[#This Row],[habitual_offenders]]), _xlfn.AGGREGATE(1, 6, Table1[habitual_offenders]), Table1[[#This Row],[habitual_offenders]])</f>
        <v>0</v>
      </c>
      <c r="N14">
        <f>_xlfn.XLOOKUP(Table1[[#This Row],[Key]],Vocational!C:C,Vocational!E:E)</f>
        <v>0</v>
      </c>
      <c r="O14">
        <f>IF(ISNA(Table1[[#This Row],[vocational_count]]), _xlfn.AGGREGATE(1, 6,Table1[vocational_count]), Table1[[#This Row],[vocational_count]])</f>
        <v>0</v>
      </c>
    </row>
    <row r="15" spans="1:15" x14ac:dyDescent="0.3">
      <c r="A15" t="s">
        <v>7</v>
      </c>
      <c r="B15">
        <v>2010</v>
      </c>
      <c r="C15" t="str">
        <f>_xlfn.CONCAT(Table1[[#This Row],[STATE]],"-",Table1[[#This Row],[YEAR]])</f>
        <v>Arunachal Pradesh-2010</v>
      </c>
      <c r="D15">
        <v>0</v>
      </c>
      <c r="E15">
        <v>0</v>
      </c>
      <c r="F15">
        <v>0</v>
      </c>
      <c r="G15">
        <v>0</v>
      </c>
      <c r="H15">
        <f>_xlfn.XLOOKUP(Table1[[#This Row],[Key]],policseStrength!C:C,policseStrength!R:R)</f>
        <v>7878</v>
      </c>
      <c r="I15">
        <f>IF(ISNA(Table1[[#This Row],[total_ps]]), _xlfn.AGGREGATE(1, 6, Table1[total_ps]), Table1[[#This Row],[total_ps]])</f>
        <v>7878</v>
      </c>
      <c r="J15">
        <f>_xlfn.XLOOKUP(Table1[[#This Row],[Key]],Recidivism!C:C,Recidivism!D:D)</f>
        <v>9</v>
      </c>
      <c r="K15">
        <f>IF(ISNA(Table1[[#This Row],[convicts_admitted_raw]]), _xlfn.AGGREGATE(1, 6, Table1[convicts_admitted_raw]), Table1[[#This Row],[convicts_admitted_raw]])</f>
        <v>9</v>
      </c>
      <c r="L15">
        <f>_xlfn.XLOOKUP(Table1[[#This Row],[Key]],Recidivism!C:C,Recidivism!E:E)</f>
        <v>0</v>
      </c>
      <c r="M15">
        <f>IF(ISNA(Table1[[#This Row],[habitual_offenders]]), _xlfn.AGGREGATE(1, 6, Table1[habitual_offenders]), Table1[[#This Row],[habitual_offenders]])</f>
        <v>0</v>
      </c>
      <c r="N15">
        <f>_xlfn.XLOOKUP(Table1[[#This Row],[Key]],Vocational!C:C,Vocational!E:E)</f>
        <v>0</v>
      </c>
      <c r="O15">
        <f>IF(ISNA(Table1[[#This Row],[vocational_count]]), _xlfn.AGGREGATE(1, 6,Table1[vocational_count]), Table1[[#This Row],[vocational_count]])</f>
        <v>0</v>
      </c>
    </row>
    <row r="16" spans="1:15" x14ac:dyDescent="0.3">
      <c r="A16" t="s">
        <v>7</v>
      </c>
      <c r="B16">
        <v>2011</v>
      </c>
      <c r="C16" t="str">
        <f>_xlfn.CONCAT(Table1[[#This Row],[STATE]],"-",Table1[[#This Row],[YEAR]])</f>
        <v>Arunachal Pradesh-2011</v>
      </c>
      <c r="D16">
        <v>0</v>
      </c>
      <c r="E16">
        <v>0</v>
      </c>
      <c r="F16">
        <v>0</v>
      </c>
      <c r="G16">
        <v>0</v>
      </c>
      <c r="H16" t="e">
        <f>_xlfn.XLOOKUP(Table1[[#This Row],[Key]],policseStrength!C:C,policseStrength!R:R)</f>
        <v>#N/A</v>
      </c>
      <c r="I16">
        <f>IF(ISNA(Table1[[#This Row],[total_ps]]), _xlfn.AGGREGATE(1, 6, Table1[total_ps]), Table1[[#This Row],[total_ps]])</f>
        <v>20128.370106761566</v>
      </c>
      <c r="J16">
        <f>_xlfn.XLOOKUP(Table1[[#This Row],[Key]],Recidivism!C:C,Recidivism!D:D)</f>
        <v>9</v>
      </c>
      <c r="K16">
        <f>IF(ISNA(Table1[[#This Row],[convicts_admitted_raw]]), _xlfn.AGGREGATE(1, 6, Table1[convicts_admitted_raw]), Table1[[#This Row],[convicts_admitted_raw]])</f>
        <v>9</v>
      </c>
      <c r="L16">
        <f>_xlfn.XLOOKUP(Table1[[#This Row],[Key]],Recidivism!C:C,Recidivism!E:E)</f>
        <v>0</v>
      </c>
      <c r="M16">
        <f>IF(ISNA(Table1[[#This Row],[habitual_offenders]]), _xlfn.AGGREGATE(1, 6, Table1[habitual_offenders]), Table1[[#This Row],[habitual_offenders]])</f>
        <v>0</v>
      </c>
      <c r="N16" t="e">
        <f>_xlfn.XLOOKUP(Table1[[#This Row],[Key]],Vocational!C:C,Vocational!E:E)</f>
        <v>#N/A</v>
      </c>
      <c r="O16">
        <f>IF(ISNA(Table1[[#This Row],[vocational_count]]), _xlfn.AGGREGATE(1, 6,Table1[vocational_count]), Table1[[#This Row],[vocational_count]])</f>
        <v>249.28426395939087</v>
      </c>
    </row>
    <row r="17" spans="1:15" x14ac:dyDescent="0.3">
      <c r="A17" t="s">
        <v>7</v>
      </c>
      <c r="B17">
        <v>2012</v>
      </c>
      <c r="C17" t="str">
        <f>_xlfn.CONCAT(Table1[[#This Row],[STATE]],"-",Table1[[#This Row],[YEAR]])</f>
        <v>Arunachal Pradesh-2012</v>
      </c>
      <c r="D17">
        <v>0</v>
      </c>
      <c r="E17">
        <v>0</v>
      </c>
      <c r="F17">
        <v>0</v>
      </c>
      <c r="G17">
        <v>0</v>
      </c>
      <c r="H17" t="e">
        <f>_xlfn.XLOOKUP(Table1[[#This Row],[Key]],policseStrength!C:C,policseStrength!R:R)</f>
        <v>#N/A</v>
      </c>
      <c r="I17">
        <f>IF(ISNA(Table1[[#This Row],[total_ps]]), _xlfn.AGGREGATE(1, 6, Table1[total_ps]), Table1[[#This Row],[total_ps]])</f>
        <v>20128.370106761566</v>
      </c>
      <c r="J17">
        <f>_xlfn.XLOOKUP(Table1[[#This Row],[Key]],Recidivism!C:C,Recidivism!D:D)</f>
        <v>9</v>
      </c>
      <c r="K17">
        <f>IF(ISNA(Table1[[#This Row],[convicts_admitted_raw]]), _xlfn.AGGREGATE(1, 6, Table1[convicts_admitted_raw]), Table1[[#This Row],[convicts_admitted_raw]])</f>
        <v>9</v>
      </c>
      <c r="L17">
        <f>_xlfn.XLOOKUP(Table1[[#This Row],[Key]],Recidivism!C:C,Recidivism!E:E)</f>
        <v>0</v>
      </c>
      <c r="M17">
        <f>IF(ISNA(Table1[[#This Row],[habitual_offenders]]), _xlfn.AGGREGATE(1, 6, Table1[habitual_offenders]), Table1[[#This Row],[habitual_offenders]])</f>
        <v>0</v>
      </c>
      <c r="N17">
        <f>_xlfn.XLOOKUP(Table1[[#This Row],[Key]],Vocational!C:C,Vocational!E:E)</f>
        <v>3</v>
      </c>
      <c r="O17">
        <f>IF(ISNA(Table1[[#This Row],[vocational_count]]), _xlfn.AGGREGATE(1, 6,Table1[vocational_count]), Table1[[#This Row],[vocational_count]])</f>
        <v>3</v>
      </c>
    </row>
    <row r="18" spans="1:15" x14ac:dyDescent="0.3">
      <c r="A18" t="s">
        <v>8</v>
      </c>
      <c r="B18">
        <v>2001</v>
      </c>
      <c r="C18" t="str">
        <f>_xlfn.CONCAT(Table1[[#This Row],[STATE]],"-",Table1[[#This Row],[YEAR]])</f>
        <v>Assam-2001</v>
      </c>
      <c r="D18">
        <v>413</v>
      </c>
      <c r="E18">
        <v>683</v>
      </c>
      <c r="F18">
        <v>6</v>
      </c>
      <c r="G18">
        <v>0</v>
      </c>
      <c r="H18">
        <f>_xlfn.XLOOKUP(Table1[[#This Row],[Key]],policseStrength!C:C,policseStrength!R:R)</f>
        <v>47926</v>
      </c>
      <c r="I18">
        <f>IF(ISNA(Table1[[#This Row],[total_ps]]), _xlfn.AGGREGATE(1, 6, Table1[total_ps]), Table1[[#This Row],[total_ps]])</f>
        <v>47926</v>
      </c>
      <c r="J18">
        <f>_xlfn.XLOOKUP(Table1[[#This Row],[Key]],Recidivism!C:C,Recidivism!D:D)</f>
        <v>2249</v>
      </c>
      <c r="K18">
        <f>IF(ISNA(Table1[[#This Row],[convicts_admitted_raw]]), _xlfn.AGGREGATE(1, 6, Table1[convicts_admitted_raw]), Table1[[#This Row],[convicts_admitted_raw]])</f>
        <v>2249</v>
      </c>
      <c r="L18">
        <f>_xlfn.XLOOKUP(Table1[[#This Row],[Key]],Recidivism!C:C,Recidivism!E:E)</f>
        <v>25</v>
      </c>
      <c r="M18">
        <f>IF(ISNA(Table1[[#This Row],[habitual_offenders]]), _xlfn.AGGREGATE(1, 6, Table1[habitual_offenders]), Table1[[#This Row],[habitual_offenders]])</f>
        <v>25</v>
      </c>
      <c r="N18">
        <f>_xlfn.XLOOKUP(Table1[[#This Row],[Key]],Vocational!C:C,Vocational!E:E)</f>
        <v>55</v>
      </c>
      <c r="O18">
        <f>IF(ISNA(Table1[[#This Row],[vocational_count]]), _xlfn.AGGREGATE(1, 6,Table1[vocational_count]), Table1[[#This Row],[vocational_count]])</f>
        <v>55</v>
      </c>
    </row>
    <row r="19" spans="1:15" x14ac:dyDescent="0.3">
      <c r="A19" t="s">
        <v>8</v>
      </c>
      <c r="B19">
        <v>2002</v>
      </c>
      <c r="C19" t="str">
        <f>_xlfn.CONCAT(Table1[[#This Row],[STATE]],"-",Table1[[#This Row],[YEAR]])</f>
        <v>Assam-2002</v>
      </c>
      <c r="D19">
        <v>105</v>
      </c>
      <c r="E19">
        <v>577</v>
      </c>
      <c r="F19">
        <v>7</v>
      </c>
      <c r="G19">
        <v>57</v>
      </c>
      <c r="H19">
        <f>_xlfn.XLOOKUP(Table1[[#This Row],[Key]],policseStrength!C:C,policseStrength!R:R)</f>
        <v>47324</v>
      </c>
      <c r="I19">
        <f>IF(ISNA(Table1[[#This Row],[total_ps]]), _xlfn.AGGREGATE(1, 6, Table1[total_ps]), Table1[[#This Row],[total_ps]])</f>
        <v>47324</v>
      </c>
      <c r="J19">
        <f>_xlfn.XLOOKUP(Table1[[#This Row],[Key]],Recidivism!C:C,Recidivism!D:D)</f>
        <v>2712</v>
      </c>
      <c r="K19">
        <f>IF(ISNA(Table1[[#This Row],[convicts_admitted_raw]]), _xlfn.AGGREGATE(1, 6, Table1[convicts_admitted_raw]), Table1[[#This Row],[convicts_admitted_raw]])</f>
        <v>2712</v>
      </c>
      <c r="L19">
        <f>_xlfn.XLOOKUP(Table1[[#This Row],[Key]],Recidivism!C:C,Recidivism!E:E)</f>
        <v>19</v>
      </c>
      <c r="M19">
        <f>IF(ISNA(Table1[[#This Row],[habitual_offenders]]), _xlfn.AGGREGATE(1, 6, Table1[habitual_offenders]), Table1[[#This Row],[habitual_offenders]])</f>
        <v>19</v>
      </c>
      <c r="N19">
        <f>_xlfn.XLOOKUP(Table1[[#This Row],[Key]],Vocational!C:C,Vocational!E:E)</f>
        <v>56</v>
      </c>
      <c r="O19">
        <f>IF(ISNA(Table1[[#This Row],[vocational_count]]), _xlfn.AGGREGATE(1, 6,Table1[vocational_count]), Table1[[#This Row],[vocational_count]])</f>
        <v>56</v>
      </c>
    </row>
    <row r="20" spans="1:15" x14ac:dyDescent="0.3">
      <c r="A20" t="s">
        <v>8</v>
      </c>
      <c r="B20">
        <v>2003</v>
      </c>
      <c r="C20" t="str">
        <f>_xlfn.CONCAT(Table1[[#This Row],[STATE]],"-",Table1[[#This Row],[YEAR]])</f>
        <v>Assam-2003</v>
      </c>
      <c r="D20">
        <v>489</v>
      </c>
      <c r="E20">
        <v>1795</v>
      </c>
      <c r="F20">
        <v>6</v>
      </c>
      <c r="G20">
        <v>1</v>
      </c>
      <c r="H20">
        <f>_xlfn.XLOOKUP(Table1[[#This Row],[Key]],policseStrength!C:C,policseStrength!R:R)</f>
        <v>47416</v>
      </c>
      <c r="I20">
        <f>IF(ISNA(Table1[[#This Row],[total_ps]]), _xlfn.AGGREGATE(1, 6, Table1[total_ps]), Table1[[#This Row],[total_ps]])</f>
        <v>47416</v>
      </c>
      <c r="J20">
        <f>_xlfn.XLOOKUP(Table1[[#This Row],[Key]],Recidivism!C:C,Recidivism!D:D)</f>
        <v>2297</v>
      </c>
      <c r="K20">
        <f>IF(ISNA(Table1[[#This Row],[convicts_admitted_raw]]), _xlfn.AGGREGATE(1, 6, Table1[convicts_admitted_raw]), Table1[[#This Row],[convicts_admitted_raw]])</f>
        <v>2297</v>
      </c>
      <c r="L20">
        <f>_xlfn.XLOOKUP(Table1[[#This Row],[Key]],Recidivism!C:C,Recidivism!E:E)</f>
        <v>38</v>
      </c>
      <c r="M20">
        <f>IF(ISNA(Table1[[#This Row],[habitual_offenders]]), _xlfn.AGGREGATE(1, 6, Table1[habitual_offenders]), Table1[[#This Row],[habitual_offenders]])</f>
        <v>38</v>
      </c>
      <c r="N20">
        <f>_xlfn.XLOOKUP(Table1[[#This Row],[Key]],Vocational!C:C,Vocational!E:E)</f>
        <v>79</v>
      </c>
      <c r="O20">
        <f>IF(ISNA(Table1[[#This Row],[vocational_count]]), _xlfn.AGGREGATE(1, 6,Table1[vocational_count]), Table1[[#This Row],[vocational_count]])</f>
        <v>79</v>
      </c>
    </row>
    <row r="21" spans="1:15" x14ac:dyDescent="0.3">
      <c r="A21" t="s">
        <v>8</v>
      </c>
      <c r="B21">
        <v>2004</v>
      </c>
      <c r="C21" t="str">
        <f>_xlfn.CONCAT(Table1[[#This Row],[STATE]],"-",Table1[[#This Row],[YEAR]])</f>
        <v>Assam-2004</v>
      </c>
      <c r="D21">
        <v>39</v>
      </c>
      <c r="E21">
        <v>1313</v>
      </c>
      <c r="F21">
        <v>8</v>
      </c>
      <c r="G21">
        <v>0</v>
      </c>
      <c r="H21">
        <f>_xlfn.XLOOKUP(Table1[[#This Row],[Key]],policseStrength!C:C,policseStrength!R:R)</f>
        <v>47416</v>
      </c>
      <c r="I21">
        <f>IF(ISNA(Table1[[#This Row],[total_ps]]), _xlfn.AGGREGATE(1, 6, Table1[total_ps]), Table1[[#This Row],[total_ps]])</f>
        <v>47416</v>
      </c>
      <c r="J21">
        <f>_xlfn.XLOOKUP(Table1[[#This Row],[Key]],Recidivism!C:C,Recidivism!D:D)</f>
        <v>2594</v>
      </c>
      <c r="K21">
        <f>IF(ISNA(Table1[[#This Row],[convicts_admitted_raw]]), _xlfn.AGGREGATE(1, 6, Table1[convicts_admitted_raw]), Table1[[#This Row],[convicts_admitted_raw]])</f>
        <v>2594</v>
      </c>
      <c r="L21">
        <f>_xlfn.XLOOKUP(Table1[[#This Row],[Key]],Recidivism!C:C,Recidivism!E:E)</f>
        <v>336</v>
      </c>
      <c r="M21">
        <f>IF(ISNA(Table1[[#This Row],[habitual_offenders]]), _xlfn.AGGREGATE(1, 6, Table1[habitual_offenders]), Table1[[#This Row],[habitual_offenders]])</f>
        <v>336</v>
      </c>
      <c r="N21">
        <f>_xlfn.XLOOKUP(Table1[[#This Row],[Key]],Vocational!C:C,Vocational!E:E)</f>
        <v>82</v>
      </c>
      <c r="O21">
        <f>IF(ISNA(Table1[[#This Row],[vocational_count]]), _xlfn.AGGREGATE(1, 6,Table1[vocational_count]), Table1[[#This Row],[vocational_count]])</f>
        <v>82</v>
      </c>
    </row>
    <row r="22" spans="1:15" x14ac:dyDescent="0.3">
      <c r="A22" t="s">
        <v>8</v>
      </c>
      <c r="B22">
        <v>2005</v>
      </c>
      <c r="C22" t="str">
        <f>_xlfn.CONCAT(Table1[[#This Row],[STATE]],"-",Table1[[#This Row],[YEAR]])</f>
        <v>Assam-2005</v>
      </c>
      <c r="D22">
        <v>59</v>
      </c>
      <c r="E22">
        <v>1502</v>
      </c>
      <c r="F22">
        <v>0</v>
      </c>
      <c r="G22">
        <v>1</v>
      </c>
      <c r="H22">
        <f>_xlfn.XLOOKUP(Table1[[#This Row],[Key]],policseStrength!C:C,policseStrength!R:R)</f>
        <v>47416</v>
      </c>
      <c r="I22">
        <f>IF(ISNA(Table1[[#This Row],[total_ps]]), _xlfn.AGGREGATE(1, 6, Table1[total_ps]), Table1[[#This Row],[total_ps]])</f>
        <v>47416</v>
      </c>
      <c r="J22">
        <f>_xlfn.XLOOKUP(Table1[[#This Row],[Key]],Recidivism!C:C,Recidivism!D:D)</f>
        <v>2459</v>
      </c>
      <c r="K22">
        <f>IF(ISNA(Table1[[#This Row],[convicts_admitted_raw]]), _xlfn.AGGREGATE(1, 6, Table1[convicts_admitted_raw]), Table1[[#This Row],[convicts_admitted_raw]])</f>
        <v>2459</v>
      </c>
      <c r="L22">
        <f>_xlfn.XLOOKUP(Table1[[#This Row],[Key]],Recidivism!C:C,Recidivism!E:E)</f>
        <v>187</v>
      </c>
      <c r="M22">
        <f>IF(ISNA(Table1[[#This Row],[habitual_offenders]]), _xlfn.AGGREGATE(1, 6, Table1[habitual_offenders]), Table1[[#This Row],[habitual_offenders]])</f>
        <v>187</v>
      </c>
      <c r="N22">
        <f>_xlfn.XLOOKUP(Table1[[#This Row],[Key]],Vocational!C:C,Vocational!E:E)</f>
        <v>61</v>
      </c>
      <c r="O22">
        <f>IF(ISNA(Table1[[#This Row],[vocational_count]]), _xlfn.AGGREGATE(1, 6,Table1[vocational_count]), Table1[[#This Row],[vocational_count]])</f>
        <v>61</v>
      </c>
    </row>
    <row r="23" spans="1:15" x14ac:dyDescent="0.3">
      <c r="A23" t="s">
        <v>8</v>
      </c>
      <c r="B23">
        <v>2006</v>
      </c>
      <c r="C23" t="str">
        <f>_xlfn.CONCAT(Table1[[#This Row],[STATE]],"-",Table1[[#This Row],[YEAR]])</f>
        <v>Assam-2006</v>
      </c>
      <c r="D23">
        <v>196</v>
      </c>
      <c r="E23">
        <v>1104</v>
      </c>
      <c r="F23">
        <v>0</v>
      </c>
      <c r="G23">
        <v>1</v>
      </c>
      <c r="H23">
        <f>_xlfn.XLOOKUP(Table1[[#This Row],[Key]],policseStrength!C:C,policseStrength!R:R)</f>
        <v>47416</v>
      </c>
      <c r="I23">
        <f>IF(ISNA(Table1[[#This Row],[total_ps]]), _xlfn.AGGREGATE(1, 6, Table1[total_ps]), Table1[[#This Row],[total_ps]])</f>
        <v>47416</v>
      </c>
      <c r="J23">
        <f>_xlfn.XLOOKUP(Table1[[#This Row],[Key]],Recidivism!C:C,Recidivism!D:D)</f>
        <v>3721</v>
      </c>
      <c r="K23">
        <f>IF(ISNA(Table1[[#This Row],[convicts_admitted_raw]]), _xlfn.AGGREGATE(1, 6, Table1[convicts_admitted_raw]), Table1[[#This Row],[convicts_admitted_raw]])</f>
        <v>3721</v>
      </c>
      <c r="L23">
        <f>_xlfn.XLOOKUP(Table1[[#This Row],[Key]],Recidivism!C:C,Recidivism!E:E)</f>
        <v>38</v>
      </c>
      <c r="M23">
        <f>IF(ISNA(Table1[[#This Row],[habitual_offenders]]), _xlfn.AGGREGATE(1, 6, Table1[habitual_offenders]), Table1[[#This Row],[habitual_offenders]])</f>
        <v>38</v>
      </c>
      <c r="N23">
        <f>_xlfn.XLOOKUP(Table1[[#This Row],[Key]],Vocational!C:C,Vocational!E:E)</f>
        <v>61</v>
      </c>
      <c r="O23">
        <f>IF(ISNA(Table1[[#This Row],[vocational_count]]), _xlfn.AGGREGATE(1, 6,Table1[vocational_count]), Table1[[#This Row],[vocational_count]])</f>
        <v>61</v>
      </c>
    </row>
    <row r="24" spans="1:15" x14ac:dyDescent="0.3">
      <c r="A24" t="s">
        <v>8</v>
      </c>
      <c r="B24">
        <v>2007</v>
      </c>
      <c r="C24" t="str">
        <f>_xlfn.CONCAT(Table1[[#This Row],[STATE]],"-",Table1[[#This Row],[YEAR]])</f>
        <v>Assam-2007</v>
      </c>
      <c r="D24">
        <v>344</v>
      </c>
      <c r="E24">
        <v>1699</v>
      </c>
      <c r="F24">
        <v>0</v>
      </c>
      <c r="G24">
        <v>0</v>
      </c>
      <c r="H24">
        <f>_xlfn.XLOOKUP(Table1[[#This Row],[Key]],policseStrength!C:C,policseStrength!R:R)</f>
        <v>47416</v>
      </c>
      <c r="I24">
        <f>IF(ISNA(Table1[[#This Row],[total_ps]]), _xlfn.AGGREGATE(1, 6, Table1[total_ps]), Table1[[#This Row],[total_ps]])</f>
        <v>47416</v>
      </c>
      <c r="J24">
        <f>_xlfn.XLOOKUP(Table1[[#This Row],[Key]],Recidivism!C:C,Recidivism!D:D)</f>
        <v>3022</v>
      </c>
      <c r="K24">
        <f>IF(ISNA(Table1[[#This Row],[convicts_admitted_raw]]), _xlfn.AGGREGATE(1, 6, Table1[convicts_admitted_raw]), Table1[[#This Row],[convicts_admitted_raw]])</f>
        <v>3022</v>
      </c>
      <c r="L24">
        <f>_xlfn.XLOOKUP(Table1[[#This Row],[Key]],Recidivism!C:C,Recidivism!E:E)</f>
        <v>56</v>
      </c>
      <c r="M24">
        <f>IF(ISNA(Table1[[#This Row],[habitual_offenders]]), _xlfn.AGGREGATE(1, 6, Table1[habitual_offenders]), Table1[[#This Row],[habitual_offenders]])</f>
        <v>56</v>
      </c>
      <c r="N24">
        <f>_xlfn.XLOOKUP(Table1[[#This Row],[Key]],Vocational!C:C,Vocational!E:E)</f>
        <v>78</v>
      </c>
      <c r="O24">
        <f>IF(ISNA(Table1[[#This Row],[vocational_count]]), _xlfn.AGGREGATE(1, 6,Table1[vocational_count]), Table1[[#This Row],[vocational_count]])</f>
        <v>78</v>
      </c>
    </row>
    <row r="25" spans="1:15" x14ac:dyDescent="0.3">
      <c r="A25" t="s">
        <v>8</v>
      </c>
      <c r="B25">
        <v>2008</v>
      </c>
      <c r="C25" t="str">
        <f>_xlfn.CONCAT(Table1[[#This Row],[STATE]],"-",Table1[[#This Row],[YEAR]])</f>
        <v>Assam-2008</v>
      </c>
      <c r="D25">
        <v>472</v>
      </c>
      <c r="E25">
        <v>1983</v>
      </c>
      <c r="F25">
        <v>141</v>
      </c>
      <c r="G25">
        <v>17</v>
      </c>
      <c r="H25">
        <f>_xlfn.XLOOKUP(Table1[[#This Row],[Key]],policseStrength!C:C,policseStrength!R:R)</f>
        <v>47658</v>
      </c>
      <c r="I25">
        <f>IF(ISNA(Table1[[#This Row],[total_ps]]), _xlfn.AGGREGATE(1, 6, Table1[total_ps]), Table1[[#This Row],[total_ps]])</f>
        <v>47658</v>
      </c>
      <c r="J25">
        <f>_xlfn.XLOOKUP(Table1[[#This Row],[Key]],Recidivism!C:C,Recidivism!D:D)</f>
        <v>2907</v>
      </c>
      <c r="K25">
        <f>IF(ISNA(Table1[[#This Row],[convicts_admitted_raw]]), _xlfn.AGGREGATE(1, 6, Table1[convicts_admitted_raw]), Table1[[#This Row],[convicts_admitted_raw]])</f>
        <v>2907</v>
      </c>
      <c r="L25">
        <f>_xlfn.XLOOKUP(Table1[[#This Row],[Key]],Recidivism!C:C,Recidivism!E:E)</f>
        <v>64</v>
      </c>
      <c r="M25">
        <f>IF(ISNA(Table1[[#This Row],[habitual_offenders]]), _xlfn.AGGREGATE(1, 6, Table1[habitual_offenders]), Table1[[#This Row],[habitual_offenders]])</f>
        <v>64</v>
      </c>
      <c r="N25">
        <f>_xlfn.XLOOKUP(Table1[[#This Row],[Key]],Vocational!C:C,Vocational!E:E)</f>
        <v>82</v>
      </c>
      <c r="O25">
        <f>IF(ISNA(Table1[[#This Row],[vocational_count]]), _xlfn.AGGREGATE(1, 6,Table1[vocational_count]), Table1[[#This Row],[vocational_count]])</f>
        <v>82</v>
      </c>
    </row>
    <row r="26" spans="1:15" x14ac:dyDescent="0.3">
      <c r="A26" t="s">
        <v>8</v>
      </c>
      <c r="B26">
        <v>2009</v>
      </c>
      <c r="C26" t="str">
        <f>_xlfn.CONCAT(Table1[[#This Row],[STATE]],"-",Table1[[#This Row],[YEAR]])</f>
        <v>Assam-2009</v>
      </c>
      <c r="D26">
        <v>460</v>
      </c>
      <c r="E26">
        <v>1875</v>
      </c>
      <c r="F26">
        <v>152</v>
      </c>
      <c r="G26">
        <v>28</v>
      </c>
      <c r="H26">
        <f>_xlfn.XLOOKUP(Table1[[#This Row],[Key]],policseStrength!C:C,policseStrength!R:R)</f>
        <v>47658</v>
      </c>
      <c r="I26">
        <f>IF(ISNA(Table1[[#This Row],[total_ps]]), _xlfn.AGGREGATE(1, 6, Table1[total_ps]), Table1[[#This Row],[total_ps]])</f>
        <v>47658</v>
      </c>
      <c r="J26">
        <f>_xlfn.XLOOKUP(Table1[[#This Row],[Key]],Recidivism!C:C,Recidivism!D:D)</f>
        <v>2397</v>
      </c>
      <c r="K26">
        <f>IF(ISNA(Table1[[#This Row],[convicts_admitted_raw]]), _xlfn.AGGREGATE(1, 6, Table1[convicts_admitted_raw]), Table1[[#This Row],[convicts_admitted_raw]])</f>
        <v>2397</v>
      </c>
      <c r="L26">
        <f>_xlfn.XLOOKUP(Table1[[#This Row],[Key]],Recidivism!C:C,Recidivism!E:E)</f>
        <v>189</v>
      </c>
      <c r="M26">
        <f>IF(ISNA(Table1[[#This Row],[habitual_offenders]]), _xlfn.AGGREGATE(1, 6, Table1[habitual_offenders]), Table1[[#This Row],[habitual_offenders]])</f>
        <v>189</v>
      </c>
      <c r="N26">
        <f>_xlfn.XLOOKUP(Table1[[#This Row],[Key]],Vocational!C:C,Vocational!E:E)</f>
        <v>52</v>
      </c>
      <c r="O26">
        <f>IF(ISNA(Table1[[#This Row],[vocational_count]]), _xlfn.AGGREGATE(1, 6,Table1[vocational_count]), Table1[[#This Row],[vocational_count]])</f>
        <v>52</v>
      </c>
    </row>
    <row r="27" spans="1:15" x14ac:dyDescent="0.3">
      <c r="A27" t="s">
        <v>8</v>
      </c>
      <c r="B27">
        <v>2010</v>
      </c>
      <c r="C27" t="str">
        <f>_xlfn.CONCAT(Table1[[#This Row],[STATE]],"-",Table1[[#This Row],[YEAR]])</f>
        <v>Assam-2010</v>
      </c>
      <c r="D27">
        <v>404</v>
      </c>
      <c r="E27">
        <v>1222</v>
      </c>
      <c r="F27">
        <v>25</v>
      </c>
      <c r="G27">
        <v>5</v>
      </c>
      <c r="H27">
        <f>_xlfn.XLOOKUP(Table1[[#This Row],[Key]],policseStrength!C:C,policseStrength!R:R)</f>
        <v>50750</v>
      </c>
      <c r="I27">
        <f>IF(ISNA(Table1[[#This Row],[total_ps]]), _xlfn.AGGREGATE(1, 6, Table1[total_ps]), Table1[[#This Row],[total_ps]])</f>
        <v>50750</v>
      </c>
      <c r="J27">
        <f>_xlfn.XLOOKUP(Table1[[#This Row],[Key]],Recidivism!C:C,Recidivism!D:D)</f>
        <v>1941</v>
      </c>
      <c r="K27">
        <f>IF(ISNA(Table1[[#This Row],[convicts_admitted_raw]]), _xlfn.AGGREGATE(1, 6, Table1[convicts_admitted_raw]), Table1[[#This Row],[convicts_admitted_raw]])</f>
        <v>1941</v>
      </c>
      <c r="L27">
        <f>_xlfn.XLOOKUP(Table1[[#This Row],[Key]],Recidivism!C:C,Recidivism!E:E)</f>
        <v>9</v>
      </c>
      <c r="M27">
        <f>IF(ISNA(Table1[[#This Row],[habitual_offenders]]), _xlfn.AGGREGATE(1, 6, Table1[habitual_offenders]), Table1[[#This Row],[habitual_offenders]])</f>
        <v>9</v>
      </c>
      <c r="N27">
        <f>_xlfn.XLOOKUP(Table1[[#This Row],[Key]],Vocational!C:C,Vocational!E:E)</f>
        <v>35</v>
      </c>
      <c r="O27">
        <f>IF(ISNA(Table1[[#This Row],[vocational_count]]), _xlfn.AGGREGATE(1, 6,Table1[vocational_count]), Table1[[#This Row],[vocational_count]])</f>
        <v>35</v>
      </c>
    </row>
    <row r="28" spans="1:15" x14ac:dyDescent="0.3">
      <c r="A28" t="s">
        <v>8</v>
      </c>
      <c r="B28">
        <v>2011</v>
      </c>
      <c r="C28" t="str">
        <f>_xlfn.CONCAT(Table1[[#This Row],[STATE]],"-",Table1[[#This Row],[YEAR]])</f>
        <v>Assam-2011</v>
      </c>
      <c r="D28">
        <v>515</v>
      </c>
      <c r="E28">
        <v>1352</v>
      </c>
      <c r="F28">
        <v>35</v>
      </c>
      <c r="G28">
        <v>12</v>
      </c>
      <c r="H28" t="e">
        <f>_xlfn.XLOOKUP(Table1[[#This Row],[Key]],policseStrength!C:C,policseStrength!R:R)</f>
        <v>#N/A</v>
      </c>
      <c r="I28">
        <f>IF(ISNA(Table1[[#This Row],[total_ps]]), _xlfn.AGGREGATE(1, 6, Table1[total_ps]), Table1[[#This Row],[total_ps]])</f>
        <v>20128.370106761566</v>
      </c>
      <c r="J28">
        <f>_xlfn.XLOOKUP(Table1[[#This Row],[Key]],Recidivism!C:C,Recidivism!D:D)</f>
        <v>1802</v>
      </c>
      <c r="K28">
        <f>IF(ISNA(Table1[[#This Row],[convicts_admitted_raw]]), _xlfn.AGGREGATE(1, 6, Table1[convicts_admitted_raw]), Table1[[#This Row],[convicts_admitted_raw]])</f>
        <v>1802</v>
      </c>
      <c r="L28">
        <f>_xlfn.XLOOKUP(Table1[[#This Row],[Key]],Recidivism!C:C,Recidivism!E:E)</f>
        <v>31</v>
      </c>
      <c r="M28">
        <f>IF(ISNA(Table1[[#This Row],[habitual_offenders]]), _xlfn.AGGREGATE(1, 6, Table1[habitual_offenders]), Table1[[#This Row],[habitual_offenders]])</f>
        <v>31</v>
      </c>
      <c r="N28">
        <f>_xlfn.XLOOKUP(Table1[[#This Row],[Key]],Vocational!C:C,Vocational!E:E)</f>
        <v>38</v>
      </c>
      <c r="O28">
        <f>IF(ISNA(Table1[[#This Row],[vocational_count]]), _xlfn.AGGREGATE(1, 6,Table1[vocational_count]), Table1[[#This Row],[vocational_count]])</f>
        <v>38</v>
      </c>
    </row>
    <row r="29" spans="1:15" x14ac:dyDescent="0.3">
      <c r="A29" t="s">
        <v>8</v>
      </c>
      <c r="B29">
        <v>2012</v>
      </c>
      <c r="C29" t="str">
        <f>_xlfn.CONCAT(Table1[[#This Row],[STATE]],"-",Table1[[#This Row],[YEAR]])</f>
        <v>Assam-2012</v>
      </c>
      <c r="D29">
        <v>576</v>
      </c>
      <c r="E29">
        <v>1423</v>
      </c>
      <c r="F29">
        <v>51</v>
      </c>
      <c r="G29">
        <v>22</v>
      </c>
      <c r="H29" t="e">
        <f>_xlfn.XLOOKUP(Table1[[#This Row],[Key]],policseStrength!C:C,policseStrength!R:R)</f>
        <v>#N/A</v>
      </c>
      <c r="I29">
        <f>IF(ISNA(Table1[[#This Row],[total_ps]]), _xlfn.AGGREGATE(1, 6, Table1[total_ps]), Table1[[#This Row],[total_ps]])</f>
        <v>20128.370106761566</v>
      </c>
      <c r="J29">
        <f>_xlfn.XLOOKUP(Table1[[#This Row],[Key]],Recidivism!C:C,Recidivism!D:D)</f>
        <v>2152</v>
      </c>
      <c r="K29">
        <f>IF(ISNA(Table1[[#This Row],[convicts_admitted_raw]]), _xlfn.AGGREGATE(1, 6, Table1[convicts_admitted_raw]), Table1[[#This Row],[convicts_admitted_raw]])</f>
        <v>2152</v>
      </c>
      <c r="L29">
        <f>_xlfn.XLOOKUP(Table1[[#This Row],[Key]],Recidivism!C:C,Recidivism!E:E)</f>
        <v>126</v>
      </c>
      <c r="M29">
        <f>IF(ISNA(Table1[[#This Row],[habitual_offenders]]), _xlfn.AGGREGATE(1, 6, Table1[habitual_offenders]), Table1[[#This Row],[habitual_offenders]])</f>
        <v>126</v>
      </c>
      <c r="N29">
        <f>_xlfn.XLOOKUP(Table1[[#This Row],[Key]],Vocational!C:C,Vocational!E:E)</f>
        <v>54</v>
      </c>
      <c r="O29">
        <f>IF(ISNA(Table1[[#This Row],[vocational_count]]), _xlfn.AGGREGATE(1, 6,Table1[vocational_count]), Table1[[#This Row],[vocational_count]])</f>
        <v>54</v>
      </c>
    </row>
    <row r="30" spans="1:15" x14ac:dyDescent="0.3">
      <c r="A30" t="s">
        <v>9</v>
      </c>
      <c r="B30">
        <v>2001</v>
      </c>
      <c r="C30" t="str">
        <f>_xlfn.CONCAT(Table1[[#This Row],[STATE]],"-",Table1[[#This Row],[YEAR]])</f>
        <v>Bihar-2001</v>
      </c>
      <c r="D30">
        <v>0</v>
      </c>
      <c r="E30">
        <v>0</v>
      </c>
      <c r="F30">
        <v>0</v>
      </c>
      <c r="G30">
        <v>0</v>
      </c>
      <c r="H30">
        <f>_xlfn.XLOOKUP(Table1[[#This Row],[Key]],policseStrength!C:C,policseStrength!R:R)</f>
        <v>746</v>
      </c>
      <c r="I30">
        <f>IF(ISNA(Table1[[#This Row],[total_ps]]), _xlfn.AGGREGATE(1, 6, Table1[total_ps]), Table1[[#This Row],[total_ps]])</f>
        <v>746</v>
      </c>
      <c r="J30">
        <f>_xlfn.XLOOKUP(Table1[[#This Row],[Key]],Recidivism!C:C,Recidivism!D:D)</f>
        <v>19469</v>
      </c>
      <c r="K30">
        <f>IF(ISNA(Table1[[#This Row],[convicts_admitted_raw]]), _xlfn.AGGREGATE(1, 6, Table1[convicts_admitted_raw]), Table1[[#This Row],[convicts_admitted_raw]])</f>
        <v>19469</v>
      </c>
      <c r="L30">
        <f>_xlfn.XLOOKUP(Table1[[#This Row],[Key]],Recidivism!C:C,Recidivism!E:E)</f>
        <v>1204</v>
      </c>
      <c r="M30">
        <f>IF(ISNA(Table1[[#This Row],[habitual_offenders]]), _xlfn.AGGREGATE(1, 6, Table1[habitual_offenders]), Table1[[#This Row],[habitual_offenders]])</f>
        <v>1204</v>
      </c>
      <c r="N30">
        <f>_xlfn.XLOOKUP(Table1[[#This Row],[Key]],Vocational!C:C,Vocational!E:E)</f>
        <v>216</v>
      </c>
      <c r="O30">
        <f>IF(ISNA(Table1[[#This Row],[vocational_count]]), _xlfn.AGGREGATE(1, 6,Table1[vocational_count]), Table1[[#This Row],[vocational_count]])</f>
        <v>216</v>
      </c>
    </row>
    <row r="31" spans="1:15" x14ac:dyDescent="0.3">
      <c r="A31" t="s">
        <v>9</v>
      </c>
      <c r="B31">
        <v>2002</v>
      </c>
      <c r="C31" t="str">
        <f>_xlfn.CONCAT(Table1[[#This Row],[STATE]],"-",Table1[[#This Row],[YEAR]])</f>
        <v>Bihar-2002</v>
      </c>
      <c r="D31">
        <v>774</v>
      </c>
      <c r="E31">
        <v>742</v>
      </c>
      <c r="F31">
        <v>4</v>
      </c>
      <c r="G31">
        <v>111</v>
      </c>
      <c r="H31">
        <f>_xlfn.XLOOKUP(Table1[[#This Row],[Key]],policseStrength!C:C,policseStrength!R:R)</f>
        <v>20294</v>
      </c>
      <c r="I31">
        <f>IF(ISNA(Table1[[#This Row],[total_ps]]), _xlfn.AGGREGATE(1, 6, Table1[total_ps]), Table1[[#This Row],[total_ps]])</f>
        <v>20294</v>
      </c>
      <c r="J31">
        <f>_xlfn.XLOOKUP(Table1[[#This Row],[Key]],Recidivism!C:C,Recidivism!D:D)</f>
        <v>12078</v>
      </c>
      <c r="K31">
        <f>IF(ISNA(Table1[[#This Row],[convicts_admitted_raw]]), _xlfn.AGGREGATE(1, 6, Table1[convicts_admitted_raw]), Table1[[#This Row],[convicts_admitted_raw]])</f>
        <v>12078</v>
      </c>
      <c r="L31">
        <f>_xlfn.XLOOKUP(Table1[[#This Row],[Key]],Recidivism!C:C,Recidivism!E:E)</f>
        <v>259</v>
      </c>
      <c r="M31">
        <f>IF(ISNA(Table1[[#This Row],[habitual_offenders]]), _xlfn.AGGREGATE(1, 6, Table1[habitual_offenders]), Table1[[#This Row],[habitual_offenders]])</f>
        <v>259</v>
      </c>
      <c r="N31">
        <f>_xlfn.XLOOKUP(Table1[[#This Row],[Key]],Vocational!C:C,Vocational!E:E)</f>
        <v>405</v>
      </c>
      <c r="O31">
        <f>IF(ISNA(Table1[[#This Row],[vocational_count]]), _xlfn.AGGREGATE(1, 6,Table1[vocational_count]), Table1[[#This Row],[vocational_count]])</f>
        <v>405</v>
      </c>
    </row>
    <row r="32" spans="1:15" x14ac:dyDescent="0.3">
      <c r="A32" t="s">
        <v>9</v>
      </c>
      <c r="B32">
        <v>2003</v>
      </c>
      <c r="C32" t="str">
        <f>_xlfn.CONCAT(Table1[[#This Row],[STATE]],"-",Table1[[#This Row],[YEAR]])</f>
        <v>Bihar-2003</v>
      </c>
      <c r="D32">
        <v>678</v>
      </c>
      <c r="E32">
        <v>720</v>
      </c>
      <c r="F32">
        <v>8</v>
      </c>
      <c r="G32">
        <v>15</v>
      </c>
      <c r="H32">
        <f>_xlfn.XLOOKUP(Table1[[#This Row],[Key]],policseStrength!C:C,policseStrength!R:R)</f>
        <v>19604</v>
      </c>
      <c r="I32">
        <f>IF(ISNA(Table1[[#This Row],[total_ps]]), _xlfn.AGGREGATE(1, 6, Table1[total_ps]), Table1[[#This Row],[total_ps]])</f>
        <v>19604</v>
      </c>
      <c r="J32">
        <f>_xlfn.XLOOKUP(Table1[[#This Row],[Key]],Recidivism!C:C,Recidivism!D:D)</f>
        <v>663</v>
      </c>
      <c r="K32">
        <f>IF(ISNA(Table1[[#This Row],[convicts_admitted_raw]]), _xlfn.AGGREGATE(1, 6, Table1[convicts_admitted_raw]), Table1[[#This Row],[convicts_admitted_raw]])</f>
        <v>663</v>
      </c>
      <c r="L32">
        <f>_xlfn.XLOOKUP(Table1[[#This Row],[Key]],Recidivism!C:C,Recidivism!E:E)</f>
        <v>257</v>
      </c>
      <c r="M32">
        <f>IF(ISNA(Table1[[#This Row],[habitual_offenders]]), _xlfn.AGGREGATE(1, 6, Table1[habitual_offenders]), Table1[[#This Row],[habitual_offenders]])</f>
        <v>257</v>
      </c>
      <c r="N32">
        <f>_xlfn.XLOOKUP(Table1[[#This Row],[Key]],Vocational!C:C,Vocational!E:E)</f>
        <v>107</v>
      </c>
      <c r="O32">
        <f>IF(ISNA(Table1[[#This Row],[vocational_count]]), _xlfn.AGGREGATE(1, 6,Table1[vocational_count]), Table1[[#This Row],[vocational_count]])</f>
        <v>107</v>
      </c>
    </row>
    <row r="33" spans="1:15" x14ac:dyDescent="0.3">
      <c r="A33" t="s">
        <v>9</v>
      </c>
      <c r="B33">
        <v>2004</v>
      </c>
      <c r="C33" t="str">
        <f>_xlfn.CONCAT(Table1[[#This Row],[STATE]],"-",Table1[[#This Row],[YEAR]])</f>
        <v>Bihar-2004</v>
      </c>
      <c r="D33">
        <v>496</v>
      </c>
      <c r="E33">
        <v>652</v>
      </c>
      <c r="F33">
        <v>45</v>
      </c>
      <c r="G33">
        <v>0</v>
      </c>
      <c r="H33">
        <f>_xlfn.XLOOKUP(Table1[[#This Row],[Key]],policseStrength!C:C,policseStrength!R:R)</f>
        <v>19224</v>
      </c>
      <c r="I33">
        <f>IF(ISNA(Table1[[#This Row],[total_ps]]), _xlfn.AGGREGATE(1, 6, Table1[total_ps]), Table1[[#This Row],[total_ps]])</f>
        <v>19224</v>
      </c>
      <c r="J33">
        <f>_xlfn.XLOOKUP(Table1[[#This Row],[Key]],Recidivism!C:C,Recidivism!D:D)</f>
        <v>8089</v>
      </c>
      <c r="K33">
        <f>IF(ISNA(Table1[[#This Row],[convicts_admitted_raw]]), _xlfn.AGGREGATE(1, 6, Table1[convicts_admitted_raw]), Table1[[#This Row],[convicts_admitted_raw]])</f>
        <v>8089</v>
      </c>
      <c r="L33">
        <f>_xlfn.XLOOKUP(Table1[[#This Row],[Key]],Recidivism!C:C,Recidivism!E:E)</f>
        <v>2254</v>
      </c>
      <c r="M33">
        <f>IF(ISNA(Table1[[#This Row],[habitual_offenders]]), _xlfn.AGGREGATE(1, 6, Table1[habitual_offenders]), Table1[[#This Row],[habitual_offenders]])</f>
        <v>2254</v>
      </c>
      <c r="N33">
        <f>_xlfn.XLOOKUP(Table1[[#This Row],[Key]],Vocational!C:C,Vocational!E:E)</f>
        <v>326</v>
      </c>
      <c r="O33">
        <f>IF(ISNA(Table1[[#This Row],[vocational_count]]), _xlfn.AGGREGATE(1, 6,Table1[vocational_count]), Table1[[#This Row],[vocational_count]])</f>
        <v>326</v>
      </c>
    </row>
    <row r="34" spans="1:15" x14ac:dyDescent="0.3">
      <c r="A34" t="s">
        <v>9</v>
      </c>
      <c r="B34">
        <v>2005</v>
      </c>
      <c r="C34" t="str">
        <f>_xlfn.CONCAT(Table1[[#This Row],[STATE]],"-",Table1[[#This Row],[YEAR]])</f>
        <v>Bihar-2005</v>
      </c>
      <c r="D34">
        <v>259</v>
      </c>
      <c r="E34">
        <v>922</v>
      </c>
      <c r="F34">
        <v>6</v>
      </c>
      <c r="G34">
        <v>0</v>
      </c>
      <c r="H34">
        <f>_xlfn.XLOOKUP(Table1[[#This Row],[Key]],policseStrength!C:C,policseStrength!R:R)</f>
        <v>17666</v>
      </c>
      <c r="I34">
        <f>IF(ISNA(Table1[[#This Row],[total_ps]]), _xlfn.AGGREGATE(1, 6, Table1[total_ps]), Table1[[#This Row],[total_ps]])</f>
        <v>17666</v>
      </c>
      <c r="J34">
        <f>_xlfn.XLOOKUP(Table1[[#This Row],[Key]],Recidivism!C:C,Recidivism!D:D)</f>
        <v>10184</v>
      </c>
      <c r="K34">
        <f>IF(ISNA(Table1[[#This Row],[convicts_admitted_raw]]), _xlfn.AGGREGATE(1, 6, Table1[convicts_admitted_raw]), Table1[[#This Row],[convicts_admitted_raw]])</f>
        <v>10184</v>
      </c>
      <c r="L34">
        <f>_xlfn.XLOOKUP(Table1[[#This Row],[Key]],Recidivism!C:C,Recidivism!E:E)</f>
        <v>319</v>
      </c>
      <c r="M34">
        <f>IF(ISNA(Table1[[#This Row],[habitual_offenders]]), _xlfn.AGGREGATE(1, 6, Table1[habitual_offenders]), Table1[[#This Row],[habitual_offenders]])</f>
        <v>319</v>
      </c>
      <c r="N34">
        <f>_xlfn.XLOOKUP(Table1[[#This Row],[Key]],Vocational!C:C,Vocational!E:E)</f>
        <v>4063</v>
      </c>
      <c r="O34">
        <f>IF(ISNA(Table1[[#This Row],[vocational_count]]), _xlfn.AGGREGATE(1, 6,Table1[vocational_count]), Table1[[#This Row],[vocational_count]])</f>
        <v>4063</v>
      </c>
    </row>
    <row r="35" spans="1:15" x14ac:dyDescent="0.3">
      <c r="A35" t="s">
        <v>9</v>
      </c>
      <c r="B35">
        <v>2006</v>
      </c>
      <c r="C35" t="str">
        <f>_xlfn.CONCAT(Table1[[#This Row],[STATE]],"-",Table1[[#This Row],[YEAR]])</f>
        <v>Bihar-2006</v>
      </c>
      <c r="D35">
        <v>146</v>
      </c>
      <c r="E35">
        <v>685</v>
      </c>
      <c r="F35">
        <v>0</v>
      </c>
      <c r="G35">
        <v>0</v>
      </c>
      <c r="H35">
        <f>_xlfn.XLOOKUP(Table1[[#This Row],[Key]],policseStrength!C:C,policseStrength!R:R)</f>
        <v>16700</v>
      </c>
      <c r="I35">
        <f>IF(ISNA(Table1[[#This Row],[total_ps]]), _xlfn.AGGREGATE(1, 6, Table1[total_ps]), Table1[[#This Row],[total_ps]])</f>
        <v>16700</v>
      </c>
      <c r="J35">
        <f>_xlfn.XLOOKUP(Table1[[#This Row],[Key]],Recidivism!C:C,Recidivism!D:D)</f>
        <v>11833</v>
      </c>
      <c r="K35">
        <f>IF(ISNA(Table1[[#This Row],[convicts_admitted_raw]]), _xlfn.AGGREGATE(1, 6, Table1[convicts_admitted_raw]), Table1[[#This Row],[convicts_admitted_raw]])</f>
        <v>11833</v>
      </c>
      <c r="L35">
        <f>_xlfn.XLOOKUP(Table1[[#This Row],[Key]],Recidivism!C:C,Recidivism!E:E)</f>
        <v>238</v>
      </c>
      <c r="M35">
        <f>IF(ISNA(Table1[[#This Row],[habitual_offenders]]), _xlfn.AGGREGATE(1, 6, Table1[habitual_offenders]), Table1[[#This Row],[habitual_offenders]])</f>
        <v>238</v>
      </c>
      <c r="N35">
        <f>_xlfn.XLOOKUP(Table1[[#This Row],[Key]],Vocational!C:C,Vocational!E:E)</f>
        <v>4142</v>
      </c>
      <c r="O35">
        <f>IF(ISNA(Table1[[#This Row],[vocational_count]]), _xlfn.AGGREGATE(1, 6,Table1[vocational_count]), Table1[[#This Row],[vocational_count]])</f>
        <v>4142</v>
      </c>
    </row>
    <row r="36" spans="1:15" x14ac:dyDescent="0.3">
      <c r="A36" t="s">
        <v>9</v>
      </c>
      <c r="B36">
        <v>2007</v>
      </c>
      <c r="C36" t="str">
        <f>_xlfn.CONCAT(Table1[[#This Row],[STATE]],"-",Table1[[#This Row],[YEAR]])</f>
        <v>Bihar-2007</v>
      </c>
      <c r="D36">
        <v>103</v>
      </c>
      <c r="E36">
        <v>28</v>
      </c>
      <c r="F36">
        <v>475</v>
      </c>
      <c r="G36">
        <v>0</v>
      </c>
      <c r="H36">
        <f>_xlfn.XLOOKUP(Table1[[#This Row],[Key]],policseStrength!C:C,policseStrength!R:R)</f>
        <v>20410</v>
      </c>
      <c r="I36">
        <f>IF(ISNA(Table1[[#This Row],[total_ps]]), _xlfn.AGGREGATE(1, 6, Table1[total_ps]), Table1[[#This Row],[total_ps]])</f>
        <v>20410</v>
      </c>
      <c r="J36">
        <f>_xlfn.XLOOKUP(Table1[[#This Row],[Key]],Recidivism!C:C,Recidivism!D:D)</f>
        <v>13148</v>
      </c>
      <c r="K36">
        <f>IF(ISNA(Table1[[#This Row],[convicts_admitted_raw]]), _xlfn.AGGREGATE(1, 6, Table1[convicts_admitted_raw]), Table1[[#This Row],[convicts_admitted_raw]])</f>
        <v>13148</v>
      </c>
      <c r="L36">
        <f>_xlfn.XLOOKUP(Table1[[#This Row],[Key]],Recidivism!C:C,Recidivism!E:E)</f>
        <v>217</v>
      </c>
      <c r="M36">
        <f>IF(ISNA(Table1[[#This Row],[habitual_offenders]]), _xlfn.AGGREGATE(1, 6, Table1[habitual_offenders]), Table1[[#This Row],[habitual_offenders]])</f>
        <v>217</v>
      </c>
      <c r="N36">
        <f>_xlfn.XLOOKUP(Table1[[#This Row],[Key]],Vocational!C:C,Vocational!E:E)</f>
        <v>3973</v>
      </c>
      <c r="O36">
        <f>IF(ISNA(Table1[[#This Row],[vocational_count]]), _xlfn.AGGREGATE(1, 6,Table1[vocational_count]), Table1[[#This Row],[vocational_count]])</f>
        <v>3973</v>
      </c>
    </row>
    <row r="37" spans="1:15" x14ac:dyDescent="0.3">
      <c r="A37" t="s">
        <v>9</v>
      </c>
      <c r="B37">
        <v>2008</v>
      </c>
      <c r="C37" t="str">
        <f>_xlfn.CONCAT(Table1[[#This Row],[STATE]],"-",Table1[[#This Row],[YEAR]])</f>
        <v>Bihar-2008</v>
      </c>
      <c r="D37">
        <v>110</v>
      </c>
      <c r="E37">
        <v>173</v>
      </c>
      <c r="F37">
        <v>212</v>
      </c>
      <c r="G37">
        <v>370</v>
      </c>
      <c r="H37">
        <f>_xlfn.XLOOKUP(Table1[[#This Row],[Key]],policseStrength!C:C,policseStrength!R:R)</f>
        <v>25350</v>
      </c>
      <c r="I37">
        <f>IF(ISNA(Table1[[#This Row],[total_ps]]), _xlfn.AGGREGATE(1, 6, Table1[total_ps]), Table1[[#This Row],[total_ps]])</f>
        <v>25350</v>
      </c>
      <c r="J37">
        <f>_xlfn.XLOOKUP(Table1[[#This Row],[Key]],Recidivism!C:C,Recidivism!D:D)</f>
        <v>14918</v>
      </c>
      <c r="K37">
        <f>IF(ISNA(Table1[[#This Row],[convicts_admitted_raw]]), _xlfn.AGGREGATE(1, 6, Table1[convicts_admitted_raw]), Table1[[#This Row],[convicts_admitted_raw]])</f>
        <v>14918</v>
      </c>
      <c r="L37">
        <f>_xlfn.XLOOKUP(Table1[[#This Row],[Key]],Recidivism!C:C,Recidivism!E:E)</f>
        <v>193</v>
      </c>
      <c r="M37">
        <f>IF(ISNA(Table1[[#This Row],[habitual_offenders]]), _xlfn.AGGREGATE(1, 6, Table1[habitual_offenders]), Table1[[#This Row],[habitual_offenders]])</f>
        <v>193</v>
      </c>
      <c r="N37">
        <f>_xlfn.XLOOKUP(Table1[[#This Row],[Key]],Vocational!C:C,Vocational!E:E)</f>
        <v>2672</v>
      </c>
      <c r="O37">
        <f>IF(ISNA(Table1[[#This Row],[vocational_count]]), _xlfn.AGGREGATE(1, 6,Table1[vocational_count]), Table1[[#This Row],[vocational_count]])</f>
        <v>2672</v>
      </c>
    </row>
    <row r="38" spans="1:15" x14ac:dyDescent="0.3">
      <c r="A38" t="s">
        <v>9</v>
      </c>
      <c r="B38">
        <v>2009</v>
      </c>
      <c r="C38" t="str">
        <f>_xlfn.CONCAT(Table1[[#This Row],[STATE]],"-",Table1[[#This Row],[YEAR]])</f>
        <v>Bihar-2009</v>
      </c>
      <c r="D38">
        <v>7356</v>
      </c>
      <c r="E38">
        <v>685</v>
      </c>
      <c r="F38">
        <v>17</v>
      </c>
      <c r="G38">
        <v>1025</v>
      </c>
      <c r="H38">
        <f>_xlfn.XLOOKUP(Table1[[#This Row],[Key]],policseStrength!C:C,policseStrength!R:R)</f>
        <v>24454</v>
      </c>
      <c r="I38">
        <f>IF(ISNA(Table1[[#This Row],[total_ps]]), _xlfn.AGGREGATE(1, 6, Table1[total_ps]), Table1[[#This Row],[total_ps]])</f>
        <v>24454</v>
      </c>
      <c r="J38">
        <f>_xlfn.XLOOKUP(Table1[[#This Row],[Key]],Recidivism!C:C,Recidivism!D:D)</f>
        <v>12136</v>
      </c>
      <c r="K38">
        <f>IF(ISNA(Table1[[#This Row],[convicts_admitted_raw]]), _xlfn.AGGREGATE(1, 6, Table1[convicts_admitted_raw]), Table1[[#This Row],[convicts_admitted_raw]])</f>
        <v>12136</v>
      </c>
      <c r="L38">
        <f>_xlfn.XLOOKUP(Table1[[#This Row],[Key]],Recidivism!C:C,Recidivism!E:E)</f>
        <v>72</v>
      </c>
      <c r="M38">
        <f>IF(ISNA(Table1[[#This Row],[habitual_offenders]]), _xlfn.AGGREGATE(1, 6, Table1[habitual_offenders]), Table1[[#This Row],[habitual_offenders]])</f>
        <v>72</v>
      </c>
      <c r="N38">
        <f>_xlfn.XLOOKUP(Table1[[#This Row],[Key]],Vocational!C:C,Vocational!E:E)</f>
        <v>55</v>
      </c>
      <c r="O38">
        <f>IF(ISNA(Table1[[#This Row],[vocational_count]]), _xlfn.AGGREGATE(1, 6,Table1[vocational_count]), Table1[[#This Row],[vocational_count]])</f>
        <v>55</v>
      </c>
    </row>
    <row r="39" spans="1:15" x14ac:dyDescent="0.3">
      <c r="A39" t="s">
        <v>9</v>
      </c>
      <c r="B39">
        <v>2010</v>
      </c>
      <c r="C39" t="str">
        <f>_xlfn.CONCAT(Table1[[#This Row],[STATE]],"-",Table1[[#This Row],[YEAR]])</f>
        <v>Bihar-2010</v>
      </c>
      <c r="D39">
        <v>8072</v>
      </c>
      <c r="E39">
        <v>640</v>
      </c>
      <c r="F39">
        <v>16</v>
      </c>
      <c r="G39">
        <v>1014</v>
      </c>
      <c r="H39">
        <f>_xlfn.XLOOKUP(Table1[[#This Row],[Key]],policseStrength!C:C,policseStrength!R:R)</f>
        <v>23882</v>
      </c>
      <c r="I39">
        <f>IF(ISNA(Table1[[#This Row],[total_ps]]), _xlfn.AGGREGATE(1, 6, Table1[total_ps]), Table1[[#This Row],[total_ps]])</f>
        <v>23882</v>
      </c>
      <c r="J39">
        <f>_xlfn.XLOOKUP(Table1[[#This Row],[Key]],Recidivism!C:C,Recidivism!D:D)</f>
        <v>12658</v>
      </c>
      <c r="K39">
        <f>IF(ISNA(Table1[[#This Row],[convicts_admitted_raw]]), _xlfn.AGGREGATE(1, 6, Table1[convicts_admitted_raw]), Table1[[#This Row],[convicts_admitted_raw]])</f>
        <v>12658</v>
      </c>
      <c r="L39">
        <f>_xlfn.XLOOKUP(Table1[[#This Row],[Key]],Recidivism!C:C,Recidivism!E:E)</f>
        <v>57</v>
      </c>
      <c r="M39">
        <f>IF(ISNA(Table1[[#This Row],[habitual_offenders]]), _xlfn.AGGREGATE(1, 6, Table1[habitual_offenders]), Table1[[#This Row],[habitual_offenders]])</f>
        <v>57</v>
      </c>
      <c r="N39">
        <f>_xlfn.XLOOKUP(Table1[[#This Row],[Key]],Vocational!C:C,Vocational!E:E)</f>
        <v>51</v>
      </c>
      <c r="O39">
        <f>IF(ISNA(Table1[[#This Row],[vocational_count]]), _xlfn.AGGREGATE(1, 6,Table1[vocational_count]), Table1[[#This Row],[vocational_count]])</f>
        <v>51</v>
      </c>
    </row>
    <row r="40" spans="1:15" x14ac:dyDescent="0.3">
      <c r="A40" t="s">
        <v>9</v>
      </c>
      <c r="B40">
        <v>2011</v>
      </c>
      <c r="C40" t="str">
        <f>_xlfn.CONCAT(Table1[[#This Row],[STATE]],"-",Table1[[#This Row],[YEAR]])</f>
        <v>Bihar-2011</v>
      </c>
      <c r="D40">
        <v>1313</v>
      </c>
      <c r="E40">
        <v>2755</v>
      </c>
      <c r="F40">
        <v>11</v>
      </c>
      <c r="G40">
        <v>710</v>
      </c>
      <c r="H40" t="e">
        <f>_xlfn.XLOOKUP(Table1[[#This Row],[Key]],policseStrength!C:C,policseStrength!R:R)</f>
        <v>#N/A</v>
      </c>
      <c r="I40">
        <f>IF(ISNA(Table1[[#This Row],[total_ps]]), _xlfn.AGGREGATE(1, 6, Table1[total_ps]), Table1[[#This Row],[total_ps]])</f>
        <v>20128.370106761566</v>
      </c>
      <c r="J40">
        <f>_xlfn.XLOOKUP(Table1[[#This Row],[Key]],Recidivism!C:C,Recidivism!D:D)</f>
        <v>8165</v>
      </c>
      <c r="K40">
        <f>IF(ISNA(Table1[[#This Row],[convicts_admitted_raw]]), _xlfn.AGGREGATE(1, 6, Table1[convicts_admitted_raw]), Table1[[#This Row],[convicts_admitted_raw]])</f>
        <v>8165</v>
      </c>
      <c r="L40">
        <f>_xlfn.XLOOKUP(Table1[[#This Row],[Key]],Recidivism!C:C,Recidivism!E:E)</f>
        <v>232</v>
      </c>
      <c r="M40">
        <f>IF(ISNA(Table1[[#This Row],[habitual_offenders]]), _xlfn.AGGREGATE(1, 6, Table1[habitual_offenders]), Table1[[#This Row],[habitual_offenders]])</f>
        <v>232</v>
      </c>
      <c r="N40">
        <f>_xlfn.XLOOKUP(Table1[[#This Row],[Key]],Vocational!C:C,Vocational!E:E)</f>
        <v>40</v>
      </c>
      <c r="O40">
        <f>IF(ISNA(Table1[[#This Row],[vocational_count]]), _xlfn.AGGREGATE(1, 6,Table1[vocational_count]), Table1[[#This Row],[vocational_count]])</f>
        <v>40</v>
      </c>
    </row>
    <row r="41" spans="1:15" x14ac:dyDescent="0.3">
      <c r="A41" t="s">
        <v>9</v>
      </c>
      <c r="B41">
        <v>2012</v>
      </c>
      <c r="C41" t="str">
        <f>_xlfn.CONCAT(Table1[[#This Row],[STATE]],"-",Table1[[#This Row],[YEAR]])</f>
        <v>Bihar-2012</v>
      </c>
      <c r="D41">
        <v>1287</v>
      </c>
      <c r="E41">
        <v>2871</v>
      </c>
      <c r="F41">
        <v>12</v>
      </c>
      <c r="G41">
        <v>616</v>
      </c>
      <c r="H41" t="e">
        <f>_xlfn.XLOOKUP(Table1[[#This Row],[Key]],policseStrength!C:C,policseStrength!R:R)</f>
        <v>#N/A</v>
      </c>
      <c r="I41">
        <f>IF(ISNA(Table1[[#This Row],[total_ps]]), _xlfn.AGGREGATE(1, 6, Table1[total_ps]), Table1[[#This Row],[total_ps]])</f>
        <v>20128.370106761566</v>
      </c>
      <c r="J41">
        <f>_xlfn.XLOOKUP(Table1[[#This Row],[Key]],Recidivism!C:C,Recidivism!D:D)</f>
        <v>8013</v>
      </c>
      <c r="K41">
        <f>IF(ISNA(Table1[[#This Row],[convicts_admitted_raw]]), _xlfn.AGGREGATE(1, 6, Table1[convicts_admitted_raw]), Table1[[#This Row],[convicts_admitted_raw]])</f>
        <v>8013</v>
      </c>
      <c r="L41">
        <f>_xlfn.XLOOKUP(Table1[[#This Row],[Key]],Recidivism!C:C,Recidivism!E:E)</f>
        <v>69</v>
      </c>
      <c r="M41">
        <f>IF(ISNA(Table1[[#This Row],[habitual_offenders]]), _xlfn.AGGREGATE(1, 6, Table1[habitual_offenders]), Table1[[#This Row],[habitual_offenders]])</f>
        <v>69</v>
      </c>
      <c r="N41">
        <f>_xlfn.XLOOKUP(Table1[[#This Row],[Key]],Vocational!C:C,Vocational!E:E)</f>
        <v>238</v>
      </c>
      <c r="O41">
        <f>IF(ISNA(Table1[[#This Row],[vocational_count]]), _xlfn.AGGREGATE(1, 6,Table1[vocational_count]), Table1[[#This Row],[vocational_count]])</f>
        <v>238</v>
      </c>
    </row>
    <row r="42" spans="1:15" x14ac:dyDescent="0.3">
      <c r="A42" t="s">
        <v>10</v>
      </c>
      <c r="B42">
        <v>2012</v>
      </c>
      <c r="C42" t="str">
        <f>_xlfn.CONCAT(Table1[[#This Row],[STATE]],"-",Table1[[#This Row],[YEAR]])</f>
        <v>Chhattisgarh-2012</v>
      </c>
      <c r="D42">
        <v>1657</v>
      </c>
      <c r="E42">
        <v>839</v>
      </c>
      <c r="F42">
        <v>239</v>
      </c>
      <c r="G42">
        <v>92</v>
      </c>
      <c r="H42" t="e">
        <f>_xlfn.XLOOKUP(Table1[[#This Row],[Key]],policseStrength!C:C,policseStrength!R:R)</f>
        <v>#N/A</v>
      </c>
      <c r="I42">
        <f>IF(ISNA(Table1[[#This Row],[total_ps]]), _xlfn.AGGREGATE(1, 6, Table1[total_ps]), Table1[[#This Row],[total_ps]])</f>
        <v>20128.370106761566</v>
      </c>
      <c r="J42">
        <f>_xlfn.XLOOKUP(Table1[[#This Row],[Key]],Recidivism!C:C,Recidivism!D:D)</f>
        <v>3559</v>
      </c>
      <c r="K42">
        <f>IF(ISNA(Table1[[#This Row],[convicts_admitted_raw]]), _xlfn.AGGREGATE(1, 6, Table1[convicts_admitted_raw]), Table1[[#This Row],[convicts_admitted_raw]])</f>
        <v>3559</v>
      </c>
      <c r="L42">
        <f>_xlfn.XLOOKUP(Table1[[#This Row],[Key]],Recidivism!C:C,Recidivism!E:E)</f>
        <v>62</v>
      </c>
      <c r="M42">
        <f>IF(ISNA(Table1[[#This Row],[habitual_offenders]]), _xlfn.AGGREGATE(1, 6, Table1[habitual_offenders]), Table1[[#This Row],[habitual_offenders]])</f>
        <v>62</v>
      </c>
      <c r="N42">
        <f>_xlfn.XLOOKUP(Table1[[#This Row],[Key]],Vocational!C:C,Vocational!E:E)</f>
        <v>199</v>
      </c>
      <c r="O42">
        <f>IF(ISNA(Table1[[#This Row],[vocational_count]]), _xlfn.AGGREGATE(1, 6,Table1[vocational_count]), Table1[[#This Row],[vocational_count]])</f>
        <v>199</v>
      </c>
    </row>
    <row r="43" spans="1:15" x14ac:dyDescent="0.3">
      <c r="A43" t="s">
        <v>10</v>
      </c>
      <c r="B43">
        <v>2001</v>
      </c>
      <c r="C43" t="str">
        <f>_xlfn.CONCAT(Table1[[#This Row],[STATE]],"-",Table1[[#This Row],[YEAR]])</f>
        <v>Chhattisgarh-2001</v>
      </c>
      <c r="D43">
        <v>517</v>
      </c>
      <c r="E43">
        <v>335</v>
      </c>
      <c r="F43">
        <v>28</v>
      </c>
      <c r="G43">
        <v>0</v>
      </c>
      <c r="H43">
        <f>_xlfn.XLOOKUP(Table1[[#This Row],[Key]],policseStrength!C:C,policseStrength!R:R)</f>
        <v>2606</v>
      </c>
      <c r="I43">
        <f>IF(ISNA(Table1[[#This Row],[total_ps]]), _xlfn.AGGREGATE(1, 6, Table1[total_ps]), Table1[[#This Row],[total_ps]])</f>
        <v>2606</v>
      </c>
      <c r="J43">
        <f>_xlfn.XLOOKUP(Table1[[#This Row],[Key]],Recidivism!C:C,Recidivism!D:D)</f>
        <v>5327</v>
      </c>
      <c r="K43">
        <f>IF(ISNA(Table1[[#This Row],[convicts_admitted_raw]]), _xlfn.AGGREGATE(1, 6, Table1[convicts_admitted_raw]), Table1[[#This Row],[convicts_admitted_raw]])</f>
        <v>5327</v>
      </c>
      <c r="L43">
        <f>_xlfn.XLOOKUP(Table1[[#This Row],[Key]],Recidivism!C:C,Recidivism!E:E)</f>
        <v>1</v>
      </c>
      <c r="M43">
        <f>IF(ISNA(Table1[[#This Row],[habitual_offenders]]), _xlfn.AGGREGATE(1, 6, Table1[habitual_offenders]), Table1[[#This Row],[habitual_offenders]])</f>
        <v>1</v>
      </c>
      <c r="N43">
        <f>_xlfn.XLOOKUP(Table1[[#This Row],[Key]],Vocational!C:C,Vocational!E:E)</f>
        <v>703</v>
      </c>
      <c r="O43">
        <f>IF(ISNA(Table1[[#This Row],[vocational_count]]), _xlfn.AGGREGATE(1, 6,Table1[vocational_count]), Table1[[#This Row],[vocational_count]])</f>
        <v>703</v>
      </c>
    </row>
    <row r="44" spans="1:15" x14ac:dyDescent="0.3">
      <c r="A44" t="s">
        <v>10</v>
      </c>
      <c r="B44">
        <v>2002</v>
      </c>
      <c r="C44" t="str">
        <f>_xlfn.CONCAT(Table1[[#This Row],[STATE]],"-",Table1[[#This Row],[YEAR]])</f>
        <v>Chhattisgarh-2002</v>
      </c>
      <c r="D44">
        <v>367</v>
      </c>
      <c r="E44">
        <v>428</v>
      </c>
      <c r="F44">
        <v>35</v>
      </c>
      <c r="G44">
        <v>0</v>
      </c>
      <c r="H44">
        <f>_xlfn.XLOOKUP(Table1[[#This Row],[Key]],policseStrength!C:C,policseStrength!R:R)</f>
        <v>2606</v>
      </c>
      <c r="I44">
        <f>IF(ISNA(Table1[[#This Row],[total_ps]]), _xlfn.AGGREGATE(1, 6, Table1[total_ps]), Table1[[#This Row],[total_ps]])</f>
        <v>2606</v>
      </c>
      <c r="J44">
        <f>_xlfn.XLOOKUP(Table1[[#This Row],[Key]],Recidivism!C:C,Recidivism!D:D)</f>
        <v>5794</v>
      </c>
      <c r="K44">
        <f>IF(ISNA(Table1[[#This Row],[convicts_admitted_raw]]), _xlfn.AGGREGATE(1, 6, Table1[convicts_admitted_raw]), Table1[[#This Row],[convicts_admitted_raw]])</f>
        <v>5794</v>
      </c>
      <c r="L44">
        <f>_xlfn.XLOOKUP(Table1[[#This Row],[Key]],Recidivism!C:C,Recidivism!E:E)</f>
        <v>0</v>
      </c>
      <c r="M44">
        <f>IF(ISNA(Table1[[#This Row],[habitual_offenders]]), _xlfn.AGGREGATE(1, 6, Table1[habitual_offenders]), Table1[[#This Row],[habitual_offenders]])</f>
        <v>0</v>
      </c>
      <c r="N44">
        <f>_xlfn.XLOOKUP(Table1[[#This Row],[Key]],Vocational!C:C,Vocational!E:E)</f>
        <v>930</v>
      </c>
      <c r="O44">
        <f>IF(ISNA(Table1[[#This Row],[vocational_count]]), _xlfn.AGGREGATE(1, 6,Table1[vocational_count]), Table1[[#This Row],[vocational_count]])</f>
        <v>930</v>
      </c>
    </row>
    <row r="45" spans="1:15" x14ac:dyDescent="0.3">
      <c r="A45" t="s">
        <v>10</v>
      </c>
      <c r="B45">
        <v>2003</v>
      </c>
      <c r="C45" t="str">
        <f>_xlfn.CONCAT(Table1[[#This Row],[STATE]],"-",Table1[[#This Row],[YEAR]])</f>
        <v>Chhattisgarh-2003</v>
      </c>
      <c r="D45">
        <v>403</v>
      </c>
      <c r="E45">
        <v>512</v>
      </c>
      <c r="F45">
        <v>41</v>
      </c>
      <c r="G45">
        <v>24</v>
      </c>
      <c r="H45">
        <f>_xlfn.XLOOKUP(Table1[[#This Row],[Key]],policseStrength!C:C,policseStrength!R:R)</f>
        <v>15514</v>
      </c>
      <c r="I45">
        <f>IF(ISNA(Table1[[#This Row],[total_ps]]), _xlfn.AGGREGATE(1, 6, Table1[total_ps]), Table1[[#This Row],[total_ps]])</f>
        <v>15514</v>
      </c>
      <c r="J45">
        <f>_xlfn.XLOOKUP(Table1[[#This Row],[Key]],Recidivism!C:C,Recidivism!D:D)</f>
        <v>10965</v>
      </c>
      <c r="K45">
        <f>IF(ISNA(Table1[[#This Row],[convicts_admitted_raw]]), _xlfn.AGGREGATE(1, 6, Table1[convicts_admitted_raw]), Table1[[#This Row],[convicts_admitted_raw]])</f>
        <v>10965</v>
      </c>
      <c r="L45">
        <f>_xlfn.XLOOKUP(Table1[[#This Row],[Key]],Recidivism!C:C,Recidivism!E:E)</f>
        <v>153</v>
      </c>
      <c r="M45">
        <f>IF(ISNA(Table1[[#This Row],[habitual_offenders]]), _xlfn.AGGREGATE(1, 6, Table1[habitual_offenders]), Table1[[#This Row],[habitual_offenders]])</f>
        <v>153</v>
      </c>
      <c r="N45">
        <f>_xlfn.XLOOKUP(Table1[[#This Row],[Key]],Vocational!C:C,Vocational!E:E)</f>
        <v>24</v>
      </c>
      <c r="O45">
        <f>IF(ISNA(Table1[[#This Row],[vocational_count]]), _xlfn.AGGREGATE(1, 6,Table1[vocational_count]), Table1[[#This Row],[vocational_count]])</f>
        <v>24</v>
      </c>
    </row>
    <row r="46" spans="1:15" x14ac:dyDescent="0.3">
      <c r="A46" t="s">
        <v>10</v>
      </c>
      <c r="B46">
        <v>2004</v>
      </c>
      <c r="C46" t="str">
        <f>_xlfn.CONCAT(Table1[[#This Row],[STATE]],"-",Table1[[#This Row],[YEAR]])</f>
        <v>Chhattisgarh-2004</v>
      </c>
      <c r="D46">
        <v>838</v>
      </c>
      <c r="E46">
        <v>254</v>
      </c>
      <c r="F46">
        <v>34</v>
      </c>
      <c r="G46">
        <v>38</v>
      </c>
      <c r="H46">
        <f>_xlfn.XLOOKUP(Table1[[#This Row],[Key]],policseStrength!C:C,policseStrength!R:R)</f>
        <v>17018</v>
      </c>
      <c r="I46">
        <f>IF(ISNA(Table1[[#This Row],[total_ps]]), _xlfn.AGGREGATE(1, 6, Table1[total_ps]), Table1[[#This Row],[total_ps]])</f>
        <v>17018</v>
      </c>
      <c r="J46">
        <f>_xlfn.XLOOKUP(Table1[[#This Row],[Key]],Recidivism!C:C,Recidivism!D:D)</f>
        <v>6078</v>
      </c>
      <c r="K46">
        <f>IF(ISNA(Table1[[#This Row],[convicts_admitted_raw]]), _xlfn.AGGREGATE(1, 6, Table1[convicts_admitted_raw]), Table1[[#This Row],[convicts_admitted_raw]])</f>
        <v>6078</v>
      </c>
      <c r="L46">
        <f>_xlfn.XLOOKUP(Table1[[#This Row],[Key]],Recidivism!C:C,Recidivism!E:E)</f>
        <v>9</v>
      </c>
      <c r="M46">
        <f>IF(ISNA(Table1[[#This Row],[habitual_offenders]]), _xlfn.AGGREGATE(1, 6, Table1[habitual_offenders]), Table1[[#This Row],[habitual_offenders]])</f>
        <v>9</v>
      </c>
      <c r="N46">
        <f>_xlfn.XLOOKUP(Table1[[#This Row],[Key]],Vocational!C:C,Vocational!E:E)</f>
        <v>67</v>
      </c>
      <c r="O46">
        <f>IF(ISNA(Table1[[#This Row],[vocational_count]]), _xlfn.AGGREGATE(1, 6,Table1[vocational_count]), Table1[[#This Row],[vocational_count]])</f>
        <v>67</v>
      </c>
    </row>
    <row r="47" spans="1:15" x14ac:dyDescent="0.3">
      <c r="A47" t="s">
        <v>10</v>
      </c>
      <c r="B47">
        <v>2005</v>
      </c>
      <c r="C47" t="str">
        <f>_xlfn.CONCAT(Table1[[#This Row],[STATE]],"-",Table1[[#This Row],[YEAR]])</f>
        <v>Chhattisgarh-2005</v>
      </c>
      <c r="D47">
        <v>813</v>
      </c>
      <c r="E47">
        <v>600</v>
      </c>
      <c r="F47">
        <v>51</v>
      </c>
      <c r="G47">
        <v>183</v>
      </c>
      <c r="H47">
        <f>_xlfn.XLOOKUP(Table1[[#This Row],[Key]],policseStrength!C:C,policseStrength!R:R)</f>
        <v>19726</v>
      </c>
      <c r="I47">
        <f>IF(ISNA(Table1[[#This Row],[total_ps]]), _xlfn.AGGREGATE(1, 6, Table1[total_ps]), Table1[[#This Row],[total_ps]])</f>
        <v>19726</v>
      </c>
      <c r="J47">
        <f>_xlfn.XLOOKUP(Table1[[#This Row],[Key]],Recidivism!C:C,Recidivism!D:D)</f>
        <v>2450</v>
      </c>
      <c r="K47">
        <f>IF(ISNA(Table1[[#This Row],[convicts_admitted_raw]]), _xlfn.AGGREGATE(1, 6, Table1[convicts_admitted_raw]), Table1[[#This Row],[convicts_admitted_raw]])</f>
        <v>2450</v>
      </c>
      <c r="L47">
        <f>_xlfn.XLOOKUP(Table1[[#This Row],[Key]],Recidivism!C:C,Recidivism!E:E)</f>
        <v>6</v>
      </c>
      <c r="M47">
        <f>IF(ISNA(Table1[[#This Row],[habitual_offenders]]), _xlfn.AGGREGATE(1, 6, Table1[habitual_offenders]), Table1[[#This Row],[habitual_offenders]])</f>
        <v>6</v>
      </c>
      <c r="N47">
        <f>_xlfn.XLOOKUP(Table1[[#This Row],[Key]],Vocational!C:C,Vocational!E:E)</f>
        <v>38</v>
      </c>
      <c r="O47">
        <f>IF(ISNA(Table1[[#This Row],[vocational_count]]), _xlfn.AGGREGATE(1, 6,Table1[vocational_count]), Table1[[#This Row],[vocational_count]])</f>
        <v>38</v>
      </c>
    </row>
    <row r="48" spans="1:15" x14ac:dyDescent="0.3">
      <c r="A48" t="s">
        <v>10</v>
      </c>
      <c r="B48">
        <v>2006</v>
      </c>
      <c r="C48" t="str">
        <f>_xlfn.CONCAT(Table1[[#This Row],[STATE]],"-",Table1[[#This Row],[YEAR]])</f>
        <v>Chhattisgarh-2006</v>
      </c>
      <c r="D48">
        <v>900</v>
      </c>
      <c r="E48">
        <v>918</v>
      </c>
      <c r="F48">
        <v>27</v>
      </c>
      <c r="G48">
        <v>169</v>
      </c>
      <c r="H48">
        <f>_xlfn.XLOOKUP(Table1[[#This Row],[Key]],policseStrength!C:C,policseStrength!R:R)</f>
        <v>23896</v>
      </c>
      <c r="I48">
        <f>IF(ISNA(Table1[[#This Row],[total_ps]]), _xlfn.AGGREGATE(1, 6, Table1[total_ps]), Table1[[#This Row],[total_ps]])</f>
        <v>23896</v>
      </c>
      <c r="J48">
        <f>_xlfn.XLOOKUP(Table1[[#This Row],[Key]],Recidivism!C:C,Recidivism!D:D)</f>
        <v>2946</v>
      </c>
      <c r="K48">
        <f>IF(ISNA(Table1[[#This Row],[convicts_admitted_raw]]), _xlfn.AGGREGATE(1, 6, Table1[convicts_admitted_raw]), Table1[[#This Row],[convicts_admitted_raw]])</f>
        <v>2946</v>
      </c>
      <c r="L48">
        <f>_xlfn.XLOOKUP(Table1[[#This Row],[Key]],Recidivism!C:C,Recidivism!E:E)</f>
        <v>0</v>
      </c>
      <c r="M48">
        <f>IF(ISNA(Table1[[#This Row],[habitual_offenders]]), _xlfn.AGGREGATE(1, 6, Table1[habitual_offenders]), Table1[[#This Row],[habitual_offenders]])</f>
        <v>0</v>
      </c>
      <c r="N48">
        <f>_xlfn.XLOOKUP(Table1[[#This Row],[Key]],Vocational!C:C,Vocational!E:E)</f>
        <v>4</v>
      </c>
      <c r="O48">
        <f>IF(ISNA(Table1[[#This Row],[vocational_count]]), _xlfn.AGGREGATE(1, 6,Table1[vocational_count]), Table1[[#This Row],[vocational_count]])</f>
        <v>4</v>
      </c>
    </row>
    <row r="49" spans="1:15" x14ac:dyDescent="0.3">
      <c r="A49" t="s">
        <v>10</v>
      </c>
      <c r="B49">
        <v>2007</v>
      </c>
      <c r="C49" t="str">
        <f>_xlfn.CONCAT(Table1[[#This Row],[STATE]],"-",Table1[[#This Row],[YEAR]])</f>
        <v>Chhattisgarh-2007</v>
      </c>
      <c r="D49">
        <v>853</v>
      </c>
      <c r="E49">
        <v>484</v>
      </c>
      <c r="F49">
        <v>40</v>
      </c>
      <c r="G49">
        <v>25</v>
      </c>
      <c r="H49">
        <f>_xlfn.XLOOKUP(Table1[[#This Row],[Key]],policseStrength!C:C,policseStrength!R:R)</f>
        <v>22520</v>
      </c>
      <c r="I49">
        <f>IF(ISNA(Table1[[#This Row],[total_ps]]), _xlfn.AGGREGATE(1, 6, Table1[total_ps]), Table1[[#This Row],[total_ps]])</f>
        <v>22520</v>
      </c>
      <c r="J49">
        <f>_xlfn.XLOOKUP(Table1[[#This Row],[Key]],Recidivism!C:C,Recidivism!D:D)</f>
        <v>3467</v>
      </c>
      <c r="K49">
        <f>IF(ISNA(Table1[[#This Row],[convicts_admitted_raw]]), _xlfn.AGGREGATE(1, 6, Table1[convicts_admitted_raw]), Table1[[#This Row],[convicts_admitted_raw]])</f>
        <v>3467</v>
      </c>
      <c r="L49">
        <f>_xlfn.XLOOKUP(Table1[[#This Row],[Key]],Recidivism!C:C,Recidivism!E:E)</f>
        <v>0</v>
      </c>
      <c r="M49">
        <f>IF(ISNA(Table1[[#This Row],[habitual_offenders]]), _xlfn.AGGREGATE(1, 6, Table1[habitual_offenders]), Table1[[#This Row],[habitual_offenders]])</f>
        <v>0</v>
      </c>
      <c r="N49">
        <f>_xlfn.XLOOKUP(Table1[[#This Row],[Key]],Vocational!C:C,Vocational!E:E)</f>
        <v>4</v>
      </c>
      <c r="O49">
        <f>IF(ISNA(Table1[[#This Row],[vocational_count]]), _xlfn.AGGREGATE(1, 6,Table1[vocational_count]), Table1[[#This Row],[vocational_count]])</f>
        <v>4</v>
      </c>
    </row>
    <row r="50" spans="1:15" x14ac:dyDescent="0.3">
      <c r="A50" t="s">
        <v>10</v>
      </c>
      <c r="B50">
        <v>2008</v>
      </c>
      <c r="C50" t="str">
        <f>_xlfn.CONCAT(Table1[[#This Row],[STATE]],"-",Table1[[#This Row],[YEAR]])</f>
        <v>Chhattisgarh-2008</v>
      </c>
      <c r="D50">
        <v>1252</v>
      </c>
      <c r="E50">
        <v>686</v>
      </c>
      <c r="F50">
        <v>78</v>
      </c>
      <c r="G50">
        <v>20</v>
      </c>
      <c r="H50">
        <f>_xlfn.XLOOKUP(Table1[[#This Row],[Key]],policseStrength!C:C,policseStrength!R:R)</f>
        <v>33938</v>
      </c>
      <c r="I50">
        <f>IF(ISNA(Table1[[#This Row],[total_ps]]), _xlfn.AGGREGATE(1, 6, Table1[total_ps]), Table1[[#This Row],[total_ps]])</f>
        <v>33938</v>
      </c>
      <c r="J50">
        <f>_xlfn.XLOOKUP(Table1[[#This Row],[Key]],Recidivism!C:C,Recidivism!D:D)</f>
        <v>3118</v>
      </c>
      <c r="K50">
        <f>IF(ISNA(Table1[[#This Row],[convicts_admitted_raw]]), _xlfn.AGGREGATE(1, 6, Table1[convicts_admitted_raw]), Table1[[#This Row],[convicts_admitted_raw]])</f>
        <v>3118</v>
      </c>
      <c r="L50">
        <f>_xlfn.XLOOKUP(Table1[[#This Row],[Key]],Recidivism!C:C,Recidivism!E:E)</f>
        <v>0</v>
      </c>
      <c r="M50">
        <f>IF(ISNA(Table1[[#This Row],[habitual_offenders]]), _xlfn.AGGREGATE(1, 6, Table1[habitual_offenders]), Table1[[#This Row],[habitual_offenders]])</f>
        <v>0</v>
      </c>
      <c r="N50">
        <f>_xlfn.XLOOKUP(Table1[[#This Row],[Key]],Vocational!C:C,Vocational!E:E)</f>
        <v>15</v>
      </c>
      <c r="O50">
        <f>IF(ISNA(Table1[[#This Row],[vocational_count]]), _xlfn.AGGREGATE(1, 6,Table1[vocational_count]), Table1[[#This Row],[vocational_count]])</f>
        <v>15</v>
      </c>
    </row>
    <row r="51" spans="1:15" x14ac:dyDescent="0.3">
      <c r="A51" t="s">
        <v>10</v>
      </c>
      <c r="B51">
        <v>2009</v>
      </c>
      <c r="C51" t="str">
        <f>_xlfn.CONCAT(Table1[[#This Row],[STATE]],"-",Table1[[#This Row],[YEAR]])</f>
        <v>Chhattisgarh-2009</v>
      </c>
      <c r="D51">
        <v>1039</v>
      </c>
      <c r="E51">
        <v>1024</v>
      </c>
      <c r="F51">
        <v>170</v>
      </c>
      <c r="G51">
        <v>39</v>
      </c>
      <c r="H51">
        <f>_xlfn.XLOOKUP(Table1[[#This Row],[Key]],policseStrength!C:C,policseStrength!R:R)</f>
        <v>30212</v>
      </c>
      <c r="I51">
        <f>IF(ISNA(Table1[[#This Row],[total_ps]]), _xlfn.AGGREGATE(1, 6, Table1[total_ps]), Table1[[#This Row],[total_ps]])</f>
        <v>30212</v>
      </c>
      <c r="J51">
        <f>_xlfn.XLOOKUP(Table1[[#This Row],[Key]],Recidivism!C:C,Recidivism!D:D)</f>
        <v>3784</v>
      </c>
      <c r="K51">
        <f>IF(ISNA(Table1[[#This Row],[convicts_admitted_raw]]), _xlfn.AGGREGATE(1, 6, Table1[convicts_admitted_raw]), Table1[[#This Row],[convicts_admitted_raw]])</f>
        <v>3784</v>
      </c>
      <c r="L51">
        <f>_xlfn.XLOOKUP(Table1[[#This Row],[Key]],Recidivism!C:C,Recidivism!E:E)</f>
        <v>0</v>
      </c>
      <c r="M51">
        <f>IF(ISNA(Table1[[#This Row],[habitual_offenders]]), _xlfn.AGGREGATE(1, 6, Table1[habitual_offenders]), Table1[[#This Row],[habitual_offenders]])</f>
        <v>0</v>
      </c>
      <c r="N51">
        <f>_xlfn.XLOOKUP(Table1[[#This Row],[Key]],Vocational!C:C,Vocational!E:E)</f>
        <v>147</v>
      </c>
      <c r="O51">
        <f>IF(ISNA(Table1[[#This Row],[vocational_count]]), _xlfn.AGGREGATE(1, 6,Table1[vocational_count]), Table1[[#This Row],[vocational_count]])</f>
        <v>147</v>
      </c>
    </row>
    <row r="52" spans="1:15" x14ac:dyDescent="0.3">
      <c r="A52" t="s">
        <v>10</v>
      </c>
      <c r="B52">
        <v>2010</v>
      </c>
      <c r="C52" t="str">
        <f>_xlfn.CONCAT(Table1[[#This Row],[STATE]],"-",Table1[[#This Row],[YEAR]])</f>
        <v>Chhattisgarh-2010</v>
      </c>
      <c r="D52">
        <v>1308</v>
      </c>
      <c r="E52">
        <v>1217</v>
      </c>
      <c r="F52">
        <v>92</v>
      </c>
      <c r="G52">
        <v>80</v>
      </c>
      <c r="H52">
        <f>_xlfn.XLOOKUP(Table1[[#This Row],[Key]],policseStrength!C:C,policseStrength!R:R)</f>
        <v>31558</v>
      </c>
      <c r="I52">
        <f>IF(ISNA(Table1[[#This Row],[total_ps]]), _xlfn.AGGREGATE(1, 6, Table1[total_ps]), Table1[[#This Row],[total_ps]])</f>
        <v>31558</v>
      </c>
      <c r="J52">
        <f>_xlfn.XLOOKUP(Table1[[#This Row],[Key]],Recidivism!C:C,Recidivism!D:D)</f>
        <v>3733</v>
      </c>
      <c r="K52">
        <f>IF(ISNA(Table1[[#This Row],[convicts_admitted_raw]]), _xlfn.AGGREGATE(1, 6, Table1[convicts_admitted_raw]), Table1[[#This Row],[convicts_admitted_raw]])</f>
        <v>3733</v>
      </c>
      <c r="L52">
        <f>_xlfn.XLOOKUP(Table1[[#This Row],[Key]],Recidivism!C:C,Recidivism!E:E)</f>
        <v>417</v>
      </c>
      <c r="M52">
        <f>IF(ISNA(Table1[[#This Row],[habitual_offenders]]), _xlfn.AGGREGATE(1, 6, Table1[habitual_offenders]), Table1[[#This Row],[habitual_offenders]])</f>
        <v>417</v>
      </c>
      <c r="N52">
        <f>_xlfn.XLOOKUP(Table1[[#This Row],[Key]],Vocational!C:C,Vocational!E:E)</f>
        <v>20</v>
      </c>
      <c r="O52">
        <f>IF(ISNA(Table1[[#This Row],[vocational_count]]), _xlfn.AGGREGATE(1, 6,Table1[vocational_count]), Table1[[#This Row],[vocational_count]])</f>
        <v>20</v>
      </c>
    </row>
    <row r="53" spans="1:15" x14ac:dyDescent="0.3">
      <c r="A53" t="s">
        <v>10</v>
      </c>
      <c r="B53">
        <v>2011</v>
      </c>
      <c r="C53" t="str">
        <f>_xlfn.CONCAT(Table1[[#This Row],[STATE]],"-",Table1[[#This Row],[YEAR]])</f>
        <v>Chhattisgarh-2011</v>
      </c>
      <c r="D53">
        <v>1387</v>
      </c>
      <c r="E53">
        <v>1427</v>
      </c>
      <c r="F53">
        <v>136</v>
      </c>
      <c r="G53">
        <v>76</v>
      </c>
      <c r="H53" t="e">
        <f>_xlfn.XLOOKUP(Table1[[#This Row],[Key]],policseStrength!C:C,policseStrength!R:R)</f>
        <v>#N/A</v>
      </c>
      <c r="I53">
        <f>IF(ISNA(Table1[[#This Row],[total_ps]]), _xlfn.AGGREGATE(1, 6, Table1[total_ps]), Table1[[#This Row],[total_ps]])</f>
        <v>20128.370106761566</v>
      </c>
      <c r="J53">
        <f>_xlfn.XLOOKUP(Table1[[#This Row],[Key]],Recidivism!C:C,Recidivism!D:D)</f>
        <v>4274</v>
      </c>
      <c r="K53">
        <f>IF(ISNA(Table1[[#This Row],[convicts_admitted_raw]]), _xlfn.AGGREGATE(1, 6, Table1[convicts_admitted_raw]), Table1[[#This Row],[convicts_admitted_raw]])</f>
        <v>4274</v>
      </c>
      <c r="L53">
        <f>_xlfn.XLOOKUP(Table1[[#This Row],[Key]],Recidivism!C:C,Recidivism!E:E)</f>
        <v>41</v>
      </c>
      <c r="M53">
        <f>IF(ISNA(Table1[[#This Row],[habitual_offenders]]), _xlfn.AGGREGATE(1, 6, Table1[habitual_offenders]), Table1[[#This Row],[habitual_offenders]])</f>
        <v>41</v>
      </c>
      <c r="N53">
        <f>_xlfn.XLOOKUP(Table1[[#This Row],[Key]],Vocational!C:C,Vocational!E:E)</f>
        <v>207</v>
      </c>
      <c r="O53">
        <f>IF(ISNA(Table1[[#This Row],[vocational_count]]), _xlfn.AGGREGATE(1, 6,Table1[vocational_count]), Table1[[#This Row],[vocational_count]])</f>
        <v>207</v>
      </c>
    </row>
    <row r="54" spans="1:15" x14ac:dyDescent="0.3">
      <c r="A54" t="s">
        <v>11</v>
      </c>
      <c r="B54">
        <v>2001</v>
      </c>
      <c r="C54" t="str">
        <f>_xlfn.CONCAT(Table1[[#This Row],[STATE]],"-",Table1[[#This Row],[YEAR]])</f>
        <v>Goa-2001</v>
      </c>
      <c r="D54">
        <v>0</v>
      </c>
      <c r="E54">
        <v>0</v>
      </c>
      <c r="F54">
        <v>0</v>
      </c>
      <c r="G54">
        <v>0</v>
      </c>
      <c r="H54">
        <f>_xlfn.XLOOKUP(Table1[[#This Row],[Key]],policseStrength!C:C,policseStrength!R:R)</f>
        <v>1166</v>
      </c>
      <c r="I54">
        <f>IF(ISNA(Table1[[#This Row],[total_ps]]), _xlfn.AGGREGATE(1, 6, Table1[total_ps]), Table1[[#This Row],[total_ps]])</f>
        <v>1166</v>
      </c>
      <c r="J54">
        <f>_xlfn.XLOOKUP(Table1[[#This Row],[Key]],Recidivism!C:C,Recidivism!D:D)</f>
        <v>156</v>
      </c>
      <c r="K54">
        <f>IF(ISNA(Table1[[#This Row],[convicts_admitted_raw]]), _xlfn.AGGREGATE(1, 6, Table1[convicts_admitted_raw]), Table1[[#This Row],[convicts_admitted_raw]])</f>
        <v>156</v>
      </c>
      <c r="L54">
        <f>_xlfn.XLOOKUP(Table1[[#This Row],[Key]],Recidivism!C:C,Recidivism!E:E)</f>
        <v>7</v>
      </c>
      <c r="M54">
        <f>IF(ISNA(Table1[[#This Row],[habitual_offenders]]), _xlfn.AGGREGATE(1, 6, Table1[habitual_offenders]), Table1[[#This Row],[habitual_offenders]])</f>
        <v>7</v>
      </c>
      <c r="N54">
        <f>_xlfn.XLOOKUP(Table1[[#This Row],[Key]],Vocational!C:C,Vocational!E:E)</f>
        <v>6</v>
      </c>
      <c r="O54">
        <f>IF(ISNA(Table1[[#This Row],[vocational_count]]), _xlfn.AGGREGATE(1, 6,Table1[vocational_count]), Table1[[#This Row],[vocational_count]])</f>
        <v>6</v>
      </c>
    </row>
    <row r="55" spans="1:15" x14ac:dyDescent="0.3">
      <c r="A55" t="s">
        <v>11</v>
      </c>
      <c r="B55">
        <v>2002</v>
      </c>
      <c r="C55" t="str">
        <f>_xlfn.CONCAT(Table1[[#This Row],[STATE]],"-",Table1[[#This Row],[YEAR]])</f>
        <v>Goa-2002</v>
      </c>
      <c r="D55">
        <v>0</v>
      </c>
      <c r="E55">
        <v>0</v>
      </c>
      <c r="F55">
        <v>0</v>
      </c>
      <c r="G55">
        <v>0</v>
      </c>
      <c r="H55">
        <f>_xlfn.XLOOKUP(Table1[[#This Row],[Key]],policseStrength!C:C,policseStrength!R:R)</f>
        <v>1660</v>
      </c>
      <c r="I55">
        <f>IF(ISNA(Table1[[#This Row],[total_ps]]), _xlfn.AGGREGATE(1, 6, Table1[total_ps]), Table1[[#This Row],[total_ps]])</f>
        <v>1660</v>
      </c>
      <c r="J55">
        <f>_xlfn.XLOOKUP(Table1[[#This Row],[Key]],Recidivism!C:C,Recidivism!D:D)</f>
        <v>161</v>
      </c>
      <c r="K55">
        <f>IF(ISNA(Table1[[#This Row],[convicts_admitted_raw]]), _xlfn.AGGREGATE(1, 6, Table1[convicts_admitted_raw]), Table1[[#This Row],[convicts_admitted_raw]])</f>
        <v>161</v>
      </c>
      <c r="L55">
        <f>_xlfn.XLOOKUP(Table1[[#This Row],[Key]],Recidivism!C:C,Recidivism!E:E)</f>
        <v>2</v>
      </c>
      <c r="M55">
        <f>IF(ISNA(Table1[[#This Row],[habitual_offenders]]), _xlfn.AGGREGATE(1, 6, Table1[habitual_offenders]), Table1[[#This Row],[habitual_offenders]])</f>
        <v>2</v>
      </c>
      <c r="N55">
        <f>_xlfn.XLOOKUP(Table1[[#This Row],[Key]],Vocational!C:C,Vocational!E:E)</f>
        <v>4</v>
      </c>
      <c r="O55">
        <f>IF(ISNA(Table1[[#This Row],[vocational_count]]), _xlfn.AGGREGATE(1, 6,Table1[vocational_count]), Table1[[#This Row],[vocational_count]])</f>
        <v>4</v>
      </c>
    </row>
    <row r="56" spans="1:15" x14ac:dyDescent="0.3">
      <c r="A56" t="s">
        <v>11</v>
      </c>
      <c r="B56">
        <v>2003</v>
      </c>
      <c r="C56" t="str">
        <f>_xlfn.CONCAT(Table1[[#This Row],[STATE]],"-",Table1[[#This Row],[YEAR]])</f>
        <v>Goa-2003</v>
      </c>
      <c r="D56">
        <v>10</v>
      </c>
      <c r="E56">
        <v>0</v>
      </c>
      <c r="F56">
        <v>0</v>
      </c>
      <c r="G56">
        <v>0</v>
      </c>
      <c r="H56">
        <f>_xlfn.XLOOKUP(Table1[[#This Row],[Key]],policseStrength!C:C,policseStrength!R:R)</f>
        <v>1368</v>
      </c>
      <c r="I56">
        <f>IF(ISNA(Table1[[#This Row],[total_ps]]), _xlfn.AGGREGATE(1, 6, Table1[total_ps]), Table1[[#This Row],[total_ps]])</f>
        <v>1368</v>
      </c>
      <c r="J56">
        <f>_xlfn.XLOOKUP(Table1[[#This Row],[Key]],Recidivism!C:C,Recidivism!D:D)</f>
        <v>100</v>
      </c>
      <c r="K56">
        <f>IF(ISNA(Table1[[#This Row],[convicts_admitted_raw]]), _xlfn.AGGREGATE(1, 6, Table1[convicts_admitted_raw]), Table1[[#This Row],[convicts_admitted_raw]])</f>
        <v>100</v>
      </c>
      <c r="L56">
        <f>_xlfn.XLOOKUP(Table1[[#This Row],[Key]],Recidivism!C:C,Recidivism!E:E)</f>
        <v>4</v>
      </c>
      <c r="M56">
        <f>IF(ISNA(Table1[[#This Row],[habitual_offenders]]), _xlfn.AGGREGATE(1, 6, Table1[habitual_offenders]), Table1[[#This Row],[habitual_offenders]])</f>
        <v>4</v>
      </c>
      <c r="N56">
        <f>_xlfn.XLOOKUP(Table1[[#This Row],[Key]],Vocational!C:C,Vocational!E:E)</f>
        <v>10</v>
      </c>
      <c r="O56">
        <f>IF(ISNA(Table1[[#This Row],[vocational_count]]), _xlfn.AGGREGATE(1, 6,Table1[vocational_count]), Table1[[#This Row],[vocational_count]])</f>
        <v>10</v>
      </c>
    </row>
    <row r="57" spans="1:15" x14ac:dyDescent="0.3">
      <c r="A57" t="s">
        <v>11</v>
      </c>
      <c r="B57">
        <v>2004</v>
      </c>
      <c r="C57" t="str">
        <f>_xlfn.CONCAT(Table1[[#This Row],[STATE]],"-",Table1[[#This Row],[YEAR]])</f>
        <v>Goa-2004</v>
      </c>
      <c r="D57">
        <v>10</v>
      </c>
      <c r="E57">
        <v>0</v>
      </c>
      <c r="F57">
        <v>0</v>
      </c>
      <c r="G57">
        <v>0</v>
      </c>
      <c r="H57">
        <f>_xlfn.XLOOKUP(Table1[[#This Row],[Key]],policseStrength!C:C,policseStrength!R:R)</f>
        <v>1318</v>
      </c>
      <c r="I57">
        <f>IF(ISNA(Table1[[#This Row],[total_ps]]), _xlfn.AGGREGATE(1, 6, Table1[total_ps]), Table1[[#This Row],[total_ps]])</f>
        <v>1318</v>
      </c>
      <c r="J57">
        <f>_xlfn.XLOOKUP(Table1[[#This Row],[Key]],Recidivism!C:C,Recidivism!D:D)</f>
        <v>160</v>
      </c>
      <c r="K57">
        <f>IF(ISNA(Table1[[#This Row],[convicts_admitted_raw]]), _xlfn.AGGREGATE(1, 6, Table1[convicts_admitted_raw]), Table1[[#This Row],[convicts_admitted_raw]])</f>
        <v>160</v>
      </c>
      <c r="L57">
        <f>_xlfn.XLOOKUP(Table1[[#This Row],[Key]],Recidivism!C:C,Recidivism!E:E)</f>
        <v>0</v>
      </c>
      <c r="M57">
        <f>IF(ISNA(Table1[[#This Row],[habitual_offenders]]), _xlfn.AGGREGATE(1, 6, Table1[habitual_offenders]), Table1[[#This Row],[habitual_offenders]])</f>
        <v>0</v>
      </c>
      <c r="N57">
        <f>_xlfn.XLOOKUP(Table1[[#This Row],[Key]],Vocational!C:C,Vocational!E:E)</f>
        <v>5</v>
      </c>
      <c r="O57">
        <f>IF(ISNA(Table1[[#This Row],[vocational_count]]), _xlfn.AGGREGATE(1, 6,Table1[vocational_count]), Table1[[#This Row],[vocational_count]])</f>
        <v>5</v>
      </c>
    </row>
    <row r="58" spans="1:15" x14ac:dyDescent="0.3">
      <c r="A58" t="s">
        <v>11</v>
      </c>
      <c r="B58">
        <v>2005</v>
      </c>
      <c r="C58" t="str">
        <f>_xlfn.CONCAT(Table1[[#This Row],[STATE]],"-",Table1[[#This Row],[YEAR]])</f>
        <v>Goa-2005</v>
      </c>
      <c r="D58">
        <v>10</v>
      </c>
      <c r="E58">
        <v>7</v>
      </c>
      <c r="F58">
        <v>0</v>
      </c>
      <c r="G58">
        <v>0</v>
      </c>
      <c r="H58">
        <f>_xlfn.XLOOKUP(Table1[[#This Row],[Key]],policseStrength!C:C,policseStrength!R:R)</f>
        <v>1090</v>
      </c>
      <c r="I58">
        <f>IF(ISNA(Table1[[#This Row],[total_ps]]), _xlfn.AGGREGATE(1, 6, Table1[total_ps]), Table1[[#This Row],[total_ps]])</f>
        <v>1090</v>
      </c>
      <c r="J58">
        <f>_xlfn.XLOOKUP(Table1[[#This Row],[Key]],Recidivism!C:C,Recidivism!D:D)</f>
        <v>89</v>
      </c>
      <c r="K58">
        <f>IF(ISNA(Table1[[#This Row],[convicts_admitted_raw]]), _xlfn.AGGREGATE(1, 6, Table1[convicts_admitted_raw]), Table1[[#This Row],[convicts_admitted_raw]])</f>
        <v>89</v>
      </c>
      <c r="L58">
        <f>_xlfn.XLOOKUP(Table1[[#This Row],[Key]],Recidivism!C:C,Recidivism!E:E)</f>
        <v>0</v>
      </c>
      <c r="M58">
        <f>IF(ISNA(Table1[[#This Row],[habitual_offenders]]), _xlfn.AGGREGATE(1, 6, Table1[habitual_offenders]), Table1[[#This Row],[habitual_offenders]])</f>
        <v>0</v>
      </c>
      <c r="N58">
        <f>_xlfn.XLOOKUP(Table1[[#This Row],[Key]],Vocational!C:C,Vocational!E:E)</f>
        <v>13</v>
      </c>
      <c r="O58">
        <f>IF(ISNA(Table1[[#This Row],[vocational_count]]), _xlfn.AGGREGATE(1, 6,Table1[vocational_count]), Table1[[#This Row],[vocational_count]])</f>
        <v>13</v>
      </c>
    </row>
    <row r="59" spans="1:15" x14ac:dyDescent="0.3">
      <c r="A59" t="s">
        <v>11</v>
      </c>
      <c r="B59">
        <v>2006</v>
      </c>
      <c r="C59" t="str">
        <f>_xlfn.CONCAT(Table1[[#This Row],[STATE]],"-",Table1[[#This Row],[YEAR]])</f>
        <v>Goa-2006</v>
      </c>
      <c r="D59">
        <v>55</v>
      </c>
      <c r="E59">
        <v>0</v>
      </c>
      <c r="F59">
        <v>7</v>
      </c>
      <c r="G59">
        <v>0</v>
      </c>
      <c r="H59">
        <f>_xlfn.XLOOKUP(Table1[[#This Row],[Key]],policseStrength!C:C,policseStrength!R:R)</f>
        <v>890</v>
      </c>
      <c r="I59">
        <f>IF(ISNA(Table1[[#This Row],[total_ps]]), _xlfn.AGGREGATE(1, 6, Table1[total_ps]), Table1[[#This Row],[total_ps]])</f>
        <v>890</v>
      </c>
      <c r="J59">
        <f>_xlfn.XLOOKUP(Table1[[#This Row],[Key]],Recidivism!C:C,Recidivism!D:D)</f>
        <v>103</v>
      </c>
      <c r="K59">
        <f>IF(ISNA(Table1[[#This Row],[convicts_admitted_raw]]), _xlfn.AGGREGATE(1, 6, Table1[convicts_admitted_raw]), Table1[[#This Row],[convicts_admitted_raw]])</f>
        <v>103</v>
      </c>
      <c r="L59">
        <f>_xlfn.XLOOKUP(Table1[[#This Row],[Key]],Recidivism!C:C,Recidivism!E:E)</f>
        <v>0</v>
      </c>
      <c r="M59">
        <f>IF(ISNA(Table1[[#This Row],[habitual_offenders]]), _xlfn.AGGREGATE(1, 6, Table1[habitual_offenders]), Table1[[#This Row],[habitual_offenders]])</f>
        <v>0</v>
      </c>
      <c r="N59">
        <f>_xlfn.XLOOKUP(Table1[[#This Row],[Key]],Vocational!C:C,Vocational!E:E)</f>
        <v>19</v>
      </c>
      <c r="O59">
        <f>IF(ISNA(Table1[[#This Row],[vocational_count]]), _xlfn.AGGREGATE(1, 6,Table1[vocational_count]), Table1[[#This Row],[vocational_count]])</f>
        <v>19</v>
      </c>
    </row>
    <row r="60" spans="1:15" x14ac:dyDescent="0.3">
      <c r="A60" t="s">
        <v>11</v>
      </c>
      <c r="B60">
        <v>2007</v>
      </c>
      <c r="C60" t="str">
        <f>_xlfn.CONCAT(Table1[[#This Row],[STATE]],"-",Table1[[#This Row],[YEAR]])</f>
        <v>Goa-2007</v>
      </c>
      <c r="D60">
        <v>0</v>
      </c>
      <c r="E60">
        <v>0</v>
      </c>
      <c r="F60">
        <v>11</v>
      </c>
      <c r="G60">
        <v>0</v>
      </c>
      <c r="H60">
        <f>_xlfn.XLOOKUP(Table1[[#This Row],[Key]],policseStrength!C:C,policseStrength!R:R)</f>
        <v>1310</v>
      </c>
      <c r="I60">
        <f>IF(ISNA(Table1[[#This Row],[total_ps]]), _xlfn.AGGREGATE(1, 6, Table1[total_ps]), Table1[[#This Row],[total_ps]])</f>
        <v>1310</v>
      </c>
      <c r="J60">
        <f>_xlfn.XLOOKUP(Table1[[#This Row],[Key]],Recidivism!C:C,Recidivism!D:D)</f>
        <v>80</v>
      </c>
      <c r="K60">
        <f>IF(ISNA(Table1[[#This Row],[convicts_admitted_raw]]), _xlfn.AGGREGATE(1, 6, Table1[convicts_admitted_raw]), Table1[[#This Row],[convicts_admitted_raw]])</f>
        <v>80</v>
      </c>
      <c r="L60">
        <f>_xlfn.XLOOKUP(Table1[[#This Row],[Key]],Recidivism!C:C,Recidivism!E:E)</f>
        <v>0</v>
      </c>
      <c r="M60">
        <f>IF(ISNA(Table1[[#This Row],[habitual_offenders]]), _xlfn.AGGREGATE(1, 6, Table1[habitual_offenders]), Table1[[#This Row],[habitual_offenders]])</f>
        <v>0</v>
      </c>
      <c r="N60">
        <f>_xlfn.XLOOKUP(Table1[[#This Row],[Key]],Vocational!C:C,Vocational!E:E)</f>
        <v>15</v>
      </c>
      <c r="O60">
        <f>IF(ISNA(Table1[[#This Row],[vocational_count]]), _xlfn.AGGREGATE(1, 6,Table1[vocational_count]), Table1[[#This Row],[vocational_count]])</f>
        <v>15</v>
      </c>
    </row>
    <row r="61" spans="1:15" x14ac:dyDescent="0.3">
      <c r="A61" t="s">
        <v>11</v>
      </c>
      <c r="B61">
        <v>2008</v>
      </c>
      <c r="C61" t="str">
        <f>_xlfn.CONCAT(Table1[[#This Row],[STATE]],"-",Table1[[#This Row],[YEAR]])</f>
        <v>Goa-2008</v>
      </c>
      <c r="D61">
        <v>0</v>
      </c>
      <c r="E61">
        <v>0</v>
      </c>
      <c r="F61">
        <v>12</v>
      </c>
      <c r="G61">
        <v>0</v>
      </c>
      <c r="H61">
        <f>_xlfn.XLOOKUP(Table1[[#This Row],[Key]],policseStrength!C:C,policseStrength!R:R)</f>
        <v>1330</v>
      </c>
      <c r="I61">
        <f>IF(ISNA(Table1[[#This Row],[total_ps]]), _xlfn.AGGREGATE(1, 6, Table1[total_ps]), Table1[[#This Row],[total_ps]])</f>
        <v>1330</v>
      </c>
      <c r="J61">
        <f>_xlfn.XLOOKUP(Table1[[#This Row],[Key]],Recidivism!C:C,Recidivism!D:D)</f>
        <v>85</v>
      </c>
      <c r="K61">
        <f>IF(ISNA(Table1[[#This Row],[convicts_admitted_raw]]), _xlfn.AGGREGATE(1, 6, Table1[convicts_admitted_raw]), Table1[[#This Row],[convicts_admitted_raw]])</f>
        <v>85</v>
      </c>
      <c r="L61">
        <f>_xlfn.XLOOKUP(Table1[[#This Row],[Key]],Recidivism!C:C,Recidivism!E:E)</f>
        <v>0</v>
      </c>
      <c r="M61">
        <f>IF(ISNA(Table1[[#This Row],[habitual_offenders]]), _xlfn.AGGREGATE(1, 6, Table1[habitual_offenders]), Table1[[#This Row],[habitual_offenders]])</f>
        <v>0</v>
      </c>
      <c r="N61">
        <f>_xlfn.XLOOKUP(Table1[[#This Row],[Key]],Vocational!C:C,Vocational!E:E)</f>
        <v>20</v>
      </c>
      <c r="O61">
        <f>IF(ISNA(Table1[[#This Row],[vocational_count]]), _xlfn.AGGREGATE(1, 6,Table1[vocational_count]), Table1[[#This Row],[vocational_count]])</f>
        <v>20</v>
      </c>
    </row>
    <row r="62" spans="1:15" x14ac:dyDescent="0.3">
      <c r="A62" t="s">
        <v>11</v>
      </c>
      <c r="B62">
        <v>2009</v>
      </c>
      <c r="C62" t="str">
        <f>_xlfn.CONCAT(Table1[[#This Row],[STATE]],"-",Table1[[#This Row],[YEAR]])</f>
        <v>Goa-2009</v>
      </c>
      <c r="D62">
        <v>0</v>
      </c>
      <c r="E62">
        <v>0</v>
      </c>
      <c r="F62">
        <v>7</v>
      </c>
      <c r="G62">
        <v>28</v>
      </c>
      <c r="H62">
        <f>_xlfn.XLOOKUP(Table1[[#This Row],[Key]],policseStrength!C:C,policseStrength!R:R)</f>
        <v>1322</v>
      </c>
      <c r="I62">
        <f>IF(ISNA(Table1[[#This Row],[total_ps]]), _xlfn.AGGREGATE(1, 6, Table1[total_ps]), Table1[[#This Row],[total_ps]])</f>
        <v>1322</v>
      </c>
      <c r="J62">
        <f>_xlfn.XLOOKUP(Table1[[#This Row],[Key]],Recidivism!C:C,Recidivism!D:D)</f>
        <v>103</v>
      </c>
      <c r="K62">
        <f>IF(ISNA(Table1[[#This Row],[convicts_admitted_raw]]), _xlfn.AGGREGATE(1, 6, Table1[convicts_admitted_raw]), Table1[[#This Row],[convicts_admitted_raw]])</f>
        <v>103</v>
      </c>
      <c r="L62">
        <f>_xlfn.XLOOKUP(Table1[[#This Row],[Key]],Recidivism!C:C,Recidivism!E:E)</f>
        <v>0</v>
      </c>
      <c r="M62">
        <f>IF(ISNA(Table1[[#This Row],[habitual_offenders]]), _xlfn.AGGREGATE(1, 6, Table1[habitual_offenders]), Table1[[#This Row],[habitual_offenders]])</f>
        <v>0</v>
      </c>
      <c r="N62">
        <f>_xlfn.XLOOKUP(Table1[[#This Row],[Key]],Vocational!C:C,Vocational!E:E)</f>
        <v>11</v>
      </c>
      <c r="O62">
        <f>IF(ISNA(Table1[[#This Row],[vocational_count]]), _xlfn.AGGREGATE(1, 6,Table1[vocational_count]), Table1[[#This Row],[vocational_count]])</f>
        <v>11</v>
      </c>
    </row>
    <row r="63" spans="1:15" x14ac:dyDescent="0.3">
      <c r="A63" t="s">
        <v>11</v>
      </c>
      <c r="B63">
        <v>2010</v>
      </c>
      <c r="C63" t="str">
        <f>_xlfn.CONCAT(Table1[[#This Row],[STATE]],"-",Table1[[#This Row],[YEAR]])</f>
        <v>Goa-2010</v>
      </c>
      <c r="D63">
        <v>0</v>
      </c>
      <c r="E63">
        <v>0</v>
      </c>
      <c r="F63">
        <v>4</v>
      </c>
      <c r="G63">
        <v>36</v>
      </c>
      <c r="H63">
        <f>_xlfn.XLOOKUP(Table1[[#This Row],[Key]],policseStrength!C:C,policseStrength!R:R)</f>
        <v>1322</v>
      </c>
      <c r="I63">
        <f>IF(ISNA(Table1[[#This Row],[total_ps]]), _xlfn.AGGREGATE(1, 6, Table1[total_ps]), Table1[[#This Row],[total_ps]])</f>
        <v>1322</v>
      </c>
      <c r="J63">
        <f>_xlfn.XLOOKUP(Table1[[#This Row],[Key]],Recidivism!C:C,Recidivism!D:D)</f>
        <v>128</v>
      </c>
      <c r="K63">
        <f>IF(ISNA(Table1[[#This Row],[convicts_admitted_raw]]), _xlfn.AGGREGATE(1, 6, Table1[convicts_admitted_raw]), Table1[[#This Row],[convicts_admitted_raw]])</f>
        <v>128</v>
      </c>
      <c r="L63">
        <f>_xlfn.XLOOKUP(Table1[[#This Row],[Key]],Recidivism!C:C,Recidivism!E:E)</f>
        <v>4</v>
      </c>
      <c r="M63">
        <f>IF(ISNA(Table1[[#This Row],[habitual_offenders]]), _xlfn.AGGREGATE(1, 6, Table1[habitual_offenders]), Table1[[#This Row],[habitual_offenders]])</f>
        <v>4</v>
      </c>
      <c r="N63">
        <f>_xlfn.XLOOKUP(Table1[[#This Row],[Key]],Vocational!C:C,Vocational!E:E)</f>
        <v>8</v>
      </c>
      <c r="O63">
        <f>IF(ISNA(Table1[[#This Row],[vocational_count]]), _xlfn.AGGREGATE(1, 6,Table1[vocational_count]), Table1[[#This Row],[vocational_count]])</f>
        <v>8</v>
      </c>
    </row>
    <row r="64" spans="1:15" x14ac:dyDescent="0.3">
      <c r="A64" t="s">
        <v>11</v>
      </c>
      <c r="B64">
        <v>2011</v>
      </c>
      <c r="C64" t="str">
        <f>_xlfn.CONCAT(Table1[[#This Row],[STATE]],"-",Table1[[#This Row],[YEAR]])</f>
        <v>Goa-2011</v>
      </c>
      <c r="D64">
        <v>0</v>
      </c>
      <c r="E64">
        <v>0</v>
      </c>
      <c r="F64">
        <v>14</v>
      </c>
      <c r="G64">
        <v>48</v>
      </c>
      <c r="H64" t="e">
        <f>_xlfn.XLOOKUP(Table1[[#This Row],[Key]],policseStrength!C:C,policseStrength!R:R)</f>
        <v>#N/A</v>
      </c>
      <c r="I64">
        <f>IF(ISNA(Table1[[#This Row],[total_ps]]), _xlfn.AGGREGATE(1, 6, Table1[total_ps]), Table1[[#This Row],[total_ps]])</f>
        <v>20128.370106761566</v>
      </c>
      <c r="J64">
        <f>_xlfn.XLOOKUP(Table1[[#This Row],[Key]],Recidivism!C:C,Recidivism!D:D)</f>
        <v>138</v>
      </c>
      <c r="K64">
        <f>IF(ISNA(Table1[[#This Row],[convicts_admitted_raw]]), _xlfn.AGGREGATE(1, 6, Table1[convicts_admitted_raw]), Table1[[#This Row],[convicts_admitted_raw]])</f>
        <v>138</v>
      </c>
      <c r="L64">
        <f>_xlfn.XLOOKUP(Table1[[#This Row],[Key]],Recidivism!C:C,Recidivism!E:E)</f>
        <v>3</v>
      </c>
      <c r="M64">
        <f>IF(ISNA(Table1[[#This Row],[habitual_offenders]]), _xlfn.AGGREGATE(1, 6, Table1[habitual_offenders]), Table1[[#This Row],[habitual_offenders]])</f>
        <v>3</v>
      </c>
      <c r="N64">
        <f>_xlfn.XLOOKUP(Table1[[#This Row],[Key]],Vocational!C:C,Vocational!E:E)</f>
        <v>6</v>
      </c>
      <c r="O64">
        <f>IF(ISNA(Table1[[#This Row],[vocational_count]]), _xlfn.AGGREGATE(1, 6,Table1[vocational_count]), Table1[[#This Row],[vocational_count]])</f>
        <v>6</v>
      </c>
    </row>
    <row r="65" spans="1:15" x14ac:dyDescent="0.3">
      <c r="A65" t="s">
        <v>11</v>
      </c>
      <c r="B65">
        <v>2012</v>
      </c>
      <c r="C65" t="str">
        <f>_xlfn.CONCAT(Table1[[#This Row],[STATE]],"-",Table1[[#This Row],[YEAR]])</f>
        <v>Goa-2012</v>
      </c>
      <c r="D65">
        <v>0</v>
      </c>
      <c r="E65">
        <v>0</v>
      </c>
      <c r="F65">
        <v>6</v>
      </c>
      <c r="G65">
        <v>46</v>
      </c>
      <c r="H65" t="e">
        <f>_xlfn.XLOOKUP(Table1[[#This Row],[Key]],policseStrength!C:C,policseStrength!R:R)</f>
        <v>#N/A</v>
      </c>
      <c r="I65">
        <f>IF(ISNA(Table1[[#This Row],[total_ps]]), _xlfn.AGGREGATE(1, 6, Table1[total_ps]), Table1[[#This Row],[total_ps]])</f>
        <v>20128.370106761566</v>
      </c>
      <c r="J65">
        <f>_xlfn.XLOOKUP(Table1[[#This Row],[Key]],Recidivism!C:C,Recidivism!D:D)</f>
        <v>135</v>
      </c>
      <c r="K65">
        <f>IF(ISNA(Table1[[#This Row],[convicts_admitted_raw]]), _xlfn.AGGREGATE(1, 6, Table1[convicts_admitted_raw]), Table1[[#This Row],[convicts_admitted_raw]])</f>
        <v>135</v>
      </c>
      <c r="L65">
        <f>_xlfn.XLOOKUP(Table1[[#This Row],[Key]],Recidivism!C:C,Recidivism!E:E)</f>
        <v>4</v>
      </c>
      <c r="M65">
        <f>IF(ISNA(Table1[[#This Row],[habitual_offenders]]), _xlfn.AGGREGATE(1, 6, Table1[habitual_offenders]), Table1[[#This Row],[habitual_offenders]])</f>
        <v>4</v>
      </c>
      <c r="N65">
        <f>_xlfn.XLOOKUP(Table1[[#This Row],[Key]],Vocational!C:C,Vocational!E:E)</f>
        <v>46</v>
      </c>
      <c r="O65">
        <f>IF(ISNA(Table1[[#This Row],[vocational_count]]), _xlfn.AGGREGATE(1, 6,Table1[vocational_count]), Table1[[#This Row],[vocational_count]])</f>
        <v>46</v>
      </c>
    </row>
    <row r="66" spans="1:15" x14ac:dyDescent="0.3">
      <c r="A66" t="s">
        <v>12</v>
      </c>
      <c r="B66">
        <v>2001</v>
      </c>
      <c r="C66" t="str">
        <f>_xlfn.CONCAT(Table1[[#This Row],[STATE]],"-",Table1[[#This Row],[YEAR]])</f>
        <v>Gujarat-2001</v>
      </c>
      <c r="D66">
        <v>154</v>
      </c>
      <c r="E66">
        <v>504</v>
      </c>
      <c r="F66">
        <v>23</v>
      </c>
      <c r="G66">
        <v>58</v>
      </c>
      <c r="H66">
        <f>_xlfn.XLOOKUP(Table1[[#This Row],[Key]],policseStrength!C:C,policseStrength!R:R)</f>
        <v>23182</v>
      </c>
      <c r="I66">
        <f>IF(ISNA(Table1[[#This Row],[total_ps]]), _xlfn.AGGREGATE(1, 6, Table1[total_ps]), Table1[[#This Row],[total_ps]])</f>
        <v>23182</v>
      </c>
      <c r="J66">
        <f>_xlfn.XLOOKUP(Table1[[#This Row],[Key]],Recidivism!C:C,Recidivism!D:D)</f>
        <v>5068</v>
      </c>
      <c r="K66">
        <f>IF(ISNA(Table1[[#This Row],[convicts_admitted_raw]]), _xlfn.AGGREGATE(1, 6, Table1[convicts_admitted_raw]), Table1[[#This Row],[convicts_admitted_raw]])</f>
        <v>5068</v>
      </c>
      <c r="L66">
        <f>_xlfn.XLOOKUP(Table1[[#This Row],[Key]],Recidivism!C:C,Recidivism!E:E)</f>
        <v>24</v>
      </c>
      <c r="M66">
        <f>IF(ISNA(Table1[[#This Row],[habitual_offenders]]), _xlfn.AGGREGATE(1, 6, Table1[habitual_offenders]), Table1[[#This Row],[habitual_offenders]])</f>
        <v>24</v>
      </c>
      <c r="N66">
        <f>_xlfn.XLOOKUP(Table1[[#This Row],[Key]],Vocational!C:C,Vocational!E:E)</f>
        <v>210</v>
      </c>
      <c r="O66">
        <f>IF(ISNA(Table1[[#This Row],[vocational_count]]), _xlfn.AGGREGATE(1, 6,Table1[vocational_count]), Table1[[#This Row],[vocational_count]])</f>
        <v>210</v>
      </c>
    </row>
    <row r="67" spans="1:15" x14ac:dyDescent="0.3">
      <c r="A67" t="s">
        <v>12</v>
      </c>
      <c r="B67">
        <v>2002</v>
      </c>
      <c r="C67" t="str">
        <f>_xlfn.CONCAT(Table1[[#This Row],[STATE]],"-",Table1[[#This Row],[YEAR]])</f>
        <v>Gujarat-2002</v>
      </c>
      <c r="D67">
        <v>695</v>
      </c>
      <c r="E67">
        <v>1100</v>
      </c>
      <c r="F67">
        <v>81</v>
      </c>
      <c r="G67">
        <v>44</v>
      </c>
      <c r="H67">
        <f>_xlfn.XLOOKUP(Table1[[#This Row],[Key]],policseStrength!C:C,policseStrength!R:R)</f>
        <v>22090</v>
      </c>
      <c r="I67">
        <f>IF(ISNA(Table1[[#This Row],[total_ps]]), _xlfn.AGGREGATE(1, 6, Table1[total_ps]), Table1[[#This Row],[total_ps]])</f>
        <v>22090</v>
      </c>
      <c r="J67">
        <f>_xlfn.XLOOKUP(Table1[[#This Row],[Key]],Recidivism!C:C,Recidivism!D:D)</f>
        <v>5834</v>
      </c>
      <c r="K67">
        <f>IF(ISNA(Table1[[#This Row],[convicts_admitted_raw]]), _xlfn.AGGREGATE(1, 6, Table1[convicts_admitted_raw]), Table1[[#This Row],[convicts_admitted_raw]])</f>
        <v>5834</v>
      </c>
      <c r="L67">
        <f>_xlfn.XLOOKUP(Table1[[#This Row],[Key]],Recidivism!C:C,Recidivism!E:E)</f>
        <v>4</v>
      </c>
      <c r="M67">
        <f>IF(ISNA(Table1[[#This Row],[habitual_offenders]]), _xlfn.AGGREGATE(1, 6, Table1[habitual_offenders]), Table1[[#This Row],[habitual_offenders]])</f>
        <v>4</v>
      </c>
      <c r="N67">
        <f>_xlfn.XLOOKUP(Table1[[#This Row],[Key]],Vocational!C:C,Vocational!E:E)</f>
        <v>191</v>
      </c>
      <c r="O67">
        <f>IF(ISNA(Table1[[#This Row],[vocational_count]]), _xlfn.AGGREGATE(1, 6,Table1[vocational_count]), Table1[[#This Row],[vocational_count]])</f>
        <v>191</v>
      </c>
    </row>
    <row r="68" spans="1:15" x14ac:dyDescent="0.3">
      <c r="A68" t="s">
        <v>12</v>
      </c>
      <c r="B68">
        <v>2003</v>
      </c>
      <c r="C68" t="str">
        <f>_xlfn.CONCAT(Table1[[#This Row],[STATE]],"-",Table1[[#This Row],[YEAR]])</f>
        <v>Gujarat-2003</v>
      </c>
      <c r="D68">
        <v>146</v>
      </c>
      <c r="E68">
        <v>282</v>
      </c>
      <c r="F68">
        <v>60</v>
      </c>
      <c r="G68">
        <v>68</v>
      </c>
      <c r="H68">
        <f>_xlfn.XLOOKUP(Table1[[#This Row],[Key]],policseStrength!C:C,policseStrength!R:R)</f>
        <v>21690</v>
      </c>
      <c r="I68">
        <f>IF(ISNA(Table1[[#This Row],[total_ps]]), _xlfn.AGGREGATE(1, 6, Table1[total_ps]), Table1[[#This Row],[total_ps]])</f>
        <v>21690</v>
      </c>
      <c r="J68">
        <f>_xlfn.XLOOKUP(Table1[[#This Row],[Key]],Recidivism!C:C,Recidivism!D:D)</f>
        <v>8014</v>
      </c>
      <c r="K68">
        <f>IF(ISNA(Table1[[#This Row],[convicts_admitted_raw]]), _xlfn.AGGREGATE(1, 6, Table1[convicts_admitted_raw]), Table1[[#This Row],[convicts_admitted_raw]])</f>
        <v>8014</v>
      </c>
      <c r="L68">
        <f>_xlfn.XLOOKUP(Table1[[#This Row],[Key]],Recidivism!C:C,Recidivism!E:E)</f>
        <v>2</v>
      </c>
      <c r="M68">
        <f>IF(ISNA(Table1[[#This Row],[habitual_offenders]]), _xlfn.AGGREGATE(1, 6, Table1[habitual_offenders]), Table1[[#This Row],[habitual_offenders]])</f>
        <v>2</v>
      </c>
      <c r="N68">
        <f>_xlfn.XLOOKUP(Table1[[#This Row],[Key]],Vocational!C:C,Vocational!E:E)</f>
        <v>207</v>
      </c>
      <c r="O68">
        <f>IF(ISNA(Table1[[#This Row],[vocational_count]]), _xlfn.AGGREGATE(1, 6,Table1[vocational_count]), Table1[[#This Row],[vocational_count]])</f>
        <v>207</v>
      </c>
    </row>
    <row r="69" spans="1:15" x14ac:dyDescent="0.3">
      <c r="A69" t="s">
        <v>12</v>
      </c>
      <c r="B69">
        <v>2004</v>
      </c>
      <c r="C69" t="str">
        <f>_xlfn.CONCAT(Table1[[#This Row],[STATE]],"-",Table1[[#This Row],[YEAR]])</f>
        <v>Gujarat-2004</v>
      </c>
      <c r="D69">
        <v>265</v>
      </c>
      <c r="E69">
        <v>558</v>
      </c>
      <c r="F69">
        <v>157</v>
      </c>
      <c r="G69">
        <v>181</v>
      </c>
      <c r="H69">
        <f>_xlfn.XLOOKUP(Table1[[#This Row],[Key]],policseStrength!C:C,policseStrength!R:R)</f>
        <v>21690</v>
      </c>
      <c r="I69">
        <f>IF(ISNA(Table1[[#This Row],[total_ps]]), _xlfn.AGGREGATE(1, 6, Table1[total_ps]), Table1[[#This Row],[total_ps]])</f>
        <v>21690</v>
      </c>
      <c r="J69">
        <f>_xlfn.XLOOKUP(Table1[[#This Row],[Key]],Recidivism!C:C,Recidivism!D:D)</f>
        <v>10700</v>
      </c>
      <c r="K69">
        <f>IF(ISNA(Table1[[#This Row],[convicts_admitted_raw]]), _xlfn.AGGREGATE(1, 6, Table1[convicts_admitted_raw]), Table1[[#This Row],[convicts_admitted_raw]])</f>
        <v>10700</v>
      </c>
      <c r="L69">
        <f>_xlfn.XLOOKUP(Table1[[#This Row],[Key]],Recidivism!C:C,Recidivism!E:E)</f>
        <v>12</v>
      </c>
      <c r="M69">
        <f>IF(ISNA(Table1[[#This Row],[habitual_offenders]]), _xlfn.AGGREGATE(1, 6, Table1[habitual_offenders]), Table1[[#This Row],[habitual_offenders]])</f>
        <v>12</v>
      </c>
      <c r="N69">
        <f>_xlfn.XLOOKUP(Table1[[#This Row],[Key]],Vocational!C:C,Vocational!E:E)</f>
        <v>194</v>
      </c>
      <c r="O69">
        <f>IF(ISNA(Table1[[#This Row],[vocational_count]]), _xlfn.AGGREGATE(1, 6,Table1[vocational_count]), Table1[[#This Row],[vocational_count]])</f>
        <v>194</v>
      </c>
    </row>
    <row r="70" spans="1:15" x14ac:dyDescent="0.3">
      <c r="A70" t="s">
        <v>12</v>
      </c>
      <c r="B70">
        <v>2005</v>
      </c>
      <c r="C70" t="str">
        <f>_xlfn.CONCAT(Table1[[#This Row],[STATE]],"-",Table1[[#This Row],[YEAR]])</f>
        <v>Gujarat-2005</v>
      </c>
      <c r="D70">
        <v>255</v>
      </c>
      <c r="E70">
        <v>1069</v>
      </c>
      <c r="F70">
        <v>41</v>
      </c>
      <c r="G70">
        <v>104</v>
      </c>
      <c r="H70">
        <f>_xlfn.XLOOKUP(Table1[[#This Row],[Key]],policseStrength!C:C,policseStrength!R:R)</f>
        <v>21690</v>
      </c>
      <c r="I70">
        <f>IF(ISNA(Table1[[#This Row],[total_ps]]), _xlfn.AGGREGATE(1, 6, Table1[total_ps]), Table1[[#This Row],[total_ps]])</f>
        <v>21690</v>
      </c>
      <c r="J70">
        <f>_xlfn.XLOOKUP(Table1[[#This Row],[Key]],Recidivism!C:C,Recidivism!D:D)</f>
        <v>8440</v>
      </c>
      <c r="K70">
        <f>IF(ISNA(Table1[[#This Row],[convicts_admitted_raw]]), _xlfn.AGGREGATE(1, 6, Table1[convicts_admitted_raw]), Table1[[#This Row],[convicts_admitted_raw]])</f>
        <v>8440</v>
      </c>
      <c r="L70">
        <f>_xlfn.XLOOKUP(Table1[[#This Row],[Key]],Recidivism!C:C,Recidivism!E:E)</f>
        <v>15</v>
      </c>
      <c r="M70">
        <f>IF(ISNA(Table1[[#This Row],[habitual_offenders]]), _xlfn.AGGREGATE(1, 6, Table1[habitual_offenders]), Table1[[#This Row],[habitual_offenders]])</f>
        <v>15</v>
      </c>
      <c r="N70">
        <f>_xlfn.XLOOKUP(Table1[[#This Row],[Key]],Vocational!C:C,Vocational!E:E)</f>
        <v>204</v>
      </c>
      <c r="O70">
        <f>IF(ISNA(Table1[[#This Row],[vocational_count]]), _xlfn.AGGREGATE(1, 6,Table1[vocational_count]), Table1[[#This Row],[vocational_count]])</f>
        <v>204</v>
      </c>
    </row>
    <row r="71" spans="1:15" x14ac:dyDescent="0.3">
      <c r="A71" t="s">
        <v>12</v>
      </c>
      <c r="B71">
        <v>2006</v>
      </c>
      <c r="C71" t="str">
        <f>_xlfn.CONCAT(Table1[[#This Row],[STATE]],"-",Table1[[#This Row],[YEAR]])</f>
        <v>Gujarat-2006</v>
      </c>
      <c r="D71">
        <v>109</v>
      </c>
      <c r="E71">
        <v>1162</v>
      </c>
      <c r="F71">
        <v>46</v>
      </c>
      <c r="G71">
        <v>933</v>
      </c>
      <c r="H71">
        <f>_xlfn.XLOOKUP(Table1[[#This Row],[Key]],policseStrength!C:C,policseStrength!R:R)</f>
        <v>32434</v>
      </c>
      <c r="I71">
        <f>IF(ISNA(Table1[[#This Row],[total_ps]]), _xlfn.AGGREGATE(1, 6, Table1[total_ps]), Table1[[#This Row],[total_ps]])</f>
        <v>32434</v>
      </c>
      <c r="J71">
        <f>_xlfn.XLOOKUP(Table1[[#This Row],[Key]],Recidivism!C:C,Recidivism!D:D)</f>
        <v>13474</v>
      </c>
      <c r="K71">
        <f>IF(ISNA(Table1[[#This Row],[convicts_admitted_raw]]), _xlfn.AGGREGATE(1, 6, Table1[convicts_admitted_raw]), Table1[[#This Row],[convicts_admitted_raw]])</f>
        <v>13474</v>
      </c>
      <c r="L71">
        <f>_xlfn.XLOOKUP(Table1[[#This Row],[Key]],Recidivism!C:C,Recidivism!E:E)</f>
        <v>12</v>
      </c>
      <c r="M71">
        <f>IF(ISNA(Table1[[#This Row],[habitual_offenders]]), _xlfn.AGGREGATE(1, 6, Table1[habitual_offenders]), Table1[[#This Row],[habitual_offenders]])</f>
        <v>12</v>
      </c>
      <c r="N71">
        <f>_xlfn.XLOOKUP(Table1[[#This Row],[Key]],Vocational!C:C,Vocational!E:E)</f>
        <v>1317</v>
      </c>
      <c r="O71">
        <f>IF(ISNA(Table1[[#This Row],[vocational_count]]), _xlfn.AGGREGATE(1, 6,Table1[vocational_count]), Table1[[#This Row],[vocational_count]])</f>
        <v>1317</v>
      </c>
    </row>
    <row r="72" spans="1:15" x14ac:dyDescent="0.3">
      <c r="A72" t="s">
        <v>12</v>
      </c>
      <c r="B72">
        <v>2007</v>
      </c>
      <c r="C72" t="str">
        <f>_xlfn.CONCAT(Table1[[#This Row],[STATE]],"-",Table1[[#This Row],[YEAR]])</f>
        <v>Gujarat-2007</v>
      </c>
      <c r="D72">
        <v>2017</v>
      </c>
      <c r="E72">
        <v>280</v>
      </c>
      <c r="F72">
        <v>48</v>
      </c>
      <c r="G72">
        <v>86</v>
      </c>
      <c r="H72">
        <f>_xlfn.XLOOKUP(Table1[[#This Row],[Key]],policseStrength!C:C,policseStrength!R:R)</f>
        <v>19276</v>
      </c>
      <c r="I72">
        <f>IF(ISNA(Table1[[#This Row],[total_ps]]), _xlfn.AGGREGATE(1, 6, Table1[total_ps]), Table1[[#This Row],[total_ps]])</f>
        <v>19276</v>
      </c>
      <c r="J72">
        <f>_xlfn.XLOOKUP(Table1[[#This Row],[Key]],Recidivism!C:C,Recidivism!D:D)</f>
        <v>10577</v>
      </c>
      <c r="K72">
        <f>IF(ISNA(Table1[[#This Row],[convicts_admitted_raw]]), _xlfn.AGGREGATE(1, 6, Table1[convicts_admitted_raw]), Table1[[#This Row],[convicts_admitted_raw]])</f>
        <v>10577</v>
      </c>
      <c r="L72">
        <f>_xlfn.XLOOKUP(Table1[[#This Row],[Key]],Recidivism!C:C,Recidivism!E:E)</f>
        <v>27</v>
      </c>
      <c r="M72">
        <f>IF(ISNA(Table1[[#This Row],[habitual_offenders]]), _xlfn.AGGREGATE(1, 6, Table1[habitual_offenders]), Table1[[#This Row],[habitual_offenders]])</f>
        <v>27</v>
      </c>
      <c r="N72">
        <f>_xlfn.XLOOKUP(Table1[[#This Row],[Key]],Vocational!C:C,Vocational!E:E)</f>
        <v>1559</v>
      </c>
      <c r="O72">
        <f>IF(ISNA(Table1[[#This Row],[vocational_count]]), _xlfn.AGGREGATE(1, 6,Table1[vocational_count]), Table1[[#This Row],[vocational_count]])</f>
        <v>1559</v>
      </c>
    </row>
    <row r="73" spans="1:15" x14ac:dyDescent="0.3">
      <c r="A73" t="s">
        <v>12</v>
      </c>
      <c r="B73">
        <v>2008</v>
      </c>
      <c r="C73" t="str">
        <f>_xlfn.CONCAT(Table1[[#This Row],[STATE]],"-",Table1[[#This Row],[YEAR]])</f>
        <v>Gujarat-2008</v>
      </c>
      <c r="D73">
        <v>0</v>
      </c>
      <c r="E73">
        <v>0</v>
      </c>
      <c r="F73">
        <v>7</v>
      </c>
      <c r="G73">
        <v>0</v>
      </c>
      <c r="H73">
        <f>_xlfn.XLOOKUP(Table1[[#This Row],[Key]],policseStrength!C:C,policseStrength!R:R)</f>
        <v>24926</v>
      </c>
      <c r="I73">
        <f>IF(ISNA(Table1[[#This Row],[total_ps]]), _xlfn.AGGREGATE(1, 6, Table1[total_ps]), Table1[[#This Row],[total_ps]])</f>
        <v>24926</v>
      </c>
      <c r="J73">
        <f>_xlfn.XLOOKUP(Table1[[#This Row],[Key]],Recidivism!C:C,Recidivism!D:D)</f>
        <v>5562</v>
      </c>
      <c r="K73">
        <f>IF(ISNA(Table1[[#This Row],[convicts_admitted_raw]]), _xlfn.AGGREGATE(1, 6, Table1[convicts_admitted_raw]), Table1[[#This Row],[convicts_admitted_raw]])</f>
        <v>5562</v>
      </c>
      <c r="L73">
        <f>_xlfn.XLOOKUP(Table1[[#This Row],[Key]],Recidivism!C:C,Recidivism!E:E)</f>
        <v>13</v>
      </c>
      <c r="M73">
        <f>IF(ISNA(Table1[[#This Row],[habitual_offenders]]), _xlfn.AGGREGATE(1, 6, Table1[habitual_offenders]), Table1[[#This Row],[habitual_offenders]])</f>
        <v>13</v>
      </c>
      <c r="N73">
        <f>_xlfn.XLOOKUP(Table1[[#This Row],[Key]],Vocational!C:C,Vocational!E:E)</f>
        <v>1626</v>
      </c>
      <c r="O73">
        <f>IF(ISNA(Table1[[#This Row],[vocational_count]]), _xlfn.AGGREGATE(1, 6,Table1[vocational_count]), Table1[[#This Row],[vocational_count]])</f>
        <v>1626</v>
      </c>
    </row>
    <row r="74" spans="1:15" x14ac:dyDescent="0.3">
      <c r="A74" t="s">
        <v>12</v>
      </c>
      <c r="B74">
        <v>2009</v>
      </c>
      <c r="C74" t="str">
        <f>_xlfn.CONCAT(Table1[[#This Row],[STATE]],"-",Table1[[#This Row],[YEAR]])</f>
        <v>Gujarat-2009</v>
      </c>
      <c r="D74">
        <v>667</v>
      </c>
      <c r="E74">
        <v>642</v>
      </c>
      <c r="F74">
        <v>231</v>
      </c>
      <c r="G74">
        <v>650</v>
      </c>
      <c r="H74">
        <f>_xlfn.XLOOKUP(Table1[[#This Row],[Key]],policseStrength!C:C,policseStrength!R:R)</f>
        <v>24342</v>
      </c>
      <c r="I74">
        <f>IF(ISNA(Table1[[#This Row],[total_ps]]), _xlfn.AGGREGATE(1, 6, Table1[total_ps]), Table1[[#This Row],[total_ps]])</f>
        <v>24342</v>
      </c>
      <c r="J74">
        <f>_xlfn.XLOOKUP(Table1[[#This Row],[Key]],Recidivism!C:C,Recidivism!D:D)</f>
        <v>6878</v>
      </c>
      <c r="K74">
        <f>IF(ISNA(Table1[[#This Row],[convicts_admitted_raw]]), _xlfn.AGGREGATE(1, 6, Table1[convicts_admitted_raw]), Table1[[#This Row],[convicts_admitted_raw]])</f>
        <v>6878</v>
      </c>
      <c r="L74">
        <f>_xlfn.XLOOKUP(Table1[[#This Row],[Key]],Recidivism!C:C,Recidivism!E:E)</f>
        <v>6</v>
      </c>
      <c r="M74">
        <f>IF(ISNA(Table1[[#This Row],[habitual_offenders]]), _xlfn.AGGREGATE(1, 6, Table1[habitual_offenders]), Table1[[#This Row],[habitual_offenders]])</f>
        <v>6</v>
      </c>
      <c r="N74">
        <f>_xlfn.XLOOKUP(Table1[[#This Row],[Key]],Vocational!C:C,Vocational!E:E)</f>
        <v>1693</v>
      </c>
      <c r="O74">
        <f>IF(ISNA(Table1[[#This Row],[vocational_count]]), _xlfn.AGGREGATE(1, 6,Table1[vocational_count]), Table1[[#This Row],[vocational_count]])</f>
        <v>1693</v>
      </c>
    </row>
    <row r="75" spans="1:15" x14ac:dyDescent="0.3">
      <c r="A75" t="s">
        <v>12</v>
      </c>
      <c r="B75">
        <v>2010</v>
      </c>
      <c r="C75" t="str">
        <f>_xlfn.CONCAT(Table1[[#This Row],[STATE]],"-",Table1[[#This Row],[YEAR]])</f>
        <v>Gujarat-2010</v>
      </c>
      <c r="D75">
        <v>2820</v>
      </c>
      <c r="E75">
        <v>966</v>
      </c>
      <c r="F75">
        <v>145</v>
      </c>
      <c r="G75">
        <v>712</v>
      </c>
      <c r="H75">
        <f>_xlfn.XLOOKUP(Table1[[#This Row],[Key]],policseStrength!C:C,policseStrength!R:R)</f>
        <v>31872</v>
      </c>
      <c r="I75">
        <f>IF(ISNA(Table1[[#This Row],[total_ps]]), _xlfn.AGGREGATE(1, 6, Table1[total_ps]), Table1[[#This Row],[total_ps]])</f>
        <v>31872</v>
      </c>
      <c r="J75">
        <f>_xlfn.XLOOKUP(Table1[[#This Row],[Key]],Recidivism!C:C,Recidivism!D:D)</f>
        <v>7348</v>
      </c>
      <c r="K75">
        <f>IF(ISNA(Table1[[#This Row],[convicts_admitted_raw]]), _xlfn.AGGREGATE(1, 6, Table1[convicts_admitted_raw]), Table1[[#This Row],[convicts_admitted_raw]])</f>
        <v>7348</v>
      </c>
      <c r="L75">
        <f>_xlfn.XLOOKUP(Table1[[#This Row],[Key]],Recidivism!C:C,Recidivism!E:E)</f>
        <v>0</v>
      </c>
      <c r="M75">
        <f>IF(ISNA(Table1[[#This Row],[habitual_offenders]]), _xlfn.AGGREGATE(1, 6, Table1[habitual_offenders]), Table1[[#This Row],[habitual_offenders]])</f>
        <v>0</v>
      </c>
      <c r="N75">
        <f>_xlfn.XLOOKUP(Table1[[#This Row],[Key]],Vocational!C:C,Vocational!E:E)</f>
        <v>1796</v>
      </c>
      <c r="O75">
        <f>IF(ISNA(Table1[[#This Row],[vocational_count]]), _xlfn.AGGREGATE(1, 6,Table1[vocational_count]), Table1[[#This Row],[vocational_count]])</f>
        <v>1796</v>
      </c>
    </row>
    <row r="76" spans="1:15" x14ac:dyDescent="0.3">
      <c r="A76" t="s">
        <v>12</v>
      </c>
      <c r="B76">
        <v>2011</v>
      </c>
      <c r="C76" t="str">
        <f>_xlfn.CONCAT(Table1[[#This Row],[STATE]],"-",Table1[[#This Row],[YEAR]])</f>
        <v>Gujarat-2011</v>
      </c>
      <c r="D76">
        <v>2846</v>
      </c>
      <c r="E76">
        <v>3078</v>
      </c>
      <c r="F76">
        <v>1593</v>
      </c>
      <c r="G76">
        <v>576</v>
      </c>
      <c r="H76" t="e">
        <f>_xlfn.XLOOKUP(Table1[[#This Row],[Key]],policseStrength!C:C,policseStrength!R:R)</f>
        <v>#N/A</v>
      </c>
      <c r="I76">
        <f>IF(ISNA(Table1[[#This Row],[total_ps]]), _xlfn.AGGREGATE(1, 6, Table1[total_ps]), Table1[[#This Row],[total_ps]])</f>
        <v>20128.370106761566</v>
      </c>
      <c r="J76">
        <f>_xlfn.XLOOKUP(Table1[[#This Row],[Key]],Recidivism!C:C,Recidivism!D:D)</f>
        <v>7842</v>
      </c>
      <c r="K76">
        <f>IF(ISNA(Table1[[#This Row],[convicts_admitted_raw]]), _xlfn.AGGREGATE(1, 6, Table1[convicts_admitted_raw]), Table1[[#This Row],[convicts_admitted_raw]])</f>
        <v>7842</v>
      </c>
      <c r="L76">
        <f>_xlfn.XLOOKUP(Table1[[#This Row],[Key]],Recidivism!C:C,Recidivism!E:E)</f>
        <v>0</v>
      </c>
      <c r="M76">
        <f>IF(ISNA(Table1[[#This Row],[habitual_offenders]]), _xlfn.AGGREGATE(1, 6, Table1[habitual_offenders]), Table1[[#This Row],[habitual_offenders]])</f>
        <v>0</v>
      </c>
      <c r="N76">
        <f>_xlfn.XLOOKUP(Table1[[#This Row],[Key]],Vocational!C:C,Vocational!E:E)</f>
        <v>1808</v>
      </c>
      <c r="O76">
        <f>IF(ISNA(Table1[[#This Row],[vocational_count]]), _xlfn.AGGREGATE(1, 6,Table1[vocational_count]), Table1[[#This Row],[vocational_count]])</f>
        <v>1808</v>
      </c>
    </row>
    <row r="77" spans="1:15" x14ac:dyDescent="0.3">
      <c r="A77" t="s">
        <v>12</v>
      </c>
      <c r="B77">
        <v>2012</v>
      </c>
      <c r="C77" t="str">
        <f>_xlfn.CONCAT(Table1[[#This Row],[STATE]],"-",Table1[[#This Row],[YEAR]])</f>
        <v>Gujarat-2012</v>
      </c>
      <c r="D77">
        <v>2331</v>
      </c>
      <c r="E77">
        <v>2082</v>
      </c>
      <c r="F77">
        <v>1348</v>
      </c>
      <c r="G77">
        <v>665</v>
      </c>
      <c r="H77" t="e">
        <f>_xlfn.XLOOKUP(Table1[[#This Row],[Key]],policseStrength!C:C,policseStrength!R:R)</f>
        <v>#N/A</v>
      </c>
      <c r="I77">
        <f>IF(ISNA(Table1[[#This Row],[total_ps]]), _xlfn.AGGREGATE(1, 6, Table1[total_ps]), Table1[[#This Row],[total_ps]])</f>
        <v>20128.370106761566</v>
      </c>
      <c r="J77">
        <f>_xlfn.XLOOKUP(Table1[[#This Row],[Key]],Recidivism!C:C,Recidivism!D:D)</f>
        <v>6885</v>
      </c>
      <c r="K77">
        <f>IF(ISNA(Table1[[#This Row],[convicts_admitted_raw]]), _xlfn.AGGREGATE(1, 6, Table1[convicts_admitted_raw]), Table1[[#This Row],[convicts_admitted_raw]])</f>
        <v>6885</v>
      </c>
      <c r="L77">
        <f>_xlfn.XLOOKUP(Table1[[#This Row],[Key]],Recidivism!C:C,Recidivism!E:E)</f>
        <v>0</v>
      </c>
      <c r="M77">
        <f>IF(ISNA(Table1[[#This Row],[habitual_offenders]]), _xlfn.AGGREGATE(1, 6, Table1[habitual_offenders]), Table1[[#This Row],[habitual_offenders]])</f>
        <v>0</v>
      </c>
      <c r="N77">
        <f>_xlfn.XLOOKUP(Table1[[#This Row],[Key]],Vocational!C:C,Vocational!E:E)</f>
        <v>1634</v>
      </c>
      <c r="O77">
        <f>IF(ISNA(Table1[[#This Row],[vocational_count]]), _xlfn.AGGREGATE(1, 6,Table1[vocational_count]), Table1[[#This Row],[vocational_count]])</f>
        <v>1634</v>
      </c>
    </row>
    <row r="78" spans="1:15" x14ac:dyDescent="0.3">
      <c r="A78" t="s">
        <v>13</v>
      </c>
      <c r="B78">
        <v>2001</v>
      </c>
      <c r="C78" t="str">
        <f>_xlfn.CONCAT(Table1[[#This Row],[STATE]],"-",Table1[[#This Row],[YEAR]])</f>
        <v>Haryana-2001</v>
      </c>
      <c r="D78">
        <v>185</v>
      </c>
      <c r="E78">
        <v>214</v>
      </c>
      <c r="F78">
        <v>12</v>
      </c>
      <c r="G78">
        <v>14</v>
      </c>
      <c r="H78">
        <f>_xlfn.XLOOKUP(Table1[[#This Row],[Key]],policseStrength!C:C,policseStrength!R:R)</f>
        <v>8840</v>
      </c>
      <c r="I78">
        <f>IF(ISNA(Table1[[#This Row],[total_ps]]), _xlfn.AGGREGATE(1, 6, Table1[total_ps]), Table1[[#This Row],[total_ps]])</f>
        <v>8840</v>
      </c>
      <c r="J78">
        <f>_xlfn.XLOOKUP(Table1[[#This Row],[Key]],Recidivism!C:C,Recidivism!D:D)</f>
        <v>3380</v>
      </c>
      <c r="K78">
        <f>IF(ISNA(Table1[[#This Row],[convicts_admitted_raw]]), _xlfn.AGGREGATE(1, 6, Table1[convicts_admitted_raw]), Table1[[#This Row],[convicts_admitted_raw]])</f>
        <v>3380</v>
      </c>
      <c r="L78">
        <f>_xlfn.XLOOKUP(Table1[[#This Row],[Key]],Recidivism!C:C,Recidivism!E:E)</f>
        <v>46</v>
      </c>
      <c r="M78">
        <f>IF(ISNA(Table1[[#This Row],[habitual_offenders]]), _xlfn.AGGREGATE(1, 6, Table1[habitual_offenders]), Table1[[#This Row],[habitual_offenders]])</f>
        <v>46</v>
      </c>
      <c r="N78" t="e">
        <f>_xlfn.XLOOKUP(Table1[[#This Row],[Key]],Vocational!C:C,Vocational!E:E)</f>
        <v>#N/A</v>
      </c>
      <c r="O78">
        <f>IF(ISNA(Table1[[#This Row],[vocational_count]]), _xlfn.AGGREGATE(1, 6,Table1[vocational_count]), Table1[[#This Row],[vocational_count]])</f>
        <v>249.28426395939087</v>
      </c>
    </row>
    <row r="79" spans="1:15" x14ac:dyDescent="0.3">
      <c r="A79" t="s">
        <v>13</v>
      </c>
      <c r="B79">
        <v>2002</v>
      </c>
      <c r="C79" t="str">
        <f>_xlfn.CONCAT(Table1[[#This Row],[STATE]],"-",Table1[[#This Row],[YEAR]])</f>
        <v>Haryana-2002</v>
      </c>
      <c r="D79">
        <v>90</v>
      </c>
      <c r="E79">
        <v>155</v>
      </c>
      <c r="F79">
        <v>5</v>
      </c>
      <c r="G79">
        <v>21</v>
      </c>
      <c r="H79">
        <f>_xlfn.XLOOKUP(Table1[[#This Row],[Key]],policseStrength!C:C,policseStrength!R:R)</f>
        <v>8346</v>
      </c>
      <c r="I79">
        <f>IF(ISNA(Table1[[#This Row],[total_ps]]), _xlfn.AGGREGATE(1, 6, Table1[total_ps]), Table1[[#This Row],[total_ps]])</f>
        <v>8346</v>
      </c>
      <c r="J79">
        <f>_xlfn.XLOOKUP(Table1[[#This Row],[Key]],Recidivism!C:C,Recidivism!D:D)</f>
        <v>3341</v>
      </c>
      <c r="K79">
        <f>IF(ISNA(Table1[[#This Row],[convicts_admitted_raw]]), _xlfn.AGGREGATE(1, 6, Table1[convicts_admitted_raw]), Table1[[#This Row],[convicts_admitted_raw]])</f>
        <v>3341</v>
      </c>
      <c r="L79">
        <f>_xlfn.XLOOKUP(Table1[[#This Row],[Key]],Recidivism!C:C,Recidivism!E:E)</f>
        <v>0</v>
      </c>
      <c r="M79">
        <f>IF(ISNA(Table1[[#This Row],[habitual_offenders]]), _xlfn.AGGREGATE(1, 6, Table1[habitual_offenders]), Table1[[#This Row],[habitual_offenders]])</f>
        <v>0</v>
      </c>
      <c r="N79" t="e">
        <f>_xlfn.XLOOKUP(Table1[[#This Row],[Key]],Vocational!C:C,Vocational!E:E)</f>
        <v>#N/A</v>
      </c>
      <c r="O79">
        <f>IF(ISNA(Table1[[#This Row],[vocational_count]]), _xlfn.AGGREGATE(1, 6,Table1[vocational_count]), Table1[[#This Row],[vocational_count]])</f>
        <v>249.28426395939087</v>
      </c>
    </row>
    <row r="80" spans="1:15" x14ac:dyDescent="0.3">
      <c r="A80" t="s">
        <v>13</v>
      </c>
      <c r="B80">
        <v>2003</v>
      </c>
      <c r="C80" t="str">
        <f>_xlfn.CONCAT(Table1[[#This Row],[STATE]],"-",Table1[[#This Row],[YEAR]])</f>
        <v>Haryana-2003</v>
      </c>
      <c r="D80">
        <v>104</v>
      </c>
      <c r="E80">
        <v>245</v>
      </c>
      <c r="F80">
        <v>3</v>
      </c>
      <c r="G80">
        <v>4</v>
      </c>
      <c r="H80">
        <f>_xlfn.XLOOKUP(Table1[[#This Row],[Key]],policseStrength!C:C,policseStrength!R:R)</f>
        <v>8700</v>
      </c>
      <c r="I80">
        <f>IF(ISNA(Table1[[#This Row],[total_ps]]), _xlfn.AGGREGATE(1, 6, Table1[total_ps]), Table1[[#This Row],[total_ps]])</f>
        <v>8700</v>
      </c>
      <c r="J80">
        <f>_xlfn.XLOOKUP(Table1[[#This Row],[Key]],Recidivism!C:C,Recidivism!D:D)</f>
        <v>5589</v>
      </c>
      <c r="K80">
        <f>IF(ISNA(Table1[[#This Row],[convicts_admitted_raw]]), _xlfn.AGGREGATE(1, 6, Table1[convicts_admitted_raw]), Table1[[#This Row],[convicts_admitted_raw]])</f>
        <v>5589</v>
      </c>
      <c r="L80">
        <f>_xlfn.XLOOKUP(Table1[[#This Row],[Key]],Recidivism!C:C,Recidivism!E:E)</f>
        <v>73</v>
      </c>
      <c r="M80">
        <f>IF(ISNA(Table1[[#This Row],[habitual_offenders]]), _xlfn.AGGREGATE(1, 6, Table1[habitual_offenders]), Table1[[#This Row],[habitual_offenders]])</f>
        <v>73</v>
      </c>
      <c r="N80">
        <f>_xlfn.XLOOKUP(Table1[[#This Row],[Key]],Vocational!C:C,Vocational!E:E)</f>
        <v>212</v>
      </c>
      <c r="O80">
        <f>IF(ISNA(Table1[[#This Row],[vocational_count]]), _xlfn.AGGREGATE(1, 6,Table1[vocational_count]), Table1[[#This Row],[vocational_count]])</f>
        <v>212</v>
      </c>
    </row>
    <row r="81" spans="1:15" x14ac:dyDescent="0.3">
      <c r="A81" t="s">
        <v>13</v>
      </c>
      <c r="B81">
        <v>2004</v>
      </c>
      <c r="C81" t="str">
        <f>_xlfn.CONCAT(Table1[[#This Row],[STATE]],"-",Table1[[#This Row],[YEAR]])</f>
        <v>Haryana-2004</v>
      </c>
      <c r="D81">
        <v>24</v>
      </c>
      <c r="E81">
        <v>215</v>
      </c>
      <c r="F81">
        <v>3</v>
      </c>
      <c r="G81">
        <v>0</v>
      </c>
      <c r="H81">
        <f>_xlfn.XLOOKUP(Table1[[#This Row],[Key]],policseStrength!C:C,policseStrength!R:R)</f>
        <v>7614</v>
      </c>
      <c r="I81">
        <f>IF(ISNA(Table1[[#This Row],[total_ps]]), _xlfn.AGGREGATE(1, 6, Table1[total_ps]), Table1[[#This Row],[total_ps]])</f>
        <v>7614</v>
      </c>
      <c r="J81">
        <f>_xlfn.XLOOKUP(Table1[[#This Row],[Key]],Recidivism!C:C,Recidivism!D:D)</f>
        <v>4810</v>
      </c>
      <c r="K81">
        <f>IF(ISNA(Table1[[#This Row],[convicts_admitted_raw]]), _xlfn.AGGREGATE(1, 6, Table1[convicts_admitted_raw]), Table1[[#This Row],[convicts_admitted_raw]])</f>
        <v>4810</v>
      </c>
      <c r="L81">
        <f>_xlfn.XLOOKUP(Table1[[#This Row],[Key]],Recidivism!C:C,Recidivism!E:E)</f>
        <v>67</v>
      </c>
      <c r="M81">
        <f>IF(ISNA(Table1[[#This Row],[habitual_offenders]]), _xlfn.AGGREGATE(1, 6, Table1[habitual_offenders]), Table1[[#This Row],[habitual_offenders]])</f>
        <v>67</v>
      </c>
      <c r="N81">
        <f>_xlfn.XLOOKUP(Table1[[#This Row],[Key]],Vocational!C:C,Vocational!E:E)</f>
        <v>296</v>
      </c>
      <c r="O81">
        <f>IF(ISNA(Table1[[#This Row],[vocational_count]]), _xlfn.AGGREGATE(1, 6,Table1[vocational_count]), Table1[[#This Row],[vocational_count]])</f>
        <v>296</v>
      </c>
    </row>
    <row r="82" spans="1:15" x14ac:dyDescent="0.3">
      <c r="A82" t="s">
        <v>13</v>
      </c>
      <c r="B82">
        <v>2005</v>
      </c>
      <c r="C82" t="str">
        <f>_xlfn.CONCAT(Table1[[#This Row],[STATE]],"-",Table1[[#This Row],[YEAR]])</f>
        <v>Haryana-2005</v>
      </c>
      <c r="D82">
        <v>0</v>
      </c>
      <c r="E82">
        <v>0</v>
      </c>
      <c r="F82">
        <v>0</v>
      </c>
      <c r="G82">
        <v>0</v>
      </c>
      <c r="H82">
        <f>_xlfn.XLOOKUP(Table1[[#This Row],[Key]],policseStrength!C:C,policseStrength!R:R)</f>
        <v>11724</v>
      </c>
      <c r="I82">
        <f>IF(ISNA(Table1[[#This Row],[total_ps]]), _xlfn.AGGREGATE(1, 6, Table1[total_ps]), Table1[[#This Row],[total_ps]])</f>
        <v>11724</v>
      </c>
      <c r="J82">
        <f>_xlfn.XLOOKUP(Table1[[#This Row],[Key]],Recidivism!C:C,Recidivism!D:D)</f>
        <v>4911</v>
      </c>
      <c r="K82">
        <f>IF(ISNA(Table1[[#This Row],[convicts_admitted_raw]]), _xlfn.AGGREGATE(1, 6, Table1[convicts_admitted_raw]), Table1[[#This Row],[convicts_admitted_raw]])</f>
        <v>4911</v>
      </c>
      <c r="L82">
        <f>_xlfn.XLOOKUP(Table1[[#This Row],[Key]],Recidivism!C:C,Recidivism!E:E)</f>
        <v>75</v>
      </c>
      <c r="M82">
        <f>IF(ISNA(Table1[[#This Row],[habitual_offenders]]), _xlfn.AGGREGATE(1, 6, Table1[habitual_offenders]), Table1[[#This Row],[habitual_offenders]])</f>
        <v>75</v>
      </c>
      <c r="N82">
        <f>_xlfn.XLOOKUP(Table1[[#This Row],[Key]],Vocational!C:C,Vocational!E:E)</f>
        <v>2</v>
      </c>
      <c r="O82">
        <f>IF(ISNA(Table1[[#This Row],[vocational_count]]), _xlfn.AGGREGATE(1, 6,Table1[vocational_count]), Table1[[#This Row],[vocational_count]])</f>
        <v>2</v>
      </c>
    </row>
    <row r="83" spans="1:15" x14ac:dyDescent="0.3">
      <c r="A83" t="s">
        <v>13</v>
      </c>
      <c r="B83">
        <v>2006</v>
      </c>
      <c r="C83" t="str">
        <f>_xlfn.CONCAT(Table1[[#This Row],[STATE]],"-",Table1[[#This Row],[YEAR]])</f>
        <v>Haryana-2006</v>
      </c>
      <c r="D83">
        <v>107</v>
      </c>
      <c r="E83">
        <v>473</v>
      </c>
      <c r="F83">
        <v>4</v>
      </c>
      <c r="G83">
        <v>0</v>
      </c>
      <c r="H83">
        <f>_xlfn.XLOOKUP(Table1[[#This Row],[Key]],policseStrength!C:C,policseStrength!R:R)</f>
        <v>10558</v>
      </c>
      <c r="I83">
        <f>IF(ISNA(Table1[[#This Row],[total_ps]]), _xlfn.AGGREGATE(1, 6, Table1[total_ps]), Table1[[#This Row],[total_ps]])</f>
        <v>10558</v>
      </c>
      <c r="J83">
        <f>_xlfn.XLOOKUP(Table1[[#This Row],[Key]],Recidivism!C:C,Recidivism!D:D)</f>
        <v>2269</v>
      </c>
      <c r="K83">
        <f>IF(ISNA(Table1[[#This Row],[convicts_admitted_raw]]), _xlfn.AGGREGATE(1, 6, Table1[convicts_admitted_raw]), Table1[[#This Row],[convicts_admitted_raw]])</f>
        <v>2269</v>
      </c>
      <c r="L83">
        <f>_xlfn.XLOOKUP(Table1[[#This Row],[Key]],Recidivism!C:C,Recidivism!E:E)</f>
        <v>67</v>
      </c>
      <c r="M83">
        <f>IF(ISNA(Table1[[#This Row],[habitual_offenders]]), _xlfn.AGGREGATE(1, 6, Table1[habitual_offenders]), Table1[[#This Row],[habitual_offenders]])</f>
        <v>67</v>
      </c>
      <c r="N83">
        <f>_xlfn.XLOOKUP(Table1[[#This Row],[Key]],Vocational!C:C,Vocational!E:E)</f>
        <v>135</v>
      </c>
      <c r="O83">
        <f>IF(ISNA(Table1[[#This Row],[vocational_count]]), _xlfn.AGGREGATE(1, 6,Table1[vocational_count]), Table1[[#This Row],[vocational_count]])</f>
        <v>135</v>
      </c>
    </row>
    <row r="84" spans="1:15" x14ac:dyDescent="0.3">
      <c r="A84" t="s">
        <v>13</v>
      </c>
      <c r="B84">
        <v>2007</v>
      </c>
      <c r="C84" t="str">
        <f>_xlfn.CONCAT(Table1[[#This Row],[STATE]],"-",Table1[[#This Row],[YEAR]])</f>
        <v>Haryana-2007</v>
      </c>
      <c r="D84">
        <v>82</v>
      </c>
      <c r="E84">
        <v>426</v>
      </c>
      <c r="F84">
        <v>3</v>
      </c>
      <c r="G84">
        <v>0</v>
      </c>
      <c r="H84">
        <f>_xlfn.XLOOKUP(Table1[[#This Row],[Key]],policseStrength!C:C,policseStrength!R:R)</f>
        <v>13096</v>
      </c>
      <c r="I84">
        <f>IF(ISNA(Table1[[#This Row],[total_ps]]), _xlfn.AGGREGATE(1, 6, Table1[total_ps]), Table1[[#This Row],[total_ps]])</f>
        <v>13096</v>
      </c>
      <c r="J84">
        <f>_xlfn.XLOOKUP(Table1[[#This Row],[Key]],Recidivism!C:C,Recidivism!D:D)</f>
        <v>23300</v>
      </c>
      <c r="K84">
        <f>IF(ISNA(Table1[[#This Row],[convicts_admitted_raw]]), _xlfn.AGGREGATE(1, 6, Table1[convicts_admitted_raw]), Table1[[#This Row],[convicts_admitted_raw]])</f>
        <v>23300</v>
      </c>
      <c r="L84">
        <f>_xlfn.XLOOKUP(Table1[[#This Row],[Key]],Recidivism!C:C,Recidivism!E:E)</f>
        <v>99</v>
      </c>
      <c r="M84">
        <f>IF(ISNA(Table1[[#This Row],[habitual_offenders]]), _xlfn.AGGREGATE(1, 6, Table1[habitual_offenders]), Table1[[#This Row],[habitual_offenders]])</f>
        <v>99</v>
      </c>
      <c r="N84">
        <f>_xlfn.XLOOKUP(Table1[[#This Row],[Key]],Vocational!C:C,Vocational!E:E)</f>
        <v>76</v>
      </c>
      <c r="O84">
        <f>IF(ISNA(Table1[[#This Row],[vocational_count]]), _xlfn.AGGREGATE(1, 6,Table1[vocational_count]), Table1[[#This Row],[vocational_count]])</f>
        <v>76</v>
      </c>
    </row>
    <row r="85" spans="1:15" x14ac:dyDescent="0.3">
      <c r="A85" t="s">
        <v>13</v>
      </c>
      <c r="B85">
        <v>2008</v>
      </c>
      <c r="C85" t="str">
        <f>_xlfn.CONCAT(Table1[[#This Row],[STATE]],"-",Table1[[#This Row],[YEAR]])</f>
        <v>Haryana-2008</v>
      </c>
      <c r="D85">
        <v>509</v>
      </c>
      <c r="E85">
        <v>396</v>
      </c>
      <c r="F85">
        <v>5</v>
      </c>
      <c r="G85">
        <v>0</v>
      </c>
      <c r="H85">
        <f>_xlfn.XLOOKUP(Table1[[#This Row],[Key]],policseStrength!C:C,policseStrength!R:R)</f>
        <v>12216</v>
      </c>
      <c r="I85">
        <f>IF(ISNA(Table1[[#This Row],[total_ps]]), _xlfn.AGGREGATE(1, 6, Table1[total_ps]), Table1[[#This Row],[total_ps]])</f>
        <v>12216</v>
      </c>
      <c r="J85">
        <f>_xlfn.XLOOKUP(Table1[[#This Row],[Key]],Recidivism!C:C,Recidivism!D:D)</f>
        <v>5844</v>
      </c>
      <c r="K85">
        <f>IF(ISNA(Table1[[#This Row],[convicts_admitted_raw]]), _xlfn.AGGREGATE(1, 6, Table1[convicts_admitted_raw]), Table1[[#This Row],[convicts_admitted_raw]])</f>
        <v>5844</v>
      </c>
      <c r="L85">
        <f>_xlfn.XLOOKUP(Table1[[#This Row],[Key]],Recidivism!C:C,Recidivism!E:E)</f>
        <v>75</v>
      </c>
      <c r="M85">
        <f>IF(ISNA(Table1[[#This Row],[habitual_offenders]]), _xlfn.AGGREGATE(1, 6, Table1[habitual_offenders]), Table1[[#This Row],[habitual_offenders]])</f>
        <v>75</v>
      </c>
      <c r="N85">
        <f>_xlfn.XLOOKUP(Table1[[#This Row],[Key]],Vocational!C:C,Vocational!E:E)</f>
        <v>105</v>
      </c>
      <c r="O85">
        <f>IF(ISNA(Table1[[#This Row],[vocational_count]]), _xlfn.AGGREGATE(1, 6,Table1[vocational_count]), Table1[[#This Row],[vocational_count]])</f>
        <v>105</v>
      </c>
    </row>
    <row r="86" spans="1:15" x14ac:dyDescent="0.3">
      <c r="A86" t="s">
        <v>13</v>
      </c>
      <c r="B86">
        <v>2009</v>
      </c>
      <c r="C86" t="str">
        <f>_xlfn.CONCAT(Table1[[#This Row],[STATE]],"-",Table1[[#This Row],[YEAR]])</f>
        <v>Haryana-2009</v>
      </c>
      <c r="D86">
        <v>691</v>
      </c>
      <c r="E86">
        <v>723</v>
      </c>
      <c r="F86">
        <v>159</v>
      </c>
      <c r="G86">
        <v>0</v>
      </c>
      <c r="H86">
        <f>_xlfn.XLOOKUP(Table1[[#This Row],[Key]],policseStrength!C:C,policseStrength!R:R)</f>
        <v>11228</v>
      </c>
      <c r="I86">
        <f>IF(ISNA(Table1[[#This Row],[total_ps]]), _xlfn.AGGREGATE(1, 6, Table1[total_ps]), Table1[[#This Row],[total_ps]])</f>
        <v>11228</v>
      </c>
      <c r="J86">
        <f>_xlfn.XLOOKUP(Table1[[#This Row],[Key]],Recidivism!C:C,Recidivism!D:D)</f>
        <v>4284</v>
      </c>
      <c r="K86">
        <f>IF(ISNA(Table1[[#This Row],[convicts_admitted_raw]]), _xlfn.AGGREGATE(1, 6, Table1[convicts_admitted_raw]), Table1[[#This Row],[convicts_admitted_raw]])</f>
        <v>4284</v>
      </c>
      <c r="L86">
        <f>_xlfn.XLOOKUP(Table1[[#This Row],[Key]],Recidivism!C:C,Recidivism!E:E)</f>
        <v>83</v>
      </c>
      <c r="M86">
        <f>IF(ISNA(Table1[[#This Row],[habitual_offenders]]), _xlfn.AGGREGATE(1, 6, Table1[habitual_offenders]), Table1[[#This Row],[habitual_offenders]])</f>
        <v>83</v>
      </c>
      <c r="N86">
        <f>_xlfn.XLOOKUP(Table1[[#This Row],[Key]],Vocational!C:C,Vocational!E:E)</f>
        <v>85</v>
      </c>
      <c r="O86">
        <f>IF(ISNA(Table1[[#This Row],[vocational_count]]), _xlfn.AGGREGATE(1, 6,Table1[vocational_count]), Table1[[#This Row],[vocational_count]])</f>
        <v>85</v>
      </c>
    </row>
    <row r="87" spans="1:15" x14ac:dyDescent="0.3">
      <c r="A87" t="s">
        <v>13</v>
      </c>
      <c r="B87">
        <v>2010</v>
      </c>
      <c r="C87" t="str">
        <f>_xlfn.CONCAT(Table1[[#This Row],[STATE]],"-",Table1[[#This Row],[YEAR]])</f>
        <v>Haryana-2010</v>
      </c>
      <c r="D87">
        <v>557</v>
      </c>
      <c r="E87">
        <v>466</v>
      </c>
      <c r="F87">
        <v>279</v>
      </c>
      <c r="G87">
        <v>0</v>
      </c>
      <c r="H87">
        <f>_xlfn.XLOOKUP(Table1[[#This Row],[Key]],policseStrength!C:C,policseStrength!R:R)</f>
        <v>9070</v>
      </c>
      <c r="I87">
        <f>IF(ISNA(Table1[[#This Row],[total_ps]]), _xlfn.AGGREGATE(1, 6, Table1[total_ps]), Table1[[#This Row],[total_ps]])</f>
        <v>9070</v>
      </c>
      <c r="J87">
        <f>_xlfn.XLOOKUP(Table1[[#This Row],[Key]],Recidivism!C:C,Recidivism!D:D)</f>
        <v>4893</v>
      </c>
      <c r="K87">
        <f>IF(ISNA(Table1[[#This Row],[convicts_admitted_raw]]), _xlfn.AGGREGATE(1, 6, Table1[convicts_admitted_raw]), Table1[[#This Row],[convicts_admitted_raw]])</f>
        <v>4893</v>
      </c>
      <c r="L87">
        <f>_xlfn.XLOOKUP(Table1[[#This Row],[Key]],Recidivism!C:C,Recidivism!E:E)</f>
        <v>42</v>
      </c>
      <c r="M87">
        <f>IF(ISNA(Table1[[#This Row],[habitual_offenders]]), _xlfn.AGGREGATE(1, 6, Table1[habitual_offenders]), Table1[[#This Row],[habitual_offenders]])</f>
        <v>42</v>
      </c>
      <c r="N87">
        <f>_xlfn.XLOOKUP(Table1[[#This Row],[Key]],Vocational!C:C,Vocational!E:E)</f>
        <v>120</v>
      </c>
      <c r="O87">
        <f>IF(ISNA(Table1[[#This Row],[vocational_count]]), _xlfn.AGGREGATE(1, 6,Table1[vocational_count]), Table1[[#This Row],[vocational_count]])</f>
        <v>120</v>
      </c>
    </row>
    <row r="88" spans="1:15" x14ac:dyDescent="0.3">
      <c r="A88" t="s">
        <v>13</v>
      </c>
      <c r="B88">
        <v>2011</v>
      </c>
      <c r="C88" t="str">
        <f>_xlfn.CONCAT(Table1[[#This Row],[STATE]],"-",Table1[[#This Row],[YEAR]])</f>
        <v>Haryana-2011</v>
      </c>
      <c r="D88">
        <v>601</v>
      </c>
      <c r="E88">
        <v>768</v>
      </c>
      <c r="F88">
        <v>426</v>
      </c>
      <c r="G88">
        <v>120</v>
      </c>
      <c r="H88" t="e">
        <f>_xlfn.XLOOKUP(Table1[[#This Row],[Key]],policseStrength!C:C,policseStrength!R:R)</f>
        <v>#N/A</v>
      </c>
      <c r="I88">
        <f>IF(ISNA(Table1[[#This Row],[total_ps]]), _xlfn.AGGREGATE(1, 6, Table1[total_ps]), Table1[[#This Row],[total_ps]])</f>
        <v>20128.370106761566</v>
      </c>
      <c r="J88">
        <f>_xlfn.XLOOKUP(Table1[[#This Row],[Key]],Recidivism!C:C,Recidivism!D:D)</f>
        <v>4752</v>
      </c>
      <c r="K88">
        <f>IF(ISNA(Table1[[#This Row],[convicts_admitted_raw]]), _xlfn.AGGREGATE(1, 6, Table1[convicts_admitted_raw]), Table1[[#This Row],[convicts_admitted_raw]])</f>
        <v>4752</v>
      </c>
      <c r="L88">
        <f>_xlfn.XLOOKUP(Table1[[#This Row],[Key]],Recidivism!C:C,Recidivism!E:E)</f>
        <v>267</v>
      </c>
      <c r="M88">
        <f>IF(ISNA(Table1[[#This Row],[habitual_offenders]]), _xlfn.AGGREGATE(1, 6, Table1[habitual_offenders]), Table1[[#This Row],[habitual_offenders]])</f>
        <v>267</v>
      </c>
      <c r="N88">
        <f>_xlfn.XLOOKUP(Table1[[#This Row],[Key]],Vocational!C:C,Vocational!E:E)</f>
        <v>18</v>
      </c>
      <c r="O88">
        <f>IF(ISNA(Table1[[#This Row],[vocational_count]]), _xlfn.AGGREGATE(1, 6,Table1[vocational_count]), Table1[[#This Row],[vocational_count]])</f>
        <v>18</v>
      </c>
    </row>
    <row r="89" spans="1:15" x14ac:dyDescent="0.3">
      <c r="A89" t="s">
        <v>13</v>
      </c>
      <c r="B89">
        <v>2012</v>
      </c>
      <c r="C89" t="str">
        <f>_xlfn.CONCAT(Table1[[#This Row],[STATE]],"-",Table1[[#This Row],[YEAR]])</f>
        <v>Haryana-2012</v>
      </c>
      <c r="D89">
        <v>1833</v>
      </c>
      <c r="E89">
        <v>605</v>
      </c>
      <c r="F89">
        <v>655</v>
      </c>
      <c r="G89">
        <v>103</v>
      </c>
      <c r="H89" t="e">
        <f>_xlfn.XLOOKUP(Table1[[#This Row],[Key]],policseStrength!C:C,policseStrength!R:R)</f>
        <v>#N/A</v>
      </c>
      <c r="I89">
        <f>IF(ISNA(Table1[[#This Row],[total_ps]]), _xlfn.AGGREGATE(1, 6, Table1[total_ps]), Table1[[#This Row],[total_ps]])</f>
        <v>20128.370106761566</v>
      </c>
      <c r="J89">
        <f>_xlfn.XLOOKUP(Table1[[#This Row],[Key]],Recidivism!C:C,Recidivism!D:D)</f>
        <v>4383</v>
      </c>
      <c r="K89">
        <f>IF(ISNA(Table1[[#This Row],[convicts_admitted_raw]]), _xlfn.AGGREGATE(1, 6, Table1[convicts_admitted_raw]), Table1[[#This Row],[convicts_admitted_raw]])</f>
        <v>4383</v>
      </c>
      <c r="L89">
        <f>_xlfn.XLOOKUP(Table1[[#This Row],[Key]],Recidivism!C:C,Recidivism!E:E)</f>
        <v>102</v>
      </c>
      <c r="M89">
        <f>IF(ISNA(Table1[[#This Row],[habitual_offenders]]), _xlfn.AGGREGATE(1, 6, Table1[habitual_offenders]), Table1[[#This Row],[habitual_offenders]])</f>
        <v>102</v>
      </c>
      <c r="N89">
        <f>_xlfn.XLOOKUP(Table1[[#This Row],[Key]],Vocational!C:C,Vocational!E:E)</f>
        <v>24</v>
      </c>
      <c r="O89">
        <f>IF(ISNA(Table1[[#This Row],[vocational_count]]), _xlfn.AGGREGATE(1, 6,Table1[vocational_count]), Table1[[#This Row],[vocational_count]])</f>
        <v>24</v>
      </c>
    </row>
    <row r="90" spans="1:15" x14ac:dyDescent="0.3">
      <c r="A90" t="s">
        <v>14</v>
      </c>
      <c r="B90">
        <v>2001</v>
      </c>
      <c r="C90" t="str">
        <f>_xlfn.CONCAT(Table1[[#This Row],[STATE]],"-",Table1[[#This Row],[YEAR]])</f>
        <v>Himachal Pradesh-2001</v>
      </c>
      <c r="D90">
        <v>0</v>
      </c>
      <c r="E90">
        <v>0</v>
      </c>
      <c r="F90">
        <v>0</v>
      </c>
      <c r="G90">
        <v>0</v>
      </c>
      <c r="H90">
        <f>_xlfn.XLOOKUP(Table1[[#This Row],[Key]],policseStrength!C:C,policseStrength!R:R)</f>
        <v>7346</v>
      </c>
      <c r="I90">
        <f>IF(ISNA(Table1[[#This Row],[total_ps]]), _xlfn.AGGREGATE(1, 6, Table1[total_ps]), Table1[[#This Row],[total_ps]])</f>
        <v>7346</v>
      </c>
      <c r="J90">
        <f>_xlfn.XLOOKUP(Table1[[#This Row],[Key]],Recidivism!C:C,Recidivism!D:D)</f>
        <v>400</v>
      </c>
      <c r="K90">
        <f>IF(ISNA(Table1[[#This Row],[convicts_admitted_raw]]), _xlfn.AGGREGATE(1, 6, Table1[convicts_admitted_raw]), Table1[[#This Row],[convicts_admitted_raw]])</f>
        <v>400</v>
      </c>
      <c r="L90">
        <f>_xlfn.XLOOKUP(Table1[[#This Row],[Key]],Recidivism!C:C,Recidivism!E:E)</f>
        <v>0</v>
      </c>
      <c r="M90">
        <f>IF(ISNA(Table1[[#This Row],[habitual_offenders]]), _xlfn.AGGREGATE(1, 6, Table1[habitual_offenders]), Table1[[#This Row],[habitual_offenders]])</f>
        <v>0</v>
      </c>
      <c r="N90">
        <f>_xlfn.XLOOKUP(Table1[[#This Row],[Key]],Vocational!C:C,Vocational!E:E)</f>
        <v>125</v>
      </c>
      <c r="O90">
        <f>IF(ISNA(Table1[[#This Row],[vocational_count]]), _xlfn.AGGREGATE(1, 6,Table1[vocational_count]), Table1[[#This Row],[vocational_count]])</f>
        <v>125</v>
      </c>
    </row>
    <row r="91" spans="1:15" x14ac:dyDescent="0.3">
      <c r="A91" t="s">
        <v>14</v>
      </c>
      <c r="B91">
        <v>2002</v>
      </c>
      <c r="C91" t="str">
        <f>_xlfn.CONCAT(Table1[[#This Row],[STATE]],"-",Table1[[#This Row],[YEAR]])</f>
        <v>Himachal Pradesh-2002</v>
      </c>
      <c r="D91">
        <v>4</v>
      </c>
      <c r="E91">
        <v>5</v>
      </c>
      <c r="F91">
        <v>5</v>
      </c>
      <c r="G91">
        <v>1</v>
      </c>
      <c r="H91">
        <f>_xlfn.XLOOKUP(Table1[[#This Row],[Key]],policseStrength!C:C,policseStrength!R:R)</f>
        <v>7646</v>
      </c>
      <c r="I91">
        <f>IF(ISNA(Table1[[#This Row],[total_ps]]), _xlfn.AGGREGATE(1, 6, Table1[total_ps]), Table1[[#This Row],[total_ps]])</f>
        <v>7646</v>
      </c>
      <c r="J91">
        <f>_xlfn.XLOOKUP(Table1[[#This Row],[Key]],Recidivism!C:C,Recidivism!D:D)</f>
        <v>286</v>
      </c>
      <c r="K91">
        <f>IF(ISNA(Table1[[#This Row],[convicts_admitted_raw]]), _xlfn.AGGREGATE(1, 6, Table1[convicts_admitted_raw]), Table1[[#This Row],[convicts_admitted_raw]])</f>
        <v>286</v>
      </c>
      <c r="L91">
        <f>_xlfn.XLOOKUP(Table1[[#This Row],[Key]],Recidivism!C:C,Recidivism!E:E)</f>
        <v>8</v>
      </c>
      <c r="M91">
        <f>IF(ISNA(Table1[[#This Row],[habitual_offenders]]), _xlfn.AGGREGATE(1, 6, Table1[habitual_offenders]), Table1[[#This Row],[habitual_offenders]])</f>
        <v>8</v>
      </c>
      <c r="N91">
        <f>_xlfn.XLOOKUP(Table1[[#This Row],[Key]],Vocational!C:C,Vocational!E:E)</f>
        <v>52</v>
      </c>
      <c r="O91">
        <f>IF(ISNA(Table1[[#This Row],[vocational_count]]), _xlfn.AGGREGATE(1, 6,Table1[vocational_count]), Table1[[#This Row],[vocational_count]])</f>
        <v>52</v>
      </c>
    </row>
    <row r="92" spans="1:15" x14ac:dyDescent="0.3">
      <c r="A92" t="s">
        <v>14</v>
      </c>
      <c r="B92">
        <v>2003</v>
      </c>
      <c r="C92" t="str">
        <f>_xlfn.CONCAT(Table1[[#This Row],[STATE]],"-",Table1[[#This Row],[YEAR]])</f>
        <v>Himachal Pradesh-2003</v>
      </c>
      <c r="D92">
        <v>0</v>
      </c>
      <c r="E92">
        <v>0</v>
      </c>
      <c r="F92">
        <v>0</v>
      </c>
      <c r="G92">
        <v>0</v>
      </c>
      <c r="H92">
        <f>_xlfn.XLOOKUP(Table1[[#This Row],[Key]],policseStrength!C:C,policseStrength!R:R)</f>
        <v>7508</v>
      </c>
      <c r="I92">
        <f>IF(ISNA(Table1[[#This Row],[total_ps]]), _xlfn.AGGREGATE(1, 6, Table1[total_ps]), Table1[[#This Row],[total_ps]])</f>
        <v>7508</v>
      </c>
      <c r="J92">
        <f>_xlfn.XLOOKUP(Table1[[#This Row],[Key]],Recidivism!C:C,Recidivism!D:D)</f>
        <v>134</v>
      </c>
      <c r="K92">
        <f>IF(ISNA(Table1[[#This Row],[convicts_admitted_raw]]), _xlfn.AGGREGATE(1, 6, Table1[convicts_admitted_raw]), Table1[[#This Row],[convicts_admitted_raw]])</f>
        <v>134</v>
      </c>
      <c r="L92">
        <f>_xlfn.XLOOKUP(Table1[[#This Row],[Key]],Recidivism!C:C,Recidivism!E:E)</f>
        <v>3</v>
      </c>
      <c r="M92">
        <f>IF(ISNA(Table1[[#This Row],[habitual_offenders]]), _xlfn.AGGREGATE(1, 6, Table1[habitual_offenders]), Table1[[#This Row],[habitual_offenders]])</f>
        <v>3</v>
      </c>
      <c r="N92">
        <f>_xlfn.XLOOKUP(Table1[[#This Row],[Key]],Vocational!C:C,Vocational!E:E)</f>
        <v>45</v>
      </c>
      <c r="O92">
        <f>IF(ISNA(Table1[[#This Row],[vocational_count]]), _xlfn.AGGREGATE(1, 6,Table1[vocational_count]), Table1[[#This Row],[vocational_count]])</f>
        <v>45</v>
      </c>
    </row>
    <row r="93" spans="1:15" x14ac:dyDescent="0.3">
      <c r="A93" t="s">
        <v>14</v>
      </c>
      <c r="B93">
        <v>2004</v>
      </c>
      <c r="C93" t="str">
        <f>_xlfn.CONCAT(Table1[[#This Row],[STATE]],"-",Table1[[#This Row],[YEAR]])</f>
        <v>Himachal Pradesh-2004</v>
      </c>
      <c r="D93">
        <v>0</v>
      </c>
      <c r="E93">
        <v>0</v>
      </c>
      <c r="F93">
        <v>0</v>
      </c>
      <c r="G93">
        <v>0</v>
      </c>
      <c r="H93">
        <f>_xlfn.XLOOKUP(Table1[[#This Row],[Key]],policseStrength!C:C,policseStrength!R:R)</f>
        <v>6622</v>
      </c>
      <c r="I93">
        <f>IF(ISNA(Table1[[#This Row],[total_ps]]), _xlfn.AGGREGATE(1, 6, Table1[total_ps]), Table1[[#This Row],[total_ps]])</f>
        <v>6622</v>
      </c>
      <c r="J93">
        <f>_xlfn.XLOOKUP(Table1[[#This Row],[Key]],Recidivism!C:C,Recidivism!D:D)</f>
        <v>197</v>
      </c>
      <c r="K93">
        <f>IF(ISNA(Table1[[#This Row],[convicts_admitted_raw]]), _xlfn.AGGREGATE(1, 6, Table1[convicts_admitted_raw]), Table1[[#This Row],[convicts_admitted_raw]])</f>
        <v>197</v>
      </c>
      <c r="L93">
        <f>_xlfn.XLOOKUP(Table1[[#This Row],[Key]],Recidivism!C:C,Recidivism!E:E)</f>
        <v>1</v>
      </c>
      <c r="M93">
        <f>IF(ISNA(Table1[[#This Row],[habitual_offenders]]), _xlfn.AGGREGATE(1, 6, Table1[habitual_offenders]), Table1[[#This Row],[habitual_offenders]])</f>
        <v>1</v>
      </c>
      <c r="N93">
        <f>_xlfn.XLOOKUP(Table1[[#This Row],[Key]],Vocational!C:C,Vocational!E:E)</f>
        <v>39</v>
      </c>
      <c r="O93">
        <f>IF(ISNA(Table1[[#This Row],[vocational_count]]), _xlfn.AGGREGATE(1, 6,Table1[vocational_count]), Table1[[#This Row],[vocational_count]])</f>
        <v>39</v>
      </c>
    </row>
    <row r="94" spans="1:15" x14ac:dyDescent="0.3">
      <c r="A94" t="s">
        <v>14</v>
      </c>
      <c r="B94">
        <v>2005</v>
      </c>
      <c r="C94" t="str">
        <f>_xlfn.CONCAT(Table1[[#This Row],[STATE]],"-",Table1[[#This Row],[YEAR]])</f>
        <v>Himachal Pradesh-2005</v>
      </c>
      <c r="D94">
        <v>0</v>
      </c>
      <c r="E94">
        <v>0</v>
      </c>
      <c r="F94">
        <v>0</v>
      </c>
      <c r="G94">
        <v>0</v>
      </c>
      <c r="H94">
        <f>_xlfn.XLOOKUP(Table1[[#This Row],[Key]],policseStrength!C:C,policseStrength!R:R)</f>
        <v>6588</v>
      </c>
      <c r="I94">
        <f>IF(ISNA(Table1[[#This Row],[total_ps]]), _xlfn.AGGREGATE(1, 6, Table1[total_ps]), Table1[[#This Row],[total_ps]])</f>
        <v>6588</v>
      </c>
      <c r="J94">
        <f>_xlfn.XLOOKUP(Table1[[#This Row],[Key]],Recidivism!C:C,Recidivism!D:D)</f>
        <v>0</v>
      </c>
      <c r="K94">
        <f>IF(ISNA(Table1[[#This Row],[convicts_admitted_raw]]), _xlfn.AGGREGATE(1, 6, Table1[convicts_admitted_raw]), Table1[[#This Row],[convicts_admitted_raw]])</f>
        <v>0</v>
      </c>
      <c r="L94">
        <f>_xlfn.XLOOKUP(Table1[[#This Row],[Key]],Recidivism!C:C,Recidivism!E:E)</f>
        <v>0</v>
      </c>
      <c r="M94">
        <f>IF(ISNA(Table1[[#This Row],[habitual_offenders]]), _xlfn.AGGREGATE(1, 6, Table1[habitual_offenders]), Table1[[#This Row],[habitual_offenders]])</f>
        <v>0</v>
      </c>
      <c r="N94">
        <f>_xlfn.XLOOKUP(Table1[[#This Row],[Key]],Vocational!C:C,Vocational!E:E)</f>
        <v>39</v>
      </c>
      <c r="O94">
        <f>IF(ISNA(Table1[[#This Row],[vocational_count]]), _xlfn.AGGREGATE(1, 6,Table1[vocational_count]), Table1[[#This Row],[vocational_count]])</f>
        <v>39</v>
      </c>
    </row>
    <row r="95" spans="1:15" x14ac:dyDescent="0.3">
      <c r="A95" t="s">
        <v>14</v>
      </c>
      <c r="B95">
        <v>2006</v>
      </c>
      <c r="C95" t="str">
        <f>_xlfn.CONCAT(Table1[[#This Row],[STATE]],"-",Table1[[#This Row],[YEAR]])</f>
        <v>Himachal Pradesh-2006</v>
      </c>
      <c r="D95">
        <v>0</v>
      </c>
      <c r="E95">
        <v>0</v>
      </c>
      <c r="F95">
        <v>0</v>
      </c>
      <c r="G95">
        <v>0</v>
      </c>
      <c r="H95">
        <f>_xlfn.XLOOKUP(Table1[[#This Row],[Key]],policseStrength!C:C,policseStrength!R:R)</f>
        <v>6510</v>
      </c>
      <c r="I95">
        <f>IF(ISNA(Table1[[#This Row],[total_ps]]), _xlfn.AGGREGATE(1, 6, Table1[total_ps]), Table1[[#This Row],[total_ps]])</f>
        <v>6510</v>
      </c>
      <c r="J95">
        <f>_xlfn.XLOOKUP(Table1[[#This Row],[Key]],Recidivism!C:C,Recidivism!D:D)</f>
        <v>208</v>
      </c>
      <c r="K95">
        <f>IF(ISNA(Table1[[#This Row],[convicts_admitted_raw]]), _xlfn.AGGREGATE(1, 6, Table1[convicts_admitted_raw]), Table1[[#This Row],[convicts_admitted_raw]])</f>
        <v>208</v>
      </c>
      <c r="L95">
        <f>_xlfn.XLOOKUP(Table1[[#This Row],[Key]],Recidivism!C:C,Recidivism!E:E)</f>
        <v>3</v>
      </c>
      <c r="M95">
        <f>IF(ISNA(Table1[[#This Row],[habitual_offenders]]), _xlfn.AGGREGATE(1, 6, Table1[habitual_offenders]), Table1[[#This Row],[habitual_offenders]])</f>
        <v>3</v>
      </c>
      <c r="N95">
        <f>_xlfn.XLOOKUP(Table1[[#This Row],[Key]],Vocational!C:C,Vocational!E:E)</f>
        <v>49</v>
      </c>
      <c r="O95">
        <f>IF(ISNA(Table1[[#This Row],[vocational_count]]), _xlfn.AGGREGATE(1, 6,Table1[vocational_count]), Table1[[#This Row],[vocational_count]])</f>
        <v>49</v>
      </c>
    </row>
    <row r="96" spans="1:15" x14ac:dyDescent="0.3">
      <c r="A96" t="s">
        <v>14</v>
      </c>
      <c r="B96">
        <v>2007</v>
      </c>
      <c r="C96" t="str">
        <f>_xlfn.CONCAT(Table1[[#This Row],[STATE]],"-",Table1[[#This Row],[YEAR]])</f>
        <v>Himachal Pradesh-2007</v>
      </c>
      <c r="D96">
        <v>18</v>
      </c>
      <c r="E96">
        <v>4</v>
      </c>
      <c r="F96">
        <v>2</v>
      </c>
      <c r="G96">
        <v>0</v>
      </c>
      <c r="H96">
        <f>_xlfn.XLOOKUP(Table1[[#This Row],[Key]],policseStrength!C:C,policseStrength!R:R)</f>
        <v>4336</v>
      </c>
      <c r="I96">
        <f>IF(ISNA(Table1[[#This Row],[total_ps]]), _xlfn.AGGREGATE(1, 6, Table1[total_ps]), Table1[[#This Row],[total_ps]])</f>
        <v>4336</v>
      </c>
      <c r="J96">
        <f>_xlfn.XLOOKUP(Table1[[#This Row],[Key]],Recidivism!C:C,Recidivism!D:D)</f>
        <v>691</v>
      </c>
      <c r="K96">
        <f>IF(ISNA(Table1[[#This Row],[convicts_admitted_raw]]), _xlfn.AGGREGATE(1, 6, Table1[convicts_admitted_raw]), Table1[[#This Row],[convicts_admitted_raw]])</f>
        <v>691</v>
      </c>
      <c r="L96">
        <f>_xlfn.XLOOKUP(Table1[[#This Row],[Key]],Recidivism!C:C,Recidivism!E:E)</f>
        <v>18</v>
      </c>
      <c r="M96">
        <f>IF(ISNA(Table1[[#This Row],[habitual_offenders]]), _xlfn.AGGREGATE(1, 6, Table1[habitual_offenders]), Table1[[#This Row],[habitual_offenders]])</f>
        <v>18</v>
      </c>
      <c r="N96">
        <f>_xlfn.XLOOKUP(Table1[[#This Row],[Key]],Vocational!C:C,Vocational!E:E)</f>
        <v>28</v>
      </c>
      <c r="O96">
        <f>IF(ISNA(Table1[[#This Row],[vocational_count]]), _xlfn.AGGREGATE(1, 6,Table1[vocational_count]), Table1[[#This Row],[vocational_count]])</f>
        <v>28</v>
      </c>
    </row>
    <row r="97" spans="1:15" x14ac:dyDescent="0.3">
      <c r="A97" t="s">
        <v>14</v>
      </c>
      <c r="B97">
        <v>2008</v>
      </c>
      <c r="C97" t="str">
        <f>_xlfn.CONCAT(Table1[[#This Row],[STATE]],"-",Table1[[#This Row],[YEAR]])</f>
        <v>Himachal Pradesh-2008</v>
      </c>
      <c r="D97">
        <v>0</v>
      </c>
      <c r="E97">
        <v>0</v>
      </c>
      <c r="F97">
        <v>0</v>
      </c>
      <c r="G97">
        <v>0</v>
      </c>
      <c r="H97">
        <f>_xlfn.XLOOKUP(Table1[[#This Row],[Key]],policseStrength!C:C,policseStrength!R:R)</f>
        <v>6540</v>
      </c>
      <c r="I97">
        <f>IF(ISNA(Table1[[#This Row],[total_ps]]), _xlfn.AGGREGATE(1, 6, Table1[total_ps]), Table1[[#This Row],[total_ps]])</f>
        <v>6540</v>
      </c>
      <c r="J97">
        <f>_xlfn.XLOOKUP(Table1[[#This Row],[Key]],Recidivism!C:C,Recidivism!D:D)</f>
        <v>555</v>
      </c>
      <c r="K97">
        <f>IF(ISNA(Table1[[#This Row],[convicts_admitted_raw]]), _xlfn.AGGREGATE(1, 6, Table1[convicts_admitted_raw]), Table1[[#This Row],[convicts_admitted_raw]])</f>
        <v>555</v>
      </c>
      <c r="L97">
        <f>_xlfn.XLOOKUP(Table1[[#This Row],[Key]],Recidivism!C:C,Recidivism!E:E)</f>
        <v>3</v>
      </c>
      <c r="M97">
        <f>IF(ISNA(Table1[[#This Row],[habitual_offenders]]), _xlfn.AGGREGATE(1, 6, Table1[habitual_offenders]), Table1[[#This Row],[habitual_offenders]])</f>
        <v>3</v>
      </c>
      <c r="N97">
        <f>_xlfn.XLOOKUP(Table1[[#This Row],[Key]],Vocational!C:C,Vocational!E:E)</f>
        <v>29</v>
      </c>
      <c r="O97">
        <f>IF(ISNA(Table1[[#This Row],[vocational_count]]), _xlfn.AGGREGATE(1, 6,Table1[vocational_count]), Table1[[#This Row],[vocational_count]])</f>
        <v>29</v>
      </c>
    </row>
    <row r="98" spans="1:15" x14ac:dyDescent="0.3">
      <c r="A98" t="s">
        <v>14</v>
      </c>
      <c r="B98">
        <v>2009</v>
      </c>
      <c r="C98" t="str">
        <f>_xlfn.CONCAT(Table1[[#This Row],[STATE]],"-",Table1[[#This Row],[YEAR]])</f>
        <v>Himachal Pradesh-2009</v>
      </c>
      <c r="D98">
        <v>0</v>
      </c>
      <c r="E98">
        <v>0</v>
      </c>
      <c r="F98">
        <v>0</v>
      </c>
      <c r="G98">
        <v>0</v>
      </c>
      <c r="H98">
        <f>_xlfn.XLOOKUP(Table1[[#This Row],[Key]],policseStrength!C:C,policseStrength!R:R)</f>
        <v>8378</v>
      </c>
      <c r="I98">
        <f>IF(ISNA(Table1[[#This Row],[total_ps]]), _xlfn.AGGREGATE(1, 6, Table1[total_ps]), Table1[[#This Row],[total_ps]])</f>
        <v>8378</v>
      </c>
      <c r="J98">
        <f>_xlfn.XLOOKUP(Table1[[#This Row],[Key]],Recidivism!C:C,Recidivism!D:D)</f>
        <v>406</v>
      </c>
      <c r="K98">
        <f>IF(ISNA(Table1[[#This Row],[convicts_admitted_raw]]), _xlfn.AGGREGATE(1, 6, Table1[convicts_admitted_raw]), Table1[[#This Row],[convicts_admitted_raw]])</f>
        <v>406</v>
      </c>
      <c r="L98">
        <f>_xlfn.XLOOKUP(Table1[[#This Row],[Key]],Recidivism!C:C,Recidivism!E:E)</f>
        <v>1</v>
      </c>
      <c r="M98">
        <f>IF(ISNA(Table1[[#This Row],[habitual_offenders]]), _xlfn.AGGREGATE(1, 6, Table1[habitual_offenders]), Table1[[#This Row],[habitual_offenders]])</f>
        <v>1</v>
      </c>
      <c r="N98">
        <f>_xlfn.XLOOKUP(Table1[[#This Row],[Key]],Vocational!C:C,Vocational!E:E)</f>
        <v>2</v>
      </c>
      <c r="O98">
        <f>IF(ISNA(Table1[[#This Row],[vocational_count]]), _xlfn.AGGREGATE(1, 6,Table1[vocational_count]), Table1[[#This Row],[vocational_count]])</f>
        <v>2</v>
      </c>
    </row>
    <row r="99" spans="1:15" x14ac:dyDescent="0.3">
      <c r="A99" t="s">
        <v>14</v>
      </c>
      <c r="B99">
        <v>2010</v>
      </c>
      <c r="C99" t="str">
        <f>_xlfn.CONCAT(Table1[[#This Row],[STATE]],"-",Table1[[#This Row],[YEAR]])</f>
        <v>Himachal Pradesh-2010</v>
      </c>
      <c r="D99">
        <v>12</v>
      </c>
      <c r="E99">
        <v>2</v>
      </c>
      <c r="F99">
        <v>0</v>
      </c>
      <c r="G99">
        <v>0</v>
      </c>
      <c r="H99">
        <f>_xlfn.XLOOKUP(Table1[[#This Row],[Key]],policseStrength!C:C,policseStrength!R:R)</f>
        <v>7808</v>
      </c>
      <c r="I99">
        <f>IF(ISNA(Table1[[#This Row],[total_ps]]), _xlfn.AGGREGATE(1, 6, Table1[total_ps]), Table1[[#This Row],[total_ps]])</f>
        <v>7808</v>
      </c>
      <c r="J99">
        <f>_xlfn.XLOOKUP(Table1[[#This Row],[Key]],Recidivism!C:C,Recidivism!D:D)</f>
        <v>473</v>
      </c>
      <c r="K99">
        <f>IF(ISNA(Table1[[#This Row],[convicts_admitted_raw]]), _xlfn.AGGREGATE(1, 6, Table1[convicts_admitted_raw]), Table1[[#This Row],[convicts_admitted_raw]])</f>
        <v>473</v>
      </c>
      <c r="L99">
        <f>_xlfn.XLOOKUP(Table1[[#This Row],[Key]],Recidivism!C:C,Recidivism!E:E)</f>
        <v>0</v>
      </c>
      <c r="M99">
        <f>IF(ISNA(Table1[[#This Row],[habitual_offenders]]), _xlfn.AGGREGATE(1, 6, Table1[habitual_offenders]), Table1[[#This Row],[habitual_offenders]])</f>
        <v>0</v>
      </c>
      <c r="N99">
        <f>_xlfn.XLOOKUP(Table1[[#This Row],[Key]],Vocational!C:C,Vocational!E:E)</f>
        <v>14</v>
      </c>
      <c r="O99">
        <f>IF(ISNA(Table1[[#This Row],[vocational_count]]), _xlfn.AGGREGATE(1, 6,Table1[vocational_count]), Table1[[#This Row],[vocational_count]])</f>
        <v>14</v>
      </c>
    </row>
    <row r="100" spans="1:15" x14ac:dyDescent="0.3">
      <c r="A100" t="s">
        <v>14</v>
      </c>
      <c r="B100">
        <v>2011</v>
      </c>
      <c r="C100" t="str">
        <f>_xlfn.CONCAT(Table1[[#This Row],[STATE]],"-",Table1[[#This Row],[YEAR]])</f>
        <v>Himachal Pradesh-2011</v>
      </c>
      <c r="D100">
        <v>0</v>
      </c>
      <c r="E100">
        <v>22</v>
      </c>
      <c r="F100">
        <v>7</v>
      </c>
      <c r="G100">
        <v>0</v>
      </c>
      <c r="H100" t="e">
        <f>_xlfn.XLOOKUP(Table1[[#This Row],[Key]],policseStrength!C:C,policseStrength!R:R)</f>
        <v>#N/A</v>
      </c>
      <c r="I100">
        <f>IF(ISNA(Table1[[#This Row],[total_ps]]), _xlfn.AGGREGATE(1, 6, Table1[total_ps]), Table1[[#This Row],[total_ps]])</f>
        <v>20128.370106761566</v>
      </c>
      <c r="J100">
        <f>_xlfn.XLOOKUP(Table1[[#This Row],[Key]],Recidivism!C:C,Recidivism!D:D)</f>
        <v>454</v>
      </c>
      <c r="K100">
        <f>IF(ISNA(Table1[[#This Row],[convicts_admitted_raw]]), _xlfn.AGGREGATE(1, 6, Table1[convicts_admitted_raw]), Table1[[#This Row],[convicts_admitted_raw]])</f>
        <v>454</v>
      </c>
      <c r="L100">
        <f>_xlfn.XLOOKUP(Table1[[#This Row],[Key]],Recidivism!C:C,Recidivism!E:E)</f>
        <v>0</v>
      </c>
      <c r="M100">
        <f>IF(ISNA(Table1[[#This Row],[habitual_offenders]]), _xlfn.AGGREGATE(1, 6, Table1[habitual_offenders]), Table1[[#This Row],[habitual_offenders]])</f>
        <v>0</v>
      </c>
      <c r="N100">
        <f>_xlfn.XLOOKUP(Table1[[#This Row],[Key]],Vocational!C:C,Vocational!E:E)</f>
        <v>22</v>
      </c>
      <c r="O100">
        <f>IF(ISNA(Table1[[#This Row],[vocational_count]]), _xlfn.AGGREGATE(1, 6,Table1[vocational_count]), Table1[[#This Row],[vocational_count]])</f>
        <v>22</v>
      </c>
    </row>
    <row r="101" spans="1:15" x14ac:dyDescent="0.3">
      <c r="A101" t="s">
        <v>14</v>
      </c>
      <c r="B101">
        <v>2012</v>
      </c>
      <c r="C101" t="str">
        <f>_xlfn.CONCAT(Table1[[#This Row],[STATE]],"-",Table1[[#This Row],[YEAR]])</f>
        <v>Himachal Pradesh-2012</v>
      </c>
      <c r="D101">
        <v>37</v>
      </c>
      <c r="E101">
        <v>42</v>
      </c>
      <c r="F101">
        <v>22</v>
      </c>
      <c r="G101">
        <v>0</v>
      </c>
      <c r="H101" t="e">
        <f>_xlfn.XLOOKUP(Table1[[#This Row],[Key]],policseStrength!C:C,policseStrength!R:R)</f>
        <v>#N/A</v>
      </c>
      <c r="I101">
        <f>IF(ISNA(Table1[[#This Row],[total_ps]]), _xlfn.AGGREGATE(1, 6, Table1[total_ps]), Table1[[#This Row],[total_ps]])</f>
        <v>20128.370106761566</v>
      </c>
      <c r="J101">
        <f>_xlfn.XLOOKUP(Table1[[#This Row],[Key]],Recidivism!C:C,Recidivism!D:D)</f>
        <v>615</v>
      </c>
      <c r="K101">
        <f>IF(ISNA(Table1[[#This Row],[convicts_admitted_raw]]), _xlfn.AGGREGATE(1, 6, Table1[convicts_admitted_raw]), Table1[[#This Row],[convicts_admitted_raw]])</f>
        <v>615</v>
      </c>
      <c r="L101">
        <f>_xlfn.XLOOKUP(Table1[[#This Row],[Key]],Recidivism!C:C,Recidivism!E:E)</f>
        <v>0</v>
      </c>
      <c r="M101">
        <f>IF(ISNA(Table1[[#This Row],[habitual_offenders]]), _xlfn.AGGREGATE(1, 6, Table1[habitual_offenders]), Table1[[#This Row],[habitual_offenders]])</f>
        <v>0</v>
      </c>
      <c r="N101">
        <f>_xlfn.XLOOKUP(Table1[[#This Row],[Key]],Vocational!C:C,Vocational!E:E)</f>
        <v>15</v>
      </c>
      <c r="O101">
        <f>IF(ISNA(Table1[[#This Row],[vocational_count]]), _xlfn.AGGREGATE(1, 6,Table1[vocational_count]), Table1[[#This Row],[vocational_count]])</f>
        <v>15</v>
      </c>
    </row>
    <row r="102" spans="1:15" x14ac:dyDescent="0.3">
      <c r="A102" t="s">
        <v>15</v>
      </c>
      <c r="B102">
        <v>2001</v>
      </c>
      <c r="C102" t="str">
        <f>_xlfn.CONCAT(Table1[[#This Row],[STATE]],"-",Table1[[#This Row],[YEAR]])</f>
        <v>Jammu &amp; Kashmir-2001</v>
      </c>
      <c r="D102">
        <v>47</v>
      </c>
      <c r="E102">
        <v>274</v>
      </c>
      <c r="F102">
        <v>14</v>
      </c>
      <c r="G102">
        <v>48</v>
      </c>
      <c r="H102">
        <f>_xlfn.XLOOKUP(Table1[[#This Row],[Key]],policseStrength!C:C,policseStrength!R:R)</f>
        <v>37518</v>
      </c>
      <c r="I102">
        <f>IF(ISNA(Table1[[#This Row],[total_ps]]), _xlfn.AGGREGATE(1, 6, Table1[total_ps]), Table1[[#This Row],[total_ps]])</f>
        <v>37518</v>
      </c>
      <c r="J102">
        <f>_xlfn.XLOOKUP(Table1[[#This Row],[Key]],Recidivism!C:C,Recidivism!D:D)</f>
        <v>216</v>
      </c>
      <c r="K102">
        <f>IF(ISNA(Table1[[#This Row],[convicts_admitted_raw]]), _xlfn.AGGREGATE(1, 6, Table1[convicts_admitted_raw]), Table1[[#This Row],[convicts_admitted_raw]])</f>
        <v>216</v>
      </c>
      <c r="L102">
        <f>_xlfn.XLOOKUP(Table1[[#This Row],[Key]],Recidivism!C:C,Recidivism!E:E)</f>
        <v>2</v>
      </c>
      <c r="M102">
        <f>IF(ISNA(Table1[[#This Row],[habitual_offenders]]), _xlfn.AGGREGATE(1, 6, Table1[habitual_offenders]), Table1[[#This Row],[habitual_offenders]])</f>
        <v>2</v>
      </c>
      <c r="N102">
        <f>_xlfn.XLOOKUP(Table1[[#This Row],[Key]],Vocational!C:C,Vocational!E:E)</f>
        <v>28</v>
      </c>
      <c r="O102">
        <f>IF(ISNA(Table1[[#This Row],[vocational_count]]), _xlfn.AGGREGATE(1, 6,Table1[vocational_count]), Table1[[#This Row],[vocational_count]])</f>
        <v>28</v>
      </c>
    </row>
    <row r="103" spans="1:15" x14ac:dyDescent="0.3">
      <c r="A103" t="s">
        <v>15</v>
      </c>
      <c r="B103">
        <v>2002</v>
      </c>
      <c r="C103" t="str">
        <f>_xlfn.CONCAT(Table1[[#This Row],[STATE]],"-",Table1[[#This Row],[YEAR]])</f>
        <v>Jammu &amp; Kashmir-2002</v>
      </c>
      <c r="D103">
        <v>82</v>
      </c>
      <c r="E103">
        <v>223</v>
      </c>
      <c r="F103">
        <v>15</v>
      </c>
      <c r="G103">
        <v>37</v>
      </c>
      <c r="H103">
        <f>_xlfn.XLOOKUP(Table1[[#This Row],[Key]],policseStrength!C:C,policseStrength!R:R)</f>
        <v>37518</v>
      </c>
      <c r="I103">
        <f>IF(ISNA(Table1[[#This Row],[total_ps]]), _xlfn.AGGREGATE(1, 6, Table1[total_ps]), Table1[[#This Row],[total_ps]])</f>
        <v>37518</v>
      </c>
      <c r="J103">
        <f>_xlfn.XLOOKUP(Table1[[#This Row],[Key]],Recidivism!C:C,Recidivism!D:D)</f>
        <v>197</v>
      </c>
      <c r="K103">
        <f>IF(ISNA(Table1[[#This Row],[convicts_admitted_raw]]), _xlfn.AGGREGATE(1, 6, Table1[convicts_admitted_raw]), Table1[[#This Row],[convicts_admitted_raw]])</f>
        <v>197</v>
      </c>
      <c r="L103">
        <f>_xlfn.XLOOKUP(Table1[[#This Row],[Key]],Recidivism!C:C,Recidivism!E:E)</f>
        <v>2</v>
      </c>
      <c r="M103">
        <f>IF(ISNA(Table1[[#This Row],[habitual_offenders]]), _xlfn.AGGREGATE(1, 6, Table1[habitual_offenders]), Table1[[#This Row],[habitual_offenders]])</f>
        <v>2</v>
      </c>
      <c r="N103">
        <f>_xlfn.XLOOKUP(Table1[[#This Row],[Key]],Vocational!C:C,Vocational!E:E)</f>
        <v>122</v>
      </c>
      <c r="O103">
        <f>IF(ISNA(Table1[[#This Row],[vocational_count]]), _xlfn.AGGREGATE(1, 6,Table1[vocational_count]), Table1[[#This Row],[vocational_count]])</f>
        <v>122</v>
      </c>
    </row>
    <row r="104" spans="1:15" x14ac:dyDescent="0.3">
      <c r="A104" t="s">
        <v>15</v>
      </c>
      <c r="B104">
        <v>2003</v>
      </c>
      <c r="C104" t="str">
        <f>_xlfn.CONCAT(Table1[[#This Row],[STATE]],"-",Table1[[#This Row],[YEAR]])</f>
        <v>Jammu &amp; Kashmir-2003</v>
      </c>
      <c r="D104">
        <v>428</v>
      </c>
      <c r="E104">
        <v>79</v>
      </c>
      <c r="F104">
        <v>72</v>
      </c>
      <c r="G104">
        <v>62</v>
      </c>
      <c r="H104">
        <f>_xlfn.XLOOKUP(Table1[[#This Row],[Key]],policseStrength!C:C,policseStrength!R:R)</f>
        <v>37518</v>
      </c>
      <c r="I104">
        <f>IF(ISNA(Table1[[#This Row],[total_ps]]), _xlfn.AGGREGATE(1, 6, Table1[total_ps]), Table1[[#This Row],[total_ps]])</f>
        <v>37518</v>
      </c>
      <c r="J104">
        <f>_xlfn.XLOOKUP(Table1[[#This Row],[Key]],Recidivism!C:C,Recidivism!D:D)</f>
        <v>212</v>
      </c>
      <c r="K104">
        <f>IF(ISNA(Table1[[#This Row],[convicts_admitted_raw]]), _xlfn.AGGREGATE(1, 6, Table1[convicts_admitted_raw]), Table1[[#This Row],[convicts_admitted_raw]])</f>
        <v>212</v>
      </c>
      <c r="L104">
        <f>_xlfn.XLOOKUP(Table1[[#This Row],[Key]],Recidivism!C:C,Recidivism!E:E)</f>
        <v>0</v>
      </c>
      <c r="M104">
        <f>IF(ISNA(Table1[[#This Row],[habitual_offenders]]), _xlfn.AGGREGATE(1, 6, Table1[habitual_offenders]), Table1[[#This Row],[habitual_offenders]])</f>
        <v>0</v>
      </c>
      <c r="N104">
        <f>_xlfn.XLOOKUP(Table1[[#This Row],[Key]],Vocational!C:C,Vocational!E:E)</f>
        <v>7</v>
      </c>
      <c r="O104">
        <f>IF(ISNA(Table1[[#This Row],[vocational_count]]), _xlfn.AGGREGATE(1, 6,Table1[vocational_count]), Table1[[#This Row],[vocational_count]])</f>
        <v>7</v>
      </c>
    </row>
    <row r="105" spans="1:15" x14ac:dyDescent="0.3">
      <c r="A105" t="s">
        <v>15</v>
      </c>
      <c r="B105">
        <v>2004</v>
      </c>
      <c r="C105" t="str">
        <f>_xlfn.CONCAT(Table1[[#This Row],[STATE]],"-",Table1[[#This Row],[YEAR]])</f>
        <v>Jammu &amp; Kashmir-2004</v>
      </c>
      <c r="D105">
        <v>556</v>
      </c>
      <c r="E105">
        <v>90</v>
      </c>
      <c r="F105">
        <v>23</v>
      </c>
      <c r="G105">
        <v>14</v>
      </c>
      <c r="H105">
        <f>_xlfn.XLOOKUP(Table1[[#This Row],[Key]],policseStrength!C:C,policseStrength!R:R)</f>
        <v>37518</v>
      </c>
      <c r="I105">
        <f>IF(ISNA(Table1[[#This Row],[total_ps]]), _xlfn.AGGREGATE(1, 6, Table1[total_ps]), Table1[[#This Row],[total_ps]])</f>
        <v>37518</v>
      </c>
      <c r="J105">
        <f>_xlfn.XLOOKUP(Table1[[#This Row],[Key]],Recidivism!C:C,Recidivism!D:D)</f>
        <v>363</v>
      </c>
      <c r="K105">
        <f>IF(ISNA(Table1[[#This Row],[convicts_admitted_raw]]), _xlfn.AGGREGATE(1, 6, Table1[convicts_admitted_raw]), Table1[[#This Row],[convicts_admitted_raw]])</f>
        <v>363</v>
      </c>
      <c r="L105">
        <f>_xlfn.XLOOKUP(Table1[[#This Row],[Key]],Recidivism!C:C,Recidivism!E:E)</f>
        <v>2</v>
      </c>
      <c r="M105">
        <f>IF(ISNA(Table1[[#This Row],[habitual_offenders]]), _xlfn.AGGREGATE(1, 6, Table1[habitual_offenders]), Table1[[#This Row],[habitual_offenders]])</f>
        <v>2</v>
      </c>
      <c r="N105">
        <f>_xlfn.XLOOKUP(Table1[[#This Row],[Key]],Vocational!C:C,Vocational!E:E)</f>
        <v>64</v>
      </c>
      <c r="O105">
        <f>IF(ISNA(Table1[[#This Row],[vocational_count]]), _xlfn.AGGREGATE(1, 6,Table1[vocational_count]), Table1[[#This Row],[vocational_count]])</f>
        <v>64</v>
      </c>
    </row>
    <row r="106" spans="1:15" x14ac:dyDescent="0.3">
      <c r="A106" t="s">
        <v>15</v>
      </c>
      <c r="B106">
        <v>2005</v>
      </c>
      <c r="C106" t="str">
        <f>_xlfn.CONCAT(Table1[[#This Row],[STATE]],"-",Table1[[#This Row],[YEAR]])</f>
        <v>Jammu &amp; Kashmir-2005</v>
      </c>
      <c r="D106">
        <v>73</v>
      </c>
      <c r="E106">
        <v>319</v>
      </c>
      <c r="F106">
        <v>41</v>
      </c>
      <c r="G106">
        <v>24</v>
      </c>
      <c r="H106">
        <f>_xlfn.XLOOKUP(Table1[[#This Row],[Key]],policseStrength!C:C,policseStrength!R:R)</f>
        <v>36904</v>
      </c>
      <c r="I106">
        <f>IF(ISNA(Table1[[#This Row],[total_ps]]), _xlfn.AGGREGATE(1, 6, Table1[total_ps]), Table1[[#This Row],[total_ps]])</f>
        <v>36904</v>
      </c>
      <c r="J106">
        <f>_xlfn.XLOOKUP(Table1[[#This Row],[Key]],Recidivism!C:C,Recidivism!D:D)</f>
        <v>352</v>
      </c>
      <c r="K106">
        <f>IF(ISNA(Table1[[#This Row],[convicts_admitted_raw]]), _xlfn.AGGREGATE(1, 6, Table1[convicts_admitted_raw]), Table1[[#This Row],[convicts_admitted_raw]])</f>
        <v>352</v>
      </c>
      <c r="L106">
        <f>_xlfn.XLOOKUP(Table1[[#This Row],[Key]],Recidivism!C:C,Recidivism!E:E)</f>
        <v>2</v>
      </c>
      <c r="M106">
        <f>IF(ISNA(Table1[[#This Row],[habitual_offenders]]), _xlfn.AGGREGATE(1, 6, Table1[habitual_offenders]), Table1[[#This Row],[habitual_offenders]])</f>
        <v>2</v>
      </c>
      <c r="N106">
        <f>_xlfn.XLOOKUP(Table1[[#This Row],[Key]],Vocational!C:C,Vocational!E:E)</f>
        <v>47</v>
      </c>
      <c r="O106">
        <f>IF(ISNA(Table1[[#This Row],[vocational_count]]), _xlfn.AGGREGATE(1, 6,Table1[vocational_count]), Table1[[#This Row],[vocational_count]])</f>
        <v>47</v>
      </c>
    </row>
    <row r="107" spans="1:15" x14ac:dyDescent="0.3">
      <c r="A107" t="s">
        <v>15</v>
      </c>
      <c r="B107">
        <v>2006</v>
      </c>
      <c r="C107" t="str">
        <f>_xlfn.CONCAT(Table1[[#This Row],[STATE]],"-",Table1[[#This Row],[YEAR]])</f>
        <v>Jammu &amp; Kashmir-2006</v>
      </c>
      <c r="D107">
        <v>240</v>
      </c>
      <c r="E107">
        <v>231</v>
      </c>
      <c r="F107">
        <v>30</v>
      </c>
      <c r="G107">
        <v>24</v>
      </c>
      <c r="H107">
        <f>_xlfn.XLOOKUP(Table1[[#This Row],[Key]],policseStrength!C:C,policseStrength!R:R)</f>
        <v>40212</v>
      </c>
      <c r="I107">
        <f>IF(ISNA(Table1[[#This Row],[total_ps]]), _xlfn.AGGREGATE(1, 6, Table1[total_ps]), Table1[[#This Row],[total_ps]])</f>
        <v>40212</v>
      </c>
      <c r="J107">
        <f>_xlfn.XLOOKUP(Table1[[#This Row],[Key]],Recidivism!C:C,Recidivism!D:D)</f>
        <v>496</v>
      </c>
      <c r="K107">
        <f>IF(ISNA(Table1[[#This Row],[convicts_admitted_raw]]), _xlfn.AGGREGATE(1, 6, Table1[convicts_admitted_raw]), Table1[[#This Row],[convicts_admitted_raw]])</f>
        <v>496</v>
      </c>
      <c r="L107">
        <f>_xlfn.XLOOKUP(Table1[[#This Row],[Key]],Recidivism!C:C,Recidivism!E:E)</f>
        <v>1</v>
      </c>
      <c r="M107">
        <f>IF(ISNA(Table1[[#This Row],[habitual_offenders]]), _xlfn.AGGREGATE(1, 6, Table1[habitual_offenders]), Table1[[#This Row],[habitual_offenders]])</f>
        <v>1</v>
      </c>
      <c r="N107">
        <f>_xlfn.XLOOKUP(Table1[[#This Row],[Key]],Vocational!C:C,Vocational!E:E)</f>
        <v>9</v>
      </c>
      <c r="O107">
        <f>IF(ISNA(Table1[[#This Row],[vocational_count]]), _xlfn.AGGREGATE(1, 6,Table1[vocational_count]), Table1[[#This Row],[vocational_count]])</f>
        <v>9</v>
      </c>
    </row>
    <row r="108" spans="1:15" x14ac:dyDescent="0.3">
      <c r="A108" t="s">
        <v>15</v>
      </c>
      <c r="B108">
        <v>2007</v>
      </c>
      <c r="C108" t="str">
        <f>_xlfn.CONCAT(Table1[[#This Row],[STATE]],"-",Table1[[#This Row],[YEAR]])</f>
        <v>Jammu &amp; Kashmir-2007</v>
      </c>
      <c r="D108">
        <v>333</v>
      </c>
      <c r="E108">
        <v>132</v>
      </c>
      <c r="F108">
        <v>43</v>
      </c>
      <c r="G108">
        <v>25</v>
      </c>
      <c r="H108">
        <f>_xlfn.XLOOKUP(Table1[[#This Row],[Key]],policseStrength!C:C,policseStrength!R:R)</f>
        <v>45582</v>
      </c>
      <c r="I108">
        <f>IF(ISNA(Table1[[#This Row],[total_ps]]), _xlfn.AGGREGATE(1, 6, Table1[total_ps]), Table1[[#This Row],[total_ps]])</f>
        <v>45582</v>
      </c>
      <c r="J108">
        <f>_xlfn.XLOOKUP(Table1[[#This Row],[Key]],Recidivism!C:C,Recidivism!D:D)</f>
        <v>0</v>
      </c>
      <c r="K108">
        <f>IF(ISNA(Table1[[#This Row],[convicts_admitted_raw]]), _xlfn.AGGREGATE(1, 6, Table1[convicts_admitted_raw]), Table1[[#This Row],[convicts_admitted_raw]])</f>
        <v>0</v>
      </c>
      <c r="L108">
        <f>_xlfn.XLOOKUP(Table1[[#This Row],[Key]],Recidivism!C:C,Recidivism!E:E)</f>
        <v>0</v>
      </c>
      <c r="M108">
        <f>IF(ISNA(Table1[[#This Row],[habitual_offenders]]), _xlfn.AGGREGATE(1, 6, Table1[habitual_offenders]), Table1[[#This Row],[habitual_offenders]])</f>
        <v>0</v>
      </c>
      <c r="N108">
        <f>_xlfn.XLOOKUP(Table1[[#This Row],[Key]],Vocational!C:C,Vocational!E:E)</f>
        <v>4</v>
      </c>
      <c r="O108">
        <f>IF(ISNA(Table1[[#This Row],[vocational_count]]), _xlfn.AGGREGATE(1, 6,Table1[vocational_count]), Table1[[#This Row],[vocational_count]])</f>
        <v>4</v>
      </c>
    </row>
    <row r="109" spans="1:15" x14ac:dyDescent="0.3">
      <c r="A109" t="s">
        <v>15</v>
      </c>
      <c r="B109">
        <v>2008</v>
      </c>
      <c r="C109" t="str">
        <f>_xlfn.CONCAT(Table1[[#This Row],[STATE]],"-",Table1[[#This Row],[YEAR]])</f>
        <v>Jammu &amp; Kashmir-2008</v>
      </c>
      <c r="D109">
        <v>232</v>
      </c>
      <c r="E109">
        <v>117</v>
      </c>
      <c r="F109">
        <v>54</v>
      </c>
      <c r="G109">
        <v>18</v>
      </c>
      <c r="H109">
        <f>_xlfn.XLOOKUP(Table1[[#This Row],[Key]],policseStrength!C:C,policseStrength!R:R)</f>
        <v>49466</v>
      </c>
      <c r="I109">
        <f>IF(ISNA(Table1[[#This Row],[total_ps]]), _xlfn.AGGREGATE(1, 6, Table1[total_ps]), Table1[[#This Row],[total_ps]])</f>
        <v>49466</v>
      </c>
      <c r="J109">
        <f>_xlfn.XLOOKUP(Table1[[#This Row],[Key]],Recidivism!C:C,Recidivism!D:D)</f>
        <v>324</v>
      </c>
      <c r="K109">
        <f>IF(ISNA(Table1[[#This Row],[convicts_admitted_raw]]), _xlfn.AGGREGATE(1, 6, Table1[convicts_admitted_raw]), Table1[[#This Row],[convicts_admitted_raw]])</f>
        <v>324</v>
      </c>
      <c r="L109">
        <f>_xlfn.XLOOKUP(Table1[[#This Row],[Key]],Recidivism!C:C,Recidivism!E:E)</f>
        <v>0</v>
      </c>
      <c r="M109">
        <f>IF(ISNA(Table1[[#This Row],[habitual_offenders]]), _xlfn.AGGREGATE(1, 6, Table1[habitual_offenders]), Table1[[#This Row],[habitual_offenders]])</f>
        <v>0</v>
      </c>
      <c r="N109">
        <f>_xlfn.XLOOKUP(Table1[[#This Row],[Key]],Vocational!C:C,Vocational!E:E)</f>
        <v>3</v>
      </c>
      <c r="O109">
        <f>IF(ISNA(Table1[[#This Row],[vocational_count]]), _xlfn.AGGREGATE(1, 6,Table1[vocational_count]), Table1[[#This Row],[vocational_count]])</f>
        <v>3</v>
      </c>
    </row>
    <row r="110" spans="1:15" x14ac:dyDescent="0.3">
      <c r="A110" t="s">
        <v>15</v>
      </c>
      <c r="B110">
        <v>2009</v>
      </c>
      <c r="C110" t="str">
        <f>_xlfn.CONCAT(Table1[[#This Row],[STATE]],"-",Table1[[#This Row],[YEAR]])</f>
        <v>Jammu &amp; Kashmir-2009</v>
      </c>
      <c r="D110">
        <v>200</v>
      </c>
      <c r="E110">
        <v>87</v>
      </c>
      <c r="F110">
        <v>30</v>
      </c>
      <c r="G110">
        <v>85</v>
      </c>
      <c r="H110">
        <f>_xlfn.XLOOKUP(Table1[[#This Row],[Key]],policseStrength!C:C,policseStrength!R:R)</f>
        <v>49924</v>
      </c>
      <c r="I110">
        <f>IF(ISNA(Table1[[#This Row],[total_ps]]), _xlfn.AGGREGATE(1, 6, Table1[total_ps]), Table1[[#This Row],[total_ps]])</f>
        <v>49924</v>
      </c>
      <c r="J110">
        <f>_xlfn.XLOOKUP(Table1[[#This Row],[Key]],Recidivism!C:C,Recidivism!D:D)</f>
        <v>160</v>
      </c>
      <c r="K110">
        <f>IF(ISNA(Table1[[#This Row],[convicts_admitted_raw]]), _xlfn.AGGREGATE(1, 6, Table1[convicts_admitted_raw]), Table1[[#This Row],[convicts_admitted_raw]])</f>
        <v>160</v>
      </c>
      <c r="L110">
        <f>_xlfn.XLOOKUP(Table1[[#This Row],[Key]],Recidivism!C:C,Recidivism!E:E)</f>
        <v>0</v>
      </c>
      <c r="M110">
        <f>IF(ISNA(Table1[[#This Row],[habitual_offenders]]), _xlfn.AGGREGATE(1, 6, Table1[habitual_offenders]), Table1[[#This Row],[habitual_offenders]])</f>
        <v>0</v>
      </c>
      <c r="N110">
        <f>_xlfn.XLOOKUP(Table1[[#This Row],[Key]],Vocational!C:C,Vocational!E:E)</f>
        <v>6</v>
      </c>
      <c r="O110">
        <f>IF(ISNA(Table1[[#This Row],[vocational_count]]), _xlfn.AGGREGATE(1, 6,Table1[vocational_count]), Table1[[#This Row],[vocational_count]])</f>
        <v>6</v>
      </c>
    </row>
    <row r="111" spans="1:15" x14ac:dyDescent="0.3">
      <c r="A111" t="s">
        <v>15</v>
      </c>
      <c r="B111">
        <v>2010</v>
      </c>
      <c r="C111" t="str">
        <f>_xlfn.CONCAT(Table1[[#This Row],[STATE]],"-",Table1[[#This Row],[YEAR]])</f>
        <v>Jammu &amp; Kashmir-2010</v>
      </c>
      <c r="D111">
        <v>602</v>
      </c>
      <c r="E111">
        <v>153</v>
      </c>
      <c r="F111">
        <v>63</v>
      </c>
      <c r="G111">
        <v>97</v>
      </c>
      <c r="H111">
        <f>_xlfn.XLOOKUP(Table1[[#This Row],[Key]],policseStrength!C:C,policseStrength!R:R)</f>
        <v>58306</v>
      </c>
      <c r="I111">
        <f>IF(ISNA(Table1[[#This Row],[total_ps]]), _xlfn.AGGREGATE(1, 6, Table1[total_ps]), Table1[[#This Row],[total_ps]])</f>
        <v>58306</v>
      </c>
      <c r="J111">
        <f>_xlfn.XLOOKUP(Table1[[#This Row],[Key]],Recidivism!C:C,Recidivism!D:D)</f>
        <v>232</v>
      </c>
      <c r="K111">
        <f>IF(ISNA(Table1[[#This Row],[convicts_admitted_raw]]), _xlfn.AGGREGATE(1, 6, Table1[convicts_admitted_raw]), Table1[[#This Row],[convicts_admitted_raw]])</f>
        <v>232</v>
      </c>
      <c r="L111">
        <f>_xlfn.XLOOKUP(Table1[[#This Row],[Key]],Recidivism!C:C,Recidivism!E:E)</f>
        <v>4</v>
      </c>
      <c r="M111">
        <f>IF(ISNA(Table1[[#This Row],[habitual_offenders]]), _xlfn.AGGREGATE(1, 6, Table1[habitual_offenders]), Table1[[#This Row],[habitual_offenders]])</f>
        <v>4</v>
      </c>
      <c r="N111">
        <f>_xlfn.XLOOKUP(Table1[[#This Row],[Key]],Vocational!C:C,Vocational!E:E)</f>
        <v>27</v>
      </c>
      <c r="O111">
        <f>IF(ISNA(Table1[[#This Row],[vocational_count]]), _xlfn.AGGREGATE(1, 6,Table1[vocational_count]), Table1[[#This Row],[vocational_count]])</f>
        <v>27</v>
      </c>
    </row>
    <row r="112" spans="1:15" x14ac:dyDescent="0.3">
      <c r="A112" t="s">
        <v>15</v>
      </c>
      <c r="B112">
        <v>2011</v>
      </c>
      <c r="C112" t="str">
        <f>_xlfn.CONCAT(Table1[[#This Row],[STATE]],"-",Table1[[#This Row],[YEAR]])</f>
        <v>Jammu &amp; Kashmir-2011</v>
      </c>
      <c r="D112">
        <v>618</v>
      </c>
      <c r="E112">
        <v>178</v>
      </c>
      <c r="F112">
        <v>59</v>
      </c>
      <c r="G112">
        <v>87</v>
      </c>
      <c r="H112" t="e">
        <f>_xlfn.XLOOKUP(Table1[[#This Row],[Key]],policseStrength!C:C,policseStrength!R:R)</f>
        <v>#N/A</v>
      </c>
      <c r="I112">
        <f>IF(ISNA(Table1[[#This Row],[total_ps]]), _xlfn.AGGREGATE(1, 6, Table1[total_ps]), Table1[[#This Row],[total_ps]])</f>
        <v>20128.370106761566</v>
      </c>
      <c r="J112">
        <f>_xlfn.XLOOKUP(Table1[[#This Row],[Key]],Recidivism!C:C,Recidivism!D:D)</f>
        <v>245</v>
      </c>
      <c r="K112">
        <f>IF(ISNA(Table1[[#This Row],[convicts_admitted_raw]]), _xlfn.AGGREGATE(1, 6, Table1[convicts_admitted_raw]), Table1[[#This Row],[convicts_admitted_raw]])</f>
        <v>245</v>
      </c>
      <c r="L112">
        <f>_xlfn.XLOOKUP(Table1[[#This Row],[Key]],Recidivism!C:C,Recidivism!E:E)</f>
        <v>2</v>
      </c>
      <c r="M112">
        <f>IF(ISNA(Table1[[#This Row],[habitual_offenders]]), _xlfn.AGGREGATE(1, 6, Table1[habitual_offenders]), Table1[[#This Row],[habitual_offenders]])</f>
        <v>2</v>
      </c>
      <c r="N112">
        <f>_xlfn.XLOOKUP(Table1[[#This Row],[Key]],Vocational!C:C,Vocational!E:E)</f>
        <v>31</v>
      </c>
      <c r="O112">
        <f>IF(ISNA(Table1[[#This Row],[vocational_count]]), _xlfn.AGGREGATE(1, 6,Table1[vocational_count]), Table1[[#This Row],[vocational_count]])</f>
        <v>31</v>
      </c>
    </row>
    <row r="113" spans="1:15" x14ac:dyDescent="0.3">
      <c r="A113" t="s">
        <v>15</v>
      </c>
      <c r="B113">
        <v>2012</v>
      </c>
      <c r="C113" t="str">
        <f>_xlfn.CONCAT(Table1[[#This Row],[STATE]],"-",Table1[[#This Row],[YEAR]])</f>
        <v>Jammu &amp; Kashmir-2012</v>
      </c>
      <c r="D113">
        <v>684</v>
      </c>
      <c r="E113">
        <v>182</v>
      </c>
      <c r="F113">
        <v>61</v>
      </c>
      <c r="G113">
        <v>60</v>
      </c>
      <c r="H113" t="e">
        <f>_xlfn.XLOOKUP(Table1[[#This Row],[Key]],policseStrength!C:C,policseStrength!R:R)</f>
        <v>#N/A</v>
      </c>
      <c r="I113">
        <f>IF(ISNA(Table1[[#This Row],[total_ps]]), _xlfn.AGGREGATE(1, 6, Table1[total_ps]), Table1[[#This Row],[total_ps]])</f>
        <v>20128.370106761566</v>
      </c>
      <c r="J113">
        <f>_xlfn.XLOOKUP(Table1[[#This Row],[Key]],Recidivism!C:C,Recidivism!D:D)</f>
        <v>451</v>
      </c>
      <c r="K113">
        <f>IF(ISNA(Table1[[#This Row],[convicts_admitted_raw]]), _xlfn.AGGREGATE(1, 6, Table1[convicts_admitted_raw]), Table1[[#This Row],[convicts_admitted_raw]])</f>
        <v>451</v>
      </c>
      <c r="L113">
        <f>_xlfn.XLOOKUP(Table1[[#This Row],[Key]],Recidivism!C:C,Recidivism!E:E)</f>
        <v>1</v>
      </c>
      <c r="M113">
        <f>IF(ISNA(Table1[[#This Row],[habitual_offenders]]), _xlfn.AGGREGATE(1, 6, Table1[habitual_offenders]), Table1[[#This Row],[habitual_offenders]])</f>
        <v>1</v>
      </c>
      <c r="N113">
        <f>_xlfn.XLOOKUP(Table1[[#This Row],[Key]],Vocational!C:C,Vocational!E:E)</f>
        <v>40</v>
      </c>
      <c r="O113">
        <f>IF(ISNA(Table1[[#This Row],[vocational_count]]), _xlfn.AGGREGATE(1, 6,Table1[vocational_count]), Table1[[#This Row],[vocational_count]])</f>
        <v>40</v>
      </c>
    </row>
    <row r="114" spans="1:15" x14ac:dyDescent="0.3">
      <c r="A114" t="s">
        <v>16</v>
      </c>
      <c r="B114">
        <v>2001</v>
      </c>
      <c r="C114" t="str">
        <f>_xlfn.CONCAT(Table1[[#This Row],[STATE]],"-",Table1[[#This Row],[YEAR]])</f>
        <v>Jharkhand-2001</v>
      </c>
      <c r="D114">
        <v>260</v>
      </c>
      <c r="E114">
        <v>518</v>
      </c>
      <c r="F114">
        <v>0</v>
      </c>
      <c r="G114">
        <v>0</v>
      </c>
      <c r="H114" t="e">
        <f>_xlfn.XLOOKUP(Table1[[#This Row],[Key]],policseStrength!C:C,policseStrength!R:R)</f>
        <v>#N/A</v>
      </c>
      <c r="I114">
        <f>IF(ISNA(Table1[[#This Row],[total_ps]]), _xlfn.AGGREGATE(1, 6, Table1[total_ps]), Table1[[#This Row],[total_ps]])</f>
        <v>20128.370106761566</v>
      </c>
      <c r="J114">
        <f>_xlfn.XLOOKUP(Table1[[#This Row],[Key]],Recidivism!C:C,Recidivism!D:D)</f>
        <v>4693</v>
      </c>
      <c r="K114">
        <f>IF(ISNA(Table1[[#This Row],[convicts_admitted_raw]]), _xlfn.AGGREGATE(1, 6, Table1[convicts_admitted_raw]), Table1[[#This Row],[convicts_admitted_raw]])</f>
        <v>4693</v>
      </c>
      <c r="L114">
        <f>_xlfn.XLOOKUP(Table1[[#This Row],[Key]],Recidivism!C:C,Recidivism!E:E)</f>
        <v>138</v>
      </c>
      <c r="M114">
        <f>IF(ISNA(Table1[[#This Row],[habitual_offenders]]), _xlfn.AGGREGATE(1, 6, Table1[habitual_offenders]), Table1[[#This Row],[habitual_offenders]])</f>
        <v>138</v>
      </c>
      <c r="N114">
        <f>_xlfn.XLOOKUP(Table1[[#This Row],[Key]],Vocational!C:C,Vocational!E:E)</f>
        <v>715</v>
      </c>
      <c r="O114">
        <f>IF(ISNA(Table1[[#This Row],[vocational_count]]), _xlfn.AGGREGATE(1, 6,Table1[vocational_count]), Table1[[#This Row],[vocational_count]])</f>
        <v>715</v>
      </c>
    </row>
    <row r="115" spans="1:15" x14ac:dyDescent="0.3">
      <c r="A115" t="s">
        <v>16</v>
      </c>
      <c r="B115">
        <v>2002</v>
      </c>
      <c r="C115" t="str">
        <f>_xlfn.CONCAT(Table1[[#This Row],[STATE]],"-",Table1[[#This Row],[YEAR]])</f>
        <v>Jharkhand-2002</v>
      </c>
      <c r="D115">
        <v>53</v>
      </c>
      <c r="E115">
        <v>614</v>
      </c>
      <c r="F115">
        <v>35</v>
      </c>
      <c r="G115">
        <v>24</v>
      </c>
      <c r="H115">
        <f>_xlfn.XLOOKUP(Table1[[#This Row],[Key]],policseStrength!C:C,policseStrength!R:R)</f>
        <v>3126</v>
      </c>
      <c r="I115">
        <f>IF(ISNA(Table1[[#This Row],[total_ps]]), _xlfn.AGGREGATE(1, 6, Table1[total_ps]), Table1[[#This Row],[total_ps]])</f>
        <v>3126</v>
      </c>
      <c r="J115">
        <f>_xlfn.XLOOKUP(Table1[[#This Row],[Key]],Recidivism!C:C,Recidivism!D:D)</f>
        <v>4419</v>
      </c>
      <c r="K115">
        <f>IF(ISNA(Table1[[#This Row],[convicts_admitted_raw]]), _xlfn.AGGREGATE(1, 6, Table1[convicts_admitted_raw]), Table1[[#This Row],[convicts_admitted_raw]])</f>
        <v>4419</v>
      </c>
      <c r="L115">
        <f>_xlfn.XLOOKUP(Table1[[#This Row],[Key]],Recidivism!C:C,Recidivism!E:E)</f>
        <v>583</v>
      </c>
      <c r="M115">
        <f>IF(ISNA(Table1[[#This Row],[habitual_offenders]]), _xlfn.AGGREGATE(1, 6, Table1[habitual_offenders]), Table1[[#This Row],[habitual_offenders]])</f>
        <v>583</v>
      </c>
      <c r="N115">
        <f>_xlfn.XLOOKUP(Table1[[#This Row],[Key]],Vocational!C:C,Vocational!E:E)</f>
        <v>54</v>
      </c>
      <c r="O115">
        <f>IF(ISNA(Table1[[#This Row],[vocational_count]]), _xlfn.AGGREGATE(1, 6,Table1[vocational_count]), Table1[[#This Row],[vocational_count]])</f>
        <v>54</v>
      </c>
    </row>
    <row r="116" spans="1:15" x14ac:dyDescent="0.3">
      <c r="A116" t="s">
        <v>16</v>
      </c>
      <c r="B116">
        <v>2003</v>
      </c>
      <c r="C116" t="str">
        <f>_xlfn.CONCAT(Table1[[#This Row],[STATE]],"-",Table1[[#This Row],[YEAR]])</f>
        <v>Jharkhand-2003</v>
      </c>
      <c r="D116">
        <v>551</v>
      </c>
      <c r="E116">
        <v>3035</v>
      </c>
      <c r="F116">
        <v>52</v>
      </c>
      <c r="G116">
        <v>45</v>
      </c>
      <c r="H116">
        <f>_xlfn.XLOOKUP(Table1[[#This Row],[Key]],policseStrength!C:C,policseStrength!R:R)</f>
        <v>6666</v>
      </c>
      <c r="I116">
        <f>IF(ISNA(Table1[[#This Row],[total_ps]]), _xlfn.AGGREGATE(1, 6, Table1[total_ps]), Table1[[#This Row],[total_ps]])</f>
        <v>6666</v>
      </c>
      <c r="J116">
        <f>_xlfn.XLOOKUP(Table1[[#This Row],[Key]],Recidivism!C:C,Recidivism!D:D)</f>
        <v>11168</v>
      </c>
      <c r="K116">
        <f>IF(ISNA(Table1[[#This Row],[convicts_admitted_raw]]), _xlfn.AGGREGATE(1, 6, Table1[convicts_admitted_raw]), Table1[[#This Row],[convicts_admitted_raw]])</f>
        <v>11168</v>
      </c>
      <c r="L116">
        <f>_xlfn.XLOOKUP(Table1[[#This Row],[Key]],Recidivism!C:C,Recidivism!E:E)</f>
        <v>271</v>
      </c>
      <c r="M116">
        <f>IF(ISNA(Table1[[#This Row],[habitual_offenders]]), _xlfn.AGGREGATE(1, 6, Table1[habitual_offenders]), Table1[[#This Row],[habitual_offenders]])</f>
        <v>271</v>
      </c>
      <c r="N116">
        <f>_xlfn.XLOOKUP(Table1[[#This Row],[Key]],Vocational!C:C,Vocational!E:E)</f>
        <v>133</v>
      </c>
      <c r="O116">
        <f>IF(ISNA(Table1[[#This Row],[vocational_count]]), _xlfn.AGGREGATE(1, 6,Table1[vocational_count]), Table1[[#This Row],[vocational_count]])</f>
        <v>133</v>
      </c>
    </row>
    <row r="117" spans="1:15" x14ac:dyDescent="0.3">
      <c r="A117" t="s">
        <v>16</v>
      </c>
      <c r="B117">
        <v>2004</v>
      </c>
      <c r="C117" t="str">
        <f>_xlfn.CONCAT(Table1[[#This Row],[STATE]],"-",Table1[[#This Row],[YEAR]])</f>
        <v>Jharkhand-2004</v>
      </c>
      <c r="D117">
        <v>726</v>
      </c>
      <c r="E117">
        <v>2325</v>
      </c>
      <c r="F117">
        <v>67</v>
      </c>
      <c r="G117">
        <v>52</v>
      </c>
      <c r="H117">
        <f>_xlfn.XLOOKUP(Table1[[#This Row],[Key]],policseStrength!C:C,policseStrength!R:R)</f>
        <v>6666</v>
      </c>
      <c r="I117">
        <f>IF(ISNA(Table1[[#This Row],[total_ps]]), _xlfn.AGGREGATE(1, 6, Table1[total_ps]), Table1[[#This Row],[total_ps]])</f>
        <v>6666</v>
      </c>
      <c r="J117">
        <f>_xlfn.XLOOKUP(Table1[[#This Row],[Key]],Recidivism!C:C,Recidivism!D:D)</f>
        <v>12097</v>
      </c>
      <c r="K117">
        <f>IF(ISNA(Table1[[#This Row],[convicts_admitted_raw]]), _xlfn.AGGREGATE(1, 6, Table1[convicts_admitted_raw]), Table1[[#This Row],[convicts_admitted_raw]])</f>
        <v>12097</v>
      </c>
      <c r="L117">
        <f>_xlfn.XLOOKUP(Table1[[#This Row],[Key]],Recidivism!C:C,Recidivism!E:E)</f>
        <v>149</v>
      </c>
      <c r="M117">
        <f>IF(ISNA(Table1[[#This Row],[habitual_offenders]]), _xlfn.AGGREGATE(1, 6, Table1[habitual_offenders]), Table1[[#This Row],[habitual_offenders]])</f>
        <v>149</v>
      </c>
      <c r="N117">
        <f>_xlfn.XLOOKUP(Table1[[#This Row],[Key]],Vocational!C:C,Vocational!E:E)</f>
        <v>149</v>
      </c>
      <c r="O117">
        <f>IF(ISNA(Table1[[#This Row],[vocational_count]]), _xlfn.AGGREGATE(1, 6,Table1[vocational_count]), Table1[[#This Row],[vocational_count]])</f>
        <v>149</v>
      </c>
    </row>
    <row r="118" spans="1:15" x14ac:dyDescent="0.3">
      <c r="A118" t="s">
        <v>16</v>
      </c>
      <c r="B118">
        <v>2005</v>
      </c>
      <c r="C118" t="str">
        <f>_xlfn.CONCAT(Table1[[#This Row],[STATE]],"-",Table1[[#This Row],[YEAR]])</f>
        <v>Jharkhand-2005</v>
      </c>
      <c r="D118">
        <v>805</v>
      </c>
      <c r="E118">
        <v>2014</v>
      </c>
      <c r="F118">
        <v>62</v>
      </c>
      <c r="G118">
        <v>30</v>
      </c>
      <c r="H118">
        <f>_xlfn.XLOOKUP(Table1[[#This Row],[Key]],policseStrength!C:C,policseStrength!R:R)</f>
        <v>4824</v>
      </c>
      <c r="I118">
        <f>IF(ISNA(Table1[[#This Row],[total_ps]]), _xlfn.AGGREGATE(1, 6, Table1[total_ps]), Table1[[#This Row],[total_ps]])</f>
        <v>4824</v>
      </c>
      <c r="J118">
        <f>_xlfn.XLOOKUP(Table1[[#This Row],[Key]],Recidivism!C:C,Recidivism!D:D)</f>
        <v>7183</v>
      </c>
      <c r="K118">
        <f>IF(ISNA(Table1[[#This Row],[convicts_admitted_raw]]), _xlfn.AGGREGATE(1, 6, Table1[convicts_admitted_raw]), Table1[[#This Row],[convicts_admitted_raw]])</f>
        <v>7183</v>
      </c>
      <c r="L118">
        <f>_xlfn.XLOOKUP(Table1[[#This Row],[Key]],Recidivism!C:C,Recidivism!E:E)</f>
        <v>140</v>
      </c>
      <c r="M118">
        <f>IF(ISNA(Table1[[#This Row],[habitual_offenders]]), _xlfn.AGGREGATE(1, 6, Table1[habitual_offenders]), Table1[[#This Row],[habitual_offenders]])</f>
        <v>140</v>
      </c>
      <c r="N118">
        <f>_xlfn.XLOOKUP(Table1[[#This Row],[Key]],Vocational!C:C,Vocational!E:E)</f>
        <v>8768</v>
      </c>
      <c r="O118">
        <f>IF(ISNA(Table1[[#This Row],[vocational_count]]), _xlfn.AGGREGATE(1, 6,Table1[vocational_count]), Table1[[#This Row],[vocational_count]])</f>
        <v>8768</v>
      </c>
    </row>
    <row r="119" spans="1:15" x14ac:dyDescent="0.3">
      <c r="A119" t="s">
        <v>16</v>
      </c>
      <c r="B119">
        <v>2006</v>
      </c>
      <c r="C119" t="str">
        <f>_xlfn.CONCAT(Table1[[#This Row],[STATE]],"-",Table1[[#This Row],[YEAR]])</f>
        <v>Jharkhand-2006</v>
      </c>
      <c r="D119">
        <v>1050</v>
      </c>
      <c r="E119">
        <v>3232</v>
      </c>
      <c r="F119">
        <v>163</v>
      </c>
      <c r="G119">
        <v>48</v>
      </c>
      <c r="H119">
        <f>_xlfn.XLOOKUP(Table1[[#This Row],[Key]],policseStrength!C:C,policseStrength!R:R)</f>
        <v>6072</v>
      </c>
      <c r="I119">
        <f>IF(ISNA(Table1[[#This Row],[total_ps]]), _xlfn.AGGREGATE(1, 6, Table1[total_ps]), Table1[[#This Row],[total_ps]])</f>
        <v>6072</v>
      </c>
      <c r="J119">
        <f>_xlfn.XLOOKUP(Table1[[#This Row],[Key]],Recidivism!C:C,Recidivism!D:D)</f>
        <v>8304</v>
      </c>
      <c r="K119">
        <f>IF(ISNA(Table1[[#This Row],[convicts_admitted_raw]]), _xlfn.AGGREGATE(1, 6, Table1[convicts_admitted_raw]), Table1[[#This Row],[convicts_admitted_raw]])</f>
        <v>8304</v>
      </c>
      <c r="L119">
        <f>_xlfn.XLOOKUP(Table1[[#This Row],[Key]],Recidivism!C:C,Recidivism!E:E)</f>
        <v>168</v>
      </c>
      <c r="M119">
        <f>IF(ISNA(Table1[[#This Row],[habitual_offenders]]), _xlfn.AGGREGATE(1, 6, Table1[habitual_offenders]), Table1[[#This Row],[habitual_offenders]])</f>
        <v>168</v>
      </c>
      <c r="N119">
        <f>_xlfn.XLOOKUP(Table1[[#This Row],[Key]],Vocational!C:C,Vocational!E:E)</f>
        <v>19</v>
      </c>
      <c r="O119">
        <f>IF(ISNA(Table1[[#This Row],[vocational_count]]), _xlfn.AGGREGATE(1, 6,Table1[vocational_count]), Table1[[#This Row],[vocational_count]])</f>
        <v>19</v>
      </c>
    </row>
    <row r="120" spans="1:15" x14ac:dyDescent="0.3">
      <c r="A120" t="s">
        <v>16</v>
      </c>
      <c r="B120">
        <v>2007</v>
      </c>
      <c r="C120" t="str">
        <f>_xlfn.CONCAT(Table1[[#This Row],[STATE]],"-",Table1[[#This Row],[YEAR]])</f>
        <v>Jharkhand-2007</v>
      </c>
      <c r="D120">
        <v>1273</v>
      </c>
      <c r="E120">
        <v>3215</v>
      </c>
      <c r="F120">
        <v>55</v>
      </c>
      <c r="G120">
        <v>1</v>
      </c>
      <c r="H120">
        <f>_xlfn.XLOOKUP(Table1[[#This Row],[Key]],policseStrength!C:C,policseStrength!R:R)</f>
        <v>22600</v>
      </c>
      <c r="I120">
        <f>IF(ISNA(Table1[[#This Row],[total_ps]]), _xlfn.AGGREGATE(1, 6, Table1[total_ps]), Table1[[#This Row],[total_ps]])</f>
        <v>22600</v>
      </c>
      <c r="J120">
        <f>_xlfn.XLOOKUP(Table1[[#This Row],[Key]],Recidivism!C:C,Recidivism!D:D)</f>
        <v>6183</v>
      </c>
      <c r="K120">
        <f>IF(ISNA(Table1[[#This Row],[convicts_admitted_raw]]), _xlfn.AGGREGATE(1, 6, Table1[convicts_admitted_raw]), Table1[[#This Row],[convicts_admitted_raw]])</f>
        <v>6183</v>
      </c>
      <c r="L120">
        <f>_xlfn.XLOOKUP(Table1[[#This Row],[Key]],Recidivism!C:C,Recidivism!E:E)</f>
        <v>172</v>
      </c>
      <c r="M120">
        <f>IF(ISNA(Table1[[#This Row],[habitual_offenders]]), _xlfn.AGGREGATE(1, 6, Table1[habitual_offenders]), Table1[[#This Row],[habitual_offenders]])</f>
        <v>172</v>
      </c>
      <c r="N120">
        <f>_xlfn.XLOOKUP(Table1[[#This Row],[Key]],Vocational!C:C,Vocational!E:E)</f>
        <v>85</v>
      </c>
      <c r="O120">
        <f>IF(ISNA(Table1[[#This Row],[vocational_count]]), _xlfn.AGGREGATE(1, 6,Table1[vocational_count]), Table1[[#This Row],[vocational_count]])</f>
        <v>85</v>
      </c>
    </row>
    <row r="121" spans="1:15" x14ac:dyDescent="0.3">
      <c r="A121" t="s">
        <v>16</v>
      </c>
      <c r="B121">
        <v>2008</v>
      </c>
      <c r="C121" t="str">
        <f>_xlfn.CONCAT(Table1[[#This Row],[STATE]],"-",Table1[[#This Row],[YEAR]])</f>
        <v>Jharkhand-2008</v>
      </c>
      <c r="D121">
        <v>2896</v>
      </c>
      <c r="E121">
        <v>3394</v>
      </c>
      <c r="F121">
        <v>197</v>
      </c>
      <c r="G121">
        <v>96</v>
      </c>
      <c r="H121">
        <f>_xlfn.XLOOKUP(Table1[[#This Row],[Key]],policseStrength!C:C,policseStrength!R:R)</f>
        <v>21488</v>
      </c>
      <c r="I121">
        <f>IF(ISNA(Table1[[#This Row],[total_ps]]), _xlfn.AGGREGATE(1, 6, Table1[total_ps]), Table1[[#This Row],[total_ps]])</f>
        <v>21488</v>
      </c>
      <c r="J121">
        <f>_xlfn.XLOOKUP(Table1[[#This Row],[Key]],Recidivism!C:C,Recidivism!D:D)</f>
        <v>6628</v>
      </c>
      <c r="K121">
        <f>IF(ISNA(Table1[[#This Row],[convicts_admitted_raw]]), _xlfn.AGGREGATE(1, 6, Table1[convicts_admitted_raw]), Table1[[#This Row],[convicts_admitted_raw]])</f>
        <v>6628</v>
      </c>
      <c r="L121">
        <f>_xlfn.XLOOKUP(Table1[[#This Row],[Key]],Recidivism!C:C,Recidivism!E:E)</f>
        <v>309</v>
      </c>
      <c r="M121">
        <f>IF(ISNA(Table1[[#This Row],[habitual_offenders]]), _xlfn.AGGREGATE(1, 6, Table1[habitual_offenders]), Table1[[#This Row],[habitual_offenders]])</f>
        <v>309</v>
      </c>
      <c r="N121">
        <f>_xlfn.XLOOKUP(Table1[[#This Row],[Key]],Vocational!C:C,Vocational!E:E)</f>
        <v>10</v>
      </c>
      <c r="O121">
        <f>IF(ISNA(Table1[[#This Row],[vocational_count]]), _xlfn.AGGREGATE(1, 6,Table1[vocational_count]), Table1[[#This Row],[vocational_count]])</f>
        <v>10</v>
      </c>
    </row>
    <row r="122" spans="1:15" x14ac:dyDescent="0.3">
      <c r="A122" t="s">
        <v>16</v>
      </c>
      <c r="B122">
        <v>2009</v>
      </c>
      <c r="C122" t="str">
        <f>_xlfn.CONCAT(Table1[[#This Row],[STATE]],"-",Table1[[#This Row],[YEAR]])</f>
        <v>Jharkhand-2009</v>
      </c>
      <c r="D122">
        <v>3172</v>
      </c>
      <c r="E122">
        <v>3296</v>
      </c>
      <c r="F122">
        <v>159</v>
      </c>
      <c r="G122">
        <v>1062</v>
      </c>
      <c r="H122">
        <f>_xlfn.XLOOKUP(Table1[[#This Row],[Key]],policseStrength!C:C,policseStrength!R:R)</f>
        <v>24344</v>
      </c>
      <c r="I122">
        <f>IF(ISNA(Table1[[#This Row],[total_ps]]), _xlfn.AGGREGATE(1, 6, Table1[total_ps]), Table1[[#This Row],[total_ps]])</f>
        <v>24344</v>
      </c>
      <c r="J122">
        <f>_xlfn.XLOOKUP(Table1[[#This Row],[Key]],Recidivism!C:C,Recidivism!D:D)</f>
        <v>5059</v>
      </c>
      <c r="K122">
        <f>IF(ISNA(Table1[[#This Row],[convicts_admitted_raw]]), _xlfn.AGGREGATE(1, 6, Table1[convicts_admitted_raw]), Table1[[#This Row],[convicts_admitted_raw]])</f>
        <v>5059</v>
      </c>
      <c r="L122">
        <f>_xlfn.XLOOKUP(Table1[[#This Row],[Key]],Recidivism!C:C,Recidivism!E:E)</f>
        <v>149</v>
      </c>
      <c r="M122">
        <f>IF(ISNA(Table1[[#This Row],[habitual_offenders]]), _xlfn.AGGREGATE(1, 6, Table1[habitual_offenders]), Table1[[#This Row],[habitual_offenders]])</f>
        <v>149</v>
      </c>
      <c r="N122">
        <f>_xlfn.XLOOKUP(Table1[[#This Row],[Key]],Vocational!C:C,Vocational!E:E)</f>
        <v>12</v>
      </c>
      <c r="O122">
        <f>IF(ISNA(Table1[[#This Row],[vocational_count]]), _xlfn.AGGREGATE(1, 6,Table1[vocational_count]), Table1[[#This Row],[vocational_count]])</f>
        <v>12</v>
      </c>
    </row>
    <row r="123" spans="1:15" x14ac:dyDescent="0.3">
      <c r="A123" t="s">
        <v>16</v>
      </c>
      <c r="B123">
        <v>2010</v>
      </c>
      <c r="C123" t="str">
        <f>_xlfn.CONCAT(Table1[[#This Row],[STATE]],"-",Table1[[#This Row],[YEAR]])</f>
        <v>Jharkhand-2010</v>
      </c>
      <c r="D123">
        <v>3338</v>
      </c>
      <c r="E123">
        <v>2742</v>
      </c>
      <c r="F123">
        <v>245</v>
      </c>
      <c r="G123">
        <v>1206</v>
      </c>
      <c r="H123">
        <f>_xlfn.XLOOKUP(Table1[[#This Row],[Key]],policseStrength!C:C,policseStrength!R:R)</f>
        <v>25614</v>
      </c>
      <c r="I123">
        <f>IF(ISNA(Table1[[#This Row],[total_ps]]), _xlfn.AGGREGATE(1, 6, Table1[total_ps]), Table1[[#This Row],[total_ps]])</f>
        <v>25614</v>
      </c>
      <c r="J123">
        <f>_xlfn.XLOOKUP(Table1[[#This Row],[Key]],Recidivism!C:C,Recidivism!D:D)</f>
        <v>3836</v>
      </c>
      <c r="K123">
        <f>IF(ISNA(Table1[[#This Row],[convicts_admitted_raw]]), _xlfn.AGGREGATE(1, 6, Table1[convicts_admitted_raw]), Table1[[#This Row],[convicts_admitted_raw]])</f>
        <v>3836</v>
      </c>
      <c r="L123">
        <f>_xlfn.XLOOKUP(Table1[[#This Row],[Key]],Recidivism!C:C,Recidivism!E:E)</f>
        <v>112</v>
      </c>
      <c r="M123">
        <f>IF(ISNA(Table1[[#This Row],[habitual_offenders]]), _xlfn.AGGREGATE(1, 6, Table1[habitual_offenders]), Table1[[#This Row],[habitual_offenders]])</f>
        <v>112</v>
      </c>
      <c r="N123">
        <f>_xlfn.XLOOKUP(Table1[[#This Row],[Key]],Vocational!C:C,Vocational!E:E)</f>
        <v>23</v>
      </c>
      <c r="O123">
        <f>IF(ISNA(Table1[[#This Row],[vocational_count]]), _xlfn.AGGREGATE(1, 6,Table1[vocational_count]), Table1[[#This Row],[vocational_count]])</f>
        <v>23</v>
      </c>
    </row>
    <row r="124" spans="1:15" x14ac:dyDescent="0.3">
      <c r="A124" t="s">
        <v>16</v>
      </c>
      <c r="B124">
        <v>2011</v>
      </c>
      <c r="C124" t="str">
        <f>_xlfn.CONCAT(Table1[[#This Row],[STATE]],"-",Table1[[#This Row],[YEAR]])</f>
        <v>Jharkhand-2011</v>
      </c>
      <c r="D124">
        <v>2230</v>
      </c>
      <c r="E124">
        <v>3163</v>
      </c>
      <c r="F124">
        <v>171</v>
      </c>
      <c r="G124">
        <v>601</v>
      </c>
      <c r="H124" t="e">
        <f>_xlfn.XLOOKUP(Table1[[#This Row],[Key]],policseStrength!C:C,policseStrength!R:R)</f>
        <v>#N/A</v>
      </c>
      <c r="I124">
        <f>IF(ISNA(Table1[[#This Row],[total_ps]]), _xlfn.AGGREGATE(1, 6, Table1[total_ps]), Table1[[#This Row],[total_ps]])</f>
        <v>20128.370106761566</v>
      </c>
      <c r="J124">
        <f>_xlfn.XLOOKUP(Table1[[#This Row],[Key]],Recidivism!C:C,Recidivism!D:D)</f>
        <v>3723</v>
      </c>
      <c r="K124">
        <f>IF(ISNA(Table1[[#This Row],[convicts_admitted_raw]]), _xlfn.AGGREGATE(1, 6, Table1[convicts_admitted_raw]), Table1[[#This Row],[convicts_admitted_raw]])</f>
        <v>3723</v>
      </c>
      <c r="L124">
        <f>_xlfn.XLOOKUP(Table1[[#This Row],[Key]],Recidivism!C:C,Recidivism!E:E)</f>
        <v>195</v>
      </c>
      <c r="M124">
        <f>IF(ISNA(Table1[[#This Row],[habitual_offenders]]), _xlfn.AGGREGATE(1, 6, Table1[habitual_offenders]), Table1[[#This Row],[habitual_offenders]])</f>
        <v>195</v>
      </c>
      <c r="N124">
        <f>_xlfn.XLOOKUP(Table1[[#This Row],[Key]],Vocational!C:C,Vocational!E:E)</f>
        <v>80</v>
      </c>
      <c r="O124">
        <f>IF(ISNA(Table1[[#This Row],[vocational_count]]), _xlfn.AGGREGATE(1, 6,Table1[vocational_count]), Table1[[#This Row],[vocational_count]])</f>
        <v>80</v>
      </c>
    </row>
    <row r="125" spans="1:15" x14ac:dyDescent="0.3">
      <c r="A125" t="s">
        <v>16</v>
      </c>
      <c r="B125">
        <v>2012</v>
      </c>
      <c r="C125" t="str">
        <f>_xlfn.CONCAT(Table1[[#This Row],[STATE]],"-",Table1[[#This Row],[YEAR]])</f>
        <v>Jharkhand-2012</v>
      </c>
      <c r="D125">
        <v>2924</v>
      </c>
      <c r="E125">
        <v>2540</v>
      </c>
      <c r="F125">
        <v>55</v>
      </c>
      <c r="G125">
        <v>734</v>
      </c>
      <c r="H125" t="e">
        <f>_xlfn.XLOOKUP(Table1[[#This Row],[Key]],policseStrength!C:C,policseStrength!R:R)</f>
        <v>#N/A</v>
      </c>
      <c r="I125">
        <f>IF(ISNA(Table1[[#This Row],[total_ps]]), _xlfn.AGGREGATE(1, 6, Table1[total_ps]), Table1[[#This Row],[total_ps]])</f>
        <v>20128.370106761566</v>
      </c>
      <c r="J125">
        <f>_xlfn.XLOOKUP(Table1[[#This Row],[Key]],Recidivism!C:C,Recidivism!D:D)</f>
        <v>3518</v>
      </c>
      <c r="K125">
        <f>IF(ISNA(Table1[[#This Row],[convicts_admitted_raw]]), _xlfn.AGGREGATE(1, 6, Table1[convicts_admitted_raw]), Table1[[#This Row],[convicts_admitted_raw]])</f>
        <v>3518</v>
      </c>
      <c r="L125">
        <f>_xlfn.XLOOKUP(Table1[[#This Row],[Key]],Recidivism!C:C,Recidivism!E:E)</f>
        <v>733</v>
      </c>
      <c r="M125">
        <f>IF(ISNA(Table1[[#This Row],[habitual_offenders]]), _xlfn.AGGREGATE(1, 6, Table1[habitual_offenders]), Table1[[#This Row],[habitual_offenders]])</f>
        <v>733</v>
      </c>
      <c r="N125">
        <f>_xlfn.XLOOKUP(Table1[[#This Row],[Key]],Vocational!C:C,Vocational!E:E)</f>
        <v>376</v>
      </c>
      <c r="O125">
        <f>IF(ISNA(Table1[[#This Row],[vocational_count]]), _xlfn.AGGREGATE(1, 6,Table1[vocational_count]), Table1[[#This Row],[vocational_count]])</f>
        <v>376</v>
      </c>
    </row>
    <row r="126" spans="1:15" x14ac:dyDescent="0.3">
      <c r="A126" t="s">
        <v>17</v>
      </c>
      <c r="B126">
        <v>2001</v>
      </c>
      <c r="C126" t="str">
        <f>_xlfn.CONCAT(Table1[[#This Row],[STATE]],"-",Table1[[#This Row],[YEAR]])</f>
        <v>Karnataka-2001</v>
      </c>
      <c r="D126">
        <v>271</v>
      </c>
      <c r="E126">
        <v>116</v>
      </c>
      <c r="F126">
        <v>3</v>
      </c>
      <c r="G126">
        <v>0</v>
      </c>
      <c r="H126">
        <f>_xlfn.XLOOKUP(Table1[[#This Row],[Key]],policseStrength!C:C,policseStrength!R:R)</f>
        <v>2040</v>
      </c>
      <c r="I126">
        <f>IF(ISNA(Table1[[#This Row],[total_ps]]), _xlfn.AGGREGATE(1, 6, Table1[total_ps]), Table1[[#This Row],[total_ps]])</f>
        <v>2040</v>
      </c>
      <c r="J126">
        <f>_xlfn.XLOOKUP(Table1[[#This Row],[Key]],Recidivism!C:C,Recidivism!D:D)</f>
        <v>532</v>
      </c>
      <c r="K126">
        <f>IF(ISNA(Table1[[#This Row],[convicts_admitted_raw]]), _xlfn.AGGREGATE(1, 6, Table1[convicts_admitted_raw]), Table1[[#This Row],[convicts_admitted_raw]])</f>
        <v>532</v>
      </c>
      <c r="L126">
        <f>_xlfn.XLOOKUP(Table1[[#This Row],[Key]],Recidivism!C:C,Recidivism!E:E)</f>
        <v>4</v>
      </c>
      <c r="M126">
        <f>IF(ISNA(Table1[[#This Row],[habitual_offenders]]), _xlfn.AGGREGATE(1, 6, Table1[habitual_offenders]), Table1[[#This Row],[habitual_offenders]])</f>
        <v>4</v>
      </c>
      <c r="N126">
        <f>_xlfn.XLOOKUP(Table1[[#This Row],[Key]],Vocational!C:C,Vocational!E:E)</f>
        <v>92</v>
      </c>
      <c r="O126">
        <f>IF(ISNA(Table1[[#This Row],[vocational_count]]), _xlfn.AGGREGATE(1, 6,Table1[vocational_count]), Table1[[#This Row],[vocational_count]])</f>
        <v>92</v>
      </c>
    </row>
    <row r="127" spans="1:15" x14ac:dyDescent="0.3">
      <c r="A127" t="s">
        <v>17</v>
      </c>
      <c r="B127">
        <v>2002</v>
      </c>
      <c r="C127" t="str">
        <f>_xlfn.CONCAT(Table1[[#This Row],[STATE]],"-",Table1[[#This Row],[YEAR]])</f>
        <v>Karnataka-2002</v>
      </c>
      <c r="D127">
        <v>76</v>
      </c>
      <c r="E127">
        <v>371</v>
      </c>
      <c r="F127">
        <v>5</v>
      </c>
      <c r="G127">
        <v>57</v>
      </c>
      <c r="H127">
        <f>_xlfn.XLOOKUP(Table1[[#This Row],[Key]],policseStrength!C:C,policseStrength!R:R)</f>
        <v>4924</v>
      </c>
      <c r="I127">
        <f>IF(ISNA(Table1[[#This Row],[total_ps]]), _xlfn.AGGREGATE(1, 6, Table1[total_ps]), Table1[[#This Row],[total_ps]])</f>
        <v>4924</v>
      </c>
      <c r="J127">
        <f>_xlfn.XLOOKUP(Table1[[#This Row],[Key]],Recidivism!C:C,Recidivism!D:D)</f>
        <v>6732</v>
      </c>
      <c r="K127">
        <f>IF(ISNA(Table1[[#This Row],[convicts_admitted_raw]]), _xlfn.AGGREGATE(1, 6, Table1[convicts_admitted_raw]), Table1[[#This Row],[convicts_admitted_raw]])</f>
        <v>6732</v>
      </c>
      <c r="L127">
        <f>_xlfn.XLOOKUP(Table1[[#This Row],[Key]],Recidivism!C:C,Recidivism!E:E)</f>
        <v>3</v>
      </c>
      <c r="M127">
        <f>IF(ISNA(Table1[[#This Row],[habitual_offenders]]), _xlfn.AGGREGATE(1, 6, Table1[habitual_offenders]), Table1[[#This Row],[habitual_offenders]])</f>
        <v>3</v>
      </c>
      <c r="N127">
        <f>_xlfn.XLOOKUP(Table1[[#This Row],[Key]],Vocational!C:C,Vocational!E:E)</f>
        <v>103</v>
      </c>
      <c r="O127">
        <f>IF(ISNA(Table1[[#This Row],[vocational_count]]), _xlfn.AGGREGATE(1, 6,Table1[vocational_count]), Table1[[#This Row],[vocational_count]])</f>
        <v>103</v>
      </c>
    </row>
    <row r="128" spans="1:15" x14ac:dyDescent="0.3">
      <c r="A128" t="s">
        <v>17</v>
      </c>
      <c r="B128">
        <v>2003</v>
      </c>
      <c r="C128" t="str">
        <f>_xlfn.CONCAT(Table1[[#This Row],[STATE]],"-",Table1[[#This Row],[YEAR]])</f>
        <v>Karnataka-2003</v>
      </c>
      <c r="D128">
        <v>312</v>
      </c>
      <c r="E128">
        <v>369</v>
      </c>
      <c r="F128">
        <v>11</v>
      </c>
      <c r="G128">
        <v>22</v>
      </c>
      <c r="H128">
        <f>_xlfn.XLOOKUP(Table1[[#This Row],[Key]],policseStrength!C:C,policseStrength!R:R)</f>
        <v>6314</v>
      </c>
      <c r="I128">
        <f>IF(ISNA(Table1[[#This Row],[total_ps]]), _xlfn.AGGREGATE(1, 6, Table1[total_ps]), Table1[[#This Row],[total_ps]])</f>
        <v>6314</v>
      </c>
      <c r="J128">
        <f>_xlfn.XLOOKUP(Table1[[#This Row],[Key]],Recidivism!C:C,Recidivism!D:D)</f>
        <v>7129</v>
      </c>
      <c r="K128">
        <f>IF(ISNA(Table1[[#This Row],[convicts_admitted_raw]]), _xlfn.AGGREGATE(1, 6, Table1[convicts_admitted_raw]), Table1[[#This Row],[convicts_admitted_raw]])</f>
        <v>7129</v>
      </c>
      <c r="L128">
        <f>_xlfn.XLOOKUP(Table1[[#This Row],[Key]],Recidivism!C:C,Recidivism!E:E)</f>
        <v>3</v>
      </c>
      <c r="M128">
        <f>IF(ISNA(Table1[[#This Row],[habitual_offenders]]), _xlfn.AGGREGATE(1, 6, Table1[habitual_offenders]), Table1[[#This Row],[habitual_offenders]])</f>
        <v>3</v>
      </c>
      <c r="N128">
        <f>_xlfn.XLOOKUP(Table1[[#This Row],[Key]],Vocational!C:C,Vocational!E:E)</f>
        <v>117</v>
      </c>
      <c r="O128">
        <f>IF(ISNA(Table1[[#This Row],[vocational_count]]), _xlfn.AGGREGATE(1, 6,Table1[vocational_count]), Table1[[#This Row],[vocational_count]])</f>
        <v>117</v>
      </c>
    </row>
    <row r="129" spans="1:15" x14ac:dyDescent="0.3">
      <c r="A129" t="s">
        <v>17</v>
      </c>
      <c r="B129">
        <v>2004</v>
      </c>
      <c r="C129" t="str">
        <f>_xlfn.CONCAT(Table1[[#This Row],[STATE]],"-",Table1[[#This Row],[YEAR]])</f>
        <v>Karnataka-2004</v>
      </c>
      <c r="D129">
        <v>327</v>
      </c>
      <c r="E129">
        <v>422</v>
      </c>
      <c r="F129">
        <v>8</v>
      </c>
      <c r="G129">
        <v>6</v>
      </c>
      <c r="H129">
        <f>_xlfn.XLOOKUP(Table1[[#This Row],[Key]],policseStrength!C:C,policseStrength!R:R)</f>
        <v>7184</v>
      </c>
      <c r="I129">
        <f>IF(ISNA(Table1[[#This Row],[total_ps]]), _xlfn.AGGREGATE(1, 6, Table1[total_ps]), Table1[[#This Row],[total_ps]])</f>
        <v>7184</v>
      </c>
      <c r="J129">
        <f>_xlfn.XLOOKUP(Table1[[#This Row],[Key]],Recidivism!C:C,Recidivism!D:D)</f>
        <v>7248</v>
      </c>
      <c r="K129">
        <f>IF(ISNA(Table1[[#This Row],[convicts_admitted_raw]]), _xlfn.AGGREGATE(1, 6, Table1[convicts_admitted_raw]), Table1[[#This Row],[convicts_admitted_raw]])</f>
        <v>7248</v>
      </c>
      <c r="L129">
        <f>_xlfn.XLOOKUP(Table1[[#This Row],[Key]],Recidivism!C:C,Recidivism!E:E)</f>
        <v>0</v>
      </c>
      <c r="M129">
        <f>IF(ISNA(Table1[[#This Row],[habitual_offenders]]), _xlfn.AGGREGATE(1, 6, Table1[habitual_offenders]), Table1[[#This Row],[habitual_offenders]])</f>
        <v>0</v>
      </c>
      <c r="N129">
        <f>_xlfn.XLOOKUP(Table1[[#This Row],[Key]],Vocational!C:C,Vocational!E:E)</f>
        <v>14</v>
      </c>
      <c r="O129">
        <f>IF(ISNA(Table1[[#This Row],[vocational_count]]), _xlfn.AGGREGATE(1, 6,Table1[vocational_count]), Table1[[#This Row],[vocational_count]])</f>
        <v>14</v>
      </c>
    </row>
    <row r="130" spans="1:15" x14ac:dyDescent="0.3">
      <c r="A130" t="s">
        <v>17</v>
      </c>
      <c r="B130">
        <v>2005</v>
      </c>
      <c r="C130" t="str">
        <f>_xlfn.CONCAT(Table1[[#This Row],[STATE]],"-",Table1[[#This Row],[YEAR]])</f>
        <v>Karnataka-2005</v>
      </c>
      <c r="D130">
        <v>381</v>
      </c>
      <c r="E130">
        <v>494</v>
      </c>
      <c r="F130">
        <v>17</v>
      </c>
      <c r="G130">
        <v>3</v>
      </c>
      <c r="H130">
        <f>_xlfn.XLOOKUP(Table1[[#This Row],[Key]],policseStrength!C:C,policseStrength!R:R)</f>
        <v>7544</v>
      </c>
      <c r="I130">
        <f>IF(ISNA(Table1[[#This Row],[total_ps]]), _xlfn.AGGREGATE(1, 6, Table1[total_ps]), Table1[[#This Row],[total_ps]])</f>
        <v>7544</v>
      </c>
      <c r="J130">
        <f>_xlfn.XLOOKUP(Table1[[#This Row],[Key]],Recidivism!C:C,Recidivism!D:D)</f>
        <v>7791</v>
      </c>
      <c r="K130">
        <f>IF(ISNA(Table1[[#This Row],[convicts_admitted_raw]]), _xlfn.AGGREGATE(1, 6, Table1[convicts_admitted_raw]), Table1[[#This Row],[convicts_admitted_raw]])</f>
        <v>7791</v>
      </c>
      <c r="L130">
        <f>_xlfn.XLOOKUP(Table1[[#This Row],[Key]],Recidivism!C:C,Recidivism!E:E)</f>
        <v>1</v>
      </c>
      <c r="M130">
        <f>IF(ISNA(Table1[[#This Row],[habitual_offenders]]), _xlfn.AGGREGATE(1, 6, Table1[habitual_offenders]), Table1[[#This Row],[habitual_offenders]])</f>
        <v>1</v>
      </c>
      <c r="N130">
        <f>_xlfn.XLOOKUP(Table1[[#This Row],[Key]],Vocational!C:C,Vocational!E:E)</f>
        <v>88</v>
      </c>
      <c r="O130">
        <f>IF(ISNA(Table1[[#This Row],[vocational_count]]), _xlfn.AGGREGATE(1, 6,Table1[vocational_count]), Table1[[#This Row],[vocational_count]])</f>
        <v>88</v>
      </c>
    </row>
    <row r="131" spans="1:15" x14ac:dyDescent="0.3">
      <c r="A131" t="s">
        <v>17</v>
      </c>
      <c r="B131">
        <v>2006</v>
      </c>
      <c r="C131" t="str">
        <f>_xlfn.CONCAT(Table1[[#This Row],[STATE]],"-",Table1[[#This Row],[YEAR]])</f>
        <v>Karnataka-2006</v>
      </c>
      <c r="D131">
        <v>473</v>
      </c>
      <c r="E131">
        <v>612</v>
      </c>
      <c r="F131">
        <v>16</v>
      </c>
      <c r="G131">
        <v>7</v>
      </c>
      <c r="H131">
        <f>_xlfn.XLOOKUP(Table1[[#This Row],[Key]],policseStrength!C:C,policseStrength!R:R)</f>
        <v>8082</v>
      </c>
      <c r="I131">
        <f>IF(ISNA(Table1[[#This Row],[total_ps]]), _xlfn.AGGREGATE(1, 6, Table1[total_ps]), Table1[[#This Row],[total_ps]])</f>
        <v>8082</v>
      </c>
      <c r="J131">
        <f>_xlfn.XLOOKUP(Table1[[#This Row],[Key]],Recidivism!C:C,Recidivism!D:D)</f>
        <v>7633</v>
      </c>
      <c r="K131">
        <f>IF(ISNA(Table1[[#This Row],[convicts_admitted_raw]]), _xlfn.AGGREGATE(1, 6, Table1[convicts_admitted_raw]), Table1[[#This Row],[convicts_admitted_raw]])</f>
        <v>7633</v>
      </c>
      <c r="L131">
        <f>_xlfn.XLOOKUP(Table1[[#This Row],[Key]],Recidivism!C:C,Recidivism!E:E)</f>
        <v>3</v>
      </c>
      <c r="M131">
        <f>IF(ISNA(Table1[[#This Row],[habitual_offenders]]), _xlfn.AGGREGATE(1, 6, Table1[habitual_offenders]), Table1[[#This Row],[habitual_offenders]])</f>
        <v>3</v>
      </c>
      <c r="N131">
        <f>_xlfn.XLOOKUP(Table1[[#This Row],[Key]],Vocational!C:C,Vocational!E:E)</f>
        <v>252</v>
      </c>
      <c r="O131">
        <f>IF(ISNA(Table1[[#This Row],[vocational_count]]), _xlfn.AGGREGATE(1, 6,Table1[vocational_count]), Table1[[#This Row],[vocational_count]])</f>
        <v>252</v>
      </c>
    </row>
    <row r="132" spans="1:15" x14ac:dyDescent="0.3">
      <c r="A132" t="s">
        <v>17</v>
      </c>
      <c r="B132">
        <v>2007</v>
      </c>
      <c r="C132" t="str">
        <f>_xlfn.CONCAT(Table1[[#This Row],[STATE]],"-",Table1[[#This Row],[YEAR]])</f>
        <v>Karnataka-2007</v>
      </c>
      <c r="D132">
        <v>633</v>
      </c>
      <c r="E132">
        <v>798</v>
      </c>
      <c r="F132">
        <v>43</v>
      </c>
      <c r="G132">
        <v>11</v>
      </c>
      <c r="H132">
        <f>_xlfn.XLOOKUP(Table1[[#This Row],[Key]],policseStrength!C:C,policseStrength!R:R)</f>
        <v>8088</v>
      </c>
      <c r="I132">
        <f>IF(ISNA(Table1[[#This Row],[total_ps]]), _xlfn.AGGREGATE(1, 6, Table1[total_ps]), Table1[[#This Row],[total_ps]])</f>
        <v>8088</v>
      </c>
      <c r="J132">
        <f>_xlfn.XLOOKUP(Table1[[#This Row],[Key]],Recidivism!C:C,Recidivism!D:D)</f>
        <v>37046</v>
      </c>
      <c r="K132">
        <f>IF(ISNA(Table1[[#This Row],[convicts_admitted_raw]]), _xlfn.AGGREGATE(1, 6, Table1[convicts_admitted_raw]), Table1[[#This Row],[convicts_admitted_raw]])</f>
        <v>37046</v>
      </c>
      <c r="L132">
        <f>_xlfn.XLOOKUP(Table1[[#This Row],[Key]],Recidivism!C:C,Recidivism!E:E)</f>
        <v>4</v>
      </c>
      <c r="M132">
        <f>IF(ISNA(Table1[[#This Row],[habitual_offenders]]), _xlfn.AGGREGATE(1, 6, Table1[habitual_offenders]), Table1[[#This Row],[habitual_offenders]])</f>
        <v>4</v>
      </c>
      <c r="N132">
        <f>_xlfn.XLOOKUP(Table1[[#This Row],[Key]],Vocational!C:C,Vocational!E:E)</f>
        <v>31</v>
      </c>
      <c r="O132">
        <f>IF(ISNA(Table1[[#This Row],[vocational_count]]), _xlfn.AGGREGATE(1, 6,Table1[vocational_count]), Table1[[#This Row],[vocational_count]])</f>
        <v>31</v>
      </c>
    </row>
    <row r="133" spans="1:15" x14ac:dyDescent="0.3">
      <c r="A133" t="s">
        <v>17</v>
      </c>
      <c r="B133">
        <v>2008</v>
      </c>
      <c r="C133" t="str">
        <f>_xlfn.CONCAT(Table1[[#This Row],[STATE]],"-",Table1[[#This Row],[YEAR]])</f>
        <v>Karnataka-2008</v>
      </c>
      <c r="D133">
        <v>719</v>
      </c>
      <c r="E133">
        <v>855</v>
      </c>
      <c r="F133">
        <v>47</v>
      </c>
      <c r="G133">
        <v>10</v>
      </c>
      <c r="H133">
        <f>_xlfn.XLOOKUP(Table1[[#This Row],[Key]],policseStrength!C:C,policseStrength!R:R)</f>
        <v>19350</v>
      </c>
      <c r="I133">
        <f>IF(ISNA(Table1[[#This Row],[total_ps]]), _xlfn.AGGREGATE(1, 6, Table1[total_ps]), Table1[[#This Row],[total_ps]])</f>
        <v>19350</v>
      </c>
      <c r="J133">
        <f>_xlfn.XLOOKUP(Table1[[#This Row],[Key]],Recidivism!C:C,Recidivism!D:D)</f>
        <v>7414</v>
      </c>
      <c r="K133">
        <f>IF(ISNA(Table1[[#This Row],[convicts_admitted_raw]]), _xlfn.AGGREGATE(1, 6, Table1[convicts_admitted_raw]), Table1[[#This Row],[convicts_admitted_raw]])</f>
        <v>7414</v>
      </c>
      <c r="L133">
        <f>_xlfn.XLOOKUP(Table1[[#This Row],[Key]],Recidivism!C:C,Recidivism!E:E)</f>
        <v>3</v>
      </c>
      <c r="M133">
        <f>IF(ISNA(Table1[[#This Row],[habitual_offenders]]), _xlfn.AGGREGATE(1, 6, Table1[habitual_offenders]), Table1[[#This Row],[habitual_offenders]])</f>
        <v>3</v>
      </c>
      <c r="N133">
        <f>_xlfn.XLOOKUP(Table1[[#This Row],[Key]],Vocational!C:C,Vocational!E:E)</f>
        <v>37</v>
      </c>
      <c r="O133">
        <f>IF(ISNA(Table1[[#This Row],[vocational_count]]), _xlfn.AGGREGATE(1, 6,Table1[vocational_count]), Table1[[#This Row],[vocational_count]])</f>
        <v>37</v>
      </c>
    </row>
    <row r="134" spans="1:15" x14ac:dyDescent="0.3">
      <c r="A134" t="s">
        <v>17</v>
      </c>
      <c r="B134">
        <v>2009</v>
      </c>
      <c r="C134" t="str">
        <f>_xlfn.CONCAT(Table1[[#This Row],[STATE]],"-",Table1[[#This Row],[YEAR]])</f>
        <v>Karnataka-2009</v>
      </c>
      <c r="D134">
        <v>736</v>
      </c>
      <c r="E134">
        <v>628</v>
      </c>
      <c r="F134">
        <v>46</v>
      </c>
      <c r="G134">
        <v>12</v>
      </c>
      <c r="H134">
        <f>_xlfn.XLOOKUP(Table1[[#This Row],[Key]],policseStrength!C:C,policseStrength!R:R)</f>
        <v>19430</v>
      </c>
      <c r="I134">
        <f>IF(ISNA(Table1[[#This Row],[total_ps]]), _xlfn.AGGREGATE(1, 6, Table1[total_ps]), Table1[[#This Row],[total_ps]])</f>
        <v>19430</v>
      </c>
      <c r="J134">
        <f>_xlfn.XLOOKUP(Table1[[#This Row],[Key]],Recidivism!C:C,Recidivism!D:D)</f>
        <v>13414</v>
      </c>
      <c r="K134">
        <f>IF(ISNA(Table1[[#This Row],[convicts_admitted_raw]]), _xlfn.AGGREGATE(1, 6, Table1[convicts_admitted_raw]), Table1[[#This Row],[convicts_admitted_raw]])</f>
        <v>13414</v>
      </c>
      <c r="L134">
        <f>_xlfn.XLOOKUP(Table1[[#This Row],[Key]],Recidivism!C:C,Recidivism!E:E)</f>
        <v>3</v>
      </c>
      <c r="M134">
        <f>IF(ISNA(Table1[[#This Row],[habitual_offenders]]), _xlfn.AGGREGATE(1, 6, Table1[habitual_offenders]), Table1[[#This Row],[habitual_offenders]])</f>
        <v>3</v>
      </c>
      <c r="N134">
        <f>_xlfn.XLOOKUP(Table1[[#This Row],[Key]],Vocational!C:C,Vocational!E:E)</f>
        <v>43</v>
      </c>
      <c r="O134">
        <f>IF(ISNA(Table1[[#This Row],[vocational_count]]), _xlfn.AGGREGATE(1, 6,Table1[vocational_count]), Table1[[#This Row],[vocational_count]])</f>
        <v>43</v>
      </c>
    </row>
    <row r="135" spans="1:15" x14ac:dyDescent="0.3">
      <c r="A135" t="s">
        <v>17</v>
      </c>
      <c r="B135">
        <v>2010</v>
      </c>
      <c r="C135" t="str">
        <f>_xlfn.CONCAT(Table1[[#This Row],[STATE]],"-",Table1[[#This Row],[YEAR]])</f>
        <v>Karnataka-2010</v>
      </c>
      <c r="D135">
        <v>911</v>
      </c>
      <c r="E135">
        <v>785</v>
      </c>
      <c r="F135">
        <v>85</v>
      </c>
      <c r="G135">
        <v>12</v>
      </c>
      <c r="H135">
        <f>_xlfn.XLOOKUP(Table1[[#This Row],[Key]],policseStrength!C:C,policseStrength!R:R)</f>
        <v>15816</v>
      </c>
      <c r="I135">
        <f>IF(ISNA(Table1[[#This Row],[total_ps]]), _xlfn.AGGREGATE(1, 6, Table1[total_ps]), Table1[[#This Row],[total_ps]])</f>
        <v>15816</v>
      </c>
      <c r="J135">
        <f>_xlfn.XLOOKUP(Table1[[#This Row],[Key]],Recidivism!C:C,Recidivism!D:D)</f>
        <v>31473</v>
      </c>
      <c r="K135">
        <f>IF(ISNA(Table1[[#This Row],[convicts_admitted_raw]]), _xlfn.AGGREGATE(1, 6, Table1[convicts_admitted_raw]), Table1[[#This Row],[convicts_admitted_raw]])</f>
        <v>31473</v>
      </c>
      <c r="L135">
        <f>_xlfn.XLOOKUP(Table1[[#This Row],[Key]],Recidivism!C:C,Recidivism!E:E)</f>
        <v>4</v>
      </c>
      <c r="M135">
        <f>IF(ISNA(Table1[[#This Row],[habitual_offenders]]), _xlfn.AGGREGATE(1, 6, Table1[habitual_offenders]), Table1[[#This Row],[habitual_offenders]])</f>
        <v>4</v>
      </c>
      <c r="N135">
        <f>_xlfn.XLOOKUP(Table1[[#This Row],[Key]],Vocational!C:C,Vocational!E:E)</f>
        <v>47</v>
      </c>
      <c r="O135">
        <f>IF(ISNA(Table1[[#This Row],[vocational_count]]), _xlfn.AGGREGATE(1, 6,Table1[vocational_count]), Table1[[#This Row],[vocational_count]])</f>
        <v>47</v>
      </c>
    </row>
    <row r="136" spans="1:15" x14ac:dyDescent="0.3">
      <c r="A136" t="s">
        <v>17</v>
      </c>
      <c r="B136">
        <v>2011</v>
      </c>
      <c r="C136" t="str">
        <f>_xlfn.CONCAT(Table1[[#This Row],[STATE]],"-",Table1[[#This Row],[YEAR]])</f>
        <v>Karnataka-2011</v>
      </c>
      <c r="D136">
        <v>1027</v>
      </c>
      <c r="E136">
        <v>847</v>
      </c>
      <c r="F136">
        <v>130</v>
      </c>
      <c r="G136">
        <v>8</v>
      </c>
      <c r="H136" t="e">
        <f>_xlfn.XLOOKUP(Table1[[#This Row],[Key]],policseStrength!C:C,policseStrength!R:R)</f>
        <v>#N/A</v>
      </c>
      <c r="I136">
        <f>IF(ISNA(Table1[[#This Row],[total_ps]]), _xlfn.AGGREGATE(1, 6, Table1[total_ps]), Table1[[#This Row],[total_ps]])</f>
        <v>20128.370106761566</v>
      </c>
      <c r="J136">
        <f>_xlfn.XLOOKUP(Table1[[#This Row],[Key]],Recidivism!C:C,Recidivism!D:D)</f>
        <v>27303</v>
      </c>
      <c r="K136">
        <f>IF(ISNA(Table1[[#This Row],[convicts_admitted_raw]]), _xlfn.AGGREGATE(1, 6, Table1[convicts_admitted_raw]), Table1[[#This Row],[convicts_admitted_raw]])</f>
        <v>27303</v>
      </c>
      <c r="L136">
        <f>_xlfn.XLOOKUP(Table1[[#This Row],[Key]],Recidivism!C:C,Recidivism!E:E)</f>
        <v>4</v>
      </c>
      <c r="M136">
        <f>IF(ISNA(Table1[[#This Row],[habitual_offenders]]), _xlfn.AGGREGATE(1, 6, Table1[habitual_offenders]), Table1[[#This Row],[habitual_offenders]])</f>
        <v>4</v>
      </c>
      <c r="N136">
        <f>_xlfn.XLOOKUP(Table1[[#This Row],[Key]],Vocational!C:C,Vocational!E:E)</f>
        <v>198</v>
      </c>
      <c r="O136">
        <f>IF(ISNA(Table1[[#This Row],[vocational_count]]), _xlfn.AGGREGATE(1, 6,Table1[vocational_count]), Table1[[#This Row],[vocational_count]])</f>
        <v>198</v>
      </c>
    </row>
    <row r="137" spans="1:15" x14ac:dyDescent="0.3">
      <c r="A137" t="s">
        <v>17</v>
      </c>
      <c r="B137">
        <v>2012</v>
      </c>
      <c r="C137" t="str">
        <f>_xlfn.CONCAT(Table1[[#This Row],[STATE]],"-",Table1[[#This Row],[YEAR]])</f>
        <v>Karnataka-2012</v>
      </c>
      <c r="D137">
        <v>1746</v>
      </c>
      <c r="E137">
        <v>1032</v>
      </c>
      <c r="F137">
        <v>147</v>
      </c>
      <c r="G137">
        <v>32</v>
      </c>
      <c r="H137" t="e">
        <f>_xlfn.XLOOKUP(Table1[[#This Row],[Key]],policseStrength!C:C,policseStrength!R:R)</f>
        <v>#N/A</v>
      </c>
      <c r="I137">
        <f>IF(ISNA(Table1[[#This Row],[total_ps]]), _xlfn.AGGREGATE(1, 6, Table1[total_ps]), Table1[[#This Row],[total_ps]])</f>
        <v>20128.370106761566</v>
      </c>
      <c r="J137">
        <f>_xlfn.XLOOKUP(Table1[[#This Row],[Key]],Recidivism!C:C,Recidivism!D:D)</f>
        <v>31173</v>
      </c>
      <c r="K137">
        <f>IF(ISNA(Table1[[#This Row],[convicts_admitted_raw]]), _xlfn.AGGREGATE(1, 6, Table1[convicts_admitted_raw]), Table1[[#This Row],[convicts_admitted_raw]])</f>
        <v>31173</v>
      </c>
      <c r="L137">
        <f>_xlfn.XLOOKUP(Table1[[#This Row],[Key]],Recidivism!C:C,Recidivism!E:E)</f>
        <v>19</v>
      </c>
      <c r="M137">
        <f>IF(ISNA(Table1[[#This Row],[habitual_offenders]]), _xlfn.AGGREGATE(1, 6, Table1[habitual_offenders]), Table1[[#This Row],[habitual_offenders]])</f>
        <v>19</v>
      </c>
      <c r="N137">
        <f>_xlfn.XLOOKUP(Table1[[#This Row],[Key]],Vocational!C:C,Vocational!E:E)</f>
        <v>76</v>
      </c>
      <c r="O137">
        <f>IF(ISNA(Table1[[#This Row],[vocational_count]]), _xlfn.AGGREGATE(1, 6,Table1[vocational_count]), Table1[[#This Row],[vocational_count]])</f>
        <v>76</v>
      </c>
    </row>
    <row r="138" spans="1:15" x14ac:dyDescent="0.3">
      <c r="A138" t="s">
        <v>18</v>
      </c>
      <c r="B138">
        <v>2001</v>
      </c>
      <c r="C138" t="str">
        <f>_xlfn.CONCAT(Table1[[#This Row],[STATE]],"-",Table1[[#This Row],[YEAR]])</f>
        <v>Kerala-2001</v>
      </c>
      <c r="D138">
        <v>16</v>
      </c>
      <c r="E138">
        <v>197</v>
      </c>
      <c r="F138">
        <v>2</v>
      </c>
      <c r="G138">
        <v>10</v>
      </c>
      <c r="H138">
        <f>_xlfn.XLOOKUP(Table1[[#This Row],[Key]],policseStrength!C:C,policseStrength!R:R)</f>
        <v>15692</v>
      </c>
      <c r="I138">
        <f>IF(ISNA(Table1[[#This Row],[total_ps]]), _xlfn.AGGREGATE(1, 6, Table1[total_ps]), Table1[[#This Row],[total_ps]])</f>
        <v>15692</v>
      </c>
      <c r="J138">
        <f>_xlfn.XLOOKUP(Table1[[#This Row],[Key]],Recidivism!C:C,Recidivism!D:D)</f>
        <v>2856</v>
      </c>
      <c r="K138">
        <f>IF(ISNA(Table1[[#This Row],[convicts_admitted_raw]]), _xlfn.AGGREGATE(1, 6, Table1[convicts_admitted_raw]), Table1[[#This Row],[convicts_admitted_raw]])</f>
        <v>2856</v>
      </c>
      <c r="L138">
        <f>_xlfn.XLOOKUP(Table1[[#This Row],[Key]],Recidivism!C:C,Recidivism!E:E)</f>
        <v>731</v>
      </c>
      <c r="M138">
        <f>IF(ISNA(Table1[[#This Row],[habitual_offenders]]), _xlfn.AGGREGATE(1, 6, Table1[habitual_offenders]), Table1[[#This Row],[habitual_offenders]])</f>
        <v>731</v>
      </c>
      <c r="N138">
        <f>_xlfn.XLOOKUP(Table1[[#This Row],[Key]],Vocational!C:C,Vocational!E:E)</f>
        <v>1646</v>
      </c>
      <c r="O138">
        <f>IF(ISNA(Table1[[#This Row],[vocational_count]]), _xlfn.AGGREGATE(1, 6,Table1[vocational_count]), Table1[[#This Row],[vocational_count]])</f>
        <v>1646</v>
      </c>
    </row>
    <row r="139" spans="1:15" x14ac:dyDescent="0.3">
      <c r="A139" t="s">
        <v>18</v>
      </c>
      <c r="B139">
        <v>2002</v>
      </c>
      <c r="C139" t="str">
        <f>_xlfn.CONCAT(Table1[[#This Row],[STATE]],"-",Table1[[#This Row],[YEAR]])</f>
        <v>Kerala-2002</v>
      </c>
      <c r="D139">
        <v>12</v>
      </c>
      <c r="E139">
        <v>168</v>
      </c>
      <c r="F139">
        <v>1</v>
      </c>
      <c r="G139">
        <v>12</v>
      </c>
      <c r="H139">
        <f>_xlfn.XLOOKUP(Table1[[#This Row],[Key]],policseStrength!C:C,policseStrength!R:R)</f>
        <v>15542</v>
      </c>
      <c r="I139">
        <f>IF(ISNA(Table1[[#This Row],[total_ps]]), _xlfn.AGGREGATE(1, 6, Table1[total_ps]), Table1[[#This Row],[total_ps]])</f>
        <v>15542</v>
      </c>
      <c r="J139">
        <f>_xlfn.XLOOKUP(Table1[[#This Row],[Key]],Recidivism!C:C,Recidivism!D:D)</f>
        <v>2760</v>
      </c>
      <c r="K139">
        <f>IF(ISNA(Table1[[#This Row],[convicts_admitted_raw]]), _xlfn.AGGREGATE(1, 6, Table1[convicts_admitted_raw]), Table1[[#This Row],[convicts_admitted_raw]])</f>
        <v>2760</v>
      </c>
      <c r="L139">
        <f>_xlfn.XLOOKUP(Table1[[#This Row],[Key]],Recidivism!C:C,Recidivism!E:E)</f>
        <v>612</v>
      </c>
      <c r="M139">
        <f>IF(ISNA(Table1[[#This Row],[habitual_offenders]]), _xlfn.AGGREGATE(1, 6, Table1[habitual_offenders]), Table1[[#This Row],[habitual_offenders]])</f>
        <v>612</v>
      </c>
      <c r="N139">
        <f>_xlfn.XLOOKUP(Table1[[#This Row],[Key]],Vocational!C:C,Vocational!E:E)</f>
        <v>1710</v>
      </c>
      <c r="O139">
        <f>IF(ISNA(Table1[[#This Row],[vocational_count]]), _xlfn.AGGREGATE(1, 6,Table1[vocational_count]), Table1[[#This Row],[vocational_count]])</f>
        <v>1710</v>
      </c>
    </row>
    <row r="140" spans="1:15" x14ac:dyDescent="0.3">
      <c r="A140" t="s">
        <v>18</v>
      </c>
      <c r="B140">
        <v>2003</v>
      </c>
      <c r="C140" t="str">
        <f>_xlfn.CONCAT(Table1[[#This Row],[STATE]],"-",Table1[[#This Row],[YEAR]])</f>
        <v>Kerala-2003</v>
      </c>
      <c r="D140">
        <v>138</v>
      </c>
      <c r="E140">
        <v>35</v>
      </c>
      <c r="F140">
        <v>6</v>
      </c>
      <c r="G140">
        <v>0</v>
      </c>
      <c r="H140">
        <f>_xlfn.XLOOKUP(Table1[[#This Row],[Key]],policseStrength!C:C,policseStrength!R:R)</f>
        <v>16898</v>
      </c>
      <c r="I140">
        <f>IF(ISNA(Table1[[#This Row],[total_ps]]), _xlfn.AGGREGATE(1, 6, Table1[total_ps]), Table1[[#This Row],[total_ps]])</f>
        <v>16898</v>
      </c>
      <c r="J140">
        <f>_xlfn.XLOOKUP(Table1[[#This Row],[Key]],Recidivism!C:C,Recidivism!D:D)</f>
        <v>2853</v>
      </c>
      <c r="K140">
        <f>IF(ISNA(Table1[[#This Row],[convicts_admitted_raw]]), _xlfn.AGGREGATE(1, 6, Table1[convicts_admitted_raw]), Table1[[#This Row],[convicts_admitted_raw]])</f>
        <v>2853</v>
      </c>
      <c r="L140">
        <f>_xlfn.XLOOKUP(Table1[[#This Row],[Key]],Recidivism!C:C,Recidivism!E:E)</f>
        <v>721</v>
      </c>
      <c r="M140">
        <f>IF(ISNA(Table1[[#This Row],[habitual_offenders]]), _xlfn.AGGREGATE(1, 6, Table1[habitual_offenders]), Table1[[#This Row],[habitual_offenders]])</f>
        <v>721</v>
      </c>
      <c r="N140">
        <f>_xlfn.XLOOKUP(Table1[[#This Row],[Key]],Vocational!C:C,Vocational!E:E)</f>
        <v>268</v>
      </c>
      <c r="O140">
        <f>IF(ISNA(Table1[[#This Row],[vocational_count]]), _xlfn.AGGREGATE(1, 6,Table1[vocational_count]), Table1[[#This Row],[vocational_count]])</f>
        <v>268</v>
      </c>
    </row>
    <row r="141" spans="1:15" x14ac:dyDescent="0.3">
      <c r="A141" t="s">
        <v>18</v>
      </c>
      <c r="B141">
        <v>2004</v>
      </c>
      <c r="C141" t="str">
        <f>_xlfn.CONCAT(Table1[[#This Row],[STATE]],"-",Table1[[#This Row],[YEAR]])</f>
        <v>Kerala-2004</v>
      </c>
      <c r="D141">
        <v>158</v>
      </c>
      <c r="E141">
        <v>35</v>
      </c>
      <c r="F141">
        <v>6</v>
      </c>
      <c r="G141">
        <v>0</v>
      </c>
      <c r="H141">
        <f>_xlfn.XLOOKUP(Table1[[#This Row],[Key]],policseStrength!C:C,policseStrength!R:R)</f>
        <v>15730</v>
      </c>
      <c r="I141">
        <f>IF(ISNA(Table1[[#This Row],[total_ps]]), _xlfn.AGGREGATE(1, 6, Table1[total_ps]), Table1[[#This Row],[total_ps]])</f>
        <v>15730</v>
      </c>
      <c r="J141">
        <f>_xlfn.XLOOKUP(Table1[[#This Row],[Key]],Recidivism!C:C,Recidivism!D:D)</f>
        <v>2788</v>
      </c>
      <c r="K141">
        <f>IF(ISNA(Table1[[#This Row],[convicts_admitted_raw]]), _xlfn.AGGREGATE(1, 6, Table1[convicts_admitted_raw]), Table1[[#This Row],[convicts_admitted_raw]])</f>
        <v>2788</v>
      </c>
      <c r="L141">
        <f>_xlfn.XLOOKUP(Table1[[#This Row],[Key]],Recidivism!C:C,Recidivism!E:E)</f>
        <v>748</v>
      </c>
      <c r="M141">
        <f>IF(ISNA(Table1[[#This Row],[habitual_offenders]]), _xlfn.AGGREGATE(1, 6, Table1[habitual_offenders]), Table1[[#This Row],[habitual_offenders]])</f>
        <v>748</v>
      </c>
      <c r="N141">
        <f>_xlfn.XLOOKUP(Table1[[#This Row],[Key]],Vocational!C:C,Vocational!E:E)</f>
        <v>280</v>
      </c>
      <c r="O141">
        <f>IF(ISNA(Table1[[#This Row],[vocational_count]]), _xlfn.AGGREGATE(1, 6,Table1[vocational_count]), Table1[[#This Row],[vocational_count]])</f>
        <v>280</v>
      </c>
    </row>
    <row r="142" spans="1:15" x14ac:dyDescent="0.3">
      <c r="A142" t="s">
        <v>18</v>
      </c>
      <c r="B142">
        <v>2005</v>
      </c>
      <c r="C142" t="str">
        <f>_xlfn.CONCAT(Table1[[#This Row],[STATE]],"-",Table1[[#This Row],[YEAR]])</f>
        <v>Kerala-2005</v>
      </c>
      <c r="D142">
        <v>0</v>
      </c>
      <c r="E142">
        <v>0</v>
      </c>
      <c r="F142">
        <v>0</v>
      </c>
      <c r="G142">
        <v>0</v>
      </c>
      <c r="H142">
        <f>_xlfn.XLOOKUP(Table1[[#This Row],[Key]],policseStrength!C:C,policseStrength!R:R)</f>
        <v>15756</v>
      </c>
      <c r="I142">
        <f>IF(ISNA(Table1[[#This Row],[total_ps]]), _xlfn.AGGREGATE(1, 6, Table1[total_ps]), Table1[[#This Row],[total_ps]])</f>
        <v>15756</v>
      </c>
      <c r="J142">
        <f>_xlfn.XLOOKUP(Table1[[#This Row],[Key]],Recidivism!C:C,Recidivism!D:D)</f>
        <v>2806</v>
      </c>
      <c r="K142">
        <f>IF(ISNA(Table1[[#This Row],[convicts_admitted_raw]]), _xlfn.AGGREGATE(1, 6, Table1[convicts_admitted_raw]), Table1[[#This Row],[convicts_admitted_raw]])</f>
        <v>2806</v>
      </c>
      <c r="L142">
        <f>_xlfn.XLOOKUP(Table1[[#This Row],[Key]],Recidivism!C:C,Recidivism!E:E)</f>
        <v>718</v>
      </c>
      <c r="M142">
        <f>IF(ISNA(Table1[[#This Row],[habitual_offenders]]), _xlfn.AGGREGATE(1, 6, Table1[habitual_offenders]), Table1[[#This Row],[habitual_offenders]])</f>
        <v>718</v>
      </c>
      <c r="N142">
        <f>_xlfn.XLOOKUP(Table1[[#This Row],[Key]],Vocational!C:C,Vocational!E:E)</f>
        <v>280</v>
      </c>
      <c r="O142">
        <f>IF(ISNA(Table1[[#This Row],[vocational_count]]), _xlfn.AGGREGATE(1, 6,Table1[vocational_count]), Table1[[#This Row],[vocational_count]])</f>
        <v>280</v>
      </c>
    </row>
    <row r="143" spans="1:15" x14ac:dyDescent="0.3">
      <c r="A143" t="s">
        <v>18</v>
      </c>
      <c r="B143">
        <v>2006</v>
      </c>
      <c r="C143" t="str">
        <f>_xlfn.CONCAT(Table1[[#This Row],[STATE]],"-",Table1[[#This Row],[YEAR]])</f>
        <v>Kerala-2006</v>
      </c>
      <c r="D143">
        <v>25</v>
      </c>
      <c r="E143">
        <v>11</v>
      </c>
      <c r="F143">
        <v>13</v>
      </c>
      <c r="G143">
        <v>25</v>
      </c>
      <c r="H143">
        <f>_xlfn.XLOOKUP(Table1[[#This Row],[Key]],policseStrength!C:C,policseStrength!R:R)</f>
        <v>15714</v>
      </c>
      <c r="I143">
        <f>IF(ISNA(Table1[[#This Row],[total_ps]]), _xlfn.AGGREGATE(1, 6, Table1[total_ps]), Table1[[#This Row],[total_ps]])</f>
        <v>15714</v>
      </c>
      <c r="J143">
        <f>_xlfn.XLOOKUP(Table1[[#This Row],[Key]],Recidivism!C:C,Recidivism!D:D)</f>
        <v>4655</v>
      </c>
      <c r="K143">
        <f>IF(ISNA(Table1[[#This Row],[convicts_admitted_raw]]), _xlfn.AGGREGATE(1, 6, Table1[convicts_admitted_raw]), Table1[[#This Row],[convicts_admitted_raw]])</f>
        <v>4655</v>
      </c>
      <c r="L143">
        <f>_xlfn.XLOOKUP(Table1[[#This Row],[Key]],Recidivism!C:C,Recidivism!E:E)</f>
        <v>1047</v>
      </c>
      <c r="M143">
        <f>IF(ISNA(Table1[[#This Row],[habitual_offenders]]), _xlfn.AGGREGATE(1, 6, Table1[habitual_offenders]), Table1[[#This Row],[habitual_offenders]])</f>
        <v>1047</v>
      </c>
      <c r="N143">
        <f>_xlfn.XLOOKUP(Table1[[#This Row],[Key]],Vocational!C:C,Vocational!E:E)</f>
        <v>180</v>
      </c>
      <c r="O143">
        <f>IF(ISNA(Table1[[#This Row],[vocational_count]]), _xlfn.AGGREGATE(1, 6,Table1[vocational_count]), Table1[[#This Row],[vocational_count]])</f>
        <v>180</v>
      </c>
    </row>
    <row r="144" spans="1:15" x14ac:dyDescent="0.3">
      <c r="A144" t="s">
        <v>18</v>
      </c>
      <c r="B144">
        <v>2007</v>
      </c>
      <c r="C144" t="str">
        <f>_xlfn.CONCAT(Table1[[#This Row],[STATE]],"-",Table1[[#This Row],[YEAR]])</f>
        <v>Kerala-2007</v>
      </c>
      <c r="D144">
        <v>30</v>
      </c>
      <c r="E144">
        <v>15</v>
      </c>
      <c r="F144">
        <v>10</v>
      </c>
      <c r="G144">
        <v>100</v>
      </c>
      <c r="H144">
        <f>_xlfn.XLOOKUP(Table1[[#This Row],[Key]],policseStrength!C:C,policseStrength!R:R)</f>
        <v>15500</v>
      </c>
      <c r="I144">
        <f>IF(ISNA(Table1[[#This Row],[total_ps]]), _xlfn.AGGREGATE(1, 6, Table1[total_ps]), Table1[[#This Row],[total_ps]])</f>
        <v>15500</v>
      </c>
      <c r="J144">
        <f>_xlfn.XLOOKUP(Table1[[#This Row],[Key]],Recidivism!C:C,Recidivism!D:D)</f>
        <v>4369</v>
      </c>
      <c r="K144">
        <f>IF(ISNA(Table1[[#This Row],[convicts_admitted_raw]]), _xlfn.AGGREGATE(1, 6, Table1[convicts_admitted_raw]), Table1[[#This Row],[convicts_admitted_raw]])</f>
        <v>4369</v>
      </c>
      <c r="L144">
        <f>_xlfn.XLOOKUP(Table1[[#This Row],[Key]],Recidivism!C:C,Recidivism!E:E)</f>
        <v>1152</v>
      </c>
      <c r="M144">
        <f>IF(ISNA(Table1[[#This Row],[habitual_offenders]]), _xlfn.AGGREGATE(1, 6, Table1[habitual_offenders]), Table1[[#This Row],[habitual_offenders]])</f>
        <v>1152</v>
      </c>
      <c r="N144">
        <f>_xlfn.XLOOKUP(Table1[[#This Row],[Key]],Vocational!C:C,Vocational!E:E)</f>
        <v>250</v>
      </c>
      <c r="O144">
        <f>IF(ISNA(Table1[[#This Row],[vocational_count]]), _xlfn.AGGREGATE(1, 6,Table1[vocational_count]), Table1[[#This Row],[vocational_count]])</f>
        <v>250</v>
      </c>
    </row>
    <row r="145" spans="1:15" x14ac:dyDescent="0.3">
      <c r="A145" t="s">
        <v>18</v>
      </c>
      <c r="B145">
        <v>2008</v>
      </c>
      <c r="C145" t="str">
        <f>_xlfn.CONCAT(Table1[[#This Row],[STATE]],"-",Table1[[#This Row],[YEAR]])</f>
        <v>Kerala-2008</v>
      </c>
      <c r="D145">
        <v>60</v>
      </c>
      <c r="E145">
        <v>100</v>
      </c>
      <c r="F145">
        <v>10</v>
      </c>
      <c r="G145">
        <v>700</v>
      </c>
      <c r="H145">
        <f>_xlfn.XLOOKUP(Table1[[#This Row],[Key]],policseStrength!C:C,policseStrength!R:R)</f>
        <v>8626</v>
      </c>
      <c r="I145">
        <f>IF(ISNA(Table1[[#This Row],[total_ps]]), _xlfn.AGGREGATE(1, 6, Table1[total_ps]), Table1[[#This Row],[total_ps]])</f>
        <v>8626</v>
      </c>
      <c r="J145">
        <f>_xlfn.XLOOKUP(Table1[[#This Row],[Key]],Recidivism!C:C,Recidivism!D:D)</f>
        <v>4952</v>
      </c>
      <c r="K145">
        <f>IF(ISNA(Table1[[#This Row],[convicts_admitted_raw]]), _xlfn.AGGREGATE(1, 6, Table1[convicts_admitted_raw]), Table1[[#This Row],[convicts_admitted_raw]])</f>
        <v>4952</v>
      </c>
      <c r="L145">
        <f>_xlfn.XLOOKUP(Table1[[#This Row],[Key]],Recidivism!C:C,Recidivism!E:E)</f>
        <v>975</v>
      </c>
      <c r="M145">
        <f>IF(ISNA(Table1[[#This Row],[habitual_offenders]]), _xlfn.AGGREGATE(1, 6, Table1[habitual_offenders]), Table1[[#This Row],[habitual_offenders]])</f>
        <v>975</v>
      </c>
      <c r="N145">
        <f>_xlfn.XLOOKUP(Table1[[#This Row],[Key]],Vocational!C:C,Vocational!E:E)</f>
        <v>750</v>
      </c>
      <c r="O145">
        <f>IF(ISNA(Table1[[#This Row],[vocational_count]]), _xlfn.AGGREGATE(1, 6,Table1[vocational_count]), Table1[[#This Row],[vocational_count]])</f>
        <v>750</v>
      </c>
    </row>
    <row r="146" spans="1:15" x14ac:dyDescent="0.3">
      <c r="A146" t="s">
        <v>18</v>
      </c>
      <c r="B146">
        <v>2009</v>
      </c>
      <c r="C146" t="str">
        <f>_xlfn.CONCAT(Table1[[#This Row],[STATE]],"-",Table1[[#This Row],[YEAR]])</f>
        <v>Kerala-2009</v>
      </c>
      <c r="D146">
        <v>60</v>
      </c>
      <c r="E146">
        <v>100</v>
      </c>
      <c r="F146">
        <v>10</v>
      </c>
      <c r="G146">
        <v>700</v>
      </c>
      <c r="H146">
        <f>_xlfn.XLOOKUP(Table1[[#This Row],[Key]],policseStrength!C:C,policseStrength!R:R)</f>
        <v>5782</v>
      </c>
      <c r="I146">
        <f>IF(ISNA(Table1[[#This Row],[total_ps]]), _xlfn.AGGREGATE(1, 6, Table1[total_ps]), Table1[[#This Row],[total_ps]])</f>
        <v>5782</v>
      </c>
      <c r="J146">
        <f>_xlfn.XLOOKUP(Table1[[#This Row],[Key]],Recidivism!C:C,Recidivism!D:D)</f>
        <v>5833</v>
      </c>
      <c r="K146">
        <f>IF(ISNA(Table1[[#This Row],[convicts_admitted_raw]]), _xlfn.AGGREGATE(1, 6, Table1[convicts_admitted_raw]), Table1[[#This Row],[convicts_admitted_raw]])</f>
        <v>5833</v>
      </c>
      <c r="L146">
        <f>_xlfn.XLOOKUP(Table1[[#This Row],[Key]],Recidivism!C:C,Recidivism!E:E)</f>
        <v>761</v>
      </c>
      <c r="M146">
        <f>IF(ISNA(Table1[[#This Row],[habitual_offenders]]), _xlfn.AGGREGATE(1, 6, Table1[habitual_offenders]), Table1[[#This Row],[habitual_offenders]])</f>
        <v>761</v>
      </c>
      <c r="N146">
        <f>_xlfn.XLOOKUP(Table1[[#This Row],[Key]],Vocational!C:C,Vocational!E:E)</f>
        <v>60</v>
      </c>
      <c r="O146">
        <f>IF(ISNA(Table1[[#This Row],[vocational_count]]), _xlfn.AGGREGATE(1, 6,Table1[vocational_count]), Table1[[#This Row],[vocational_count]])</f>
        <v>60</v>
      </c>
    </row>
    <row r="147" spans="1:15" x14ac:dyDescent="0.3">
      <c r="A147" t="s">
        <v>18</v>
      </c>
      <c r="B147">
        <v>2010</v>
      </c>
      <c r="C147" t="str">
        <f>_xlfn.CONCAT(Table1[[#This Row],[STATE]],"-",Table1[[#This Row],[YEAR]])</f>
        <v>Kerala-2010</v>
      </c>
      <c r="D147">
        <v>100</v>
      </c>
      <c r="E147">
        <v>125</v>
      </c>
      <c r="F147">
        <v>25</v>
      </c>
      <c r="G147">
        <v>850</v>
      </c>
      <c r="H147">
        <f>_xlfn.XLOOKUP(Table1[[#This Row],[Key]],policseStrength!C:C,policseStrength!R:R)</f>
        <v>6364</v>
      </c>
      <c r="I147">
        <f>IF(ISNA(Table1[[#This Row],[total_ps]]), _xlfn.AGGREGATE(1, 6, Table1[total_ps]), Table1[[#This Row],[total_ps]])</f>
        <v>6364</v>
      </c>
      <c r="J147">
        <f>_xlfn.XLOOKUP(Table1[[#This Row],[Key]],Recidivism!C:C,Recidivism!D:D)</f>
        <v>9452</v>
      </c>
      <c r="K147">
        <f>IF(ISNA(Table1[[#This Row],[convicts_admitted_raw]]), _xlfn.AGGREGATE(1, 6, Table1[convicts_admitted_raw]), Table1[[#This Row],[convicts_admitted_raw]])</f>
        <v>9452</v>
      </c>
      <c r="L147">
        <f>_xlfn.XLOOKUP(Table1[[#This Row],[Key]],Recidivism!C:C,Recidivism!E:E)</f>
        <v>487</v>
      </c>
      <c r="M147">
        <f>IF(ISNA(Table1[[#This Row],[habitual_offenders]]), _xlfn.AGGREGATE(1, 6, Table1[habitual_offenders]), Table1[[#This Row],[habitual_offenders]])</f>
        <v>487</v>
      </c>
      <c r="N147">
        <f>_xlfn.XLOOKUP(Table1[[#This Row],[Key]],Vocational!C:C,Vocational!E:E)</f>
        <v>75</v>
      </c>
      <c r="O147">
        <f>IF(ISNA(Table1[[#This Row],[vocational_count]]), _xlfn.AGGREGATE(1, 6,Table1[vocational_count]), Table1[[#This Row],[vocational_count]])</f>
        <v>75</v>
      </c>
    </row>
    <row r="148" spans="1:15" x14ac:dyDescent="0.3">
      <c r="A148" t="s">
        <v>18</v>
      </c>
      <c r="B148">
        <v>2011</v>
      </c>
      <c r="C148" t="str">
        <f>_xlfn.CONCAT(Table1[[#This Row],[STATE]],"-",Table1[[#This Row],[YEAR]])</f>
        <v>Kerala-2011</v>
      </c>
      <c r="D148">
        <v>75</v>
      </c>
      <c r="E148">
        <v>118</v>
      </c>
      <c r="F148">
        <v>18</v>
      </c>
      <c r="G148">
        <v>750</v>
      </c>
      <c r="H148" t="e">
        <f>_xlfn.XLOOKUP(Table1[[#This Row],[Key]],policseStrength!C:C,policseStrength!R:R)</f>
        <v>#N/A</v>
      </c>
      <c r="I148">
        <f>IF(ISNA(Table1[[#This Row],[total_ps]]), _xlfn.AGGREGATE(1, 6, Table1[total_ps]), Table1[[#This Row],[total_ps]])</f>
        <v>20128.370106761566</v>
      </c>
      <c r="J148">
        <f>_xlfn.XLOOKUP(Table1[[#This Row],[Key]],Recidivism!C:C,Recidivism!D:D)</f>
        <v>6890</v>
      </c>
      <c r="K148">
        <f>IF(ISNA(Table1[[#This Row],[convicts_admitted_raw]]), _xlfn.AGGREGATE(1, 6, Table1[convicts_admitted_raw]), Table1[[#This Row],[convicts_admitted_raw]])</f>
        <v>6890</v>
      </c>
      <c r="L148">
        <f>_xlfn.XLOOKUP(Table1[[#This Row],[Key]],Recidivism!C:C,Recidivism!E:E)</f>
        <v>767</v>
      </c>
      <c r="M148">
        <f>IF(ISNA(Table1[[#This Row],[habitual_offenders]]), _xlfn.AGGREGATE(1, 6, Table1[habitual_offenders]), Table1[[#This Row],[habitual_offenders]])</f>
        <v>767</v>
      </c>
      <c r="N148">
        <f>_xlfn.XLOOKUP(Table1[[#This Row],[Key]],Vocational!C:C,Vocational!E:E)</f>
        <v>220</v>
      </c>
      <c r="O148">
        <f>IF(ISNA(Table1[[#This Row],[vocational_count]]), _xlfn.AGGREGATE(1, 6,Table1[vocational_count]), Table1[[#This Row],[vocational_count]])</f>
        <v>220</v>
      </c>
    </row>
    <row r="149" spans="1:15" x14ac:dyDescent="0.3">
      <c r="A149" t="s">
        <v>18</v>
      </c>
      <c r="B149">
        <v>2012</v>
      </c>
      <c r="C149" t="str">
        <f>_xlfn.CONCAT(Table1[[#This Row],[STATE]],"-",Table1[[#This Row],[YEAR]])</f>
        <v>Kerala-2012</v>
      </c>
      <c r="D149">
        <v>104</v>
      </c>
      <c r="E149">
        <v>85</v>
      </c>
      <c r="F149">
        <v>16</v>
      </c>
      <c r="G149">
        <v>350</v>
      </c>
      <c r="H149" t="e">
        <f>_xlfn.XLOOKUP(Table1[[#This Row],[Key]],policseStrength!C:C,policseStrength!R:R)</f>
        <v>#N/A</v>
      </c>
      <c r="I149">
        <f>IF(ISNA(Table1[[#This Row],[total_ps]]), _xlfn.AGGREGATE(1, 6, Table1[total_ps]), Table1[[#This Row],[total_ps]])</f>
        <v>20128.370106761566</v>
      </c>
      <c r="J149">
        <f>_xlfn.XLOOKUP(Table1[[#This Row],[Key]],Recidivism!C:C,Recidivism!D:D)</f>
        <v>7912</v>
      </c>
      <c r="K149">
        <f>IF(ISNA(Table1[[#This Row],[convicts_admitted_raw]]), _xlfn.AGGREGATE(1, 6, Table1[convicts_admitted_raw]), Table1[[#This Row],[convicts_admitted_raw]])</f>
        <v>7912</v>
      </c>
      <c r="L149">
        <f>_xlfn.XLOOKUP(Table1[[#This Row],[Key]],Recidivism!C:C,Recidivism!E:E)</f>
        <v>862</v>
      </c>
      <c r="M149">
        <f>IF(ISNA(Table1[[#This Row],[habitual_offenders]]), _xlfn.AGGREGATE(1, 6, Table1[habitual_offenders]), Table1[[#This Row],[habitual_offenders]])</f>
        <v>862</v>
      </c>
      <c r="N149">
        <f>_xlfn.XLOOKUP(Table1[[#This Row],[Key]],Vocational!C:C,Vocational!E:E)</f>
        <v>100</v>
      </c>
      <c r="O149">
        <f>IF(ISNA(Table1[[#This Row],[vocational_count]]), _xlfn.AGGREGATE(1, 6,Table1[vocational_count]), Table1[[#This Row],[vocational_count]])</f>
        <v>100</v>
      </c>
    </row>
    <row r="150" spans="1:15" x14ac:dyDescent="0.3">
      <c r="A150" t="s">
        <v>19</v>
      </c>
      <c r="B150">
        <v>2001</v>
      </c>
      <c r="C150" t="str">
        <f>_xlfn.CONCAT(Table1[[#This Row],[STATE]],"-",Table1[[#This Row],[YEAR]])</f>
        <v>Madhya Pradesh-2001</v>
      </c>
      <c r="D150">
        <v>2648</v>
      </c>
      <c r="E150">
        <v>1111</v>
      </c>
      <c r="F150">
        <v>656</v>
      </c>
      <c r="G150">
        <v>86</v>
      </c>
      <c r="H150">
        <f>_xlfn.XLOOKUP(Table1[[#This Row],[Key]],policseStrength!C:C,policseStrength!R:R)</f>
        <v>56114</v>
      </c>
      <c r="I150">
        <f>IF(ISNA(Table1[[#This Row],[total_ps]]), _xlfn.AGGREGATE(1, 6, Table1[total_ps]), Table1[[#This Row],[total_ps]])</f>
        <v>56114</v>
      </c>
      <c r="J150">
        <f>_xlfn.XLOOKUP(Table1[[#This Row],[Key]],Recidivism!C:C,Recidivism!D:D)</f>
        <v>17941</v>
      </c>
      <c r="K150">
        <f>IF(ISNA(Table1[[#This Row],[convicts_admitted_raw]]), _xlfn.AGGREGATE(1, 6, Table1[convicts_admitted_raw]), Table1[[#This Row],[convicts_admitted_raw]])</f>
        <v>17941</v>
      </c>
      <c r="L150">
        <f>_xlfn.XLOOKUP(Table1[[#This Row],[Key]],Recidivism!C:C,Recidivism!E:E)</f>
        <v>40</v>
      </c>
      <c r="M150">
        <f>IF(ISNA(Table1[[#This Row],[habitual_offenders]]), _xlfn.AGGREGATE(1, 6, Table1[habitual_offenders]), Table1[[#This Row],[habitual_offenders]])</f>
        <v>40</v>
      </c>
      <c r="N150">
        <f>_xlfn.XLOOKUP(Table1[[#This Row],[Key]],Vocational!C:C,Vocational!E:E)</f>
        <v>250</v>
      </c>
      <c r="O150">
        <f>IF(ISNA(Table1[[#This Row],[vocational_count]]), _xlfn.AGGREGATE(1, 6,Table1[vocational_count]), Table1[[#This Row],[vocational_count]])</f>
        <v>250</v>
      </c>
    </row>
    <row r="151" spans="1:15" x14ac:dyDescent="0.3">
      <c r="A151" t="s">
        <v>19</v>
      </c>
      <c r="B151">
        <v>2002</v>
      </c>
      <c r="C151" t="str">
        <f>_xlfn.CONCAT(Table1[[#This Row],[STATE]],"-",Table1[[#This Row],[YEAR]])</f>
        <v>Madhya Pradesh-2002</v>
      </c>
      <c r="D151">
        <v>2896</v>
      </c>
      <c r="E151">
        <v>2078</v>
      </c>
      <c r="F151">
        <v>110</v>
      </c>
      <c r="G151">
        <v>76</v>
      </c>
      <c r="H151">
        <f>_xlfn.XLOOKUP(Table1[[#This Row],[Key]],policseStrength!C:C,policseStrength!R:R)</f>
        <v>33866</v>
      </c>
      <c r="I151">
        <f>IF(ISNA(Table1[[#This Row],[total_ps]]), _xlfn.AGGREGATE(1, 6, Table1[total_ps]), Table1[[#This Row],[total_ps]])</f>
        <v>33866</v>
      </c>
      <c r="J151">
        <f>_xlfn.XLOOKUP(Table1[[#This Row],[Key]],Recidivism!C:C,Recidivism!D:D)</f>
        <v>16325</v>
      </c>
      <c r="K151">
        <f>IF(ISNA(Table1[[#This Row],[convicts_admitted_raw]]), _xlfn.AGGREGATE(1, 6, Table1[convicts_admitted_raw]), Table1[[#This Row],[convicts_admitted_raw]])</f>
        <v>16325</v>
      </c>
      <c r="L151">
        <f>_xlfn.XLOOKUP(Table1[[#This Row],[Key]],Recidivism!C:C,Recidivism!E:E)</f>
        <v>632</v>
      </c>
      <c r="M151">
        <f>IF(ISNA(Table1[[#This Row],[habitual_offenders]]), _xlfn.AGGREGATE(1, 6, Table1[habitual_offenders]), Table1[[#This Row],[habitual_offenders]])</f>
        <v>632</v>
      </c>
      <c r="N151">
        <f>_xlfn.XLOOKUP(Table1[[#This Row],[Key]],Vocational!C:C,Vocational!E:E)</f>
        <v>280</v>
      </c>
      <c r="O151">
        <f>IF(ISNA(Table1[[#This Row],[vocational_count]]), _xlfn.AGGREGATE(1, 6,Table1[vocational_count]), Table1[[#This Row],[vocational_count]])</f>
        <v>280</v>
      </c>
    </row>
    <row r="152" spans="1:15" x14ac:dyDescent="0.3">
      <c r="A152" t="s">
        <v>19</v>
      </c>
      <c r="B152">
        <v>2003</v>
      </c>
      <c r="C152" t="str">
        <f>_xlfn.CONCAT(Table1[[#This Row],[STATE]],"-",Table1[[#This Row],[YEAR]])</f>
        <v>Madhya Pradesh-2003</v>
      </c>
      <c r="D152">
        <v>3254</v>
      </c>
      <c r="E152">
        <v>2964</v>
      </c>
      <c r="F152">
        <v>114</v>
      </c>
      <c r="G152">
        <v>71</v>
      </c>
      <c r="H152">
        <f>_xlfn.XLOOKUP(Table1[[#This Row],[Key]],policseStrength!C:C,policseStrength!R:R)</f>
        <v>33850</v>
      </c>
      <c r="I152">
        <f>IF(ISNA(Table1[[#This Row],[total_ps]]), _xlfn.AGGREGATE(1, 6, Table1[total_ps]), Table1[[#This Row],[total_ps]])</f>
        <v>33850</v>
      </c>
      <c r="J152">
        <f>_xlfn.XLOOKUP(Table1[[#This Row],[Key]],Recidivism!C:C,Recidivism!D:D)</f>
        <v>17804</v>
      </c>
      <c r="K152">
        <f>IF(ISNA(Table1[[#This Row],[convicts_admitted_raw]]), _xlfn.AGGREGATE(1, 6, Table1[convicts_admitted_raw]), Table1[[#This Row],[convicts_admitted_raw]])</f>
        <v>17804</v>
      </c>
      <c r="L152">
        <f>_xlfn.XLOOKUP(Table1[[#This Row],[Key]],Recidivism!C:C,Recidivism!E:E)</f>
        <v>634</v>
      </c>
      <c r="M152">
        <f>IF(ISNA(Table1[[#This Row],[habitual_offenders]]), _xlfn.AGGREGATE(1, 6, Table1[habitual_offenders]), Table1[[#This Row],[habitual_offenders]])</f>
        <v>634</v>
      </c>
      <c r="N152">
        <f>_xlfn.XLOOKUP(Table1[[#This Row],[Key]],Vocational!C:C,Vocational!E:E)</f>
        <v>136</v>
      </c>
      <c r="O152">
        <f>IF(ISNA(Table1[[#This Row],[vocational_count]]), _xlfn.AGGREGATE(1, 6,Table1[vocational_count]), Table1[[#This Row],[vocational_count]])</f>
        <v>136</v>
      </c>
    </row>
    <row r="153" spans="1:15" x14ac:dyDescent="0.3">
      <c r="A153" t="s">
        <v>19</v>
      </c>
      <c r="B153">
        <v>2004</v>
      </c>
      <c r="C153" t="str">
        <f>_xlfn.CONCAT(Table1[[#This Row],[STATE]],"-",Table1[[#This Row],[YEAR]])</f>
        <v>Madhya Pradesh-2004</v>
      </c>
      <c r="D153">
        <v>1694</v>
      </c>
      <c r="E153">
        <v>5002</v>
      </c>
      <c r="F153">
        <v>115</v>
      </c>
      <c r="G153">
        <v>51</v>
      </c>
      <c r="H153">
        <f>_xlfn.XLOOKUP(Table1[[#This Row],[Key]],policseStrength!C:C,policseStrength!R:R)</f>
        <v>40164</v>
      </c>
      <c r="I153">
        <f>IF(ISNA(Table1[[#This Row],[total_ps]]), _xlfn.AGGREGATE(1, 6, Table1[total_ps]), Table1[[#This Row],[total_ps]])</f>
        <v>40164</v>
      </c>
      <c r="J153">
        <f>_xlfn.XLOOKUP(Table1[[#This Row],[Key]],Recidivism!C:C,Recidivism!D:D)</f>
        <v>20461</v>
      </c>
      <c r="K153">
        <f>IF(ISNA(Table1[[#This Row],[convicts_admitted_raw]]), _xlfn.AGGREGATE(1, 6, Table1[convicts_admitted_raw]), Table1[[#This Row],[convicts_admitted_raw]])</f>
        <v>20461</v>
      </c>
      <c r="L153">
        <f>_xlfn.XLOOKUP(Table1[[#This Row],[Key]],Recidivism!C:C,Recidivism!E:E)</f>
        <v>678</v>
      </c>
      <c r="M153">
        <f>IF(ISNA(Table1[[#This Row],[habitual_offenders]]), _xlfn.AGGREGATE(1, 6, Table1[habitual_offenders]), Table1[[#This Row],[habitual_offenders]])</f>
        <v>678</v>
      </c>
      <c r="N153">
        <f>_xlfn.XLOOKUP(Table1[[#This Row],[Key]],Vocational!C:C,Vocational!E:E)</f>
        <v>38</v>
      </c>
      <c r="O153">
        <f>IF(ISNA(Table1[[#This Row],[vocational_count]]), _xlfn.AGGREGATE(1, 6,Table1[vocational_count]), Table1[[#This Row],[vocational_count]])</f>
        <v>38</v>
      </c>
    </row>
    <row r="154" spans="1:15" x14ac:dyDescent="0.3">
      <c r="A154" t="s">
        <v>19</v>
      </c>
      <c r="B154">
        <v>2005</v>
      </c>
      <c r="C154" t="str">
        <f>_xlfn.CONCAT(Table1[[#This Row],[STATE]],"-",Table1[[#This Row],[YEAR]])</f>
        <v>Madhya Pradesh-2005</v>
      </c>
      <c r="D154">
        <v>6100</v>
      </c>
      <c r="E154">
        <v>2447</v>
      </c>
      <c r="F154">
        <v>160</v>
      </c>
      <c r="G154">
        <v>103</v>
      </c>
      <c r="H154">
        <f>_xlfn.XLOOKUP(Table1[[#This Row],[Key]],policseStrength!C:C,policseStrength!R:R)</f>
        <v>40164</v>
      </c>
      <c r="I154">
        <f>IF(ISNA(Table1[[#This Row],[total_ps]]), _xlfn.AGGREGATE(1, 6, Table1[total_ps]), Table1[[#This Row],[total_ps]])</f>
        <v>40164</v>
      </c>
      <c r="J154">
        <f>_xlfn.XLOOKUP(Table1[[#This Row],[Key]],Recidivism!C:C,Recidivism!D:D)</f>
        <v>21285</v>
      </c>
      <c r="K154">
        <f>IF(ISNA(Table1[[#This Row],[convicts_admitted_raw]]), _xlfn.AGGREGATE(1, 6, Table1[convicts_admitted_raw]), Table1[[#This Row],[convicts_admitted_raw]])</f>
        <v>21285</v>
      </c>
      <c r="L154">
        <f>_xlfn.XLOOKUP(Table1[[#This Row],[Key]],Recidivism!C:C,Recidivism!E:E)</f>
        <v>186</v>
      </c>
      <c r="M154">
        <f>IF(ISNA(Table1[[#This Row],[habitual_offenders]]), _xlfn.AGGREGATE(1, 6, Table1[habitual_offenders]), Table1[[#This Row],[habitual_offenders]])</f>
        <v>186</v>
      </c>
      <c r="N154">
        <f>_xlfn.XLOOKUP(Table1[[#This Row],[Key]],Vocational!C:C,Vocational!E:E)</f>
        <v>157</v>
      </c>
      <c r="O154">
        <f>IF(ISNA(Table1[[#This Row],[vocational_count]]), _xlfn.AGGREGATE(1, 6,Table1[vocational_count]), Table1[[#This Row],[vocational_count]])</f>
        <v>157</v>
      </c>
    </row>
    <row r="155" spans="1:15" x14ac:dyDescent="0.3">
      <c r="A155" t="s">
        <v>19</v>
      </c>
      <c r="B155">
        <v>2006</v>
      </c>
      <c r="C155" t="str">
        <f>_xlfn.CONCAT(Table1[[#This Row],[STATE]],"-",Table1[[#This Row],[YEAR]])</f>
        <v>Madhya Pradesh-2006</v>
      </c>
      <c r="D155">
        <v>6231</v>
      </c>
      <c r="E155">
        <v>4894</v>
      </c>
      <c r="F155">
        <v>107</v>
      </c>
      <c r="G155">
        <v>205</v>
      </c>
      <c r="H155">
        <f>_xlfn.XLOOKUP(Table1[[#This Row],[Key]],policseStrength!C:C,policseStrength!R:R)</f>
        <v>42134</v>
      </c>
      <c r="I155">
        <f>IF(ISNA(Table1[[#This Row],[total_ps]]), _xlfn.AGGREGATE(1, 6, Table1[total_ps]), Table1[[#This Row],[total_ps]])</f>
        <v>42134</v>
      </c>
      <c r="J155">
        <f>_xlfn.XLOOKUP(Table1[[#This Row],[Key]],Recidivism!C:C,Recidivism!D:D)</f>
        <v>23087</v>
      </c>
      <c r="K155">
        <f>IF(ISNA(Table1[[#This Row],[convicts_admitted_raw]]), _xlfn.AGGREGATE(1, 6, Table1[convicts_admitted_raw]), Table1[[#This Row],[convicts_admitted_raw]])</f>
        <v>23087</v>
      </c>
      <c r="L155">
        <f>_xlfn.XLOOKUP(Table1[[#This Row],[Key]],Recidivism!C:C,Recidivism!E:E)</f>
        <v>162</v>
      </c>
      <c r="M155">
        <f>IF(ISNA(Table1[[#This Row],[habitual_offenders]]), _xlfn.AGGREGATE(1, 6, Table1[habitual_offenders]), Table1[[#This Row],[habitual_offenders]])</f>
        <v>162</v>
      </c>
      <c r="N155">
        <f>_xlfn.XLOOKUP(Table1[[#This Row],[Key]],Vocational!C:C,Vocational!E:E)</f>
        <v>49</v>
      </c>
      <c r="O155">
        <f>IF(ISNA(Table1[[#This Row],[vocational_count]]), _xlfn.AGGREGATE(1, 6,Table1[vocational_count]), Table1[[#This Row],[vocational_count]])</f>
        <v>49</v>
      </c>
    </row>
    <row r="156" spans="1:15" x14ac:dyDescent="0.3">
      <c r="A156" t="s">
        <v>19</v>
      </c>
      <c r="B156">
        <v>2007</v>
      </c>
      <c r="C156" t="str">
        <f>_xlfn.CONCAT(Table1[[#This Row],[STATE]],"-",Table1[[#This Row],[YEAR]])</f>
        <v>Madhya Pradesh-2007</v>
      </c>
      <c r="D156">
        <v>3115</v>
      </c>
      <c r="E156">
        <v>7029</v>
      </c>
      <c r="F156">
        <v>131</v>
      </c>
      <c r="G156">
        <v>447</v>
      </c>
      <c r="H156">
        <f>_xlfn.XLOOKUP(Table1[[#This Row],[Key]],policseStrength!C:C,policseStrength!R:R)</f>
        <v>42398</v>
      </c>
      <c r="I156">
        <f>IF(ISNA(Table1[[#This Row],[total_ps]]), _xlfn.AGGREGATE(1, 6, Table1[total_ps]), Table1[[#This Row],[total_ps]])</f>
        <v>42398</v>
      </c>
      <c r="J156">
        <f>_xlfn.XLOOKUP(Table1[[#This Row],[Key]],Recidivism!C:C,Recidivism!D:D)</f>
        <v>21450</v>
      </c>
      <c r="K156">
        <f>IF(ISNA(Table1[[#This Row],[convicts_admitted_raw]]), _xlfn.AGGREGATE(1, 6, Table1[convicts_admitted_raw]), Table1[[#This Row],[convicts_admitted_raw]])</f>
        <v>21450</v>
      </c>
      <c r="L156">
        <f>_xlfn.XLOOKUP(Table1[[#This Row],[Key]],Recidivism!C:C,Recidivism!E:E)</f>
        <v>139</v>
      </c>
      <c r="M156">
        <f>IF(ISNA(Table1[[#This Row],[habitual_offenders]]), _xlfn.AGGREGATE(1, 6, Table1[habitual_offenders]), Table1[[#This Row],[habitual_offenders]])</f>
        <v>139</v>
      </c>
      <c r="N156">
        <f>_xlfn.XLOOKUP(Table1[[#This Row],[Key]],Vocational!C:C,Vocational!E:E)</f>
        <v>49</v>
      </c>
      <c r="O156">
        <f>IF(ISNA(Table1[[#This Row],[vocational_count]]), _xlfn.AGGREGATE(1, 6,Table1[vocational_count]), Table1[[#This Row],[vocational_count]])</f>
        <v>49</v>
      </c>
    </row>
    <row r="157" spans="1:15" x14ac:dyDescent="0.3">
      <c r="A157" t="s">
        <v>19</v>
      </c>
      <c r="B157">
        <v>2008</v>
      </c>
      <c r="C157" t="str">
        <f>_xlfn.CONCAT(Table1[[#This Row],[STATE]],"-",Table1[[#This Row],[YEAR]])</f>
        <v>Madhya Pradesh-2008</v>
      </c>
      <c r="D157">
        <v>2712</v>
      </c>
      <c r="E157">
        <v>5556</v>
      </c>
      <c r="F157">
        <v>91</v>
      </c>
      <c r="G157">
        <v>50</v>
      </c>
      <c r="H157">
        <f>_xlfn.XLOOKUP(Table1[[#This Row],[Key]],policseStrength!C:C,policseStrength!R:R)</f>
        <v>42666</v>
      </c>
      <c r="I157">
        <f>IF(ISNA(Table1[[#This Row],[total_ps]]), _xlfn.AGGREGATE(1, 6, Table1[total_ps]), Table1[[#This Row],[total_ps]])</f>
        <v>42666</v>
      </c>
      <c r="J157">
        <f>_xlfn.XLOOKUP(Table1[[#This Row],[Key]],Recidivism!C:C,Recidivism!D:D)</f>
        <v>19217</v>
      </c>
      <c r="K157">
        <f>IF(ISNA(Table1[[#This Row],[convicts_admitted_raw]]), _xlfn.AGGREGATE(1, 6, Table1[convicts_admitted_raw]), Table1[[#This Row],[convicts_admitted_raw]])</f>
        <v>19217</v>
      </c>
      <c r="L157">
        <f>_xlfn.XLOOKUP(Table1[[#This Row],[Key]],Recidivism!C:C,Recidivism!E:E)</f>
        <v>278</v>
      </c>
      <c r="M157">
        <f>IF(ISNA(Table1[[#This Row],[habitual_offenders]]), _xlfn.AGGREGATE(1, 6, Table1[habitual_offenders]), Table1[[#This Row],[habitual_offenders]])</f>
        <v>278</v>
      </c>
      <c r="N157">
        <f>_xlfn.XLOOKUP(Table1[[#This Row],[Key]],Vocational!C:C,Vocational!E:E)</f>
        <v>25</v>
      </c>
      <c r="O157">
        <f>IF(ISNA(Table1[[#This Row],[vocational_count]]), _xlfn.AGGREGATE(1, 6,Table1[vocational_count]), Table1[[#This Row],[vocational_count]])</f>
        <v>25</v>
      </c>
    </row>
    <row r="158" spans="1:15" x14ac:dyDescent="0.3">
      <c r="A158" t="s">
        <v>19</v>
      </c>
      <c r="B158">
        <v>2009</v>
      </c>
      <c r="C158" t="str">
        <f>_xlfn.CONCAT(Table1[[#This Row],[STATE]],"-",Table1[[#This Row],[YEAR]])</f>
        <v>Madhya Pradesh-2009</v>
      </c>
      <c r="D158">
        <v>2938</v>
      </c>
      <c r="E158">
        <v>4666</v>
      </c>
      <c r="F158">
        <v>366</v>
      </c>
      <c r="G158">
        <v>35</v>
      </c>
      <c r="H158">
        <f>_xlfn.XLOOKUP(Table1[[#This Row],[Key]],policseStrength!C:C,policseStrength!R:R)</f>
        <v>42666</v>
      </c>
      <c r="I158">
        <f>IF(ISNA(Table1[[#This Row],[total_ps]]), _xlfn.AGGREGATE(1, 6, Table1[total_ps]), Table1[[#This Row],[total_ps]])</f>
        <v>42666</v>
      </c>
      <c r="J158">
        <f>_xlfn.XLOOKUP(Table1[[#This Row],[Key]],Recidivism!C:C,Recidivism!D:D)</f>
        <v>14991</v>
      </c>
      <c r="K158">
        <f>IF(ISNA(Table1[[#This Row],[convicts_admitted_raw]]), _xlfn.AGGREGATE(1, 6, Table1[convicts_admitted_raw]), Table1[[#This Row],[convicts_admitted_raw]])</f>
        <v>14991</v>
      </c>
      <c r="L158">
        <f>_xlfn.XLOOKUP(Table1[[#This Row],[Key]],Recidivism!C:C,Recidivism!E:E)</f>
        <v>175</v>
      </c>
      <c r="M158">
        <f>IF(ISNA(Table1[[#This Row],[habitual_offenders]]), _xlfn.AGGREGATE(1, 6, Table1[habitual_offenders]), Table1[[#This Row],[habitual_offenders]])</f>
        <v>175</v>
      </c>
      <c r="N158">
        <f>_xlfn.XLOOKUP(Table1[[#This Row],[Key]],Vocational!C:C,Vocational!E:E)</f>
        <v>20</v>
      </c>
      <c r="O158">
        <f>IF(ISNA(Table1[[#This Row],[vocational_count]]), _xlfn.AGGREGATE(1, 6,Table1[vocational_count]), Table1[[#This Row],[vocational_count]])</f>
        <v>20</v>
      </c>
    </row>
    <row r="159" spans="1:15" x14ac:dyDescent="0.3">
      <c r="A159" t="s">
        <v>19</v>
      </c>
      <c r="B159">
        <v>2010</v>
      </c>
      <c r="C159" t="str">
        <f>_xlfn.CONCAT(Table1[[#This Row],[STATE]],"-",Table1[[#This Row],[YEAR]])</f>
        <v>Madhya Pradesh-2010</v>
      </c>
      <c r="D159">
        <v>3084</v>
      </c>
      <c r="E159">
        <v>6189</v>
      </c>
      <c r="F159">
        <v>314</v>
      </c>
      <c r="G159">
        <v>122</v>
      </c>
      <c r="H159">
        <f>_xlfn.XLOOKUP(Table1[[#This Row],[Key]],policseStrength!C:C,policseStrength!R:R)</f>
        <v>46780</v>
      </c>
      <c r="I159">
        <f>IF(ISNA(Table1[[#This Row],[total_ps]]), _xlfn.AGGREGATE(1, 6, Table1[total_ps]), Table1[[#This Row],[total_ps]])</f>
        <v>46780</v>
      </c>
      <c r="J159">
        <f>_xlfn.XLOOKUP(Table1[[#This Row],[Key]],Recidivism!C:C,Recidivism!D:D)</f>
        <v>15984</v>
      </c>
      <c r="K159">
        <f>IF(ISNA(Table1[[#This Row],[convicts_admitted_raw]]), _xlfn.AGGREGATE(1, 6, Table1[convicts_admitted_raw]), Table1[[#This Row],[convicts_admitted_raw]])</f>
        <v>15984</v>
      </c>
      <c r="L159">
        <f>_xlfn.XLOOKUP(Table1[[#This Row],[Key]],Recidivism!C:C,Recidivism!E:E)</f>
        <v>126</v>
      </c>
      <c r="M159">
        <f>IF(ISNA(Table1[[#This Row],[habitual_offenders]]), _xlfn.AGGREGATE(1, 6, Table1[habitual_offenders]), Table1[[#This Row],[habitual_offenders]])</f>
        <v>126</v>
      </c>
      <c r="N159">
        <f>_xlfn.XLOOKUP(Table1[[#This Row],[Key]],Vocational!C:C,Vocational!E:E)</f>
        <v>486</v>
      </c>
      <c r="O159">
        <f>IF(ISNA(Table1[[#This Row],[vocational_count]]), _xlfn.AGGREGATE(1, 6,Table1[vocational_count]), Table1[[#This Row],[vocational_count]])</f>
        <v>486</v>
      </c>
    </row>
    <row r="160" spans="1:15" x14ac:dyDescent="0.3">
      <c r="A160" t="s">
        <v>19</v>
      </c>
      <c r="B160">
        <v>2011</v>
      </c>
      <c r="C160" t="str">
        <f>_xlfn.CONCAT(Table1[[#This Row],[STATE]],"-",Table1[[#This Row],[YEAR]])</f>
        <v>Madhya Pradesh-2011</v>
      </c>
      <c r="D160">
        <v>2375</v>
      </c>
      <c r="E160">
        <v>5186</v>
      </c>
      <c r="F160">
        <v>435</v>
      </c>
      <c r="G160">
        <v>124</v>
      </c>
      <c r="H160" t="e">
        <f>_xlfn.XLOOKUP(Table1[[#This Row],[Key]],policseStrength!C:C,policseStrength!R:R)</f>
        <v>#N/A</v>
      </c>
      <c r="I160">
        <f>IF(ISNA(Table1[[#This Row],[total_ps]]), _xlfn.AGGREGATE(1, 6, Table1[total_ps]), Table1[[#This Row],[total_ps]])</f>
        <v>20128.370106761566</v>
      </c>
      <c r="J160">
        <f>_xlfn.XLOOKUP(Table1[[#This Row],[Key]],Recidivism!C:C,Recidivism!D:D)</f>
        <v>12838</v>
      </c>
      <c r="K160">
        <f>IF(ISNA(Table1[[#This Row],[convicts_admitted_raw]]), _xlfn.AGGREGATE(1, 6, Table1[convicts_admitted_raw]), Table1[[#This Row],[convicts_admitted_raw]])</f>
        <v>12838</v>
      </c>
      <c r="L160">
        <f>_xlfn.XLOOKUP(Table1[[#This Row],[Key]],Recidivism!C:C,Recidivism!E:E)</f>
        <v>126</v>
      </c>
      <c r="M160">
        <f>IF(ISNA(Table1[[#This Row],[habitual_offenders]]), _xlfn.AGGREGATE(1, 6, Table1[habitual_offenders]), Table1[[#This Row],[habitual_offenders]])</f>
        <v>126</v>
      </c>
      <c r="N160">
        <f>_xlfn.XLOOKUP(Table1[[#This Row],[Key]],Vocational!C:C,Vocational!E:E)</f>
        <v>1561</v>
      </c>
      <c r="O160">
        <f>IF(ISNA(Table1[[#This Row],[vocational_count]]), _xlfn.AGGREGATE(1, 6,Table1[vocational_count]), Table1[[#This Row],[vocational_count]])</f>
        <v>1561</v>
      </c>
    </row>
    <row r="161" spans="1:15" x14ac:dyDescent="0.3">
      <c r="A161" t="s">
        <v>19</v>
      </c>
      <c r="B161">
        <v>2012</v>
      </c>
      <c r="C161" t="str">
        <f>_xlfn.CONCAT(Table1[[#This Row],[STATE]],"-",Table1[[#This Row],[YEAR]])</f>
        <v>Madhya Pradesh-2012</v>
      </c>
      <c r="D161">
        <v>1252</v>
      </c>
      <c r="E161">
        <v>9643</v>
      </c>
      <c r="F161">
        <v>121</v>
      </c>
      <c r="G161">
        <v>108</v>
      </c>
      <c r="H161" t="e">
        <f>_xlfn.XLOOKUP(Table1[[#This Row],[Key]],policseStrength!C:C,policseStrength!R:R)</f>
        <v>#N/A</v>
      </c>
      <c r="I161">
        <f>IF(ISNA(Table1[[#This Row],[total_ps]]), _xlfn.AGGREGATE(1, 6, Table1[total_ps]), Table1[[#This Row],[total_ps]])</f>
        <v>20128.370106761566</v>
      </c>
      <c r="J161">
        <f>_xlfn.XLOOKUP(Table1[[#This Row],[Key]],Recidivism!C:C,Recidivism!D:D)</f>
        <v>14402</v>
      </c>
      <c r="K161">
        <f>IF(ISNA(Table1[[#This Row],[convicts_admitted_raw]]), _xlfn.AGGREGATE(1, 6, Table1[convicts_admitted_raw]), Table1[[#This Row],[convicts_admitted_raw]])</f>
        <v>14402</v>
      </c>
      <c r="L161">
        <f>_xlfn.XLOOKUP(Table1[[#This Row],[Key]],Recidivism!C:C,Recidivism!E:E)</f>
        <v>128</v>
      </c>
      <c r="M161">
        <f>IF(ISNA(Table1[[#This Row],[habitual_offenders]]), _xlfn.AGGREGATE(1, 6, Table1[habitual_offenders]), Table1[[#This Row],[habitual_offenders]])</f>
        <v>128</v>
      </c>
      <c r="N161">
        <f>_xlfn.XLOOKUP(Table1[[#This Row],[Key]],Vocational!C:C,Vocational!E:E)</f>
        <v>1766</v>
      </c>
      <c r="O161">
        <f>IF(ISNA(Table1[[#This Row],[vocational_count]]), _xlfn.AGGREGATE(1, 6,Table1[vocational_count]), Table1[[#This Row],[vocational_count]])</f>
        <v>1766</v>
      </c>
    </row>
    <row r="162" spans="1:15" x14ac:dyDescent="0.3">
      <c r="A162" t="s">
        <v>20</v>
      </c>
      <c r="B162">
        <v>2001</v>
      </c>
      <c r="C162" t="str">
        <f>_xlfn.CONCAT(Table1[[#This Row],[STATE]],"-",Table1[[#This Row],[YEAR]])</f>
        <v>Maharashtra-2001</v>
      </c>
      <c r="D162">
        <v>563</v>
      </c>
      <c r="E162">
        <v>2850</v>
      </c>
      <c r="F162">
        <v>90</v>
      </c>
      <c r="G162">
        <v>32</v>
      </c>
      <c r="H162">
        <f>_xlfn.XLOOKUP(Table1[[#This Row],[Key]],policseStrength!C:C,policseStrength!R:R)</f>
        <v>26770</v>
      </c>
      <c r="I162">
        <f>IF(ISNA(Table1[[#This Row],[total_ps]]), _xlfn.AGGREGATE(1, 6, Table1[total_ps]), Table1[[#This Row],[total_ps]])</f>
        <v>26770</v>
      </c>
      <c r="J162">
        <f>_xlfn.XLOOKUP(Table1[[#This Row],[Key]],Recidivism!C:C,Recidivism!D:D)</f>
        <v>32851</v>
      </c>
      <c r="K162">
        <f>IF(ISNA(Table1[[#This Row],[convicts_admitted_raw]]), _xlfn.AGGREGATE(1, 6, Table1[convicts_admitted_raw]), Table1[[#This Row],[convicts_admitted_raw]])</f>
        <v>32851</v>
      </c>
      <c r="L162">
        <f>_xlfn.XLOOKUP(Table1[[#This Row],[Key]],Recidivism!C:C,Recidivism!E:E)</f>
        <v>246</v>
      </c>
      <c r="M162">
        <f>IF(ISNA(Table1[[#This Row],[habitual_offenders]]), _xlfn.AGGREGATE(1, 6, Table1[habitual_offenders]), Table1[[#This Row],[habitual_offenders]])</f>
        <v>246</v>
      </c>
      <c r="N162">
        <f>_xlfn.XLOOKUP(Table1[[#This Row],[Key]],Vocational!C:C,Vocational!E:E)</f>
        <v>394</v>
      </c>
      <c r="O162">
        <f>IF(ISNA(Table1[[#This Row],[vocational_count]]), _xlfn.AGGREGATE(1, 6,Table1[vocational_count]), Table1[[#This Row],[vocational_count]])</f>
        <v>394</v>
      </c>
    </row>
    <row r="163" spans="1:15" x14ac:dyDescent="0.3">
      <c r="A163" t="s">
        <v>20</v>
      </c>
      <c r="B163">
        <v>2002</v>
      </c>
      <c r="C163" t="str">
        <f>_xlfn.CONCAT(Table1[[#This Row],[STATE]],"-",Table1[[#This Row],[YEAR]])</f>
        <v>Maharashtra-2002</v>
      </c>
      <c r="D163">
        <v>551</v>
      </c>
      <c r="E163">
        <v>2162</v>
      </c>
      <c r="F163">
        <v>62</v>
      </c>
      <c r="G163">
        <v>39</v>
      </c>
      <c r="H163">
        <f>_xlfn.XLOOKUP(Table1[[#This Row],[Key]],policseStrength!C:C,policseStrength!R:R)</f>
        <v>27882</v>
      </c>
      <c r="I163">
        <f>IF(ISNA(Table1[[#This Row],[total_ps]]), _xlfn.AGGREGATE(1, 6, Table1[total_ps]), Table1[[#This Row],[total_ps]])</f>
        <v>27882</v>
      </c>
      <c r="J163">
        <f>_xlfn.XLOOKUP(Table1[[#This Row],[Key]],Recidivism!C:C,Recidivism!D:D)</f>
        <v>37396</v>
      </c>
      <c r="K163">
        <f>IF(ISNA(Table1[[#This Row],[convicts_admitted_raw]]), _xlfn.AGGREGATE(1, 6, Table1[convicts_admitted_raw]), Table1[[#This Row],[convicts_admitted_raw]])</f>
        <v>37396</v>
      </c>
      <c r="L163">
        <f>_xlfn.XLOOKUP(Table1[[#This Row],[Key]],Recidivism!C:C,Recidivism!E:E)</f>
        <v>251</v>
      </c>
      <c r="M163">
        <f>IF(ISNA(Table1[[#This Row],[habitual_offenders]]), _xlfn.AGGREGATE(1, 6, Table1[habitual_offenders]), Table1[[#This Row],[habitual_offenders]])</f>
        <v>251</v>
      </c>
      <c r="N163">
        <f>_xlfn.XLOOKUP(Table1[[#This Row],[Key]],Vocational!C:C,Vocational!E:E)</f>
        <v>699</v>
      </c>
      <c r="O163">
        <f>IF(ISNA(Table1[[#This Row],[vocational_count]]), _xlfn.AGGREGATE(1, 6,Table1[vocational_count]), Table1[[#This Row],[vocational_count]])</f>
        <v>699</v>
      </c>
    </row>
    <row r="164" spans="1:15" x14ac:dyDescent="0.3">
      <c r="A164" t="s">
        <v>20</v>
      </c>
      <c r="B164">
        <v>2003</v>
      </c>
      <c r="C164" t="str">
        <f>_xlfn.CONCAT(Table1[[#This Row],[STATE]],"-",Table1[[#This Row],[YEAR]])</f>
        <v>Maharashtra-2003</v>
      </c>
      <c r="D164">
        <v>1129</v>
      </c>
      <c r="E164">
        <v>1871</v>
      </c>
      <c r="F164">
        <v>98</v>
      </c>
      <c r="G164">
        <v>89</v>
      </c>
      <c r="H164">
        <f>_xlfn.XLOOKUP(Table1[[#This Row],[Key]],policseStrength!C:C,policseStrength!R:R)</f>
        <v>28172</v>
      </c>
      <c r="I164">
        <f>IF(ISNA(Table1[[#This Row],[total_ps]]), _xlfn.AGGREGATE(1, 6, Table1[total_ps]), Table1[[#This Row],[total_ps]])</f>
        <v>28172</v>
      </c>
      <c r="J164">
        <f>_xlfn.XLOOKUP(Table1[[#This Row],[Key]],Recidivism!C:C,Recidivism!D:D)</f>
        <v>30384</v>
      </c>
      <c r="K164">
        <f>IF(ISNA(Table1[[#This Row],[convicts_admitted_raw]]), _xlfn.AGGREGATE(1, 6, Table1[convicts_admitted_raw]), Table1[[#This Row],[convicts_admitted_raw]])</f>
        <v>30384</v>
      </c>
      <c r="L164">
        <f>_xlfn.XLOOKUP(Table1[[#This Row],[Key]],Recidivism!C:C,Recidivism!E:E)</f>
        <v>172</v>
      </c>
      <c r="M164">
        <f>IF(ISNA(Table1[[#This Row],[habitual_offenders]]), _xlfn.AGGREGATE(1, 6, Table1[habitual_offenders]), Table1[[#This Row],[habitual_offenders]])</f>
        <v>172</v>
      </c>
      <c r="N164">
        <f>_xlfn.XLOOKUP(Table1[[#This Row],[Key]],Vocational!C:C,Vocational!E:E)</f>
        <v>375</v>
      </c>
      <c r="O164">
        <f>IF(ISNA(Table1[[#This Row],[vocational_count]]), _xlfn.AGGREGATE(1, 6,Table1[vocational_count]), Table1[[#This Row],[vocational_count]])</f>
        <v>375</v>
      </c>
    </row>
    <row r="165" spans="1:15" x14ac:dyDescent="0.3">
      <c r="A165" t="s">
        <v>20</v>
      </c>
      <c r="B165">
        <v>2004</v>
      </c>
      <c r="C165" t="str">
        <f>_xlfn.CONCAT(Table1[[#This Row],[STATE]],"-",Table1[[#This Row],[YEAR]])</f>
        <v>Maharashtra-2004</v>
      </c>
      <c r="D165">
        <v>714</v>
      </c>
      <c r="E165">
        <v>1869</v>
      </c>
      <c r="F165">
        <v>144</v>
      </c>
      <c r="G165">
        <v>218</v>
      </c>
      <c r="H165">
        <f>_xlfn.XLOOKUP(Table1[[#This Row],[Key]],policseStrength!C:C,policseStrength!R:R)</f>
        <v>27140</v>
      </c>
      <c r="I165">
        <f>IF(ISNA(Table1[[#This Row],[total_ps]]), _xlfn.AGGREGATE(1, 6, Table1[total_ps]), Table1[[#This Row],[total_ps]])</f>
        <v>27140</v>
      </c>
      <c r="J165">
        <f>_xlfn.XLOOKUP(Table1[[#This Row],[Key]],Recidivism!C:C,Recidivism!D:D)</f>
        <v>31777</v>
      </c>
      <c r="K165">
        <f>IF(ISNA(Table1[[#This Row],[convicts_admitted_raw]]), _xlfn.AGGREGATE(1, 6, Table1[convicts_admitted_raw]), Table1[[#This Row],[convicts_admitted_raw]])</f>
        <v>31777</v>
      </c>
      <c r="L165">
        <f>_xlfn.XLOOKUP(Table1[[#This Row],[Key]],Recidivism!C:C,Recidivism!E:E)</f>
        <v>57</v>
      </c>
      <c r="M165">
        <f>IF(ISNA(Table1[[#This Row],[habitual_offenders]]), _xlfn.AGGREGATE(1, 6, Table1[habitual_offenders]), Table1[[#This Row],[habitual_offenders]])</f>
        <v>57</v>
      </c>
      <c r="N165">
        <f>_xlfn.XLOOKUP(Table1[[#This Row],[Key]],Vocational!C:C,Vocational!E:E)</f>
        <v>442</v>
      </c>
      <c r="O165">
        <f>IF(ISNA(Table1[[#This Row],[vocational_count]]), _xlfn.AGGREGATE(1, 6,Table1[vocational_count]), Table1[[#This Row],[vocational_count]])</f>
        <v>442</v>
      </c>
    </row>
    <row r="166" spans="1:15" x14ac:dyDescent="0.3">
      <c r="A166" t="s">
        <v>20</v>
      </c>
      <c r="B166">
        <v>2005</v>
      </c>
      <c r="C166" t="str">
        <f>_xlfn.CONCAT(Table1[[#This Row],[STATE]],"-",Table1[[#This Row],[YEAR]])</f>
        <v>Maharashtra-2005</v>
      </c>
      <c r="D166">
        <v>654</v>
      </c>
      <c r="E166">
        <v>1547</v>
      </c>
      <c r="F166">
        <v>219</v>
      </c>
      <c r="G166">
        <v>363</v>
      </c>
      <c r="H166">
        <f>_xlfn.XLOOKUP(Table1[[#This Row],[Key]],policseStrength!C:C,policseStrength!R:R)</f>
        <v>27140</v>
      </c>
      <c r="I166">
        <f>IF(ISNA(Table1[[#This Row],[total_ps]]), _xlfn.AGGREGATE(1, 6, Table1[total_ps]), Table1[[#This Row],[total_ps]])</f>
        <v>27140</v>
      </c>
      <c r="J166">
        <f>_xlfn.XLOOKUP(Table1[[#This Row],[Key]],Recidivism!C:C,Recidivism!D:D)</f>
        <v>31284</v>
      </c>
      <c r="K166">
        <f>IF(ISNA(Table1[[#This Row],[convicts_admitted_raw]]), _xlfn.AGGREGATE(1, 6, Table1[convicts_admitted_raw]), Table1[[#This Row],[convicts_admitted_raw]])</f>
        <v>31284</v>
      </c>
      <c r="L166">
        <f>_xlfn.XLOOKUP(Table1[[#This Row],[Key]],Recidivism!C:C,Recidivism!E:E)</f>
        <v>68</v>
      </c>
      <c r="M166">
        <f>IF(ISNA(Table1[[#This Row],[habitual_offenders]]), _xlfn.AGGREGATE(1, 6, Table1[habitual_offenders]), Table1[[#This Row],[habitual_offenders]])</f>
        <v>68</v>
      </c>
      <c r="N166">
        <f>_xlfn.XLOOKUP(Table1[[#This Row],[Key]],Vocational!C:C,Vocational!E:E)</f>
        <v>406</v>
      </c>
      <c r="O166">
        <f>IF(ISNA(Table1[[#This Row],[vocational_count]]), _xlfn.AGGREGATE(1, 6,Table1[vocational_count]), Table1[[#This Row],[vocational_count]])</f>
        <v>406</v>
      </c>
    </row>
    <row r="167" spans="1:15" x14ac:dyDescent="0.3">
      <c r="A167" t="s">
        <v>20</v>
      </c>
      <c r="B167">
        <v>2006</v>
      </c>
      <c r="C167" t="str">
        <f>_xlfn.CONCAT(Table1[[#This Row],[STATE]],"-",Table1[[#This Row],[YEAR]])</f>
        <v>Maharashtra-2006</v>
      </c>
      <c r="D167">
        <v>539</v>
      </c>
      <c r="E167">
        <v>5520</v>
      </c>
      <c r="F167">
        <v>348</v>
      </c>
      <c r="G167">
        <v>483</v>
      </c>
      <c r="H167">
        <f>_xlfn.XLOOKUP(Table1[[#This Row],[Key]],policseStrength!C:C,policseStrength!R:R)</f>
        <v>27078</v>
      </c>
      <c r="I167">
        <f>IF(ISNA(Table1[[#This Row],[total_ps]]), _xlfn.AGGREGATE(1, 6, Table1[total_ps]), Table1[[#This Row],[total_ps]])</f>
        <v>27078</v>
      </c>
      <c r="J167">
        <f>_xlfn.XLOOKUP(Table1[[#This Row],[Key]],Recidivism!C:C,Recidivism!D:D)</f>
        <v>32230</v>
      </c>
      <c r="K167">
        <f>IF(ISNA(Table1[[#This Row],[convicts_admitted_raw]]), _xlfn.AGGREGATE(1, 6, Table1[convicts_admitted_raw]), Table1[[#This Row],[convicts_admitted_raw]])</f>
        <v>32230</v>
      </c>
      <c r="L167">
        <f>_xlfn.XLOOKUP(Table1[[#This Row],[Key]],Recidivism!C:C,Recidivism!E:E)</f>
        <v>32</v>
      </c>
      <c r="M167">
        <f>IF(ISNA(Table1[[#This Row],[habitual_offenders]]), _xlfn.AGGREGATE(1, 6, Table1[habitual_offenders]), Table1[[#This Row],[habitual_offenders]])</f>
        <v>32</v>
      </c>
      <c r="N167">
        <f>_xlfn.XLOOKUP(Table1[[#This Row],[Key]],Vocational!C:C,Vocational!E:E)</f>
        <v>502</v>
      </c>
      <c r="O167">
        <f>IF(ISNA(Table1[[#This Row],[vocational_count]]), _xlfn.AGGREGATE(1, 6,Table1[vocational_count]), Table1[[#This Row],[vocational_count]])</f>
        <v>502</v>
      </c>
    </row>
    <row r="168" spans="1:15" x14ac:dyDescent="0.3">
      <c r="A168" t="s">
        <v>20</v>
      </c>
      <c r="B168">
        <v>2007</v>
      </c>
      <c r="C168" t="str">
        <f>_xlfn.CONCAT(Table1[[#This Row],[STATE]],"-",Table1[[#This Row],[YEAR]])</f>
        <v>Maharashtra-2007</v>
      </c>
      <c r="D168">
        <v>396</v>
      </c>
      <c r="E168">
        <v>2722</v>
      </c>
      <c r="F168">
        <v>518</v>
      </c>
      <c r="G168">
        <v>1480</v>
      </c>
      <c r="H168">
        <f>_xlfn.XLOOKUP(Table1[[#This Row],[Key]],policseStrength!C:C,policseStrength!R:R)</f>
        <v>27204</v>
      </c>
      <c r="I168">
        <f>IF(ISNA(Table1[[#This Row],[total_ps]]), _xlfn.AGGREGATE(1, 6, Table1[total_ps]), Table1[[#This Row],[total_ps]])</f>
        <v>27204</v>
      </c>
      <c r="J168">
        <f>_xlfn.XLOOKUP(Table1[[#This Row],[Key]],Recidivism!C:C,Recidivism!D:D)</f>
        <v>29471</v>
      </c>
      <c r="K168">
        <f>IF(ISNA(Table1[[#This Row],[convicts_admitted_raw]]), _xlfn.AGGREGATE(1, 6, Table1[convicts_admitted_raw]), Table1[[#This Row],[convicts_admitted_raw]])</f>
        <v>29471</v>
      </c>
      <c r="L168">
        <f>_xlfn.XLOOKUP(Table1[[#This Row],[Key]],Recidivism!C:C,Recidivism!E:E)</f>
        <v>8</v>
      </c>
      <c r="M168">
        <f>IF(ISNA(Table1[[#This Row],[habitual_offenders]]), _xlfn.AGGREGATE(1, 6, Table1[habitual_offenders]), Table1[[#This Row],[habitual_offenders]])</f>
        <v>8</v>
      </c>
      <c r="N168">
        <f>_xlfn.XLOOKUP(Table1[[#This Row],[Key]],Vocational!C:C,Vocational!E:E)</f>
        <v>299</v>
      </c>
      <c r="O168">
        <f>IF(ISNA(Table1[[#This Row],[vocational_count]]), _xlfn.AGGREGATE(1, 6,Table1[vocational_count]), Table1[[#This Row],[vocational_count]])</f>
        <v>299</v>
      </c>
    </row>
    <row r="169" spans="1:15" x14ac:dyDescent="0.3">
      <c r="A169" t="s">
        <v>20</v>
      </c>
      <c r="B169">
        <v>2008</v>
      </c>
      <c r="C169" t="str">
        <f>_xlfn.CONCAT(Table1[[#This Row],[STATE]],"-",Table1[[#This Row],[YEAR]])</f>
        <v>Maharashtra-2008</v>
      </c>
      <c r="D169">
        <v>353</v>
      </c>
      <c r="E169">
        <v>1970</v>
      </c>
      <c r="F169">
        <v>577</v>
      </c>
      <c r="G169">
        <v>867</v>
      </c>
      <c r="H169">
        <f>_xlfn.XLOOKUP(Table1[[#This Row],[Key]],policseStrength!C:C,policseStrength!R:R)</f>
        <v>28310</v>
      </c>
      <c r="I169">
        <f>IF(ISNA(Table1[[#This Row],[total_ps]]), _xlfn.AGGREGATE(1, 6, Table1[total_ps]), Table1[[#This Row],[total_ps]])</f>
        <v>28310</v>
      </c>
      <c r="J169">
        <f>_xlfn.XLOOKUP(Table1[[#This Row],[Key]],Recidivism!C:C,Recidivism!D:D)</f>
        <v>24572</v>
      </c>
      <c r="K169">
        <f>IF(ISNA(Table1[[#This Row],[convicts_admitted_raw]]), _xlfn.AGGREGATE(1, 6, Table1[convicts_admitted_raw]), Table1[[#This Row],[convicts_admitted_raw]])</f>
        <v>24572</v>
      </c>
      <c r="L169">
        <f>_xlfn.XLOOKUP(Table1[[#This Row],[Key]],Recidivism!C:C,Recidivism!E:E)</f>
        <v>4</v>
      </c>
      <c r="M169">
        <f>IF(ISNA(Table1[[#This Row],[habitual_offenders]]), _xlfn.AGGREGATE(1, 6, Table1[habitual_offenders]), Table1[[#This Row],[habitual_offenders]])</f>
        <v>4</v>
      </c>
      <c r="N169">
        <f>_xlfn.XLOOKUP(Table1[[#This Row],[Key]],Vocational!C:C,Vocational!E:E)</f>
        <v>1134</v>
      </c>
      <c r="O169">
        <f>IF(ISNA(Table1[[#This Row],[vocational_count]]), _xlfn.AGGREGATE(1, 6,Table1[vocational_count]), Table1[[#This Row],[vocational_count]])</f>
        <v>1134</v>
      </c>
    </row>
    <row r="170" spans="1:15" x14ac:dyDescent="0.3">
      <c r="A170" t="s">
        <v>20</v>
      </c>
      <c r="B170">
        <v>2009</v>
      </c>
      <c r="C170" t="str">
        <f>_xlfn.CONCAT(Table1[[#This Row],[STATE]],"-",Table1[[#This Row],[YEAR]])</f>
        <v>Maharashtra-2009</v>
      </c>
      <c r="D170">
        <v>425</v>
      </c>
      <c r="E170">
        <v>1916</v>
      </c>
      <c r="F170">
        <v>615</v>
      </c>
      <c r="G170">
        <v>892</v>
      </c>
      <c r="H170">
        <f>_xlfn.XLOOKUP(Table1[[#This Row],[Key]],policseStrength!C:C,policseStrength!R:R)</f>
        <v>26584</v>
      </c>
      <c r="I170">
        <f>IF(ISNA(Table1[[#This Row],[total_ps]]), _xlfn.AGGREGATE(1, 6, Table1[total_ps]), Table1[[#This Row],[total_ps]])</f>
        <v>26584</v>
      </c>
      <c r="J170">
        <f>_xlfn.XLOOKUP(Table1[[#This Row],[Key]],Recidivism!C:C,Recidivism!D:D)</f>
        <v>22555</v>
      </c>
      <c r="K170">
        <f>IF(ISNA(Table1[[#This Row],[convicts_admitted_raw]]), _xlfn.AGGREGATE(1, 6, Table1[convicts_admitted_raw]), Table1[[#This Row],[convicts_admitted_raw]])</f>
        <v>22555</v>
      </c>
      <c r="L170">
        <f>_xlfn.XLOOKUP(Table1[[#This Row],[Key]],Recidivism!C:C,Recidivism!E:E)</f>
        <v>55</v>
      </c>
      <c r="M170">
        <f>IF(ISNA(Table1[[#This Row],[habitual_offenders]]), _xlfn.AGGREGATE(1, 6, Table1[habitual_offenders]), Table1[[#This Row],[habitual_offenders]])</f>
        <v>55</v>
      </c>
      <c r="N170">
        <f>_xlfn.XLOOKUP(Table1[[#This Row],[Key]],Vocational!C:C,Vocational!E:E)</f>
        <v>405</v>
      </c>
      <c r="O170">
        <f>IF(ISNA(Table1[[#This Row],[vocational_count]]), _xlfn.AGGREGATE(1, 6,Table1[vocational_count]), Table1[[#This Row],[vocational_count]])</f>
        <v>405</v>
      </c>
    </row>
    <row r="171" spans="1:15" x14ac:dyDescent="0.3">
      <c r="A171" t="s">
        <v>20</v>
      </c>
      <c r="B171">
        <v>2010</v>
      </c>
      <c r="C171" t="str">
        <f>_xlfn.CONCAT(Table1[[#This Row],[STATE]],"-",Table1[[#This Row],[YEAR]])</f>
        <v>Maharashtra-2010</v>
      </c>
      <c r="D171">
        <v>147</v>
      </c>
      <c r="E171">
        <v>3160</v>
      </c>
      <c r="F171">
        <v>548</v>
      </c>
      <c r="G171">
        <v>596</v>
      </c>
      <c r="H171">
        <f>_xlfn.XLOOKUP(Table1[[#This Row],[Key]],policseStrength!C:C,policseStrength!R:R)</f>
        <v>28430</v>
      </c>
      <c r="I171">
        <f>IF(ISNA(Table1[[#This Row],[total_ps]]), _xlfn.AGGREGATE(1, 6, Table1[total_ps]), Table1[[#This Row],[total_ps]])</f>
        <v>28430</v>
      </c>
      <c r="J171">
        <f>_xlfn.XLOOKUP(Table1[[#This Row],[Key]],Recidivism!C:C,Recidivism!D:D)</f>
        <v>26289</v>
      </c>
      <c r="K171">
        <f>IF(ISNA(Table1[[#This Row],[convicts_admitted_raw]]), _xlfn.AGGREGATE(1, 6, Table1[convicts_admitted_raw]), Table1[[#This Row],[convicts_admitted_raw]])</f>
        <v>26289</v>
      </c>
      <c r="L171">
        <f>_xlfn.XLOOKUP(Table1[[#This Row],[Key]],Recidivism!C:C,Recidivism!E:E)</f>
        <v>20</v>
      </c>
      <c r="M171">
        <f>IF(ISNA(Table1[[#This Row],[habitual_offenders]]), _xlfn.AGGREGATE(1, 6, Table1[habitual_offenders]), Table1[[#This Row],[habitual_offenders]])</f>
        <v>20</v>
      </c>
      <c r="N171">
        <f>_xlfn.XLOOKUP(Table1[[#This Row],[Key]],Vocational!C:C,Vocational!E:E)</f>
        <v>777</v>
      </c>
      <c r="O171">
        <f>IF(ISNA(Table1[[#This Row],[vocational_count]]), _xlfn.AGGREGATE(1, 6,Table1[vocational_count]), Table1[[#This Row],[vocational_count]])</f>
        <v>777</v>
      </c>
    </row>
    <row r="172" spans="1:15" x14ac:dyDescent="0.3">
      <c r="A172" t="s">
        <v>20</v>
      </c>
      <c r="B172">
        <v>2011</v>
      </c>
      <c r="C172" t="str">
        <f>_xlfn.CONCAT(Table1[[#This Row],[STATE]],"-",Table1[[#This Row],[YEAR]])</f>
        <v>Maharashtra-2011</v>
      </c>
      <c r="D172">
        <v>144</v>
      </c>
      <c r="E172">
        <v>3455</v>
      </c>
      <c r="F172">
        <v>747</v>
      </c>
      <c r="G172">
        <v>823</v>
      </c>
      <c r="H172" t="e">
        <f>_xlfn.XLOOKUP(Table1[[#This Row],[Key]],policseStrength!C:C,policseStrength!R:R)</f>
        <v>#N/A</v>
      </c>
      <c r="I172">
        <f>IF(ISNA(Table1[[#This Row],[total_ps]]), _xlfn.AGGREGATE(1, 6, Table1[total_ps]), Table1[[#This Row],[total_ps]])</f>
        <v>20128.370106761566</v>
      </c>
      <c r="J172">
        <f>_xlfn.XLOOKUP(Table1[[#This Row],[Key]],Recidivism!C:C,Recidivism!D:D)</f>
        <v>20823</v>
      </c>
      <c r="K172">
        <f>IF(ISNA(Table1[[#This Row],[convicts_admitted_raw]]), _xlfn.AGGREGATE(1, 6, Table1[convicts_admitted_raw]), Table1[[#This Row],[convicts_admitted_raw]])</f>
        <v>20823</v>
      </c>
      <c r="L172">
        <f>_xlfn.XLOOKUP(Table1[[#This Row],[Key]],Recidivism!C:C,Recidivism!E:E)</f>
        <v>18</v>
      </c>
      <c r="M172">
        <f>IF(ISNA(Table1[[#This Row],[habitual_offenders]]), _xlfn.AGGREGATE(1, 6, Table1[habitual_offenders]), Table1[[#This Row],[habitual_offenders]])</f>
        <v>18</v>
      </c>
      <c r="N172">
        <f>_xlfn.XLOOKUP(Table1[[#This Row],[Key]],Vocational!C:C,Vocational!E:E)</f>
        <v>588</v>
      </c>
      <c r="O172">
        <f>IF(ISNA(Table1[[#This Row],[vocational_count]]), _xlfn.AGGREGATE(1, 6,Table1[vocational_count]), Table1[[#This Row],[vocational_count]])</f>
        <v>588</v>
      </c>
    </row>
    <row r="173" spans="1:15" x14ac:dyDescent="0.3">
      <c r="A173" t="s">
        <v>20</v>
      </c>
      <c r="B173">
        <v>2012</v>
      </c>
      <c r="C173" t="str">
        <f>_xlfn.CONCAT(Table1[[#This Row],[STATE]],"-",Table1[[#This Row],[YEAR]])</f>
        <v>Maharashtra-2012</v>
      </c>
      <c r="D173">
        <v>383</v>
      </c>
      <c r="E173">
        <v>3711</v>
      </c>
      <c r="F173">
        <v>693</v>
      </c>
      <c r="G173">
        <v>586</v>
      </c>
      <c r="H173" t="e">
        <f>_xlfn.XLOOKUP(Table1[[#This Row],[Key]],policseStrength!C:C,policseStrength!R:R)</f>
        <v>#N/A</v>
      </c>
      <c r="I173">
        <f>IF(ISNA(Table1[[#This Row],[total_ps]]), _xlfn.AGGREGATE(1, 6, Table1[total_ps]), Table1[[#This Row],[total_ps]])</f>
        <v>20128.370106761566</v>
      </c>
      <c r="J173">
        <f>_xlfn.XLOOKUP(Table1[[#This Row],[Key]],Recidivism!C:C,Recidivism!D:D)</f>
        <v>21355</v>
      </c>
      <c r="K173">
        <f>IF(ISNA(Table1[[#This Row],[convicts_admitted_raw]]), _xlfn.AGGREGATE(1, 6, Table1[convicts_admitted_raw]), Table1[[#This Row],[convicts_admitted_raw]])</f>
        <v>21355</v>
      </c>
      <c r="L173">
        <f>_xlfn.XLOOKUP(Table1[[#This Row],[Key]],Recidivism!C:C,Recidivism!E:E)</f>
        <v>0</v>
      </c>
      <c r="M173">
        <f>IF(ISNA(Table1[[#This Row],[habitual_offenders]]), _xlfn.AGGREGATE(1, 6, Table1[habitual_offenders]), Table1[[#This Row],[habitual_offenders]])</f>
        <v>0</v>
      </c>
      <c r="N173">
        <f>_xlfn.XLOOKUP(Table1[[#This Row],[Key]],Vocational!C:C,Vocational!E:E)</f>
        <v>174</v>
      </c>
      <c r="O173">
        <f>IF(ISNA(Table1[[#This Row],[vocational_count]]), _xlfn.AGGREGATE(1, 6,Table1[vocational_count]), Table1[[#This Row],[vocational_count]])</f>
        <v>174</v>
      </c>
    </row>
    <row r="174" spans="1:15" x14ac:dyDescent="0.3">
      <c r="A174" t="s">
        <v>21</v>
      </c>
      <c r="B174">
        <v>2001</v>
      </c>
      <c r="C174" t="str">
        <f>_xlfn.CONCAT(Table1[[#This Row],[STATE]],"-",Table1[[#This Row],[YEAR]])</f>
        <v>Manipur-2001</v>
      </c>
      <c r="D174">
        <v>0</v>
      </c>
      <c r="E174">
        <v>106</v>
      </c>
      <c r="F174">
        <v>0</v>
      </c>
      <c r="G174">
        <v>0</v>
      </c>
      <c r="H174">
        <f>_xlfn.XLOOKUP(Table1[[#This Row],[Key]],policseStrength!C:C,policseStrength!R:R)</f>
        <v>18944</v>
      </c>
      <c r="I174">
        <f>IF(ISNA(Table1[[#This Row],[total_ps]]), _xlfn.AGGREGATE(1, 6, Table1[total_ps]), Table1[[#This Row],[total_ps]])</f>
        <v>18944</v>
      </c>
      <c r="J174">
        <f>_xlfn.XLOOKUP(Table1[[#This Row],[Key]],Recidivism!C:C,Recidivism!D:D)</f>
        <v>5</v>
      </c>
      <c r="K174">
        <f>IF(ISNA(Table1[[#This Row],[convicts_admitted_raw]]), _xlfn.AGGREGATE(1, 6, Table1[convicts_admitted_raw]), Table1[[#This Row],[convicts_admitted_raw]])</f>
        <v>5</v>
      </c>
      <c r="L174">
        <f>_xlfn.XLOOKUP(Table1[[#This Row],[Key]],Recidivism!C:C,Recidivism!E:E)</f>
        <v>0</v>
      </c>
      <c r="M174">
        <f>IF(ISNA(Table1[[#This Row],[habitual_offenders]]), _xlfn.AGGREGATE(1, 6, Table1[habitual_offenders]), Table1[[#This Row],[habitual_offenders]])</f>
        <v>0</v>
      </c>
      <c r="N174" t="e">
        <f>_xlfn.XLOOKUP(Table1[[#This Row],[Key]],Vocational!C:C,Vocational!E:E)</f>
        <v>#N/A</v>
      </c>
      <c r="O174">
        <f>IF(ISNA(Table1[[#This Row],[vocational_count]]), _xlfn.AGGREGATE(1, 6,Table1[vocational_count]), Table1[[#This Row],[vocational_count]])</f>
        <v>249.28426395939087</v>
      </c>
    </row>
    <row r="175" spans="1:15" x14ac:dyDescent="0.3">
      <c r="A175" t="s">
        <v>21</v>
      </c>
      <c r="B175">
        <v>2002</v>
      </c>
      <c r="C175" t="str">
        <f>_xlfn.CONCAT(Table1[[#This Row],[STATE]],"-",Table1[[#This Row],[YEAR]])</f>
        <v>Manipur-2002</v>
      </c>
      <c r="D175">
        <v>12</v>
      </c>
      <c r="E175">
        <v>6</v>
      </c>
      <c r="F175">
        <v>0</v>
      </c>
      <c r="G175">
        <v>0</v>
      </c>
      <c r="H175">
        <f>_xlfn.XLOOKUP(Table1[[#This Row],[Key]],policseStrength!C:C,policseStrength!R:R)</f>
        <v>18400</v>
      </c>
      <c r="I175">
        <f>IF(ISNA(Table1[[#This Row],[total_ps]]), _xlfn.AGGREGATE(1, 6, Table1[total_ps]), Table1[[#This Row],[total_ps]])</f>
        <v>18400</v>
      </c>
      <c r="J175">
        <f>_xlfn.XLOOKUP(Table1[[#This Row],[Key]],Recidivism!C:C,Recidivism!D:D)</f>
        <v>21</v>
      </c>
      <c r="K175">
        <f>IF(ISNA(Table1[[#This Row],[convicts_admitted_raw]]), _xlfn.AGGREGATE(1, 6, Table1[convicts_admitted_raw]), Table1[[#This Row],[convicts_admitted_raw]])</f>
        <v>21</v>
      </c>
      <c r="L175">
        <f>_xlfn.XLOOKUP(Table1[[#This Row],[Key]],Recidivism!C:C,Recidivism!E:E)</f>
        <v>0</v>
      </c>
      <c r="M175">
        <f>IF(ISNA(Table1[[#This Row],[habitual_offenders]]), _xlfn.AGGREGATE(1, 6, Table1[habitual_offenders]), Table1[[#This Row],[habitual_offenders]])</f>
        <v>0</v>
      </c>
      <c r="N175" t="e">
        <f>_xlfn.XLOOKUP(Table1[[#This Row],[Key]],Vocational!C:C,Vocational!E:E)</f>
        <v>#N/A</v>
      </c>
      <c r="O175">
        <f>IF(ISNA(Table1[[#This Row],[vocational_count]]), _xlfn.AGGREGATE(1, 6,Table1[vocational_count]), Table1[[#This Row],[vocational_count]])</f>
        <v>249.28426395939087</v>
      </c>
    </row>
    <row r="176" spans="1:15" x14ac:dyDescent="0.3">
      <c r="A176" t="s">
        <v>21</v>
      </c>
      <c r="B176">
        <v>2003</v>
      </c>
      <c r="C176" t="str">
        <f>_xlfn.CONCAT(Table1[[#This Row],[STATE]],"-",Table1[[#This Row],[YEAR]])</f>
        <v>Manipur-2003</v>
      </c>
      <c r="D176">
        <v>0</v>
      </c>
      <c r="E176">
        <v>0</v>
      </c>
      <c r="F176">
        <v>0</v>
      </c>
      <c r="G176">
        <v>0</v>
      </c>
      <c r="H176">
        <f>_xlfn.XLOOKUP(Table1[[#This Row],[Key]],policseStrength!C:C,policseStrength!R:R)</f>
        <v>17618</v>
      </c>
      <c r="I176">
        <f>IF(ISNA(Table1[[#This Row],[total_ps]]), _xlfn.AGGREGATE(1, 6, Table1[total_ps]), Table1[[#This Row],[total_ps]])</f>
        <v>17618</v>
      </c>
      <c r="J176">
        <f>_xlfn.XLOOKUP(Table1[[#This Row],[Key]],Recidivism!C:C,Recidivism!D:D)</f>
        <v>9</v>
      </c>
      <c r="K176">
        <f>IF(ISNA(Table1[[#This Row],[convicts_admitted_raw]]), _xlfn.AGGREGATE(1, 6, Table1[convicts_admitted_raw]), Table1[[#This Row],[convicts_admitted_raw]])</f>
        <v>9</v>
      </c>
      <c r="L176">
        <f>_xlfn.XLOOKUP(Table1[[#This Row],[Key]],Recidivism!C:C,Recidivism!E:E)</f>
        <v>0</v>
      </c>
      <c r="M176">
        <f>IF(ISNA(Table1[[#This Row],[habitual_offenders]]), _xlfn.AGGREGATE(1, 6, Table1[habitual_offenders]), Table1[[#This Row],[habitual_offenders]])</f>
        <v>0</v>
      </c>
      <c r="N176" t="e">
        <f>_xlfn.XLOOKUP(Table1[[#This Row],[Key]],Vocational!C:C,Vocational!E:E)</f>
        <v>#N/A</v>
      </c>
      <c r="O176">
        <f>IF(ISNA(Table1[[#This Row],[vocational_count]]), _xlfn.AGGREGATE(1, 6,Table1[vocational_count]), Table1[[#This Row],[vocational_count]])</f>
        <v>249.28426395939087</v>
      </c>
    </row>
    <row r="177" spans="1:15" x14ac:dyDescent="0.3">
      <c r="A177" t="s">
        <v>21</v>
      </c>
      <c r="B177">
        <v>2004</v>
      </c>
      <c r="C177" t="str">
        <f>_xlfn.CONCAT(Table1[[#This Row],[STATE]],"-",Table1[[#This Row],[YEAR]])</f>
        <v>Manipur-2004</v>
      </c>
      <c r="D177">
        <v>0</v>
      </c>
      <c r="E177">
        <v>0</v>
      </c>
      <c r="F177">
        <v>0</v>
      </c>
      <c r="G177">
        <v>0</v>
      </c>
      <c r="H177">
        <f>_xlfn.XLOOKUP(Table1[[#This Row],[Key]],policseStrength!C:C,policseStrength!R:R)</f>
        <v>17132</v>
      </c>
      <c r="I177">
        <f>IF(ISNA(Table1[[#This Row],[total_ps]]), _xlfn.AGGREGATE(1, 6, Table1[total_ps]), Table1[[#This Row],[total_ps]])</f>
        <v>17132</v>
      </c>
      <c r="J177">
        <f>_xlfn.XLOOKUP(Table1[[#This Row],[Key]],Recidivism!C:C,Recidivism!D:D)</f>
        <v>28</v>
      </c>
      <c r="K177">
        <f>IF(ISNA(Table1[[#This Row],[convicts_admitted_raw]]), _xlfn.AGGREGATE(1, 6, Table1[convicts_admitted_raw]), Table1[[#This Row],[convicts_admitted_raw]])</f>
        <v>28</v>
      </c>
      <c r="L177">
        <f>_xlfn.XLOOKUP(Table1[[#This Row],[Key]],Recidivism!C:C,Recidivism!E:E)</f>
        <v>0</v>
      </c>
      <c r="M177">
        <f>IF(ISNA(Table1[[#This Row],[habitual_offenders]]), _xlfn.AGGREGATE(1, 6, Table1[habitual_offenders]), Table1[[#This Row],[habitual_offenders]])</f>
        <v>0</v>
      </c>
      <c r="N177" t="e">
        <f>_xlfn.XLOOKUP(Table1[[#This Row],[Key]],Vocational!C:C,Vocational!E:E)</f>
        <v>#N/A</v>
      </c>
      <c r="O177">
        <f>IF(ISNA(Table1[[#This Row],[vocational_count]]), _xlfn.AGGREGATE(1, 6,Table1[vocational_count]), Table1[[#This Row],[vocational_count]])</f>
        <v>249.28426395939087</v>
      </c>
    </row>
    <row r="178" spans="1:15" x14ac:dyDescent="0.3">
      <c r="A178" t="s">
        <v>21</v>
      </c>
      <c r="B178">
        <v>2005</v>
      </c>
      <c r="C178" t="str">
        <f>_xlfn.CONCAT(Table1[[#This Row],[STATE]],"-",Table1[[#This Row],[YEAR]])</f>
        <v>Manipur-2005</v>
      </c>
      <c r="D178">
        <v>0</v>
      </c>
      <c r="E178">
        <v>0</v>
      </c>
      <c r="F178">
        <v>0</v>
      </c>
      <c r="G178">
        <v>0</v>
      </c>
      <c r="H178">
        <f>_xlfn.XLOOKUP(Table1[[#This Row],[Key]],policseStrength!C:C,policseStrength!R:R)</f>
        <v>17656</v>
      </c>
      <c r="I178">
        <f>IF(ISNA(Table1[[#This Row],[total_ps]]), _xlfn.AGGREGATE(1, 6, Table1[total_ps]), Table1[[#This Row],[total_ps]])</f>
        <v>17656</v>
      </c>
      <c r="J178">
        <f>_xlfn.XLOOKUP(Table1[[#This Row],[Key]],Recidivism!C:C,Recidivism!D:D)</f>
        <v>7</v>
      </c>
      <c r="K178">
        <f>IF(ISNA(Table1[[#This Row],[convicts_admitted_raw]]), _xlfn.AGGREGATE(1, 6, Table1[convicts_admitted_raw]), Table1[[#This Row],[convicts_admitted_raw]])</f>
        <v>7</v>
      </c>
      <c r="L178">
        <f>_xlfn.XLOOKUP(Table1[[#This Row],[Key]],Recidivism!C:C,Recidivism!E:E)</f>
        <v>0</v>
      </c>
      <c r="M178">
        <f>IF(ISNA(Table1[[#This Row],[habitual_offenders]]), _xlfn.AGGREGATE(1, 6, Table1[habitual_offenders]), Table1[[#This Row],[habitual_offenders]])</f>
        <v>0</v>
      </c>
      <c r="N178" t="e">
        <f>_xlfn.XLOOKUP(Table1[[#This Row],[Key]],Vocational!C:C,Vocational!E:E)</f>
        <v>#N/A</v>
      </c>
      <c r="O178">
        <f>IF(ISNA(Table1[[#This Row],[vocational_count]]), _xlfn.AGGREGATE(1, 6,Table1[vocational_count]), Table1[[#This Row],[vocational_count]])</f>
        <v>249.28426395939087</v>
      </c>
    </row>
    <row r="179" spans="1:15" x14ac:dyDescent="0.3">
      <c r="A179" t="s">
        <v>21</v>
      </c>
      <c r="B179">
        <v>2006</v>
      </c>
      <c r="C179" t="str">
        <f>_xlfn.CONCAT(Table1[[#This Row],[STATE]],"-",Table1[[#This Row],[YEAR]])</f>
        <v>Manipur-2006</v>
      </c>
      <c r="D179">
        <v>0</v>
      </c>
      <c r="E179">
        <v>0</v>
      </c>
      <c r="F179">
        <v>0</v>
      </c>
      <c r="G179">
        <v>0</v>
      </c>
      <c r="H179">
        <f>_xlfn.XLOOKUP(Table1[[#This Row],[Key]],policseStrength!C:C,policseStrength!R:R)</f>
        <v>18094</v>
      </c>
      <c r="I179">
        <f>IF(ISNA(Table1[[#This Row],[total_ps]]), _xlfn.AGGREGATE(1, 6, Table1[total_ps]), Table1[[#This Row],[total_ps]])</f>
        <v>18094</v>
      </c>
      <c r="J179">
        <f>_xlfn.XLOOKUP(Table1[[#This Row],[Key]],Recidivism!C:C,Recidivism!D:D)</f>
        <v>12</v>
      </c>
      <c r="K179">
        <f>IF(ISNA(Table1[[#This Row],[convicts_admitted_raw]]), _xlfn.AGGREGATE(1, 6, Table1[convicts_admitted_raw]), Table1[[#This Row],[convicts_admitted_raw]])</f>
        <v>12</v>
      </c>
      <c r="L179">
        <f>_xlfn.XLOOKUP(Table1[[#This Row],[Key]],Recidivism!C:C,Recidivism!E:E)</f>
        <v>0</v>
      </c>
      <c r="M179">
        <f>IF(ISNA(Table1[[#This Row],[habitual_offenders]]), _xlfn.AGGREGATE(1, 6, Table1[habitual_offenders]), Table1[[#This Row],[habitual_offenders]])</f>
        <v>0</v>
      </c>
      <c r="N179" t="e">
        <f>_xlfn.XLOOKUP(Table1[[#This Row],[Key]],Vocational!C:C,Vocational!E:E)</f>
        <v>#N/A</v>
      </c>
      <c r="O179">
        <f>IF(ISNA(Table1[[#This Row],[vocational_count]]), _xlfn.AGGREGATE(1, 6,Table1[vocational_count]), Table1[[#This Row],[vocational_count]])</f>
        <v>249.28426395939087</v>
      </c>
    </row>
    <row r="180" spans="1:15" x14ac:dyDescent="0.3">
      <c r="A180" t="s">
        <v>21</v>
      </c>
      <c r="B180">
        <v>2007</v>
      </c>
      <c r="C180" t="str">
        <f>_xlfn.CONCAT(Table1[[#This Row],[STATE]],"-",Table1[[#This Row],[YEAR]])</f>
        <v>Manipur-2007</v>
      </c>
      <c r="D180">
        <v>5</v>
      </c>
      <c r="E180">
        <v>6</v>
      </c>
      <c r="F180">
        <v>6</v>
      </c>
      <c r="G180">
        <v>0</v>
      </c>
      <c r="H180">
        <f>_xlfn.XLOOKUP(Table1[[#This Row],[Key]],policseStrength!C:C,policseStrength!R:R)</f>
        <v>21498</v>
      </c>
      <c r="I180">
        <f>IF(ISNA(Table1[[#This Row],[total_ps]]), _xlfn.AGGREGATE(1, 6, Table1[total_ps]), Table1[[#This Row],[total_ps]])</f>
        <v>21498</v>
      </c>
      <c r="J180">
        <f>_xlfn.XLOOKUP(Table1[[#This Row],[Key]],Recidivism!C:C,Recidivism!D:D)</f>
        <v>30</v>
      </c>
      <c r="K180">
        <f>IF(ISNA(Table1[[#This Row],[convicts_admitted_raw]]), _xlfn.AGGREGATE(1, 6, Table1[convicts_admitted_raw]), Table1[[#This Row],[convicts_admitted_raw]])</f>
        <v>30</v>
      </c>
      <c r="L180">
        <f>_xlfn.XLOOKUP(Table1[[#This Row],[Key]],Recidivism!C:C,Recidivism!E:E)</f>
        <v>0</v>
      </c>
      <c r="M180">
        <f>IF(ISNA(Table1[[#This Row],[habitual_offenders]]), _xlfn.AGGREGATE(1, 6, Table1[habitual_offenders]), Table1[[#This Row],[habitual_offenders]])</f>
        <v>0</v>
      </c>
      <c r="N180" t="e">
        <f>_xlfn.XLOOKUP(Table1[[#This Row],[Key]],Vocational!C:C,Vocational!E:E)</f>
        <v>#N/A</v>
      </c>
      <c r="O180">
        <f>IF(ISNA(Table1[[#This Row],[vocational_count]]), _xlfn.AGGREGATE(1, 6,Table1[vocational_count]), Table1[[#This Row],[vocational_count]])</f>
        <v>249.28426395939087</v>
      </c>
    </row>
    <row r="181" spans="1:15" x14ac:dyDescent="0.3">
      <c r="A181" t="s">
        <v>21</v>
      </c>
      <c r="B181">
        <v>2008</v>
      </c>
      <c r="C181" t="str">
        <f>_xlfn.CONCAT(Table1[[#This Row],[STATE]],"-",Table1[[#This Row],[YEAR]])</f>
        <v>Manipur-2008</v>
      </c>
      <c r="D181">
        <v>5</v>
      </c>
      <c r="E181">
        <v>6</v>
      </c>
      <c r="F181">
        <v>6</v>
      </c>
      <c r="G181">
        <v>0</v>
      </c>
      <c r="H181">
        <f>_xlfn.XLOOKUP(Table1[[#This Row],[Key]],policseStrength!C:C,policseStrength!R:R)</f>
        <v>21312</v>
      </c>
      <c r="I181">
        <f>IF(ISNA(Table1[[#This Row],[total_ps]]), _xlfn.AGGREGATE(1, 6, Table1[total_ps]), Table1[[#This Row],[total_ps]])</f>
        <v>21312</v>
      </c>
      <c r="J181">
        <f>_xlfn.XLOOKUP(Table1[[#This Row],[Key]],Recidivism!C:C,Recidivism!D:D)</f>
        <v>20</v>
      </c>
      <c r="K181">
        <f>IF(ISNA(Table1[[#This Row],[convicts_admitted_raw]]), _xlfn.AGGREGATE(1, 6, Table1[convicts_admitted_raw]), Table1[[#This Row],[convicts_admitted_raw]])</f>
        <v>20</v>
      </c>
      <c r="L181">
        <f>_xlfn.XLOOKUP(Table1[[#This Row],[Key]],Recidivism!C:C,Recidivism!E:E)</f>
        <v>0</v>
      </c>
      <c r="M181">
        <f>IF(ISNA(Table1[[#This Row],[habitual_offenders]]), _xlfn.AGGREGATE(1, 6, Table1[habitual_offenders]), Table1[[#This Row],[habitual_offenders]])</f>
        <v>0</v>
      </c>
      <c r="N181" t="e">
        <f>_xlfn.XLOOKUP(Table1[[#This Row],[Key]],Vocational!C:C,Vocational!E:E)</f>
        <v>#N/A</v>
      </c>
      <c r="O181">
        <f>IF(ISNA(Table1[[#This Row],[vocational_count]]), _xlfn.AGGREGATE(1, 6,Table1[vocational_count]), Table1[[#This Row],[vocational_count]])</f>
        <v>249.28426395939087</v>
      </c>
    </row>
    <row r="182" spans="1:15" x14ac:dyDescent="0.3">
      <c r="A182" t="s">
        <v>21</v>
      </c>
      <c r="B182">
        <v>2009</v>
      </c>
      <c r="C182" t="str">
        <f>_xlfn.CONCAT(Table1[[#This Row],[STATE]],"-",Table1[[#This Row],[YEAR]])</f>
        <v>Manipur-2009</v>
      </c>
      <c r="D182">
        <v>4</v>
      </c>
      <c r="E182">
        <v>0</v>
      </c>
      <c r="F182">
        <v>0</v>
      </c>
      <c r="G182">
        <v>0</v>
      </c>
      <c r="H182">
        <f>_xlfn.XLOOKUP(Table1[[#This Row],[Key]],policseStrength!C:C,policseStrength!R:R)</f>
        <v>21390</v>
      </c>
      <c r="I182">
        <f>IF(ISNA(Table1[[#This Row],[total_ps]]), _xlfn.AGGREGATE(1, 6, Table1[total_ps]), Table1[[#This Row],[total_ps]])</f>
        <v>21390</v>
      </c>
      <c r="J182">
        <f>_xlfn.XLOOKUP(Table1[[#This Row],[Key]],Recidivism!C:C,Recidivism!D:D)</f>
        <v>46</v>
      </c>
      <c r="K182">
        <f>IF(ISNA(Table1[[#This Row],[convicts_admitted_raw]]), _xlfn.AGGREGATE(1, 6, Table1[convicts_admitted_raw]), Table1[[#This Row],[convicts_admitted_raw]])</f>
        <v>46</v>
      </c>
      <c r="L182">
        <f>_xlfn.XLOOKUP(Table1[[#This Row],[Key]],Recidivism!C:C,Recidivism!E:E)</f>
        <v>0</v>
      </c>
      <c r="M182">
        <f>IF(ISNA(Table1[[#This Row],[habitual_offenders]]), _xlfn.AGGREGATE(1, 6, Table1[habitual_offenders]), Table1[[#This Row],[habitual_offenders]])</f>
        <v>0</v>
      </c>
      <c r="N182">
        <f>_xlfn.XLOOKUP(Table1[[#This Row],[Key]],Vocational!C:C,Vocational!E:E)</f>
        <v>0</v>
      </c>
      <c r="O182">
        <f>IF(ISNA(Table1[[#This Row],[vocational_count]]), _xlfn.AGGREGATE(1, 6,Table1[vocational_count]), Table1[[#This Row],[vocational_count]])</f>
        <v>0</v>
      </c>
    </row>
    <row r="183" spans="1:15" x14ac:dyDescent="0.3">
      <c r="A183" t="s">
        <v>21</v>
      </c>
      <c r="B183">
        <v>2010</v>
      </c>
      <c r="C183" t="str">
        <f>_xlfn.CONCAT(Table1[[#This Row],[STATE]],"-",Table1[[#This Row],[YEAR]])</f>
        <v>Manipur-2010</v>
      </c>
      <c r="D183">
        <v>3</v>
      </c>
      <c r="E183">
        <v>0</v>
      </c>
      <c r="F183">
        <v>0</v>
      </c>
      <c r="G183">
        <v>0</v>
      </c>
      <c r="H183">
        <f>_xlfn.XLOOKUP(Table1[[#This Row],[Key]],policseStrength!C:C,policseStrength!R:R)</f>
        <v>26548</v>
      </c>
      <c r="I183">
        <f>IF(ISNA(Table1[[#This Row],[total_ps]]), _xlfn.AGGREGATE(1, 6, Table1[total_ps]), Table1[[#This Row],[total_ps]])</f>
        <v>26548</v>
      </c>
      <c r="J183">
        <f>_xlfn.XLOOKUP(Table1[[#This Row],[Key]],Recidivism!C:C,Recidivism!D:D)</f>
        <v>45</v>
      </c>
      <c r="K183">
        <f>IF(ISNA(Table1[[#This Row],[convicts_admitted_raw]]), _xlfn.AGGREGATE(1, 6, Table1[convicts_admitted_raw]), Table1[[#This Row],[convicts_admitted_raw]])</f>
        <v>45</v>
      </c>
      <c r="L183">
        <f>_xlfn.XLOOKUP(Table1[[#This Row],[Key]],Recidivism!C:C,Recidivism!E:E)</f>
        <v>0</v>
      </c>
      <c r="M183">
        <f>IF(ISNA(Table1[[#This Row],[habitual_offenders]]), _xlfn.AGGREGATE(1, 6, Table1[habitual_offenders]), Table1[[#This Row],[habitual_offenders]])</f>
        <v>0</v>
      </c>
      <c r="N183" t="e">
        <f>_xlfn.XLOOKUP(Table1[[#This Row],[Key]],Vocational!C:C,Vocational!E:E)</f>
        <v>#N/A</v>
      </c>
      <c r="O183">
        <f>IF(ISNA(Table1[[#This Row],[vocational_count]]), _xlfn.AGGREGATE(1, 6,Table1[vocational_count]), Table1[[#This Row],[vocational_count]])</f>
        <v>249.28426395939087</v>
      </c>
    </row>
    <row r="184" spans="1:15" x14ac:dyDescent="0.3">
      <c r="A184" t="s">
        <v>21</v>
      </c>
      <c r="B184">
        <v>2011</v>
      </c>
      <c r="C184" t="str">
        <f>_xlfn.CONCAT(Table1[[#This Row],[STATE]],"-",Table1[[#This Row],[YEAR]])</f>
        <v>Manipur-2011</v>
      </c>
      <c r="D184">
        <v>3</v>
      </c>
      <c r="E184">
        <v>2</v>
      </c>
      <c r="F184">
        <v>0</v>
      </c>
      <c r="G184">
        <v>0</v>
      </c>
      <c r="H184" t="e">
        <f>_xlfn.XLOOKUP(Table1[[#This Row],[Key]],policseStrength!C:C,policseStrength!R:R)</f>
        <v>#N/A</v>
      </c>
      <c r="I184">
        <f>IF(ISNA(Table1[[#This Row],[total_ps]]), _xlfn.AGGREGATE(1, 6, Table1[total_ps]), Table1[[#This Row],[total_ps]])</f>
        <v>20128.370106761566</v>
      </c>
      <c r="J184">
        <f>_xlfn.XLOOKUP(Table1[[#This Row],[Key]],Recidivism!C:C,Recidivism!D:D)</f>
        <v>30</v>
      </c>
      <c r="K184">
        <f>IF(ISNA(Table1[[#This Row],[convicts_admitted_raw]]), _xlfn.AGGREGATE(1, 6, Table1[convicts_admitted_raw]), Table1[[#This Row],[convicts_admitted_raw]])</f>
        <v>30</v>
      </c>
      <c r="L184">
        <f>_xlfn.XLOOKUP(Table1[[#This Row],[Key]],Recidivism!C:C,Recidivism!E:E)</f>
        <v>0</v>
      </c>
      <c r="M184">
        <f>IF(ISNA(Table1[[#This Row],[habitual_offenders]]), _xlfn.AGGREGATE(1, 6, Table1[habitual_offenders]), Table1[[#This Row],[habitual_offenders]])</f>
        <v>0</v>
      </c>
      <c r="N184" t="e">
        <f>_xlfn.XLOOKUP(Table1[[#This Row],[Key]],Vocational!C:C,Vocational!E:E)</f>
        <v>#N/A</v>
      </c>
      <c r="O184">
        <f>IF(ISNA(Table1[[#This Row],[vocational_count]]), _xlfn.AGGREGATE(1, 6,Table1[vocational_count]), Table1[[#This Row],[vocational_count]])</f>
        <v>249.28426395939087</v>
      </c>
    </row>
    <row r="185" spans="1:15" x14ac:dyDescent="0.3">
      <c r="A185" t="s">
        <v>21</v>
      </c>
      <c r="B185">
        <v>2012</v>
      </c>
      <c r="C185" t="str">
        <f>_xlfn.CONCAT(Table1[[#This Row],[STATE]],"-",Table1[[#This Row],[YEAR]])</f>
        <v>Manipur-2012</v>
      </c>
      <c r="D185">
        <v>1</v>
      </c>
      <c r="E185">
        <v>4</v>
      </c>
      <c r="F185">
        <v>0</v>
      </c>
      <c r="G185">
        <v>0</v>
      </c>
      <c r="H185" t="e">
        <f>_xlfn.XLOOKUP(Table1[[#This Row],[Key]],policseStrength!C:C,policseStrength!R:R)</f>
        <v>#N/A</v>
      </c>
      <c r="I185">
        <f>IF(ISNA(Table1[[#This Row],[total_ps]]), _xlfn.AGGREGATE(1, 6, Table1[total_ps]), Table1[[#This Row],[total_ps]])</f>
        <v>20128.370106761566</v>
      </c>
      <c r="J185">
        <f>_xlfn.XLOOKUP(Table1[[#This Row],[Key]],Recidivism!C:C,Recidivism!D:D)</f>
        <v>98</v>
      </c>
      <c r="K185">
        <f>IF(ISNA(Table1[[#This Row],[convicts_admitted_raw]]), _xlfn.AGGREGATE(1, 6, Table1[convicts_admitted_raw]), Table1[[#This Row],[convicts_admitted_raw]])</f>
        <v>98</v>
      </c>
      <c r="L185">
        <f>_xlfn.XLOOKUP(Table1[[#This Row],[Key]],Recidivism!C:C,Recidivism!E:E)</f>
        <v>0</v>
      </c>
      <c r="M185">
        <f>IF(ISNA(Table1[[#This Row],[habitual_offenders]]), _xlfn.AGGREGATE(1, 6, Table1[habitual_offenders]), Table1[[#This Row],[habitual_offenders]])</f>
        <v>0</v>
      </c>
      <c r="N185">
        <f>_xlfn.XLOOKUP(Table1[[#This Row],[Key]],Vocational!C:C,Vocational!E:E)</f>
        <v>0</v>
      </c>
      <c r="O185">
        <f>IF(ISNA(Table1[[#This Row],[vocational_count]]), _xlfn.AGGREGATE(1, 6,Table1[vocational_count]), Table1[[#This Row],[vocational_count]])</f>
        <v>0</v>
      </c>
    </row>
    <row r="186" spans="1:15" x14ac:dyDescent="0.3">
      <c r="A186" t="s">
        <v>22</v>
      </c>
      <c r="B186">
        <v>2001</v>
      </c>
      <c r="C186" t="str">
        <f>_xlfn.CONCAT(Table1[[#This Row],[STATE]],"-",Table1[[#This Row],[YEAR]])</f>
        <v>Meghalaya-2001</v>
      </c>
      <c r="D186">
        <v>0</v>
      </c>
      <c r="E186">
        <v>0</v>
      </c>
      <c r="F186">
        <v>0</v>
      </c>
      <c r="G186">
        <v>0</v>
      </c>
      <c r="H186">
        <f>_xlfn.XLOOKUP(Table1[[#This Row],[Key]],policseStrength!C:C,policseStrength!R:R)</f>
        <v>5398</v>
      </c>
      <c r="I186">
        <f>IF(ISNA(Table1[[#This Row],[total_ps]]), _xlfn.AGGREGATE(1, 6, Table1[total_ps]), Table1[[#This Row],[total_ps]])</f>
        <v>5398</v>
      </c>
      <c r="J186">
        <f>_xlfn.XLOOKUP(Table1[[#This Row],[Key]],Recidivism!C:C,Recidivism!D:D)</f>
        <v>62</v>
      </c>
      <c r="K186">
        <f>IF(ISNA(Table1[[#This Row],[convicts_admitted_raw]]), _xlfn.AGGREGATE(1, 6, Table1[convicts_admitted_raw]), Table1[[#This Row],[convicts_admitted_raw]])</f>
        <v>62</v>
      </c>
      <c r="L186">
        <f>_xlfn.XLOOKUP(Table1[[#This Row],[Key]],Recidivism!C:C,Recidivism!E:E)</f>
        <v>15</v>
      </c>
      <c r="M186">
        <f>IF(ISNA(Table1[[#This Row],[habitual_offenders]]), _xlfn.AGGREGATE(1, 6, Table1[habitual_offenders]), Table1[[#This Row],[habitual_offenders]])</f>
        <v>15</v>
      </c>
      <c r="N186">
        <f>_xlfn.XLOOKUP(Table1[[#This Row],[Key]],Vocational!C:C,Vocational!E:E)</f>
        <v>8</v>
      </c>
      <c r="O186">
        <f>IF(ISNA(Table1[[#This Row],[vocational_count]]), _xlfn.AGGREGATE(1, 6,Table1[vocational_count]), Table1[[#This Row],[vocational_count]])</f>
        <v>8</v>
      </c>
    </row>
    <row r="187" spans="1:15" x14ac:dyDescent="0.3">
      <c r="A187" t="s">
        <v>22</v>
      </c>
      <c r="B187">
        <v>2002</v>
      </c>
      <c r="C187" t="str">
        <f>_xlfn.CONCAT(Table1[[#This Row],[STATE]],"-",Table1[[#This Row],[YEAR]])</f>
        <v>Meghalaya-2002</v>
      </c>
      <c r="D187">
        <v>0</v>
      </c>
      <c r="E187">
        <v>0</v>
      </c>
      <c r="F187">
        <v>0</v>
      </c>
      <c r="G187">
        <v>0</v>
      </c>
      <c r="H187">
        <f>_xlfn.XLOOKUP(Table1[[#This Row],[Key]],policseStrength!C:C,policseStrength!R:R)</f>
        <v>6800</v>
      </c>
      <c r="I187">
        <f>IF(ISNA(Table1[[#This Row],[total_ps]]), _xlfn.AGGREGATE(1, 6, Table1[total_ps]), Table1[[#This Row],[total_ps]])</f>
        <v>6800</v>
      </c>
      <c r="J187">
        <f>_xlfn.XLOOKUP(Table1[[#This Row],[Key]],Recidivism!C:C,Recidivism!D:D)</f>
        <v>98</v>
      </c>
      <c r="K187">
        <f>IF(ISNA(Table1[[#This Row],[convicts_admitted_raw]]), _xlfn.AGGREGATE(1, 6, Table1[convicts_admitted_raw]), Table1[[#This Row],[convicts_admitted_raw]])</f>
        <v>98</v>
      </c>
      <c r="L187">
        <f>_xlfn.XLOOKUP(Table1[[#This Row],[Key]],Recidivism!C:C,Recidivism!E:E)</f>
        <v>7</v>
      </c>
      <c r="M187">
        <f>IF(ISNA(Table1[[#This Row],[habitual_offenders]]), _xlfn.AGGREGATE(1, 6, Table1[habitual_offenders]), Table1[[#This Row],[habitual_offenders]])</f>
        <v>7</v>
      </c>
      <c r="N187">
        <f>_xlfn.XLOOKUP(Table1[[#This Row],[Key]],Vocational!C:C,Vocational!E:E)</f>
        <v>4</v>
      </c>
      <c r="O187">
        <f>IF(ISNA(Table1[[#This Row],[vocational_count]]), _xlfn.AGGREGATE(1, 6,Table1[vocational_count]), Table1[[#This Row],[vocational_count]])</f>
        <v>4</v>
      </c>
    </row>
    <row r="188" spans="1:15" x14ac:dyDescent="0.3">
      <c r="A188" t="s">
        <v>22</v>
      </c>
      <c r="B188">
        <v>2003</v>
      </c>
      <c r="C188" t="str">
        <f>_xlfn.CONCAT(Table1[[#This Row],[STATE]],"-",Table1[[#This Row],[YEAR]])</f>
        <v>Meghalaya-2003</v>
      </c>
      <c r="D188">
        <v>0</v>
      </c>
      <c r="E188">
        <v>0</v>
      </c>
      <c r="F188">
        <v>0</v>
      </c>
      <c r="G188">
        <v>0</v>
      </c>
      <c r="H188">
        <f>_xlfn.XLOOKUP(Table1[[#This Row],[Key]],policseStrength!C:C,policseStrength!R:R)</f>
        <v>6818</v>
      </c>
      <c r="I188">
        <f>IF(ISNA(Table1[[#This Row],[total_ps]]), _xlfn.AGGREGATE(1, 6, Table1[total_ps]), Table1[[#This Row],[total_ps]])</f>
        <v>6818</v>
      </c>
      <c r="J188">
        <f>_xlfn.XLOOKUP(Table1[[#This Row],[Key]],Recidivism!C:C,Recidivism!D:D)</f>
        <v>83</v>
      </c>
      <c r="K188">
        <f>IF(ISNA(Table1[[#This Row],[convicts_admitted_raw]]), _xlfn.AGGREGATE(1, 6, Table1[convicts_admitted_raw]), Table1[[#This Row],[convicts_admitted_raw]])</f>
        <v>83</v>
      </c>
      <c r="L188">
        <f>_xlfn.XLOOKUP(Table1[[#This Row],[Key]],Recidivism!C:C,Recidivism!E:E)</f>
        <v>63</v>
      </c>
      <c r="M188">
        <f>IF(ISNA(Table1[[#This Row],[habitual_offenders]]), _xlfn.AGGREGATE(1, 6, Table1[habitual_offenders]), Table1[[#This Row],[habitual_offenders]])</f>
        <v>63</v>
      </c>
      <c r="N188">
        <f>_xlfn.XLOOKUP(Table1[[#This Row],[Key]],Vocational!C:C,Vocational!E:E)</f>
        <v>4</v>
      </c>
      <c r="O188">
        <f>IF(ISNA(Table1[[#This Row],[vocational_count]]), _xlfn.AGGREGATE(1, 6,Table1[vocational_count]), Table1[[#This Row],[vocational_count]])</f>
        <v>4</v>
      </c>
    </row>
    <row r="189" spans="1:15" x14ac:dyDescent="0.3">
      <c r="A189" t="s">
        <v>22</v>
      </c>
      <c r="B189">
        <v>2004</v>
      </c>
      <c r="C189" t="str">
        <f>_xlfn.CONCAT(Table1[[#This Row],[STATE]],"-",Table1[[#This Row],[YEAR]])</f>
        <v>Meghalaya-2004</v>
      </c>
      <c r="D189">
        <v>0</v>
      </c>
      <c r="E189">
        <v>0</v>
      </c>
      <c r="F189">
        <v>0</v>
      </c>
      <c r="G189">
        <v>0</v>
      </c>
      <c r="H189">
        <f>_xlfn.XLOOKUP(Table1[[#This Row],[Key]],policseStrength!C:C,policseStrength!R:R)</f>
        <v>6786</v>
      </c>
      <c r="I189">
        <f>IF(ISNA(Table1[[#This Row],[total_ps]]), _xlfn.AGGREGATE(1, 6, Table1[total_ps]), Table1[[#This Row],[total_ps]])</f>
        <v>6786</v>
      </c>
      <c r="J189">
        <f>_xlfn.XLOOKUP(Table1[[#This Row],[Key]],Recidivism!C:C,Recidivism!D:D)</f>
        <v>73</v>
      </c>
      <c r="K189">
        <f>IF(ISNA(Table1[[#This Row],[convicts_admitted_raw]]), _xlfn.AGGREGATE(1, 6, Table1[convicts_admitted_raw]), Table1[[#This Row],[convicts_admitted_raw]])</f>
        <v>73</v>
      </c>
      <c r="L189">
        <f>_xlfn.XLOOKUP(Table1[[#This Row],[Key]],Recidivism!C:C,Recidivism!E:E)</f>
        <v>47</v>
      </c>
      <c r="M189">
        <f>IF(ISNA(Table1[[#This Row],[habitual_offenders]]), _xlfn.AGGREGATE(1, 6, Table1[habitual_offenders]), Table1[[#This Row],[habitual_offenders]])</f>
        <v>47</v>
      </c>
      <c r="N189">
        <f>_xlfn.XLOOKUP(Table1[[#This Row],[Key]],Vocational!C:C,Vocational!E:E)</f>
        <v>6</v>
      </c>
      <c r="O189">
        <f>IF(ISNA(Table1[[#This Row],[vocational_count]]), _xlfn.AGGREGATE(1, 6,Table1[vocational_count]), Table1[[#This Row],[vocational_count]])</f>
        <v>6</v>
      </c>
    </row>
    <row r="190" spans="1:15" x14ac:dyDescent="0.3">
      <c r="A190" t="s">
        <v>22</v>
      </c>
      <c r="B190">
        <v>2005</v>
      </c>
      <c r="C190" t="str">
        <f>_xlfn.CONCAT(Table1[[#This Row],[STATE]],"-",Table1[[#This Row],[YEAR]])</f>
        <v>Meghalaya-2005</v>
      </c>
      <c r="D190">
        <v>12</v>
      </c>
      <c r="E190">
        <v>28</v>
      </c>
      <c r="F190">
        <v>0</v>
      </c>
      <c r="G190">
        <v>0</v>
      </c>
      <c r="H190">
        <f>_xlfn.XLOOKUP(Table1[[#This Row],[Key]],policseStrength!C:C,policseStrength!R:R)</f>
        <v>6590</v>
      </c>
      <c r="I190">
        <f>IF(ISNA(Table1[[#This Row],[total_ps]]), _xlfn.AGGREGATE(1, 6, Table1[total_ps]), Table1[[#This Row],[total_ps]])</f>
        <v>6590</v>
      </c>
      <c r="J190">
        <f>_xlfn.XLOOKUP(Table1[[#This Row],[Key]],Recidivism!C:C,Recidivism!D:D)</f>
        <v>59</v>
      </c>
      <c r="K190">
        <f>IF(ISNA(Table1[[#This Row],[convicts_admitted_raw]]), _xlfn.AGGREGATE(1, 6, Table1[convicts_admitted_raw]), Table1[[#This Row],[convicts_admitted_raw]])</f>
        <v>59</v>
      </c>
      <c r="L190">
        <f>_xlfn.XLOOKUP(Table1[[#This Row],[Key]],Recidivism!C:C,Recidivism!E:E)</f>
        <v>0</v>
      </c>
      <c r="M190">
        <f>IF(ISNA(Table1[[#This Row],[habitual_offenders]]), _xlfn.AGGREGATE(1, 6, Table1[habitual_offenders]), Table1[[#This Row],[habitual_offenders]])</f>
        <v>0</v>
      </c>
      <c r="N190">
        <f>_xlfn.XLOOKUP(Table1[[#This Row],[Key]],Vocational!C:C,Vocational!E:E)</f>
        <v>7</v>
      </c>
      <c r="O190">
        <f>IF(ISNA(Table1[[#This Row],[vocational_count]]), _xlfn.AGGREGATE(1, 6,Table1[vocational_count]), Table1[[#This Row],[vocational_count]])</f>
        <v>7</v>
      </c>
    </row>
    <row r="191" spans="1:15" x14ac:dyDescent="0.3">
      <c r="A191" t="s">
        <v>22</v>
      </c>
      <c r="B191">
        <v>2006</v>
      </c>
      <c r="C191" t="str">
        <f>_xlfn.CONCAT(Table1[[#This Row],[STATE]],"-",Table1[[#This Row],[YEAR]])</f>
        <v>Meghalaya-2006</v>
      </c>
      <c r="D191">
        <v>12</v>
      </c>
      <c r="E191">
        <v>30</v>
      </c>
      <c r="F191">
        <v>0</v>
      </c>
      <c r="G191">
        <v>0</v>
      </c>
      <c r="H191">
        <f>_xlfn.XLOOKUP(Table1[[#This Row],[Key]],policseStrength!C:C,policseStrength!R:R)</f>
        <v>6590</v>
      </c>
      <c r="I191">
        <f>IF(ISNA(Table1[[#This Row],[total_ps]]), _xlfn.AGGREGATE(1, 6, Table1[total_ps]), Table1[[#This Row],[total_ps]])</f>
        <v>6590</v>
      </c>
      <c r="J191">
        <f>_xlfn.XLOOKUP(Table1[[#This Row],[Key]],Recidivism!C:C,Recidivism!D:D)</f>
        <v>136</v>
      </c>
      <c r="K191">
        <f>IF(ISNA(Table1[[#This Row],[convicts_admitted_raw]]), _xlfn.AGGREGATE(1, 6, Table1[convicts_admitted_raw]), Table1[[#This Row],[convicts_admitted_raw]])</f>
        <v>136</v>
      </c>
      <c r="L191">
        <f>_xlfn.XLOOKUP(Table1[[#This Row],[Key]],Recidivism!C:C,Recidivism!E:E)</f>
        <v>24</v>
      </c>
      <c r="M191">
        <f>IF(ISNA(Table1[[#This Row],[habitual_offenders]]), _xlfn.AGGREGATE(1, 6, Table1[habitual_offenders]), Table1[[#This Row],[habitual_offenders]])</f>
        <v>24</v>
      </c>
      <c r="N191">
        <f>_xlfn.XLOOKUP(Table1[[#This Row],[Key]],Vocational!C:C,Vocational!E:E)</f>
        <v>10</v>
      </c>
      <c r="O191">
        <f>IF(ISNA(Table1[[#This Row],[vocational_count]]), _xlfn.AGGREGATE(1, 6,Table1[vocational_count]), Table1[[#This Row],[vocational_count]])</f>
        <v>10</v>
      </c>
    </row>
    <row r="192" spans="1:15" x14ac:dyDescent="0.3">
      <c r="A192" t="s">
        <v>22</v>
      </c>
      <c r="B192">
        <v>2007</v>
      </c>
      <c r="C192" t="str">
        <f>_xlfn.CONCAT(Table1[[#This Row],[STATE]],"-",Table1[[#This Row],[YEAR]])</f>
        <v>Meghalaya-2007</v>
      </c>
      <c r="D192">
        <v>0</v>
      </c>
      <c r="E192">
        <v>15</v>
      </c>
      <c r="F192">
        <v>0</v>
      </c>
      <c r="G192">
        <v>0</v>
      </c>
      <c r="H192">
        <f>_xlfn.XLOOKUP(Table1[[#This Row],[Key]],policseStrength!C:C,policseStrength!R:R)</f>
        <v>7024</v>
      </c>
      <c r="I192">
        <f>IF(ISNA(Table1[[#This Row],[total_ps]]), _xlfn.AGGREGATE(1, 6, Table1[total_ps]), Table1[[#This Row],[total_ps]])</f>
        <v>7024</v>
      </c>
      <c r="J192">
        <f>_xlfn.XLOOKUP(Table1[[#This Row],[Key]],Recidivism!C:C,Recidivism!D:D)</f>
        <v>53</v>
      </c>
      <c r="K192">
        <f>IF(ISNA(Table1[[#This Row],[convicts_admitted_raw]]), _xlfn.AGGREGATE(1, 6, Table1[convicts_admitted_raw]), Table1[[#This Row],[convicts_admitted_raw]])</f>
        <v>53</v>
      </c>
      <c r="L192">
        <f>_xlfn.XLOOKUP(Table1[[#This Row],[Key]],Recidivism!C:C,Recidivism!E:E)</f>
        <v>30</v>
      </c>
      <c r="M192">
        <f>IF(ISNA(Table1[[#This Row],[habitual_offenders]]), _xlfn.AGGREGATE(1, 6, Table1[habitual_offenders]), Table1[[#This Row],[habitual_offenders]])</f>
        <v>30</v>
      </c>
      <c r="N192">
        <f>_xlfn.XLOOKUP(Table1[[#This Row],[Key]],Vocational!C:C,Vocational!E:E)</f>
        <v>35</v>
      </c>
      <c r="O192">
        <f>IF(ISNA(Table1[[#This Row],[vocational_count]]), _xlfn.AGGREGATE(1, 6,Table1[vocational_count]), Table1[[#This Row],[vocational_count]])</f>
        <v>35</v>
      </c>
    </row>
    <row r="193" spans="1:15" x14ac:dyDescent="0.3">
      <c r="A193" t="s">
        <v>22</v>
      </c>
      <c r="B193">
        <v>2008</v>
      </c>
      <c r="C193" t="str">
        <f>_xlfn.CONCAT(Table1[[#This Row],[STATE]],"-",Table1[[#This Row],[YEAR]])</f>
        <v>Meghalaya-2008</v>
      </c>
      <c r="D193">
        <v>0</v>
      </c>
      <c r="E193">
        <v>20</v>
      </c>
      <c r="F193">
        <v>0</v>
      </c>
      <c r="G193">
        <v>0</v>
      </c>
      <c r="H193">
        <f>_xlfn.XLOOKUP(Table1[[#This Row],[Key]],policseStrength!C:C,policseStrength!R:R)</f>
        <v>8510</v>
      </c>
      <c r="I193">
        <f>IF(ISNA(Table1[[#This Row],[total_ps]]), _xlfn.AGGREGATE(1, 6, Table1[total_ps]), Table1[[#This Row],[total_ps]])</f>
        <v>8510</v>
      </c>
      <c r="J193">
        <f>_xlfn.XLOOKUP(Table1[[#This Row],[Key]],Recidivism!C:C,Recidivism!D:D)</f>
        <v>98</v>
      </c>
      <c r="K193">
        <f>IF(ISNA(Table1[[#This Row],[convicts_admitted_raw]]), _xlfn.AGGREGATE(1, 6, Table1[convicts_admitted_raw]), Table1[[#This Row],[convicts_admitted_raw]])</f>
        <v>98</v>
      </c>
      <c r="L193">
        <f>_xlfn.XLOOKUP(Table1[[#This Row],[Key]],Recidivism!C:C,Recidivism!E:E)</f>
        <v>25</v>
      </c>
      <c r="M193">
        <f>IF(ISNA(Table1[[#This Row],[habitual_offenders]]), _xlfn.AGGREGATE(1, 6, Table1[habitual_offenders]), Table1[[#This Row],[habitual_offenders]])</f>
        <v>25</v>
      </c>
      <c r="N193">
        <f>_xlfn.XLOOKUP(Table1[[#This Row],[Key]],Vocational!C:C,Vocational!E:E)</f>
        <v>59</v>
      </c>
      <c r="O193">
        <f>IF(ISNA(Table1[[#This Row],[vocational_count]]), _xlfn.AGGREGATE(1, 6,Table1[vocational_count]), Table1[[#This Row],[vocational_count]])</f>
        <v>59</v>
      </c>
    </row>
    <row r="194" spans="1:15" x14ac:dyDescent="0.3">
      <c r="A194" t="s">
        <v>22</v>
      </c>
      <c r="B194">
        <v>2009</v>
      </c>
      <c r="C194" t="str">
        <f>_xlfn.CONCAT(Table1[[#This Row],[STATE]],"-",Table1[[#This Row],[YEAR]])</f>
        <v>Meghalaya-2009</v>
      </c>
      <c r="D194">
        <v>0</v>
      </c>
      <c r="E194">
        <v>0</v>
      </c>
      <c r="F194">
        <v>0</v>
      </c>
      <c r="G194">
        <v>0</v>
      </c>
      <c r="H194">
        <f>_xlfn.XLOOKUP(Table1[[#This Row],[Key]],policseStrength!C:C,policseStrength!R:R)</f>
        <v>8358</v>
      </c>
      <c r="I194">
        <f>IF(ISNA(Table1[[#This Row],[total_ps]]), _xlfn.AGGREGATE(1, 6, Table1[total_ps]), Table1[[#This Row],[total_ps]])</f>
        <v>8358</v>
      </c>
      <c r="J194">
        <f>_xlfn.XLOOKUP(Table1[[#This Row],[Key]],Recidivism!C:C,Recidivism!D:D)</f>
        <v>115</v>
      </c>
      <c r="K194">
        <f>IF(ISNA(Table1[[#This Row],[convicts_admitted_raw]]), _xlfn.AGGREGATE(1, 6, Table1[convicts_admitted_raw]), Table1[[#This Row],[convicts_admitted_raw]])</f>
        <v>115</v>
      </c>
      <c r="L194">
        <f>_xlfn.XLOOKUP(Table1[[#This Row],[Key]],Recidivism!C:C,Recidivism!E:E)</f>
        <v>28</v>
      </c>
      <c r="M194">
        <f>IF(ISNA(Table1[[#This Row],[habitual_offenders]]), _xlfn.AGGREGATE(1, 6, Table1[habitual_offenders]), Table1[[#This Row],[habitual_offenders]])</f>
        <v>28</v>
      </c>
      <c r="N194">
        <f>_xlfn.XLOOKUP(Table1[[#This Row],[Key]],Vocational!C:C,Vocational!E:E)</f>
        <v>12</v>
      </c>
      <c r="O194">
        <f>IF(ISNA(Table1[[#This Row],[vocational_count]]), _xlfn.AGGREGATE(1, 6,Table1[vocational_count]), Table1[[#This Row],[vocational_count]])</f>
        <v>12</v>
      </c>
    </row>
    <row r="195" spans="1:15" x14ac:dyDescent="0.3">
      <c r="A195" t="s">
        <v>22</v>
      </c>
      <c r="B195">
        <v>2010</v>
      </c>
      <c r="C195" t="str">
        <f>_xlfn.CONCAT(Table1[[#This Row],[STATE]],"-",Table1[[#This Row],[YEAR]])</f>
        <v>Meghalaya-2010</v>
      </c>
      <c r="D195">
        <v>0</v>
      </c>
      <c r="E195">
        <v>0</v>
      </c>
      <c r="F195">
        <v>0</v>
      </c>
      <c r="G195">
        <v>0</v>
      </c>
      <c r="H195">
        <f>_xlfn.XLOOKUP(Table1[[#This Row],[Key]],policseStrength!C:C,policseStrength!R:R)</f>
        <v>8698</v>
      </c>
      <c r="I195">
        <f>IF(ISNA(Table1[[#This Row],[total_ps]]), _xlfn.AGGREGATE(1, 6, Table1[total_ps]), Table1[[#This Row],[total_ps]])</f>
        <v>8698</v>
      </c>
      <c r="J195">
        <f>_xlfn.XLOOKUP(Table1[[#This Row],[Key]],Recidivism!C:C,Recidivism!D:D)</f>
        <v>37</v>
      </c>
      <c r="K195">
        <f>IF(ISNA(Table1[[#This Row],[convicts_admitted_raw]]), _xlfn.AGGREGATE(1, 6, Table1[convicts_admitted_raw]), Table1[[#This Row],[convicts_admitted_raw]])</f>
        <v>37</v>
      </c>
      <c r="L195">
        <f>_xlfn.XLOOKUP(Table1[[#This Row],[Key]],Recidivism!C:C,Recidivism!E:E)</f>
        <v>2</v>
      </c>
      <c r="M195">
        <f>IF(ISNA(Table1[[#This Row],[habitual_offenders]]), _xlfn.AGGREGATE(1, 6, Table1[habitual_offenders]), Table1[[#This Row],[habitual_offenders]])</f>
        <v>2</v>
      </c>
      <c r="N195">
        <f>_xlfn.XLOOKUP(Table1[[#This Row],[Key]],Vocational!C:C,Vocational!E:E)</f>
        <v>29</v>
      </c>
      <c r="O195">
        <f>IF(ISNA(Table1[[#This Row],[vocational_count]]), _xlfn.AGGREGATE(1, 6,Table1[vocational_count]), Table1[[#This Row],[vocational_count]])</f>
        <v>29</v>
      </c>
    </row>
    <row r="196" spans="1:15" x14ac:dyDescent="0.3">
      <c r="A196" t="s">
        <v>22</v>
      </c>
      <c r="B196">
        <v>2011</v>
      </c>
      <c r="C196" t="str">
        <f>_xlfn.CONCAT(Table1[[#This Row],[STATE]],"-",Table1[[#This Row],[YEAR]])</f>
        <v>Meghalaya-2011</v>
      </c>
      <c r="D196">
        <v>0</v>
      </c>
      <c r="E196">
        <v>15</v>
      </c>
      <c r="F196">
        <v>0</v>
      </c>
      <c r="G196">
        <v>0</v>
      </c>
      <c r="H196" t="e">
        <f>_xlfn.XLOOKUP(Table1[[#This Row],[Key]],policseStrength!C:C,policseStrength!R:R)</f>
        <v>#N/A</v>
      </c>
      <c r="I196">
        <f>IF(ISNA(Table1[[#This Row],[total_ps]]), _xlfn.AGGREGATE(1, 6, Table1[total_ps]), Table1[[#This Row],[total_ps]])</f>
        <v>20128.370106761566</v>
      </c>
      <c r="J196">
        <f>_xlfn.XLOOKUP(Table1[[#This Row],[Key]],Recidivism!C:C,Recidivism!D:D)</f>
        <v>17</v>
      </c>
      <c r="K196">
        <f>IF(ISNA(Table1[[#This Row],[convicts_admitted_raw]]), _xlfn.AGGREGATE(1, 6, Table1[convicts_admitted_raw]), Table1[[#This Row],[convicts_admitted_raw]])</f>
        <v>17</v>
      </c>
      <c r="L196">
        <f>_xlfn.XLOOKUP(Table1[[#This Row],[Key]],Recidivism!C:C,Recidivism!E:E)</f>
        <v>3</v>
      </c>
      <c r="M196">
        <f>IF(ISNA(Table1[[#This Row],[habitual_offenders]]), _xlfn.AGGREGATE(1, 6, Table1[habitual_offenders]), Table1[[#This Row],[habitual_offenders]])</f>
        <v>3</v>
      </c>
      <c r="N196">
        <f>_xlfn.XLOOKUP(Table1[[#This Row],[Key]],Vocational!C:C,Vocational!E:E)</f>
        <v>18</v>
      </c>
      <c r="O196">
        <f>IF(ISNA(Table1[[#This Row],[vocational_count]]), _xlfn.AGGREGATE(1, 6,Table1[vocational_count]), Table1[[#This Row],[vocational_count]])</f>
        <v>18</v>
      </c>
    </row>
    <row r="197" spans="1:15" x14ac:dyDescent="0.3">
      <c r="A197" t="s">
        <v>22</v>
      </c>
      <c r="B197">
        <v>2012</v>
      </c>
      <c r="C197" t="str">
        <f>_xlfn.CONCAT(Table1[[#This Row],[STATE]],"-",Table1[[#This Row],[YEAR]])</f>
        <v>Meghalaya-2012</v>
      </c>
      <c r="D197">
        <v>0</v>
      </c>
      <c r="E197">
        <v>38</v>
      </c>
      <c r="F197">
        <v>0</v>
      </c>
      <c r="G197">
        <v>0</v>
      </c>
      <c r="H197" t="e">
        <f>_xlfn.XLOOKUP(Table1[[#This Row],[Key]],policseStrength!C:C,policseStrength!R:R)</f>
        <v>#N/A</v>
      </c>
      <c r="I197">
        <f>IF(ISNA(Table1[[#This Row],[total_ps]]), _xlfn.AGGREGATE(1, 6, Table1[total_ps]), Table1[[#This Row],[total_ps]])</f>
        <v>20128.370106761566</v>
      </c>
      <c r="J197">
        <f>_xlfn.XLOOKUP(Table1[[#This Row],[Key]],Recidivism!C:C,Recidivism!D:D)</f>
        <v>56</v>
      </c>
      <c r="K197">
        <f>IF(ISNA(Table1[[#This Row],[convicts_admitted_raw]]), _xlfn.AGGREGATE(1, 6, Table1[convicts_admitted_raw]), Table1[[#This Row],[convicts_admitted_raw]])</f>
        <v>56</v>
      </c>
      <c r="L197">
        <f>_xlfn.XLOOKUP(Table1[[#This Row],[Key]],Recidivism!C:C,Recidivism!E:E)</f>
        <v>0</v>
      </c>
      <c r="M197">
        <f>IF(ISNA(Table1[[#This Row],[habitual_offenders]]), _xlfn.AGGREGATE(1, 6, Table1[habitual_offenders]), Table1[[#This Row],[habitual_offenders]])</f>
        <v>0</v>
      </c>
      <c r="N197">
        <f>_xlfn.XLOOKUP(Table1[[#This Row],[Key]],Vocational!C:C,Vocational!E:E)</f>
        <v>27</v>
      </c>
      <c r="O197">
        <f>IF(ISNA(Table1[[#This Row],[vocational_count]]), _xlfn.AGGREGATE(1, 6,Table1[vocational_count]), Table1[[#This Row],[vocational_count]])</f>
        <v>27</v>
      </c>
    </row>
    <row r="198" spans="1:15" x14ac:dyDescent="0.3">
      <c r="A198" t="s">
        <v>23</v>
      </c>
      <c r="B198">
        <v>2001</v>
      </c>
      <c r="C198" t="str">
        <f>_xlfn.CONCAT(Table1[[#This Row],[STATE]],"-",Table1[[#This Row],[YEAR]])</f>
        <v>Mizoram-2001</v>
      </c>
      <c r="D198">
        <v>0</v>
      </c>
      <c r="E198">
        <v>131</v>
      </c>
      <c r="F198">
        <v>0</v>
      </c>
      <c r="G198">
        <v>0</v>
      </c>
      <c r="H198">
        <f>_xlfn.XLOOKUP(Table1[[#This Row],[Key]],policseStrength!C:C,policseStrength!R:R)</f>
        <v>7380</v>
      </c>
      <c r="I198">
        <f>IF(ISNA(Table1[[#This Row],[total_ps]]), _xlfn.AGGREGATE(1, 6, Table1[total_ps]), Table1[[#This Row],[total_ps]])</f>
        <v>7380</v>
      </c>
      <c r="J198">
        <f>_xlfn.XLOOKUP(Table1[[#This Row],[Key]],Recidivism!C:C,Recidivism!D:D)</f>
        <v>1844</v>
      </c>
      <c r="K198">
        <f>IF(ISNA(Table1[[#This Row],[convicts_admitted_raw]]), _xlfn.AGGREGATE(1, 6, Table1[convicts_admitted_raw]), Table1[[#This Row],[convicts_admitted_raw]])</f>
        <v>1844</v>
      </c>
      <c r="L198">
        <f>_xlfn.XLOOKUP(Table1[[#This Row],[Key]],Recidivism!C:C,Recidivism!E:E)</f>
        <v>460</v>
      </c>
      <c r="M198">
        <f>IF(ISNA(Table1[[#This Row],[habitual_offenders]]), _xlfn.AGGREGATE(1, 6, Table1[habitual_offenders]), Table1[[#This Row],[habitual_offenders]])</f>
        <v>460</v>
      </c>
      <c r="N198">
        <f>_xlfn.XLOOKUP(Table1[[#This Row],[Key]],Vocational!C:C,Vocational!E:E)</f>
        <v>40</v>
      </c>
      <c r="O198">
        <f>IF(ISNA(Table1[[#This Row],[vocational_count]]), _xlfn.AGGREGATE(1, 6,Table1[vocational_count]), Table1[[#This Row],[vocational_count]])</f>
        <v>40</v>
      </c>
    </row>
    <row r="199" spans="1:15" x14ac:dyDescent="0.3">
      <c r="A199" t="s">
        <v>23</v>
      </c>
      <c r="B199">
        <v>2002</v>
      </c>
      <c r="C199" t="str">
        <f>_xlfn.CONCAT(Table1[[#This Row],[STATE]],"-",Table1[[#This Row],[YEAR]])</f>
        <v>Mizoram-2002</v>
      </c>
      <c r="D199">
        <v>0</v>
      </c>
      <c r="E199">
        <v>135</v>
      </c>
      <c r="F199">
        <v>0</v>
      </c>
      <c r="G199">
        <v>0</v>
      </c>
      <c r="H199">
        <f>_xlfn.XLOOKUP(Table1[[#This Row],[Key]],policseStrength!C:C,policseStrength!R:R)</f>
        <v>3532</v>
      </c>
      <c r="I199">
        <f>IF(ISNA(Table1[[#This Row],[total_ps]]), _xlfn.AGGREGATE(1, 6, Table1[total_ps]), Table1[[#This Row],[total_ps]])</f>
        <v>3532</v>
      </c>
      <c r="J199">
        <f>_xlfn.XLOOKUP(Table1[[#This Row],[Key]],Recidivism!C:C,Recidivism!D:D)</f>
        <v>102</v>
      </c>
      <c r="K199">
        <f>IF(ISNA(Table1[[#This Row],[convicts_admitted_raw]]), _xlfn.AGGREGATE(1, 6, Table1[convicts_admitted_raw]), Table1[[#This Row],[convicts_admitted_raw]])</f>
        <v>102</v>
      </c>
      <c r="L199">
        <f>_xlfn.XLOOKUP(Table1[[#This Row],[Key]],Recidivism!C:C,Recidivism!E:E)</f>
        <v>25</v>
      </c>
      <c r="M199">
        <f>IF(ISNA(Table1[[#This Row],[habitual_offenders]]), _xlfn.AGGREGATE(1, 6, Table1[habitual_offenders]), Table1[[#This Row],[habitual_offenders]])</f>
        <v>25</v>
      </c>
      <c r="N199">
        <f>_xlfn.XLOOKUP(Table1[[#This Row],[Key]],Vocational!C:C,Vocational!E:E)</f>
        <v>45</v>
      </c>
      <c r="O199">
        <f>IF(ISNA(Table1[[#This Row],[vocational_count]]), _xlfn.AGGREGATE(1, 6,Table1[vocational_count]), Table1[[#This Row],[vocational_count]])</f>
        <v>45</v>
      </c>
    </row>
    <row r="200" spans="1:15" x14ac:dyDescent="0.3">
      <c r="A200" t="s">
        <v>23</v>
      </c>
      <c r="B200">
        <v>2003</v>
      </c>
      <c r="C200" t="str">
        <f>_xlfn.CONCAT(Table1[[#This Row],[STATE]],"-",Table1[[#This Row],[YEAR]])</f>
        <v>Mizoram-2003</v>
      </c>
      <c r="D200">
        <v>0</v>
      </c>
      <c r="E200">
        <v>53</v>
      </c>
      <c r="F200">
        <v>0</v>
      </c>
      <c r="G200">
        <v>0</v>
      </c>
      <c r="H200">
        <f>_xlfn.XLOOKUP(Table1[[#This Row],[Key]],policseStrength!C:C,policseStrength!R:R)</f>
        <v>8290</v>
      </c>
      <c r="I200">
        <f>IF(ISNA(Table1[[#This Row],[total_ps]]), _xlfn.AGGREGATE(1, 6, Table1[total_ps]), Table1[[#This Row],[total_ps]])</f>
        <v>8290</v>
      </c>
      <c r="J200">
        <f>_xlfn.XLOOKUP(Table1[[#This Row],[Key]],Recidivism!C:C,Recidivism!D:D)</f>
        <v>4003</v>
      </c>
      <c r="K200">
        <f>IF(ISNA(Table1[[#This Row],[convicts_admitted_raw]]), _xlfn.AGGREGATE(1, 6, Table1[convicts_admitted_raw]), Table1[[#This Row],[convicts_admitted_raw]])</f>
        <v>4003</v>
      </c>
      <c r="L200">
        <f>_xlfn.XLOOKUP(Table1[[#This Row],[Key]],Recidivism!C:C,Recidivism!E:E)</f>
        <v>1275</v>
      </c>
      <c r="M200">
        <f>IF(ISNA(Table1[[#This Row],[habitual_offenders]]), _xlfn.AGGREGATE(1, 6, Table1[habitual_offenders]), Table1[[#This Row],[habitual_offenders]])</f>
        <v>1275</v>
      </c>
      <c r="N200">
        <f>_xlfn.XLOOKUP(Table1[[#This Row],[Key]],Vocational!C:C,Vocational!E:E)</f>
        <v>15</v>
      </c>
      <c r="O200">
        <f>IF(ISNA(Table1[[#This Row],[vocational_count]]), _xlfn.AGGREGATE(1, 6,Table1[vocational_count]), Table1[[#This Row],[vocational_count]])</f>
        <v>15</v>
      </c>
    </row>
    <row r="201" spans="1:15" x14ac:dyDescent="0.3">
      <c r="A201" t="s">
        <v>23</v>
      </c>
      <c r="B201">
        <v>2004</v>
      </c>
      <c r="C201" t="str">
        <f>_xlfn.CONCAT(Table1[[#This Row],[STATE]],"-",Table1[[#This Row],[YEAR]])</f>
        <v>Mizoram-2004</v>
      </c>
      <c r="D201">
        <v>0</v>
      </c>
      <c r="E201">
        <v>24</v>
      </c>
      <c r="F201">
        <v>0</v>
      </c>
      <c r="G201">
        <v>0</v>
      </c>
      <c r="H201">
        <f>_xlfn.XLOOKUP(Table1[[#This Row],[Key]],policseStrength!C:C,policseStrength!R:R)</f>
        <v>8290</v>
      </c>
      <c r="I201">
        <f>IF(ISNA(Table1[[#This Row],[total_ps]]), _xlfn.AGGREGATE(1, 6, Table1[total_ps]), Table1[[#This Row],[total_ps]])</f>
        <v>8290</v>
      </c>
      <c r="J201">
        <f>_xlfn.XLOOKUP(Table1[[#This Row],[Key]],Recidivism!C:C,Recidivism!D:D)</f>
        <v>4208</v>
      </c>
      <c r="K201">
        <f>IF(ISNA(Table1[[#This Row],[convicts_admitted_raw]]), _xlfn.AGGREGATE(1, 6, Table1[convicts_admitted_raw]), Table1[[#This Row],[convicts_admitted_raw]])</f>
        <v>4208</v>
      </c>
      <c r="L201">
        <f>_xlfn.XLOOKUP(Table1[[#This Row],[Key]],Recidivism!C:C,Recidivism!E:E)</f>
        <v>981</v>
      </c>
      <c r="M201">
        <f>IF(ISNA(Table1[[#This Row],[habitual_offenders]]), _xlfn.AGGREGATE(1, 6, Table1[habitual_offenders]), Table1[[#This Row],[habitual_offenders]])</f>
        <v>981</v>
      </c>
      <c r="N201">
        <f>_xlfn.XLOOKUP(Table1[[#This Row],[Key]],Vocational!C:C,Vocational!E:E)</f>
        <v>30</v>
      </c>
      <c r="O201">
        <f>IF(ISNA(Table1[[#This Row],[vocational_count]]), _xlfn.AGGREGATE(1, 6,Table1[vocational_count]), Table1[[#This Row],[vocational_count]])</f>
        <v>30</v>
      </c>
    </row>
    <row r="202" spans="1:15" x14ac:dyDescent="0.3">
      <c r="A202" t="s">
        <v>23</v>
      </c>
      <c r="B202">
        <v>2005</v>
      </c>
      <c r="C202" t="str">
        <f>_xlfn.CONCAT(Table1[[#This Row],[STATE]],"-",Table1[[#This Row],[YEAR]])</f>
        <v>Mizoram-2005</v>
      </c>
      <c r="D202">
        <v>0</v>
      </c>
      <c r="E202">
        <v>109</v>
      </c>
      <c r="F202">
        <v>0</v>
      </c>
      <c r="G202">
        <v>0</v>
      </c>
      <c r="H202">
        <f>_xlfn.XLOOKUP(Table1[[#This Row],[Key]],policseStrength!C:C,policseStrength!R:R)</f>
        <v>8952</v>
      </c>
      <c r="I202">
        <f>IF(ISNA(Table1[[#This Row],[total_ps]]), _xlfn.AGGREGATE(1, 6, Table1[total_ps]), Table1[[#This Row],[total_ps]])</f>
        <v>8952</v>
      </c>
      <c r="J202">
        <f>_xlfn.XLOOKUP(Table1[[#This Row],[Key]],Recidivism!C:C,Recidivism!D:D)</f>
        <v>3205</v>
      </c>
      <c r="K202">
        <f>IF(ISNA(Table1[[#This Row],[convicts_admitted_raw]]), _xlfn.AGGREGATE(1, 6, Table1[convicts_admitted_raw]), Table1[[#This Row],[convicts_admitted_raw]])</f>
        <v>3205</v>
      </c>
      <c r="L202">
        <f>_xlfn.XLOOKUP(Table1[[#This Row],[Key]],Recidivism!C:C,Recidivism!E:E)</f>
        <v>840</v>
      </c>
      <c r="M202">
        <f>IF(ISNA(Table1[[#This Row],[habitual_offenders]]), _xlfn.AGGREGATE(1, 6, Table1[habitual_offenders]), Table1[[#This Row],[habitual_offenders]])</f>
        <v>840</v>
      </c>
      <c r="N202">
        <f>_xlfn.XLOOKUP(Table1[[#This Row],[Key]],Vocational!C:C,Vocational!E:E)</f>
        <v>12</v>
      </c>
      <c r="O202">
        <f>IF(ISNA(Table1[[#This Row],[vocational_count]]), _xlfn.AGGREGATE(1, 6,Table1[vocational_count]), Table1[[#This Row],[vocational_count]])</f>
        <v>12</v>
      </c>
    </row>
    <row r="203" spans="1:15" x14ac:dyDescent="0.3">
      <c r="A203" t="s">
        <v>23</v>
      </c>
      <c r="B203">
        <v>2006</v>
      </c>
      <c r="C203" t="str">
        <f>_xlfn.CONCAT(Table1[[#This Row],[STATE]],"-",Table1[[#This Row],[YEAR]])</f>
        <v>Mizoram-2006</v>
      </c>
      <c r="D203">
        <v>0</v>
      </c>
      <c r="E203">
        <v>35</v>
      </c>
      <c r="F203">
        <v>0</v>
      </c>
      <c r="G203">
        <v>0</v>
      </c>
      <c r="H203">
        <f>_xlfn.XLOOKUP(Table1[[#This Row],[Key]],policseStrength!C:C,policseStrength!R:R)</f>
        <v>8832</v>
      </c>
      <c r="I203">
        <f>IF(ISNA(Table1[[#This Row],[total_ps]]), _xlfn.AGGREGATE(1, 6, Table1[total_ps]), Table1[[#This Row],[total_ps]])</f>
        <v>8832</v>
      </c>
      <c r="J203">
        <f>_xlfn.XLOOKUP(Table1[[#This Row],[Key]],Recidivism!C:C,Recidivism!D:D)</f>
        <v>2556</v>
      </c>
      <c r="K203">
        <f>IF(ISNA(Table1[[#This Row],[convicts_admitted_raw]]), _xlfn.AGGREGATE(1, 6, Table1[convicts_admitted_raw]), Table1[[#This Row],[convicts_admitted_raw]])</f>
        <v>2556</v>
      </c>
      <c r="L203">
        <f>_xlfn.XLOOKUP(Table1[[#This Row],[Key]],Recidivism!C:C,Recidivism!E:E)</f>
        <v>673</v>
      </c>
      <c r="M203">
        <f>IF(ISNA(Table1[[#This Row],[habitual_offenders]]), _xlfn.AGGREGATE(1, 6, Table1[habitual_offenders]), Table1[[#This Row],[habitual_offenders]])</f>
        <v>673</v>
      </c>
      <c r="N203">
        <f>_xlfn.XLOOKUP(Table1[[#This Row],[Key]],Vocational!C:C,Vocational!E:E)</f>
        <v>10</v>
      </c>
      <c r="O203">
        <f>IF(ISNA(Table1[[#This Row],[vocational_count]]), _xlfn.AGGREGATE(1, 6,Table1[vocational_count]), Table1[[#This Row],[vocational_count]])</f>
        <v>10</v>
      </c>
    </row>
    <row r="204" spans="1:15" x14ac:dyDescent="0.3">
      <c r="A204" t="s">
        <v>23</v>
      </c>
      <c r="B204">
        <v>2007</v>
      </c>
      <c r="C204" t="str">
        <f>_xlfn.CONCAT(Table1[[#This Row],[STATE]],"-",Table1[[#This Row],[YEAR]])</f>
        <v>Mizoram-2007</v>
      </c>
      <c r="D204">
        <v>0</v>
      </c>
      <c r="E204">
        <v>30</v>
      </c>
      <c r="F204">
        <v>0</v>
      </c>
      <c r="G204">
        <v>0</v>
      </c>
      <c r="H204">
        <f>_xlfn.XLOOKUP(Table1[[#This Row],[Key]],policseStrength!C:C,policseStrength!R:R)</f>
        <v>8634</v>
      </c>
      <c r="I204">
        <f>IF(ISNA(Table1[[#This Row],[total_ps]]), _xlfn.AGGREGATE(1, 6, Table1[total_ps]), Table1[[#This Row],[total_ps]])</f>
        <v>8634</v>
      </c>
      <c r="J204">
        <f>_xlfn.XLOOKUP(Table1[[#This Row],[Key]],Recidivism!C:C,Recidivism!D:D)</f>
        <v>2127</v>
      </c>
      <c r="K204">
        <f>IF(ISNA(Table1[[#This Row],[convicts_admitted_raw]]), _xlfn.AGGREGATE(1, 6, Table1[convicts_admitted_raw]), Table1[[#This Row],[convicts_admitted_raw]])</f>
        <v>2127</v>
      </c>
      <c r="L204">
        <f>_xlfn.XLOOKUP(Table1[[#This Row],[Key]],Recidivism!C:C,Recidivism!E:E)</f>
        <v>396</v>
      </c>
      <c r="M204">
        <f>IF(ISNA(Table1[[#This Row],[habitual_offenders]]), _xlfn.AGGREGATE(1, 6, Table1[habitual_offenders]), Table1[[#This Row],[habitual_offenders]])</f>
        <v>396</v>
      </c>
      <c r="N204">
        <f>_xlfn.XLOOKUP(Table1[[#This Row],[Key]],Vocational!C:C,Vocational!E:E)</f>
        <v>13</v>
      </c>
      <c r="O204">
        <f>IF(ISNA(Table1[[#This Row],[vocational_count]]), _xlfn.AGGREGATE(1, 6,Table1[vocational_count]), Table1[[#This Row],[vocational_count]])</f>
        <v>13</v>
      </c>
    </row>
    <row r="205" spans="1:15" x14ac:dyDescent="0.3">
      <c r="A205" t="s">
        <v>23</v>
      </c>
      <c r="B205">
        <v>2008</v>
      </c>
      <c r="C205" t="str">
        <f>_xlfn.CONCAT(Table1[[#This Row],[STATE]],"-",Table1[[#This Row],[YEAR]])</f>
        <v>Mizoram-2008</v>
      </c>
      <c r="D205">
        <v>5</v>
      </c>
      <c r="E205">
        <v>6</v>
      </c>
      <c r="F205">
        <v>6</v>
      </c>
      <c r="G205">
        <v>0</v>
      </c>
      <c r="H205">
        <f>_xlfn.XLOOKUP(Table1[[#This Row],[Key]],policseStrength!C:C,policseStrength!R:R)</f>
        <v>12690</v>
      </c>
      <c r="I205">
        <f>IF(ISNA(Table1[[#This Row],[total_ps]]), _xlfn.AGGREGATE(1, 6, Table1[total_ps]), Table1[[#This Row],[total_ps]])</f>
        <v>12690</v>
      </c>
      <c r="J205">
        <f>_xlfn.XLOOKUP(Table1[[#This Row],[Key]],Recidivism!C:C,Recidivism!D:D)</f>
        <v>2799</v>
      </c>
      <c r="K205">
        <f>IF(ISNA(Table1[[#This Row],[convicts_admitted_raw]]), _xlfn.AGGREGATE(1, 6, Table1[convicts_admitted_raw]), Table1[[#This Row],[convicts_admitted_raw]])</f>
        <v>2799</v>
      </c>
      <c r="L205">
        <f>_xlfn.XLOOKUP(Table1[[#This Row],[Key]],Recidivism!C:C,Recidivism!E:E)</f>
        <v>546</v>
      </c>
      <c r="M205">
        <f>IF(ISNA(Table1[[#This Row],[habitual_offenders]]), _xlfn.AGGREGATE(1, 6, Table1[habitual_offenders]), Table1[[#This Row],[habitual_offenders]])</f>
        <v>546</v>
      </c>
      <c r="N205">
        <f>_xlfn.XLOOKUP(Table1[[#This Row],[Key]],Vocational!C:C,Vocational!E:E)</f>
        <v>15</v>
      </c>
      <c r="O205">
        <f>IF(ISNA(Table1[[#This Row],[vocational_count]]), _xlfn.AGGREGATE(1, 6,Table1[vocational_count]), Table1[[#This Row],[vocational_count]])</f>
        <v>15</v>
      </c>
    </row>
    <row r="206" spans="1:15" x14ac:dyDescent="0.3">
      <c r="A206" t="s">
        <v>23</v>
      </c>
      <c r="B206">
        <v>2009</v>
      </c>
      <c r="C206" t="str">
        <f>_xlfn.CONCAT(Table1[[#This Row],[STATE]],"-",Table1[[#This Row],[YEAR]])</f>
        <v>Mizoram-2009</v>
      </c>
      <c r="D206">
        <v>4</v>
      </c>
      <c r="E206">
        <v>0</v>
      </c>
      <c r="F206">
        <v>0</v>
      </c>
      <c r="G206">
        <v>0</v>
      </c>
      <c r="H206">
        <f>_xlfn.XLOOKUP(Table1[[#This Row],[Key]],policseStrength!C:C,policseStrength!R:R)</f>
        <v>14760</v>
      </c>
      <c r="I206">
        <f>IF(ISNA(Table1[[#This Row],[total_ps]]), _xlfn.AGGREGATE(1, 6, Table1[total_ps]), Table1[[#This Row],[total_ps]])</f>
        <v>14760</v>
      </c>
      <c r="J206">
        <f>_xlfn.XLOOKUP(Table1[[#This Row],[Key]],Recidivism!C:C,Recidivism!D:D)</f>
        <v>2805</v>
      </c>
      <c r="K206">
        <f>IF(ISNA(Table1[[#This Row],[convicts_admitted_raw]]), _xlfn.AGGREGATE(1, 6, Table1[convicts_admitted_raw]), Table1[[#This Row],[convicts_admitted_raw]])</f>
        <v>2805</v>
      </c>
      <c r="L206">
        <f>_xlfn.XLOOKUP(Table1[[#This Row],[Key]],Recidivism!C:C,Recidivism!E:E)</f>
        <v>321</v>
      </c>
      <c r="M206">
        <f>IF(ISNA(Table1[[#This Row],[habitual_offenders]]), _xlfn.AGGREGATE(1, 6, Table1[habitual_offenders]), Table1[[#This Row],[habitual_offenders]])</f>
        <v>321</v>
      </c>
      <c r="N206">
        <f>_xlfn.XLOOKUP(Table1[[#This Row],[Key]],Vocational!C:C,Vocational!E:E)</f>
        <v>25</v>
      </c>
      <c r="O206">
        <f>IF(ISNA(Table1[[#This Row],[vocational_count]]), _xlfn.AGGREGATE(1, 6,Table1[vocational_count]), Table1[[#This Row],[vocational_count]])</f>
        <v>25</v>
      </c>
    </row>
    <row r="207" spans="1:15" x14ac:dyDescent="0.3">
      <c r="A207" t="s">
        <v>23</v>
      </c>
      <c r="B207">
        <v>2010</v>
      </c>
      <c r="C207" t="str">
        <f>_xlfn.CONCAT(Table1[[#This Row],[STATE]],"-",Table1[[#This Row],[YEAR]])</f>
        <v>Mizoram-2010</v>
      </c>
      <c r="D207">
        <v>0</v>
      </c>
      <c r="E207">
        <v>65</v>
      </c>
      <c r="F207">
        <v>0</v>
      </c>
      <c r="G207">
        <v>0</v>
      </c>
      <c r="H207">
        <f>_xlfn.XLOOKUP(Table1[[#This Row],[Key]],policseStrength!C:C,policseStrength!R:R)</f>
        <v>14342</v>
      </c>
      <c r="I207">
        <f>IF(ISNA(Table1[[#This Row],[total_ps]]), _xlfn.AGGREGATE(1, 6, Table1[total_ps]), Table1[[#This Row],[total_ps]])</f>
        <v>14342</v>
      </c>
      <c r="J207">
        <f>_xlfn.XLOOKUP(Table1[[#This Row],[Key]],Recidivism!C:C,Recidivism!D:D)</f>
        <v>2278</v>
      </c>
      <c r="K207">
        <f>IF(ISNA(Table1[[#This Row],[convicts_admitted_raw]]), _xlfn.AGGREGATE(1, 6, Table1[convicts_admitted_raw]), Table1[[#This Row],[convicts_admitted_raw]])</f>
        <v>2278</v>
      </c>
      <c r="L207">
        <f>_xlfn.XLOOKUP(Table1[[#This Row],[Key]],Recidivism!C:C,Recidivism!E:E)</f>
        <v>169</v>
      </c>
      <c r="M207">
        <f>IF(ISNA(Table1[[#This Row],[habitual_offenders]]), _xlfn.AGGREGATE(1, 6, Table1[habitual_offenders]), Table1[[#This Row],[habitual_offenders]])</f>
        <v>169</v>
      </c>
      <c r="N207">
        <f>_xlfn.XLOOKUP(Table1[[#This Row],[Key]],Vocational!C:C,Vocational!E:E)</f>
        <v>25</v>
      </c>
      <c r="O207">
        <f>IF(ISNA(Table1[[#This Row],[vocational_count]]), _xlfn.AGGREGATE(1, 6,Table1[vocational_count]), Table1[[#This Row],[vocational_count]])</f>
        <v>25</v>
      </c>
    </row>
    <row r="208" spans="1:15" x14ac:dyDescent="0.3">
      <c r="A208" t="s">
        <v>23</v>
      </c>
      <c r="B208">
        <v>2011</v>
      </c>
      <c r="C208" t="str">
        <f>_xlfn.CONCAT(Table1[[#This Row],[STATE]],"-",Table1[[#This Row],[YEAR]])</f>
        <v>Mizoram-2011</v>
      </c>
      <c r="D208">
        <v>0</v>
      </c>
      <c r="E208">
        <v>40</v>
      </c>
      <c r="F208">
        <v>4</v>
      </c>
      <c r="G208">
        <v>0</v>
      </c>
      <c r="H208" t="e">
        <f>_xlfn.XLOOKUP(Table1[[#This Row],[Key]],policseStrength!C:C,policseStrength!R:R)</f>
        <v>#N/A</v>
      </c>
      <c r="I208">
        <f>IF(ISNA(Table1[[#This Row],[total_ps]]), _xlfn.AGGREGATE(1, 6, Table1[total_ps]), Table1[[#This Row],[total_ps]])</f>
        <v>20128.370106761566</v>
      </c>
      <c r="J208">
        <f>_xlfn.XLOOKUP(Table1[[#This Row],[Key]],Recidivism!C:C,Recidivism!D:D)</f>
        <v>1884</v>
      </c>
      <c r="K208">
        <f>IF(ISNA(Table1[[#This Row],[convicts_admitted_raw]]), _xlfn.AGGREGATE(1, 6, Table1[convicts_admitted_raw]), Table1[[#This Row],[convicts_admitted_raw]])</f>
        <v>1884</v>
      </c>
      <c r="L208">
        <f>_xlfn.XLOOKUP(Table1[[#This Row],[Key]],Recidivism!C:C,Recidivism!E:E)</f>
        <v>155</v>
      </c>
      <c r="M208">
        <f>IF(ISNA(Table1[[#This Row],[habitual_offenders]]), _xlfn.AGGREGATE(1, 6, Table1[habitual_offenders]), Table1[[#This Row],[habitual_offenders]])</f>
        <v>155</v>
      </c>
      <c r="N208">
        <f>_xlfn.XLOOKUP(Table1[[#This Row],[Key]],Vocational!C:C,Vocational!E:E)</f>
        <v>25</v>
      </c>
      <c r="O208">
        <f>IF(ISNA(Table1[[#This Row],[vocational_count]]), _xlfn.AGGREGATE(1, 6,Table1[vocational_count]), Table1[[#This Row],[vocational_count]])</f>
        <v>25</v>
      </c>
    </row>
    <row r="209" spans="1:15" x14ac:dyDescent="0.3">
      <c r="A209" t="s">
        <v>23</v>
      </c>
      <c r="B209">
        <v>2012</v>
      </c>
      <c r="C209" t="str">
        <f>_xlfn.CONCAT(Table1[[#This Row],[STATE]],"-",Table1[[#This Row],[YEAR]])</f>
        <v>Mizoram-2012</v>
      </c>
      <c r="D209">
        <v>0</v>
      </c>
      <c r="E209">
        <v>20</v>
      </c>
      <c r="F209">
        <v>0</v>
      </c>
      <c r="G209">
        <v>0</v>
      </c>
      <c r="H209" t="e">
        <f>_xlfn.XLOOKUP(Table1[[#This Row],[Key]],policseStrength!C:C,policseStrength!R:R)</f>
        <v>#N/A</v>
      </c>
      <c r="I209">
        <f>IF(ISNA(Table1[[#This Row],[total_ps]]), _xlfn.AGGREGATE(1, 6, Table1[total_ps]), Table1[[#This Row],[total_ps]])</f>
        <v>20128.370106761566</v>
      </c>
      <c r="J209">
        <f>_xlfn.XLOOKUP(Table1[[#This Row],[Key]],Recidivism!C:C,Recidivism!D:D)</f>
        <v>2122</v>
      </c>
      <c r="K209">
        <f>IF(ISNA(Table1[[#This Row],[convicts_admitted_raw]]), _xlfn.AGGREGATE(1, 6, Table1[convicts_admitted_raw]), Table1[[#This Row],[convicts_admitted_raw]])</f>
        <v>2122</v>
      </c>
      <c r="L209">
        <f>_xlfn.XLOOKUP(Table1[[#This Row],[Key]],Recidivism!C:C,Recidivism!E:E)</f>
        <v>218</v>
      </c>
      <c r="M209">
        <f>IF(ISNA(Table1[[#This Row],[habitual_offenders]]), _xlfn.AGGREGATE(1, 6, Table1[habitual_offenders]), Table1[[#This Row],[habitual_offenders]])</f>
        <v>218</v>
      </c>
      <c r="N209">
        <f>_xlfn.XLOOKUP(Table1[[#This Row],[Key]],Vocational!C:C,Vocational!E:E)</f>
        <v>30</v>
      </c>
      <c r="O209">
        <f>IF(ISNA(Table1[[#This Row],[vocational_count]]), _xlfn.AGGREGATE(1, 6,Table1[vocational_count]), Table1[[#This Row],[vocational_count]])</f>
        <v>30</v>
      </c>
    </row>
    <row r="210" spans="1:15" x14ac:dyDescent="0.3">
      <c r="A210" t="s">
        <v>24</v>
      </c>
      <c r="B210">
        <v>2001</v>
      </c>
      <c r="C210" t="str">
        <f>_xlfn.CONCAT(Table1[[#This Row],[STATE]],"-",Table1[[#This Row],[YEAR]])</f>
        <v>Nagaland-2001</v>
      </c>
      <c r="D210">
        <v>0</v>
      </c>
      <c r="E210">
        <v>0</v>
      </c>
      <c r="F210">
        <v>0</v>
      </c>
      <c r="G210">
        <v>0</v>
      </c>
      <c r="H210">
        <f>_xlfn.XLOOKUP(Table1[[#This Row],[Key]],policseStrength!C:C,policseStrength!R:R)</f>
        <v>13192</v>
      </c>
      <c r="I210">
        <f>IF(ISNA(Table1[[#This Row],[total_ps]]), _xlfn.AGGREGATE(1, 6, Table1[total_ps]), Table1[[#This Row],[total_ps]])</f>
        <v>13192</v>
      </c>
      <c r="J210">
        <f>_xlfn.XLOOKUP(Table1[[#This Row],[Key]],Recidivism!C:C,Recidivism!D:D)</f>
        <v>8</v>
      </c>
      <c r="K210">
        <f>IF(ISNA(Table1[[#This Row],[convicts_admitted_raw]]), _xlfn.AGGREGATE(1, 6, Table1[convicts_admitted_raw]), Table1[[#This Row],[convicts_admitted_raw]])</f>
        <v>8</v>
      </c>
      <c r="L210">
        <f>_xlfn.XLOOKUP(Table1[[#This Row],[Key]],Recidivism!C:C,Recidivism!E:E)</f>
        <v>1</v>
      </c>
      <c r="M210">
        <f>IF(ISNA(Table1[[#This Row],[habitual_offenders]]), _xlfn.AGGREGATE(1, 6, Table1[habitual_offenders]), Table1[[#This Row],[habitual_offenders]])</f>
        <v>1</v>
      </c>
      <c r="N210" t="e">
        <f>_xlfn.XLOOKUP(Table1[[#This Row],[Key]],Vocational!C:C,Vocational!E:E)</f>
        <v>#N/A</v>
      </c>
      <c r="O210">
        <f>IF(ISNA(Table1[[#This Row],[vocational_count]]), _xlfn.AGGREGATE(1, 6,Table1[vocational_count]), Table1[[#This Row],[vocational_count]])</f>
        <v>249.28426395939087</v>
      </c>
    </row>
    <row r="211" spans="1:15" x14ac:dyDescent="0.3">
      <c r="A211" t="s">
        <v>24</v>
      </c>
      <c r="B211">
        <v>2002</v>
      </c>
      <c r="C211" t="str">
        <f>_xlfn.CONCAT(Table1[[#This Row],[STATE]],"-",Table1[[#This Row],[YEAR]])</f>
        <v>Nagaland-2002</v>
      </c>
      <c r="D211">
        <v>0</v>
      </c>
      <c r="E211">
        <v>0</v>
      </c>
      <c r="F211">
        <v>0</v>
      </c>
      <c r="G211">
        <v>0</v>
      </c>
      <c r="H211">
        <f>_xlfn.XLOOKUP(Table1[[#This Row],[Key]],policseStrength!C:C,policseStrength!R:R)</f>
        <v>11946</v>
      </c>
      <c r="I211">
        <f>IF(ISNA(Table1[[#This Row],[total_ps]]), _xlfn.AGGREGATE(1, 6, Table1[total_ps]), Table1[[#This Row],[total_ps]])</f>
        <v>11946</v>
      </c>
      <c r="J211">
        <f>_xlfn.XLOOKUP(Table1[[#This Row],[Key]],Recidivism!C:C,Recidivism!D:D)</f>
        <v>17</v>
      </c>
      <c r="K211">
        <f>IF(ISNA(Table1[[#This Row],[convicts_admitted_raw]]), _xlfn.AGGREGATE(1, 6, Table1[convicts_admitted_raw]), Table1[[#This Row],[convicts_admitted_raw]])</f>
        <v>17</v>
      </c>
      <c r="L211">
        <f>_xlfn.XLOOKUP(Table1[[#This Row],[Key]],Recidivism!C:C,Recidivism!E:E)</f>
        <v>0</v>
      </c>
      <c r="M211">
        <f>IF(ISNA(Table1[[#This Row],[habitual_offenders]]), _xlfn.AGGREGATE(1, 6, Table1[habitual_offenders]), Table1[[#This Row],[habitual_offenders]])</f>
        <v>0</v>
      </c>
      <c r="N211" t="e">
        <f>_xlfn.XLOOKUP(Table1[[#This Row],[Key]],Vocational!C:C,Vocational!E:E)</f>
        <v>#N/A</v>
      </c>
      <c r="O211">
        <f>IF(ISNA(Table1[[#This Row],[vocational_count]]), _xlfn.AGGREGATE(1, 6,Table1[vocational_count]), Table1[[#This Row],[vocational_count]])</f>
        <v>249.28426395939087</v>
      </c>
    </row>
    <row r="212" spans="1:15" x14ac:dyDescent="0.3">
      <c r="A212" t="s">
        <v>24</v>
      </c>
      <c r="B212">
        <v>2003</v>
      </c>
      <c r="C212" t="str">
        <f>_xlfn.CONCAT(Table1[[#This Row],[STATE]],"-",Table1[[#This Row],[YEAR]])</f>
        <v>Nagaland-2003</v>
      </c>
      <c r="D212">
        <v>0</v>
      </c>
      <c r="E212">
        <v>0</v>
      </c>
      <c r="F212">
        <v>0</v>
      </c>
      <c r="G212">
        <v>0</v>
      </c>
      <c r="H212">
        <f>_xlfn.XLOOKUP(Table1[[#This Row],[Key]],policseStrength!C:C,policseStrength!R:R)</f>
        <v>11970</v>
      </c>
      <c r="I212">
        <f>IF(ISNA(Table1[[#This Row],[total_ps]]), _xlfn.AGGREGATE(1, 6, Table1[total_ps]), Table1[[#This Row],[total_ps]])</f>
        <v>11970</v>
      </c>
      <c r="J212">
        <f>_xlfn.XLOOKUP(Table1[[#This Row],[Key]],Recidivism!C:C,Recidivism!D:D)</f>
        <v>15</v>
      </c>
      <c r="K212">
        <f>IF(ISNA(Table1[[#This Row],[convicts_admitted_raw]]), _xlfn.AGGREGATE(1, 6, Table1[convicts_admitted_raw]), Table1[[#This Row],[convicts_admitted_raw]])</f>
        <v>15</v>
      </c>
      <c r="L212">
        <f>_xlfn.XLOOKUP(Table1[[#This Row],[Key]],Recidivism!C:C,Recidivism!E:E)</f>
        <v>0</v>
      </c>
      <c r="M212">
        <f>IF(ISNA(Table1[[#This Row],[habitual_offenders]]), _xlfn.AGGREGATE(1, 6, Table1[habitual_offenders]), Table1[[#This Row],[habitual_offenders]])</f>
        <v>0</v>
      </c>
      <c r="N212" t="e">
        <f>_xlfn.XLOOKUP(Table1[[#This Row],[Key]],Vocational!C:C,Vocational!E:E)</f>
        <v>#N/A</v>
      </c>
      <c r="O212">
        <f>IF(ISNA(Table1[[#This Row],[vocational_count]]), _xlfn.AGGREGATE(1, 6,Table1[vocational_count]), Table1[[#This Row],[vocational_count]])</f>
        <v>249.28426395939087</v>
      </c>
    </row>
    <row r="213" spans="1:15" x14ac:dyDescent="0.3">
      <c r="A213" t="s">
        <v>24</v>
      </c>
      <c r="B213">
        <v>2004</v>
      </c>
      <c r="C213" t="str">
        <f>_xlfn.CONCAT(Table1[[#This Row],[STATE]],"-",Table1[[#This Row],[YEAR]])</f>
        <v>Nagaland-2004</v>
      </c>
      <c r="D213">
        <v>0</v>
      </c>
      <c r="E213">
        <v>0</v>
      </c>
      <c r="F213">
        <v>0</v>
      </c>
      <c r="G213">
        <v>0</v>
      </c>
      <c r="H213">
        <f>_xlfn.XLOOKUP(Table1[[#This Row],[Key]],policseStrength!C:C,policseStrength!R:R)</f>
        <v>12648</v>
      </c>
      <c r="I213">
        <f>IF(ISNA(Table1[[#This Row],[total_ps]]), _xlfn.AGGREGATE(1, 6, Table1[total_ps]), Table1[[#This Row],[total_ps]])</f>
        <v>12648</v>
      </c>
      <c r="J213">
        <f>_xlfn.XLOOKUP(Table1[[#This Row],[Key]],Recidivism!C:C,Recidivism!D:D)</f>
        <v>73</v>
      </c>
      <c r="K213">
        <f>IF(ISNA(Table1[[#This Row],[convicts_admitted_raw]]), _xlfn.AGGREGATE(1, 6, Table1[convicts_admitted_raw]), Table1[[#This Row],[convicts_admitted_raw]])</f>
        <v>73</v>
      </c>
      <c r="L213">
        <f>_xlfn.XLOOKUP(Table1[[#This Row],[Key]],Recidivism!C:C,Recidivism!E:E)</f>
        <v>0</v>
      </c>
      <c r="M213">
        <f>IF(ISNA(Table1[[#This Row],[habitual_offenders]]), _xlfn.AGGREGATE(1, 6, Table1[habitual_offenders]), Table1[[#This Row],[habitual_offenders]])</f>
        <v>0</v>
      </c>
      <c r="N213">
        <f>_xlfn.XLOOKUP(Table1[[#This Row],[Key]],Vocational!C:C,Vocational!E:E)</f>
        <v>123</v>
      </c>
      <c r="O213">
        <f>IF(ISNA(Table1[[#This Row],[vocational_count]]), _xlfn.AGGREGATE(1, 6,Table1[vocational_count]), Table1[[#This Row],[vocational_count]])</f>
        <v>123</v>
      </c>
    </row>
    <row r="214" spans="1:15" x14ac:dyDescent="0.3">
      <c r="A214" t="s">
        <v>24</v>
      </c>
      <c r="B214">
        <v>2005</v>
      </c>
      <c r="C214" t="str">
        <f>_xlfn.CONCAT(Table1[[#This Row],[STATE]],"-",Table1[[#This Row],[YEAR]])</f>
        <v>Nagaland-2005</v>
      </c>
      <c r="D214">
        <v>0</v>
      </c>
      <c r="E214">
        <v>0</v>
      </c>
      <c r="F214">
        <v>0</v>
      </c>
      <c r="G214">
        <v>0</v>
      </c>
      <c r="H214">
        <f>_xlfn.XLOOKUP(Table1[[#This Row],[Key]],policseStrength!C:C,policseStrength!R:R)</f>
        <v>12952</v>
      </c>
      <c r="I214">
        <f>IF(ISNA(Table1[[#This Row],[total_ps]]), _xlfn.AGGREGATE(1, 6, Table1[total_ps]), Table1[[#This Row],[total_ps]])</f>
        <v>12952</v>
      </c>
      <c r="J214">
        <f>_xlfn.XLOOKUP(Table1[[#This Row],[Key]],Recidivism!C:C,Recidivism!D:D)</f>
        <v>44</v>
      </c>
      <c r="K214">
        <f>IF(ISNA(Table1[[#This Row],[convicts_admitted_raw]]), _xlfn.AGGREGATE(1, 6, Table1[convicts_admitted_raw]), Table1[[#This Row],[convicts_admitted_raw]])</f>
        <v>44</v>
      </c>
      <c r="L214">
        <f>_xlfn.XLOOKUP(Table1[[#This Row],[Key]],Recidivism!C:C,Recidivism!E:E)</f>
        <v>0</v>
      </c>
      <c r="M214">
        <f>IF(ISNA(Table1[[#This Row],[habitual_offenders]]), _xlfn.AGGREGATE(1, 6, Table1[habitual_offenders]), Table1[[#This Row],[habitual_offenders]])</f>
        <v>0</v>
      </c>
      <c r="N214">
        <f>_xlfn.XLOOKUP(Table1[[#This Row],[Key]],Vocational!C:C,Vocational!E:E)</f>
        <v>310</v>
      </c>
      <c r="O214">
        <f>IF(ISNA(Table1[[#This Row],[vocational_count]]), _xlfn.AGGREGATE(1, 6,Table1[vocational_count]), Table1[[#This Row],[vocational_count]])</f>
        <v>310</v>
      </c>
    </row>
    <row r="215" spans="1:15" x14ac:dyDescent="0.3">
      <c r="A215" t="s">
        <v>24</v>
      </c>
      <c r="B215">
        <v>2006</v>
      </c>
      <c r="C215" t="str">
        <f>_xlfn.CONCAT(Table1[[#This Row],[STATE]],"-",Table1[[#This Row],[YEAR]])</f>
        <v>Nagaland-2006</v>
      </c>
      <c r="D215">
        <v>0</v>
      </c>
      <c r="E215">
        <v>0</v>
      </c>
      <c r="F215">
        <v>0</v>
      </c>
      <c r="G215">
        <v>0</v>
      </c>
      <c r="H215">
        <f>_xlfn.XLOOKUP(Table1[[#This Row],[Key]],policseStrength!C:C,policseStrength!R:R)</f>
        <v>12900</v>
      </c>
      <c r="I215">
        <f>IF(ISNA(Table1[[#This Row],[total_ps]]), _xlfn.AGGREGATE(1, 6, Table1[total_ps]), Table1[[#This Row],[total_ps]])</f>
        <v>12900</v>
      </c>
      <c r="J215">
        <f>_xlfn.XLOOKUP(Table1[[#This Row],[Key]],Recidivism!C:C,Recidivism!D:D)</f>
        <v>12</v>
      </c>
      <c r="K215">
        <f>IF(ISNA(Table1[[#This Row],[convicts_admitted_raw]]), _xlfn.AGGREGATE(1, 6, Table1[convicts_admitted_raw]), Table1[[#This Row],[convicts_admitted_raw]])</f>
        <v>12</v>
      </c>
      <c r="L215">
        <f>_xlfn.XLOOKUP(Table1[[#This Row],[Key]],Recidivism!C:C,Recidivism!E:E)</f>
        <v>0</v>
      </c>
      <c r="M215">
        <f>IF(ISNA(Table1[[#This Row],[habitual_offenders]]), _xlfn.AGGREGATE(1, 6, Table1[habitual_offenders]), Table1[[#This Row],[habitual_offenders]])</f>
        <v>0</v>
      </c>
      <c r="N215" t="e">
        <f>_xlfn.XLOOKUP(Table1[[#This Row],[Key]],Vocational!C:C,Vocational!E:E)</f>
        <v>#N/A</v>
      </c>
      <c r="O215">
        <f>IF(ISNA(Table1[[#This Row],[vocational_count]]), _xlfn.AGGREGATE(1, 6,Table1[vocational_count]), Table1[[#This Row],[vocational_count]])</f>
        <v>249.28426395939087</v>
      </c>
    </row>
    <row r="216" spans="1:15" x14ac:dyDescent="0.3">
      <c r="A216" t="s">
        <v>24</v>
      </c>
      <c r="B216">
        <v>2007</v>
      </c>
      <c r="C216" t="str">
        <f>_xlfn.CONCAT(Table1[[#This Row],[STATE]],"-",Table1[[#This Row],[YEAR]])</f>
        <v>Nagaland-2007</v>
      </c>
      <c r="D216">
        <v>0</v>
      </c>
      <c r="E216">
        <v>0</v>
      </c>
      <c r="F216">
        <v>0</v>
      </c>
      <c r="G216">
        <v>0</v>
      </c>
      <c r="H216">
        <f>_xlfn.XLOOKUP(Table1[[#This Row],[Key]],policseStrength!C:C,policseStrength!R:R)</f>
        <v>9302</v>
      </c>
      <c r="I216">
        <f>IF(ISNA(Table1[[#This Row],[total_ps]]), _xlfn.AGGREGATE(1, 6, Table1[total_ps]), Table1[[#This Row],[total_ps]])</f>
        <v>9302</v>
      </c>
      <c r="J216">
        <f>_xlfn.XLOOKUP(Table1[[#This Row],[Key]],Recidivism!C:C,Recidivism!D:D)</f>
        <v>32</v>
      </c>
      <c r="K216">
        <f>IF(ISNA(Table1[[#This Row],[convicts_admitted_raw]]), _xlfn.AGGREGATE(1, 6, Table1[convicts_admitted_raw]), Table1[[#This Row],[convicts_admitted_raw]])</f>
        <v>32</v>
      </c>
      <c r="L216">
        <f>_xlfn.XLOOKUP(Table1[[#This Row],[Key]],Recidivism!C:C,Recidivism!E:E)</f>
        <v>23</v>
      </c>
      <c r="M216">
        <f>IF(ISNA(Table1[[#This Row],[habitual_offenders]]), _xlfn.AGGREGATE(1, 6, Table1[habitual_offenders]), Table1[[#This Row],[habitual_offenders]])</f>
        <v>23</v>
      </c>
      <c r="N216">
        <f>_xlfn.XLOOKUP(Table1[[#This Row],[Key]],Vocational!C:C,Vocational!E:E)</f>
        <v>121</v>
      </c>
      <c r="O216">
        <f>IF(ISNA(Table1[[#This Row],[vocational_count]]), _xlfn.AGGREGATE(1, 6,Table1[vocational_count]), Table1[[#This Row],[vocational_count]])</f>
        <v>121</v>
      </c>
    </row>
    <row r="217" spans="1:15" x14ac:dyDescent="0.3">
      <c r="A217" t="s">
        <v>24</v>
      </c>
      <c r="B217">
        <v>2008</v>
      </c>
      <c r="C217" t="str">
        <f>_xlfn.CONCAT(Table1[[#This Row],[STATE]],"-",Table1[[#This Row],[YEAR]])</f>
        <v>Nagaland-2008</v>
      </c>
      <c r="D217">
        <v>0</v>
      </c>
      <c r="E217">
        <v>0</v>
      </c>
      <c r="F217">
        <v>0</v>
      </c>
      <c r="G217">
        <v>0</v>
      </c>
      <c r="H217">
        <f>_xlfn.XLOOKUP(Table1[[#This Row],[Key]],policseStrength!C:C,policseStrength!R:R)</f>
        <v>9304</v>
      </c>
      <c r="I217">
        <f>IF(ISNA(Table1[[#This Row],[total_ps]]), _xlfn.AGGREGATE(1, 6, Table1[total_ps]), Table1[[#This Row],[total_ps]])</f>
        <v>9304</v>
      </c>
      <c r="J217">
        <f>_xlfn.XLOOKUP(Table1[[#This Row],[Key]],Recidivism!C:C,Recidivism!D:D)</f>
        <v>51</v>
      </c>
      <c r="K217">
        <f>IF(ISNA(Table1[[#This Row],[convicts_admitted_raw]]), _xlfn.AGGREGATE(1, 6, Table1[convicts_admitted_raw]), Table1[[#This Row],[convicts_admitted_raw]])</f>
        <v>51</v>
      </c>
      <c r="L217">
        <f>_xlfn.XLOOKUP(Table1[[#This Row],[Key]],Recidivism!C:C,Recidivism!E:E)</f>
        <v>13</v>
      </c>
      <c r="M217">
        <f>IF(ISNA(Table1[[#This Row],[habitual_offenders]]), _xlfn.AGGREGATE(1, 6, Table1[habitual_offenders]), Table1[[#This Row],[habitual_offenders]])</f>
        <v>13</v>
      </c>
      <c r="N217">
        <f>_xlfn.XLOOKUP(Table1[[#This Row],[Key]],Vocational!C:C,Vocational!E:E)</f>
        <v>119</v>
      </c>
      <c r="O217">
        <f>IF(ISNA(Table1[[#This Row],[vocational_count]]), _xlfn.AGGREGATE(1, 6,Table1[vocational_count]), Table1[[#This Row],[vocational_count]])</f>
        <v>119</v>
      </c>
    </row>
    <row r="218" spans="1:15" x14ac:dyDescent="0.3">
      <c r="A218" t="s">
        <v>24</v>
      </c>
      <c r="B218">
        <v>2009</v>
      </c>
      <c r="C218" t="str">
        <f>_xlfn.CONCAT(Table1[[#This Row],[STATE]],"-",Table1[[#This Row],[YEAR]])</f>
        <v>Nagaland-2009</v>
      </c>
      <c r="D218">
        <v>0</v>
      </c>
      <c r="E218">
        <v>0</v>
      </c>
      <c r="F218">
        <v>0</v>
      </c>
      <c r="G218">
        <v>0</v>
      </c>
      <c r="H218">
        <f>_xlfn.XLOOKUP(Table1[[#This Row],[Key]],policseStrength!C:C,policseStrength!R:R)</f>
        <v>8732</v>
      </c>
      <c r="I218">
        <f>IF(ISNA(Table1[[#This Row],[total_ps]]), _xlfn.AGGREGATE(1, 6, Table1[total_ps]), Table1[[#This Row],[total_ps]])</f>
        <v>8732</v>
      </c>
      <c r="J218">
        <f>_xlfn.XLOOKUP(Table1[[#This Row],[Key]],Recidivism!C:C,Recidivism!D:D)</f>
        <v>72</v>
      </c>
      <c r="K218">
        <f>IF(ISNA(Table1[[#This Row],[convicts_admitted_raw]]), _xlfn.AGGREGATE(1, 6, Table1[convicts_admitted_raw]), Table1[[#This Row],[convicts_admitted_raw]])</f>
        <v>72</v>
      </c>
      <c r="L218">
        <f>_xlfn.XLOOKUP(Table1[[#This Row],[Key]],Recidivism!C:C,Recidivism!E:E)</f>
        <v>18</v>
      </c>
      <c r="M218">
        <f>IF(ISNA(Table1[[#This Row],[habitual_offenders]]), _xlfn.AGGREGATE(1, 6, Table1[habitual_offenders]), Table1[[#This Row],[habitual_offenders]])</f>
        <v>18</v>
      </c>
      <c r="N218">
        <f>_xlfn.XLOOKUP(Table1[[#This Row],[Key]],Vocational!C:C,Vocational!E:E)</f>
        <v>41</v>
      </c>
      <c r="O218">
        <f>IF(ISNA(Table1[[#This Row],[vocational_count]]), _xlfn.AGGREGATE(1, 6,Table1[vocational_count]), Table1[[#This Row],[vocational_count]])</f>
        <v>41</v>
      </c>
    </row>
    <row r="219" spans="1:15" x14ac:dyDescent="0.3">
      <c r="A219" t="s">
        <v>24</v>
      </c>
      <c r="B219">
        <v>2010</v>
      </c>
      <c r="C219" t="str">
        <f>_xlfn.CONCAT(Table1[[#This Row],[STATE]],"-",Table1[[#This Row],[YEAR]])</f>
        <v>Nagaland-2010</v>
      </c>
      <c r="D219">
        <v>0</v>
      </c>
      <c r="E219">
        <v>0</v>
      </c>
      <c r="F219">
        <v>0</v>
      </c>
      <c r="G219">
        <v>0</v>
      </c>
      <c r="H219">
        <f>_xlfn.XLOOKUP(Table1[[#This Row],[Key]],policseStrength!C:C,policseStrength!R:R)</f>
        <v>8732</v>
      </c>
      <c r="I219">
        <f>IF(ISNA(Table1[[#This Row],[total_ps]]), _xlfn.AGGREGATE(1, 6, Table1[total_ps]), Table1[[#This Row],[total_ps]])</f>
        <v>8732</v>
      </c>
      <c r="J219">
        <f>_xlfn.XLOOKUP(Table1[[#This Row],[Key]],Recidivism!C:C,Recidivism!D:D)</f>
        <v>21</v>
      </c>
      <c r="K219">
        <f>IF(ISNA(Table1[[#This Row],[convicts_admitted_raw]]), _xlfn.AGGREGATE(1, 6, Table1[convicts_admitted_raw]), Table1[[#This Row],[convicts_admitted_raw]])</f>
        <v>21</v>
      </c>
      <c r="L219">
        <f>_xlfn.XLOOKUP(Table1[[#This Row],[Key]],Recidivism!C:C,Recidivism!E:E)</f>
        <v>13</v>
      </c>
      <c r="M219">
        <f>IF(ISNA(Table1[[#This Row],[habitual_offenders]]), _xlfn.AGGREGATE(1, 6, Table1[habitual_offenders]), Table1[[#This Row],[habitual_offenders]])</f>
        <v>13</v>
      </c>
      <c r="N219">
        <f>_xlfn.XLOOKUP(Table1[[#This Row],[Key]],Vocational!C:C,Vocational!E:E)</f>
        <v>30</v>
      </c>
      <c r="O219">
        <f>IF(ISNA(Table1[[#This Row],[vocational_count]]), _xlfn.AGGREGATE(1, 6,Table1[vocational_count]), Table1[[#This Row],[vocational_count]])</f>
        <v>30</v>
      </c>
    </row>
    <row r="220" spans="1:15" x14ac:dyDescent="0.3">
      <c r="A220" t="s">
        <v>24</v>
      </c>
      <c r="B220">
        <v>2011</v>
      </c>
      <c r="C220" t="str">
        <f>_xlfn.CONCAT(Table1[[#This Row],[STATE]],"-",Table1[[#This Row],[YEAR]])</f>
        <v>Nagaland-2011</v>
      </c>
      <c r="D220">
        <v>0</v>
      </c>
      <c r="E220">
        <v>0</v>
      </c>
      <c r="F220">
        <v>0</v>
      </c>
      <c r="G220">
        <v>0</v>
      </c>
      <c r="H220" t="e">
        <f>_xlfn.XLOOKUP(Table1[[#This Row],[Key]],policseStrength!C:C,policseStrength!R:R)</f>
        <v>#N/A</v>
      </c>
      <c r="I220">
        <f>IF(ISNA(Table1[[#This Row],[total_ps]]), _xlfn.AGGREGATE(1, 6, Table1[total_ps]), Table1[[#This Row],[total_ps]])</f>
        <v>20128.370106761566</v>
      </c>
      <c r="J220">
        <f>_xlfn.XLOOKUP(Table1[[#This Row],[Key]],Recidivism!C:C,Recidivism!D:D)</f>
        <v>118</v>
      </c>
      <c r="K220">
        <f>IF(ISNA(Table1[[#This Row],[convicts_admitted_raw]]), _xlfn.AGGREGATE(1, 6, Table1[convicts_admitted_raw]), Table1[[#This Row],[convicts_admitted_raw]])</f>
        <v>118</v>
      </c>
      <c r="L220">
        <f>_xlfn.XLOOKUP(Table1[[#This Row],[Key]],Recidivism!C:C,Recidivism!E:E)</f>
        <v>13</v>
      </c>
      <c r="M220">
        <f>IF(ISNA(Table1[[#This Row],[habitual_offenders]]), _xlfn.AGGREGATE(1, 6, Table1[habitual_offenders]), Table1[[#This Row],[habitual_offenders]])</f>
        <v>13</v>
      </c>
      <c r="N220">
        <f>_xlfn.XLOOKUP(Table1[[#This Row],[Key]],Vocational!C:C,Vocational!E:E)</f>
        <v>5</v>
      </c>
      <c r="O220">
        <f>IF(ISNA(Table1[[#This Row],[vocational_count]]), _xlfn.AGGREGATE(1, 6,Table1[vocational_count]), Table1[[#This Row],[vocational_count]])</f>
        <v>5</v>
      </c>
    </row>
    <row r="221" spans="1:15" x14ac:dyDescent="0.3">
      <c r="A221" t="s">
        <v>24</v>
      </c>
      <c r="B221">
        <v>2012</v>
      </c>
      <c r="C221" t="str">
        <f>_xlfn.CONCAT(Table1[[#This Row],[STATE]],"-",Table1[[#This Row],[YEAR]])</f>
        <v>Nagaland-2012</v>
      </c>
      <c r="D221">
        <v>0</v>
      </c>
      <c r="E221">
        <v>0</v>
      </c>
      <c r="F221">
        <v>0</v>
      </c>
      <c r="G221">
        <v>0</v>
      </c>
      <c r="H221" t="e">
        <f>_xlfn.XLOOKUP(Table1[[#This Row],[Key]],policseStrength!C:C,policseStrength!R:R)</f>
        <v>#N/A</v>
      </c>
      <c r="I221">
        <f>IF(ISNA(Table1[[#This Row],[total_ps]]), _xlfn.AGGREGATE(1, 6, Table1[total_ps]), Table1[[#This Row],[total_ps]])</f>
        <v>20128.370106761566</v>
      </c>
      <c r="J221">
        <f>_xlfn.XLOOKUP(Table1[[#This Row],[Key]],Recidivism!C:C,Recidivism!D:D)</f>
        <v>152</v>
      </c>
      <c r="K221">
        <f>IF(ISNA(Table1[[#This Row],[convicts_admitted_raw]]), _xlfn.AGGREGATE(1, 6, Table1[convicts_admitted_raw]), Table1[[#This Row],[convicts_admitted_raw]])</f>
        <v>152</v>
      </c>
      <c r="L221">
        <f>_xlfn.XLOOKUP(Table1[[#This Row],[Key]],Recidivism!C:C,Recidivism!E:E)</f>
        <v>20</v>
      </c>
      <c r="M221">
        <f>IF(ISNA(Table1[[#This Row],[habitual_offenders]]), _xlfn.AGGREGATE(1, 6, Table1[habitual_offenders]), Table1[[#This Row],[habitual_offenders]])</f>
        <v>20</v>
      </c>
      <c r="N221">
        <f>_xlfn.XLOOKUP(Table1[[#This Row],[Key]],Vocational!C:C,Vocational!E:E)</f>
        <v>4</v>
      </c>
      <c r="O221">
        <f>IF(ISNA(Table1[[#This Row],[vocational_count]]), _xlfn.AGGREGATE(1, 6,Table1[vocational_count]), Table1[[#This Row],[vocational_count]])</f>
        <v>4</v>
      </c>
    </row>
    <row r="222" spans="1:15" x14ac:dyDescent="0.3">
      <c r="A222" t="s">
        <v>25</v>
      </c>
      <c r="B222">
        <v>2001</v>
      </c>
      <c r="C222" t="str">
        <f>_xlfn.CONCAT(Table1[[#This Row],[STATE]],"-",Table1[[#This Row],[YEAR]])</f>
        <v>Orissa-2001</v>
      </c>
      <c r="D222">
        <v>653</v>
      </c>
      <c r="E222">
        <v>869</v>
      </c>
      <c r="F222">
        <v>1</v>
      </c>
      <c r="G222">
        <v>0</v>
      </c>
      <c r="H222" t="e">
        <f>_xlfn.XLOOKUP(Table1[[#This Row],[Key]],policseStrength!C:C,policseStrength!R:R)</f>
        <v>#N/A</v>
      </c>
      <c r="I222">
        <f>IF(ISNA(Table1[[#This Row],[total_ps]]), _xlfn.AGGREGATE(1, 6, Table1[total_ps]), Table1[[#This Row],[total_ps]])</f>
        <v>20128.370106761566</v>
      </c>
      <c r="J222">
        <f>_xlfn.XLOOKUP(Table1[[#This Row],[Key]],Recidivism!C:C,Recidivism!D:D)</f>
        <v>3014</v>
      </c>
      <c r="K222">
        <f>IF(ISNA(Table1[[#This Row],[convicts_admitted_raw]]), _xlfn.AGGREGATE(1, 6, Table1[convicts_admitted_raw]), Table1[[#This Row],[convicts_admitted_raw]])</f>
        <v>3014</v>
      </c>
      <c r="L222">
        <f>_xlfn.XLOOKUP(Table1[[#This Row],[Key]],Recidivism!C:C,Recidivism!E:E)</f>
        <v>70</v>
      </c>
      <c r="M222">
        <f>IF(ISNA(Table1[[#This Row],[habitual_offenders]]), _xlfn.AGGREGATE(1, 6, Table1[habitual_offenders]), Table1[[#This Row],[habitual_offenders]])</f>
        <v>70</v>
      </c>
      <c r="N222">
        <f>_xlfn.XLOOKUP(Table1[[#This Row],[Key]],Vocational!C:C,Vocational!E:E)</f>
        <v>64</v>
      </c>
      <c r="O222">
        <f>IF(ISNA(Table1[[#This Row],[vocational_count]]), _xlfn.AGGREGATE(1, 6,Table1[vocational_count]), Table1[[#This Row],[vocational_count]])</f>
        <v>64</v>
      </c>
    </row>
    <row r="223" spans="1:15" x14ac:dyDescent="0.3">
      <c r="A223" t="s">
        <v>25</v>
      </c>
      <c r="B223">
        <v>2002</v>
      </c>
      <c r="C223" t="str">
        <f>_xlfn.CONCAT(Table1[[#This Row],[STATE]],"-",Table1[[#This Row],[YEAR]])</f>
        <v>Orissa-2002</v>
      </c>
      <c r="D223">
        <v>828</v>
      </c>
      <c r="E223">
        <v>239</v>
      </c>
      <c r="F223">
        <v>0</v>
      </c>
      <c r="G223">
        <v>25</v>
      </c>
      <c r="H223" t="e">
        <f>_xlfn.XLOOKUP(Table1[[#This Row],[Key]],policseStrength!C:C,policseStrength!R:R)</f>
        <v>#N/A</v>
      </c>
      <c r="I223">
        <f>IF(ISNA(Table1[[#This Row],[total_ps]]), _xlfn.AGGREGATE(1, 6, Table1[total_ps]), Table1[[#This Row],[total_ps]])</f>
        <v>20128.370106761566</v>
      </c>
      <c r="J223">
        <f>_xlfn.XLOOKUP(Table1[[#This Row],[Key]],Recidivism!C:C,Recidivism!D:D)</f>
        <v>3400</v>
      </c>
      <c r="K223">
        <f>IF(ISNA(Table1[[#This Row],[convicts_admitted_raw]]), _xlfn.AGGREGATE(1, 6, Table1[convicts_admitted_raw]), Table1[[#This Row],[convicts_admitted_raw]])</f>
        <v>3400</v>
      </c>
      <c r="L223">
        <f>_xlfn.XLOOKUP(Table1[[#This Row],[Key]],Recidivism!C:C,Recidivism!E:E)</f>
        <v>35</v>
      </c>
      <c r="M223">
        <f>IF(ISNA(Table1[[#This Row],[habitual_offenders]]), _xlfn.AGGREGATE(1, 6, Table1[habitual_offenders]), Table1[[#This Row],[habitual_offenders]])</f>
        <v>35</v>
      </c>
      <c r="N223">
        <f>_xlfn.XLOOKUP(Table1[[#This Row],[Key]],Vocational!C:C,Vocational!E:E)</f>
        <v>87</v>
      </c>
      <c r="O223">
        <f>IF(ISNA(Table1[[#This Row],[vocational_count]]), _xlfn.AGGREGATE(1, 6,Table1[vocational_count]), Table1[[#This Row],[vocational_count]])</f>
        <v>87</v>
      </c>
    </row>
    <row r="224" spans="1:15" x14ac:dyDescent="0.3">
      <c r="A224" t="s">
        <v>25</v>
      </c>
      <c r="B224">
        <v>2003</v>
      </c>
      <c r="C224" t="str">
        <f>_xlfn.CONCAT(Table1[[#This Row],[STATE]],"-",Table1[[#This Row],[YEAR]])</f>
        <v>Orissa-2003</v>
      </c>
      <c r="D224">
        <v>734</v>
      </c>
      <c r="E224">
        <v>281</v>
      </c>
      <c r="F224">
        <v>2</v>
      </c>
      <c r="G224">
        <v>32</v>
      </c>
      <c r="H224" t="e">
        <f>_xlfn.XLOOKUP(Table1[[#This Row],[Key]],policseStrength!C:C,policseStrength!R:R)</f>
        <v>#N/A</v>
      </c>
      <c r="I224">
        <f>IF(ISNA(Table1[[#This Row],[total_ps]]), _xlfn.AGGREGATE(1, 6, Table1[total_ps]), Table1[[#This Row],[total_ps]])</f>
        <v>20128.370106761566</v>
      </c>
      <c r="J224">
        <f>_xlfn.XLOOKUP(Table1[[#This Row],[Key]],Recidivism!C:C,Recidivism!D:D)</f>
        <v>2811</v>
      </c>
      <c r="K224">
        <f>IF(ISNA(Table1[[#This Row],[convicts_admitted_raw]]), _xlfn.AGGREGATE(1, 6, Table1[convicts_admitted_raw]), Table1[[#This Row],[convicts_admitted_raw]])</f>
        <v>2811</v>
      </c>
      <c r="L224">
        <f>_xlfn.XLOOKUP(Table1[[#This Row],[Key]],Recidivism!C:C,Recidivism!E:E)</f>
        <v>43</v>
      </c>
      <c r="M224">
        <f>IF(ISNA(Table1[[#This Row],[habitual_offenders]]), _xlfn.AGGREGATE(1, 6, Table1[habitual_offenders]), Table1[[#This Row],[habitual_offenders]])</f>
        <v>43</v>
      </c>
      <c r="N224">
        <f>_xlfn.XLOOKUP(Table1[[#This Row],[Key]],Vocational!C:C,Vocational!E:E)</f>
        <v>102</v>
      </c>
      <c r="O224">
        <f>IF(ISNA(Table1[[#This Row],[vocational_count]]), _xlfn.AGGREGATE(1, 6,Table1[vocational_count]), Table1[[#This Row],[vocational_count]])</f>
        <v>102</v>
      </c>
    </row>
    <row r="225" spans="1:15" x14ac:dyDescent="0.3">
      <c r="A225" t="s">
        <v>25</v>
      </c>
      <c r="B225">
        <v>2004</v>
      </c>
      <c r="C225" t="str">
        <f>_xlfn.CONCAT(Table1[[#This Row],[STATE]],"-",Table1[[#This Row],[YEAR]])</f>
        <v>Orissa-2004</v>
      </c>
      <c r="D225">
        <v>255</v>
      </c>
      <c r="E225">
        <v>916</v>
      </c>
      <c r="F225">
        <v>10</v>
      </c>
      <c r="G225">
        <v>37</v>
      </c>
      <c r="H225" t="e">
        <f>_xlfn.XLOOKUP(Table1[[#This Row],[Key]],policseStrength!C:C,policseStrength!R:R)</f>
        <v>#N/A</v>
      </c>
      <c r="I225">
        <f>IF(ISNA(Table1[[#This Row],[total_ps]]), _xlfn.AGGREGATE(1, 6, Table1[total_ps]), Table1[[#This Row],[total_ps]])</f>
        <v>20128.370106761566</v>
      </c>
      <c r="J225">
        <f>_xlfn.XLOOKUP(Table1[[#This Row],[Key]],Recidivism!C:C,Recidivism!D:D)</f>
        <v>3539</v>
      </c>
      <c r="K225">
        <f>IF(ISNA(Table1[[#This Row],[convicts_admitted_raw]]), _xlfn.AGGREGATE(1, 6, Table1[convicts_admitted_raw]), Table1[[#This Row],[convicts_admitted_raw]])</f>
        <v>3539</v>
      </c>
      <c r="L225">
        <f>_xlfn.XLOOKUP(Table1[[#This Row],[Key]],Recidivism!C:C,Recidivism!E:E)</f>
        <v>33</v>
      </c>
      <c r="M225">
        <f>IF(ISNA(Table1[[#This Row],[habitual_offenders]]), _xlfn.AGGREGATE(1, 6, Table1[habitual_offenders]), Table1[[#This Row],[habitual_offenders]])</f>
        <v>33</v>
      </c>
      <c r="N225">
        <f>_xlfn.XLOOKUP(Table1[[#This Row],[Key]],Vocational!C:C,Vocational!E:E)</f>
        <v>358</v>
      </c>
      <c r="O225">
        <f>IF(ISNA(Table1[[#This Row],[vocational_count]]), _xlfn.AGGREGATE(1, 6,Table1[vocational_count]), Table1[[#This Row],[vocational_count]])</f>
        <v>358</v>
      </c>
    </row>
    <row r="226" spans="1:15" x14ac:dyDescent="0.3">
      <c r="A226" t="s">
        <v>25</v>
      </c>
      <c r="B226">
        <v>2005</v>
      </c>
      <c r="C226" t="str">
        <f>_xlfn.CONCAT(Table1[[#This Row],[STATE]],"-",Table1[[#This Row],[YEAR]])</f>
        <v>Orissa-2005</v>
      </c>
      <c r="D226">
        <v>807</v>
      </c>
      <c r="E226">
        <v>1323</v>
      </c>
      <c r="F226">
        <v>0</v>
      </c>
      <c r="G226">
        <v>22</v>
      </c>
      <c r="H226" t="e">
        <f>_xlfn.XLOOKUP(Table1[[#This Row],[Key]],policseStrength!C:C,policseStrength!R:R)</f>
        <v>#N/A</v>
      </c>
      <c r="I226">
        <f>IF(ISNA(Table1[[#This Row],[total_ps]]), _xlfn.AGGREGATE(1, 6, Table1[total_ps]), Table1[[#This Row],[total_ps]])</f>
        <v>20128.370106761566</v>
      </c>
      <c r="J226">
        <f>_xlfn.XLOOKUP(Table1[[#This Row],[Key]],Recidivism!C:C,Recidivism!D:D)</f>
        <v>3634</v>
      </c>
      <c r="K226">
        <f>IF(ISNA(Table1[[#This Row],[convicts_admitted_raw]]), _xlfn.AGGREGATE(1, 6, Table1[convicts_admitted_raw]), Table1[[#This Row],[convicts_admitted_raw]])</f>
        <v>3634</v>
      </c>
      <c r="L226">
        <f>_xlfn.XLOOKUP(Table1[[#This Row],[Key]],Recidivism!C:C,Recidivism!E:E)</f>
        <v>45</v>
      </c>
      <c r="M226">
        <f>IF(ISNA(Table1[[#This Row],[habitual_offenders]]), _xlfn.AGGREGATE(1, 6, Table1[habitual_offenders]), Table1[[#This Row],[habitual_offenders]])</f>
        <v>45</v>
      </c>
      <c r="N226">
        <f>_xlfn.XLOOKUP(Table1[[#This Row],[Key]],Vocational!C:C,Vocational!E:E)</f>
        <v>280</v>
      </c>
      <c r="O226">
        <f>IF(ISNA(Table1[[#This Row],[vocational_count]]), _xlfn.AGGREGATE(1, 6,Table1[vocational_count]), Table1[[#This Row],[vocational_count]])</f>
        <v>280</v>
      </c>
    </row>
    <row r="227" spans="1:15" x14ac:dyDescent="0.3">
      <c r="A227" t="s">
        <v>25</v>
      </c>
      <c r="B227">
        <v>2006</v>
      </c>
      <c r="C227" t="str">
        <f>_xlfn.CONCAT(Table1[[#This Row],[STATE]],"-",Table1[[#This Row],[YEAR]])</f>
        <v>Orissa-2006</v>
      </c>
      <c r="D227">
        <v>283</v>
      </c>
      <c r="E227">
        <v>1026</v>
      </c>
      <c r="F227">
        <v>17</v>
      </c>
      <c r="G227">
        <v>25</v>
      </c>
      <c r="H227" t="e">
        <f>_xlfn.XLOOKUP(Table1[[#This Row],[Key]],policseStrength!C:C,policseStrength!R:R)</f>
        <v>#N/A</v>
      </c>
      <c r="I227">
        <f>IF(ISNA(Table1[[#This Row],[total_ps]]), _xlfn.AGGREGATE(1, 6, Table1[total_ps]), Table1[[#This Row],[total_ps]])</f>
        <v>20128.370106761566</v>
      </c>
      <c r="J227">
        <f>_xlfn.XLOOKUP(Table1[[#This Row],[Key]],Recidivism!C:C,Recidivism!D:D)</f>
        <v>1948</v>
      </c>
      <c r="K227">
        <f>IF(ISNA(Table1[[#This Row],[convicts_admitted_raw]]), _xlfn.AGGREGATE(1, 6, Table1[convicts_admitted_raw]), Table1[[#This Row],[convicts_admitted_raw]])</f>
        <v>1948</v>
      </c>
      <c r="L227">
        <f>_xlfn.XLOOKUP(Table1[[#This Row],[Key]],Recidivism!C:C,Recidivism!E:E)</f>
        <v>12</v>
      </c>
      <c r="M227">
        <f>IF(ISNA(Table1[[#This Row],[habitual_offenders]]), _xlfn.AGGREGATE(1, 6, Table1[habitual_offenders]), Table1[[#This Row],[habitual_offenders]])</f>
        <v>12</v>
      </c>
      <c r="N227">
        <f>_xlfn.XLOOKUP(Table1[[#This Row],[Key]],Vocational!C:C,Vocational!E:E)</f>
        <v>310</v>
      </c>
      <c r="O227">
        <f>IF(ISNA(Table1[[#This Row],[vocational_count]]), _xlfn.AGGREGATE(1, 6,Table1[vocational_count]), Table1[[#This Row],[vocational_count]])</f>
        <v>310</v>
      </c>
    </row>
    <row r="228" spans="1:15" x14ac:dyDescent="0.3">
      <c r="A228" t="s">
        <v>25</v>
      </c>
      <c r="B228">
        <v>2007</v>
      </c>
      <c r="C228" t="str">
        <f>_xlfn.CONCAT(Table1[[#This Row],[STATE]],"-",Table1[[#This Row],[YEAR]])</f>
        <v>Orissa-2007</v>
      </c>
      <c r="D228">
        <v>394</v>
      </c>
      <c r="E228">
        <v>648</v>
      </c>
      <c r="F228">
        <v>2</v>
      </c>
      <c r="G228">
        <v>0</v>
      </c>
      <c r="H228" t="e">
        <f>_xlfn.XLOOKUP(Table1[[#This Row],[Key]],policseStrength!C:C,policseStrength!R:R)</f>
        <v>#N/A</v>
      </c>
      <c r="I228">
        <f>IF(ISNA(Table1[[#This Row],[total_ps]]), _xlfn.AGGREGATE(1, 6, Table1[total_ps]), Table1[[#This Row],[total_ps]])</f>
        <v>20128.370106761566</v>
      </c>
      <c r="J228">
        <f>_xlfn.XLOOKUP(Table1[[#This Row],[Key]],Recidivism!C:C,Recidivism!D:D)</f>
        <v>2223</v>
      </c>
      <c r="K228">
        <f>IF(ISNA(Table1[[#This Row],[convicts_admitted_raw]]), _xlfn.AGGREGATE(1, 6, Table1[convicts_admitted_raw]), Table1[[#This Row],[convicts_admitted_raw]])</f>
        <v>2223</v>
      </c>
      <c r="L228">
        <f>_xlfn.XLOOKUP(Table1[[#This Row],[Key]],Recidivism!C:C,Recidivism!E:E)</f>
        <v>15</v>
      </c>
      <c r="M228">
        <f>IF(ISNA(Table1[[#This Row],[habitual_offenders]]), _xlfn.AGGREGATE(1, 6, Table1[habitual_offenders]), Table1[[#This Row],[habitual_offenders]])</f>
        <v>15</v>
      </c>
      <c r="N228">
        <f>_xlfn.XLOOKUP(Table1[[#This Row],[Key]],Vocational!C:C,Vocational!E:E)</f>
        <v>322</v>
      </c>
      <c r="O228">
        <f>IF(ISNA(Table1[[#This Row],[vocational_count]]), _xlfn.AGGREGATE(1, 6,Table1[vocational_count]), Table1[[#This Row],[vocational_count]])</f>
        <v>322</v>
      </c>
    </row>
    <row r="229" spans="1:15" x14ac:dyDescent="0.3">
      <c r="A229" t="s">
        <v>25</v>
      </c>
      <c r="B229">
        <v>2008</v>
      </c>
      <c r="C229" t="str">
        <f>_xlfn.CONCAT(Table1[[#This Row],[STATE]],"-",Table1[[#This Row],[YEAR]])</f>
        <v>Orissa-2008</v>
      </c>
      <c r="D229">
        <v>125</v>
      </c>
      <c r="E229">
        <v>1256</v>
      </c>
      <c r="F229">
        <v>70</v>
      </c>
      <c r="G229">
        <v>36</v>
      </c>
      <c r="H229" t="e">
        <f>_xlfn.XLOOKUP(Table1[[#This Row],[Key]],policseStrength!C:C,policseStrength!R:R)</f>
        <v>#N/A</v>
      </c>
      <c r="I229">
        <f>IF(ISNA(Table1[[#This Row],[total_ps]]), _xlfn.AGGREGATE(1, 6, Table1[total_ps]), Table1[[#This Row],[total_ps]])</f>
        <v>20128.370106761566</v>
      </c>
      <c r="J229">
        <f>_xlfn.XLOOKUP(Table1[[#This Row],[Key]],Recidivism!C:C,Recidivism!D:D)</f>
        <v>2088</v>
      </c>
      <c r="K229">
        <f>IF(ISNA(Table1[[#This Row],[convicts_admitted_raw]]), _xlfn.AGGREGATE(1, 6, Table1[convicts_admitted_raw]), Table1[[#This Row],[convicts_admitted_raw]])</f>
        <v>2088</v>
      </c>
      <c r="L229">
        <f>_xlfn.XLOOKUP(Table1[[#This Row],[Key]],Recidivism!C:C,Recidivism!E:E)</f>
        <v>31</v>
      </c>
      <c r="M229">
        <f>IF(ISNA(Table1[[#This Row],[habitual_offenders]]), _xlfn.AGGREGATE(1, 6, Table1[habitual_offenders]), Table1[[#This Row],[habitual_offenders]])</f>
        <v>31</v>
      </c>
      <c r="N229">
        <f>_xlfn.XLOOKUP(Table1[[#This Row],[Key]],Vocational!C:C,Vocational!E:E)</f>
        <v>322</v>
      </c>
      <c r="O229">
        <f>IF(ISNA(Table1[[#This Row],[vocational_count]]), _xlfn.AGGREGATE(1, 6,Table1[vocational_count]), Table1[[#This Row],[vocational_count]])</f>
        <v>322</v>
      </c>
    </row>
    <row r="230" spans="1:15" x14ac:dyDescent="0.3">
      <c r="A230" t="s">
        <v>25</v>
      </c>
      <c r="B230">
        <v>2009</v>
      </c>
      <c r="C230" t="str">
        <f>_xlfn.CONCAT(Table1[[#This Row],[STATE]],"-",Table1[[#This Row],[YEAR]])</f>
        <v>Orissa-2009</v>
      </c>
      <c r="D230">
        <v>600</v>
      </c>
      <c r="E230">
        <v>470</v>
      </c>
      <c r="F230">
        <v>46</v>
      </c>
      <c r="G230">
        <v>10</v>
      </c>
      <c r="H230" t="e">
        <f>_xlfn.XLOOKUP(Table1[[#This Row],[Key]],policseStrength!C:C,policseStrength!R:R)</f>
        <v>#N/A</v>
      </c>
      <c r="I230">
        <f>IF(ISNA(Table1[[#This Row],[total_ps]]), _xlfn.AGGREGATE(1, 6, Table1[total_ps]), Table1[[#This Row],[total_ps]])</f>
        <v>20128.370106761566</v>
      </c>
      <c r="J230">
        <f>_xlfn.XLOOKUP(Table1[[#This Row],[Key]],Recidivism!C:C,Recidivism!D:D)</f>
        <v>2690</v>
      </c>
      <c r="K230">
        <f>IF(ISNA(Table1[[#This Row],[convicts_admitted_raw]]), _xlfn.AGGREGATE(1, 6, Table1[convicts_admitted_raw]), Table1[[#This Row],[convicts_admitted_raw]])</f>
        <v>2690</v>
      </c>
      <c r="L230">
        <f>_xlfn.XLOOKUP(Table1[[#This Row],[Key]],Recidivism!C:C,Recidivism!E:E)</f>
        <v>23</v>
      </c>
      <c r="M230">
        <f>IF(ISNA(Table1[[#This Row],[habitual_offenders]]), _xlfn.AGGREGATE(1, 6, Table1[habitual_offenders]), Table1[[#This Row],[habitual_offenders]])</f>
        <v>23</v>
      </c>
      <c r="N230">
        <f>_xlfn.XLOOKUP(Table1[[#This Row],[Key]],Vocational!C:C,Vocational!E:E)</f>
        <v>301</v>
      </c>
      <c r="O230">
        <f>IF(ISNA(Table1[[#This Row],[vocational_count]]), _xlfn.AGGREGATE(1, 6,Table1[vocational_count]), Table1[[#This Row],[vocational_count]])</f>
        <v>301</v>
      </c>
    </row>
    <row r="231" spans="1:15" x14ac:dyDescent="0.3">
      <c r="A231" t="s">
        <v>25</v>
      </c>
      <c r="B231">
        <v>2010</v>
      </c>
      <c r="C231" t="str">
        <f>_xlfn.CONCAT(Table1[[#This Row],[STATE]],"-",Table1[[#This Row],[YEAR]])</f>
        <v>Orissa-2010</v>
      </c>
      <c r="D231">
        <v>727</v>
      </c>
      <c r="E231">
        <v>742</v>
      </c>
      <c r="F231">
        <v>118</v>
      </c>
      <c r="G231">
        <v>90</v>
      </c>
      <c r="H231" t="e">
        <f>_xlfn.XLOOKUP(Table1[[#This Row],[Key]],policseStrength!C:C,policseStrength!R:R)</f>
        <v>#N/A</v>
      </c>
      <c r="I231">
        <f>IF(ISNA(Table1[[#This Row],[total_ps]]), _xlfn.AGGREGATE(1, 6, Table1[total_ps]), Table1[[#This Row],[total_ps]])</f>
        <v>20128.370106761566</v>
      </c>
      <c r="J231">
        <f>_xlfn.XLOOKUP(Table1[[#This Row],[Key]],Recidivism!C:C,Recidivism!D:D)</f>
        <v>2412</v>
      </c>
      <c r="K231">
        <f>IF(ISNA(Table1[[#This Row],[convicts_admitted_raw]]), _xlfn.AGGREGATE(1, 6, Table1[convicts_admitted_raw]), Table1[[#This Row],[convicts_admitted_raw]])</f>
        <v>2412</v>
      </c>
      <c r="L231">
        <f>_xlfn.XLOOKUP(Table1[[#This Row],[Key]],Recidivism!C:C,Recidivism!E:E)</f>
        <v>19</v>
      </c>
      <c r="M231">
        <f>IF(ISNA(Table1[[#This Row],[habitual_offenders]]), _xlfn.AGGREGATE(1, 6, Table1[habitual_offenders]), Table1[[#This Row],[habitual_offenders]])</f>
        <v>19</v>
      </c>
      <c r="N231">
        <f>_xlfn.XLOOKUP(Table1[[#This Row],[Key]],Vocational!C:C,Vocational!E:E)</f>
        <v>280</v>
      </c>
      <c r="O231">
        <f>IF(ISNA(Table1[[#This Row],[vocational_count]]), _xlfn.AGGREGATE(1, 6,Table1[vocational_count]), Table1[[#This Row],[vocational_count]])</f>
        <v>280</v>
      </c>
    </row>
    <row r="232" spans="1:15" x14ac:dyDescent="0.3">
      <c r="A232" t="s">
        <v>25</v>
      </c>
      <c r="B232">
        <v>2011</v>
      </c>
      <c r="C232" t="str">
        <f>_xlfn.CONCAT(Table1[[#This Row],[STATE]],"-",Table1[[#This Row],[YEAR]])</f>
        <v>Orissa-2011</v>
      </c>
      <c r="D232">
        <v>730</v>
      </c>
      <c r="E232">
        <v>750</v>
      </c>
      <c r="F232">
        <v>130</v>
      </c>
      <c r="G232">
        <v>112</v>
      </c>
      <c r="H232" t="e">
        <f>_xlfn.XLOOKUP(Table1[[#This Row],[Key]],policseStrength!C:C,policseStrength!R:R)</f>
        <v>#N/A</v>
      </c>
      <c r="I232">
        <f>IF(ISNA(Table1[[#This Row],[total_ps]]), _xlfn.AGGREGATE(1, 6, Table1[total_ps]), Table1[[#This Row],[total_ps]])</f>
        <v>20128.370106761566</v>
      </c>
      <c r="J232">
        <f>_xlfn.XLOOKUP(Table1[[#This Row],[Key]],Recidivism!C:C,Recidivism!D:D)</f>
        <v>1928</v>
      </c>
      <c r="K232">
        <f>IF(ISNA(Table1[[#This Row],[convicts_admitted_raw]]), _xlfn.AGGREGATE(1, 6, Table1[convicts_admitted_raw]), Table1[[#This Row],[convicts_admitted_raw]])</f>
        <v>1928</v>
      </c>
      <c r="L232">
        <f>_xlfn.XLOOKUP(Table1[[#This Row],[Key]],Recidivism!C:C,Recidivism!E:E)</f>
        <v>17</v>
      </c>
      <c r="M232">
        <f>IF(ISNA(Table1[[#This Row],[habitual_offenders]]), _xlfn.AGGREGATE(1, 6, Table1[habitual_offenders]), Table1[[#This Row],[habitual_offenders]])</f>
        <v>17</v>
      </c>
      <c r="N232">
        <f>_xlfn.XLOOKUP(Table1[[#This Row],[Key]],Vocational!C:C,Vocational!E:E)</f>
        <v>275</v>
      </c>
      <c r="O232">
        <f>IF(ISNA(Table1[[#This Row],[vocational_count]]), _xlfn.AGGREGATE(1, 6,Table1[vocational_count]), Table1[[#This Row],[vocational_count]])</f>
        <v>275</v>
      </c>
    </row>
    <row r="233" spans="1:15" x14ac:dyDescent="0.3">
      <c r="A233" t="s">
        <v>25</v>
      </c>
      <c r="B233">
        <v>2012</v>
      </c>
      <c r="C233" t="str">
        <f>_xlfn.CONCAT(Table1[[#This Row],[STATE]],"-",Table1[[#This Row],[YEAR]])</f>
        <v>Orissa-2012</v>
      </c>
      <c r="D233">
        <v>830</v>
      </c>
      <c r="E233">
        <v>570</v>
      </c>
      <c r="F233">
        <v>118</v>
      </c>
      <c r="G233">
        <v>90</v>
      </c>
      <c r="H233" t="e">
        <f>_xlfn.XLOOKUP(Table1[[#This Row],[Key]],policseStrength!C:C,policseStrength!R:R)</f>
        <v>#N/A</v>
      </c>
      <c r="I233">
        <f>IF(ISNA(Table1[[#This Row],[total_ps]]), _xlfn.AGGREGATE(1, 6, Table1[total_ps]), Table1[[#This Row],[total_ps]])</f>
        <v>20128.370106761566</v>
      </c>
      <c r="J233">
        <f>_xlfn.XLOOKUP(Table1[[#This Row],[Key]],Recidivism!C:C,Recidivism!D:D)</f>
        <v>2146</v>
      </c>
      <c r="K233">
        <f>IF(ISNA(Table1[[#This Row],[convicts_admitted_raw]]), _xlfn.AGGREGATE(1, 6, Table1[convicts_admitted_raw]), Table1[[#This Row],[convicts_admitted_raw]])</f>
        <v>2146</v>
      </c>
      <c r="L233">
        <f>_xlfn.XLOOKUP(Table1[[#This Row],[Key]],Recidivism!C:C,Recidivism!E:E)</f>
        <v>170</v>
      </c>
      <c r="M233">
        <f>IF(ISNA(Table1[[#This Row],[habitual_offenders]]), _xlfn.AGGREGATE(1, 6, Table1[habitual_offenders]), Table1[[#This Row],[habitual_offenders]])</f>
        <v>170</v>
      </c>
      <c r="N233">
        <f>_xlfn.XLOOKUP(Table1[[#This Row],[Key]],Vocational!C:C,Vocational!E:E)</f>
        <v>103</v>
      </c>
      <c r="O233">
        <f>IF(ISNA(Table1[[#This Row],[vocational_count]]), _xlfn.AGGREGATE(1, 6,Table1[vocational_count]), Table1[[#This Row],[vocational_count]])</f>
        <v>103</v>
      </c>
    </row>
    <row r="234" spans="1:15" x14ac:dyDescent="0.3">
      <c r="A234" t="s">
        <v>26</v>
      </c>
      <c r="B234">
        <v>2001</v>
      </c>
      <c r="C234" t="str">
        <f>_xlfn.CONCAT(Table1[[#This Row],[STATE]],"-",Table1[[#This Row],[YEAR]])</f>
        <v>Punjab-2001</v>
      </c>
      <c r="D234">
        <v>83</v>
      </c>
      <c r="E234">
        <v>368</v>
      </c>
      <c r="F234">
        <v>88</v>
      </c>
      <c r="G234">
        <v>0</v>
      </c>
      <c r="H234">
        <f>_xlfn.XLOOKUP(Table1[[#This Row],[Key]],policseStrength!C:C,policseStrength!R:R)</f>
        <v>33054</v>
      </c>
      <c r="I234">
        <f>IF(ISNA(Table1[[#This Row],[total_ps]]), _xlfn.AGGREGATE(1, 6, Table1[total_ps]), Table1[[#This Row],[total_ps]])</f>
        <v>33054</v>
      </c>
      <c r="J234">
        <f>_xlfn.XLOOKUP(Table1[[#This Row],[Key]],Recidivism!C:C,Recidivism!D:D)</f>
        <v>575</v>
      </c>
      <c r="K234">
        <f>IF(ISNA(Table1[[#This Row],[convicts_admitted_raw]]), _xlfn.AGGREGATE(1, 6, Table1[convicts_admitted_raw]), Table1[[#This Row],[convicts_admitted_raw]])</f>
        <v>575</v>
      </c>
      <c r="L234">
        <f>_xlfn.XLOOKUP(Table1[[#This Row],[Key]],Recidivism!C:C,Recidivism!E:E)</f>
        <v>118</v>
      </c>
      <c r="M234">
        <f>IF(ISNA(Table1[[#This Row],[habitual_offenders]]), _xlfn.AGGREGATE(1, 6, Table1[habitual_offenders]), Table1[[#This Row],[habitual_offenders]])</f>
        <v>118</v>
      </c>
      <c r="N234">
        <f>_xlfn.XLOOKUP(Table1[[#This Row],[Key]],Vocational!C:C,Vocational!E:E)</f>
        <v>215</v>
      </c>
      <c r="O234">
        <f>IF(ISNA(Table1[[#This Row],[vocational_count]]), _xlfn.AGGREGATE(1, 6,Table1[vocational_count]), Table1[[#This Row],[vocational_count]])</f>
        <v>215</v>
      </c>
    </row>
    <row r="235" spans="1:15" x14ac:dyDescent="0.3">
      <c r="A235" t="s">
        <v>26</v>
      </c>
      <c r="B235">
        <v>2002</v>
      </c>
      <c r="C235" t="str">
        <f>_xlfn.CONCAT(Table1[[#This Row],[STATE]],"-",Table1[[#This Row],[YEAR]])</f>
        <v>Punjab-2002</v>
      </c>
      <c r="D235">
        <v>88</v>
      </c>
      <c r="E235">
        <v>310</v>
      </c>
      <c r="F235">
        <v>98</v>
      </c>
      <c r="G235">
        <v>0</v>
      </c>
      <c r="H235">
        <f>_xlfn.XLOOKUP(Table1[[#This Row],[Key]],policseStrength!C:C,policseStrength!R:R)</f>
        <v>33054</v>
      </c>
      <c r="I235">
        <f>IF(ISNA(Table1[[#This Row],[total_ps]]), _xlfn.AGGREGATE(1, 6, Table1[total_ps]), Table1[[#This Row],[total_ps]])</f>
        <v>33054</v>
      </c>
      <c r="J235">
        <f>_xlfn.XLOOKUP(Table1[[#This Row],[Key]],Recidivism!C:C,Recidivism!D:D)</f>
        <v>3203</v>
      </c>
      <c r="K235">
        <f>IF(ISNA(Table1[[#This Row],[convicts_admitted_raw]]), _xlfn.AGGREGATE(1, 6, Table1[convicts_admitted_raw]), Table1[[#This Row],[convicts_admitted_raw]])</f>
        <v>3203</v>
      </c>
      <c r="L235">
        <f>_xlfn.XLOOKUP(Table1[[#This Row],[Key]],Recidivism!C:C,Recidivism!E:E)</f>
        <v>336</v>
      </c>
      <c r="M235">
        <f>IF(ISNA(Table1[[#This Row],[habitual_offenders]]), _xlfn.AGGREGATE(1, 6, Table1[habitual_offenders]), Table1[[#This Row],[habitual_offenders]])</f>
        <v>336</v>
      </c>
      <c r="N235">
        <f>_xlfn.XLOOKUP(Table1[[#This Row],[Key]],Vocational!C:C,Vocational!E:E)</f>
        <v>990</v>
      </c>
      <c r="O235">
        <f>IF(ISNA(Table1[[#This Row],[vocational_count]]), _xlfn.AGGREGATE(1, 6,Table1[vocational_count]), Table1[[#This Row],[vocational_count]])</f>
        <v>990</v>
      </c>
    </row>
    <row r="236" spans="1:15" x14ac:dyDescent="0.3">
      <c r="A236" t="s">
        <v>26</v>
      </c>
      <c r="B236">
        <v>2003</v>
      </c>
      <c r="C236" t="str">
        <f>_xlfn.CONCAT(Table1[[#This Row],[STATE]],"-",Table1[[#This Row],[YEAR]])</f>
        <v>Punjab-2003</v>
      </c>
      <c r="D236">
        <v>85</v>
      </c>
      <c r="E236">
        <v>308</v>
      </c>
      <c r="F236">
        <v>94</v>
      </c>
      <c r="G236">
        <v>0</v>
      </c>
      <c r="H236">
        <f>_xlfn.XLOOKUP(Table1[[#This Row],[Key]],policseStrength!C:C,policseStrength!R:R)</f>
        <v>33054</v>
      </c>
      <c r="I236">
        <f>IF(ISNA(Table1[[#This Row],[total_ps]]), _xlfn.AGGREGATE(1, 6, Table1[total_ps]), Table1[[#This Row],[total_ps]])</f>
        <v>33054</v>
      </c>
      <c r="J236">
        <f>_xlfn.XLOOKUP(Table1[[#This Row],[Key]],Recidivism!C:C,Recidivism!D:D)</f>
        <v>5092</v>
      </c>
      <c r="K236">
        <f>IF(ISNA(Table1[[#This Row],[convicts_admitted_raw]]), _xlfn.AGGREGATE(1, 6, Table1[convicts_admitted_raw]), Table1[[#This Row],[convicts_admitted_raw]])</f>
        <v>5092</v>
      </c>
      <c r="L236">
        <f>_xlfn.XLOOKUP(Table1[[#This Row],[Key]],Recidivism!C:C,Recidivism!E:E)</f>
        <v>195</v>
      </c>
      <c r="M236">
        <f>IF(ISNA(Table1[[#This Row],[habitual_offenders]]), _xlfn.AGGREGATE(1, 6, Table1[habitual_offenders]), Table1[[#This Row],[habitual_offenders]])</f>
        <v>195</v>
      </c>
      <c r="N236">
        <f>_xlfn.XLOOKUP(Table1[[#This Row],[Key]],Vocational!C:C,Vocational!E:E)</f>
        <v>980</v>
      </c>
      <c r="O236">
        <f>IF(ISNA(Table1[[#This Row],[vocational_count]]), _xlfn.AGGREGATE(1, 6,Table1[vocational_count]), Table1[[#This Row],[vocational_count]])</f>
        <v>980</v>
      </c>
    </row>
    <row r="237" spans="1:15" x14ac:dyDescent="0.3">
      <c r="A237" t="s">
        <v>26</v>
      </c>
      <c r="B237">
        <v>2004</v>
      </c>
      <c r="C237" t="str">
        <f>_xlfn.CONCAT(Table1[[#This Row],[STATE]],"-",Table1[[#This Row],[YEAR]])</f>
        <v>Punjab-2004</v>
      </c>
      <c r="D237">
        <v>7</v>
      </c>
      <c r="E237">
        <v>168</v>
      </c>
      <c r="F237">
        <v>2</v>
      </c>
      <c r="G237">
        <v>0</v>
      </c>
      <c r="H237">
        <f>_xlfn.XLOOKUP(Table1[[#This Row],[Key]],policseStrength!C:C,policseStrength!R:R)</f>
        <v>37676</v>
      </c>
      <c r="I237">
        <f>IF(ISNA(Table1[[#This Row],[total_ps]]), _xlfn.AGGREGATE(1, 6, Table1[total_ps]), Table1[[#This Row],[total_ps]])</f>
        <v>37676</v>
      </c>
      <c r="J237">
        <f>_xlfn.XLOOKUP(Table1[[#This Row],[Key]],Recidivism!C:C,Recidivism!D:D)</f>
        <v>5275</v>
      </c>
      <c r="K237">
        <f>IF(ISNA(Table1[[#This Row],[convicts_admitted_raw]]), _xlfn.AGGREGATE(1, 6, Table1[convicts_admitted_raw]), Table1[[#This Row],[convicts_admitted_raw]])</f>
        <v>5275</v>
      </c>
      <c r="L237">
        <f>_xlfn.XLOOKUP(Table1[[#This Row],[Key]],Recidivism!C:C,Recidivism!E:E)</f>
        <v>206</v>
      </c>
      <c r="M237">
        <f>IF(ISNA(Table1[[#This Row],[habitual_offenders]]), _xlfn.AGGREGATE(1, 6, Table1[habitual_offenders]), Table1[[#This Row],[habitual_offenders]])</f>
        <v>206</v>
      </c>
      <c r="N237">
        <f>_xlfn.XLOOKUP(Table1[[#This Row],[Key]],Vocational!C:C,Vocational!E:E)</f>
        <v>608</v>
      </c>
      <c r="O237">
        <f>IF(ISNA(Table1[[#This Row],[vocational_count]]), _xlfn.AGGREGATE(1, 6,Table1[vocational_count]), Table1[[#This Row],[vocational_count]])</f>
        <v>608</v>
      </c>
    </row>
    <row r="238" spans="1:15" x14ac:dyDescent="0.3">
      <c r="A238" t="s">
        <v>26</v>
      </c>
      <c r="B238">
        <v>2005</v>
      </c>
      <c r="C238" t="str">
        <f>_xlfn.CONCAT(Table1[[#This Row],[STATE]],"-",Table1[[#This Row],[YEAR]])</f>
        <v>Punjab-2005</v>
      </c>
      <c r="D238">
        <v>7</v>
      </c>
      <c r="E238">
        <v>168</v>
      </c>
      <c r="F238">
        <v>1</v>
      </c>
      <c r="G238">
        <v>0</v>
      </c>
      <c r="H238">
        <f>_xlfn.XLOOKUP(Table1[[#This Row],[Key]],policseStrength!C:C,policseStrength!R:R)</f>
        <v>37676</v>
      </c>
      <c r="I238">
        <f>IF(ISNA(Table1[[#This Row],[total_ps]]), _xlfn.AGGREGATE(1, 6, Table1[total_ps]), Table1[[#This Row],[total_ps]])</f>
        <v>37676</v>
      </c>
      <c r="J238">
        <f>_xlfn.XLOOKUP(Table1[[#This Row],[Key]],Recidivism!C:C,Recidivism!D:D)</f>
        <v>4850</v>
      </c>
      <c r="K238">
        <f>IF(ISNA(Table1[[#This Row],[convicts_admitted_raw]]), _xlfn.AGGREGATE(1, 6, Table1[convicts_admitted_raw]), Table1[[#This Row],[convicts_admitted_raw]])</f>
        <v>4850</v>
      </c>
      <c r="L238">
        <f>_xlfn.XLOOKUP(Table1[[#This Row],[Key]],Recidivism!C:C,Recidivism!E:E)</f>
        <v>218</v>
      </c>
      <c r="M238">
        <f>IF(ISNA(Table1[[#This Row],[habitual_offenders]]), _xlfn.AGGREGATE(1, 6, Table1[habitual_offenders]), Table1[[#This Row],[habitual_offenders]])</f>
        <v>218</v>
      </c>
      <c r="N238">
        <f>_xlfn.XLOOKUP(Table1[[#This Row],[Key]],Vocational!C:C,Vocational!E:E)</f>
        <v>610</v>
      </c>
      <c r="O238">
        <f>IF(ISNA(Table1[[#This Row],[vocational_count]]), _xlfn.AGGREGATE(1, 6,Table1[vocational_count]), Table1[[#This Row],[vocational_count]])</f>
        <v>610</v>
      </c>
    </row>
    <row r="239" spans="1:15" x14ac:dyDescent="0.3">
      <c r="A239" t="s">
        <v>26</v>
      </c>
      <c r="B239">
        <v>2006</v>
      </c>
      <c r="C239" t="str">
        <f>_xlfn.CONCAT(Table1[[#This Row],[STATE]],"-",Table1[[#This Row],[YEAR]])</f>
        <v>Punjab-2006</v>
      </c>
      <c r="D239">
        <v>276</v>
      </c>
      <c r="E239">
        <v>176</v>
      </c>
      <c r="F239">
        <v>1</v>
      </c>
      <c r="G239">
        <v>0</v>
      </c>
      <c r="H239">
        <f>_xlfn.XLOOKUP(Table1[[#This Row],[Key]],policseStrength!C:C,policseStrength!R:R)</f>
        <v>39462</v>
      </c>
      <c r="I239">
        <f>IF(ISNA(Table1[[#This Row],[total_ps]]), _xlfn.AGGREGATE(1, 6, Table1[total_ps]), Table1[[#This Row],[total_ps]])</f>
        <v>39462</v>
      </c>
      <c r="J239">
        <f>_xlfn.XLOOKUP(Table1[[#This Row],[Key]],Recidivism!C:C,Recidivism!D:D)</f>
        <v>4798</v>
      </c>
      <c r="K239">
        <f>IF(ISNA(Table1[[#This Row],[convicts_admitted_raw]]), _xlfn.AGGREGATE(1, 6, Table1[convicts_admitted_raw]), Table1[[#This Row],[convicts_admitted_raw]])</f>
        <v>4798</v>
      </c>
      <c r="L239">
        <f>_xlfn.XLOOKUP(Table1[[#This Row],[Key]],Recidivism!C:C,Recidivism!E:E)</f>
        <v>238</v>
      </c>
      <c r="M239">
        <f>IF(ISNA(Table1[[#This Row],[habitual_offenders]]), _xlfn.AGGREGATE(1, 6, Table1[habitual_offenders]), Table1[[#This Row],[habitual_offenders]])</f>
        <v>238</v>
      </c>
      <c r="N239">
        <f>_xlfn.XLOOKUP(Table1[[#This Row],[Key]],Vocational!C:C,Vocational!E:E)</f>
        <v>827</v>
      </c>
      <c r="O239">
        <f>IF(ISNA(Table1[[#This Row],[vocational_count]]), _xlfn.AGGREGATE(1, 6,Table1[vocational_count]), Table1[[#This Row],[vocational_count]])</f>
        <v>827</v>
      </c>
    </row>
    <row r="240" spans="1:15" x14ac:dyDescent="0.3">
      <c r="A240" t="s">
        <v>26</v>
      </c>
      <c r="B240">
        <v>2007</v>
      </c>
      <c r="C240" t="str">
        <f>_xlfn.CONCAT(Table1[[#This Row],[STATE]],"-",Table1[[#This Row],[YEAR]])</f>
        <v>Punjab-2007</v>
      </c>
      <c r="D240">
        <v>291</v>
      </c>
      <c r="E240">
        <v>183</v>
      </c>
      <c r="F240">
        <v>2</v>
      </c>
      <c r="G240">
        <v>0</v>
      </c>
      <c r="H240">
        <f>_xlfn.XLOOKUP(Table1[[#This Row],[Key]],policseStrength!C:C,policseStrength!R:R)</f>
        <v>39462</v>
      </c>
      <c r="I240">
        <f>IF(ISNA(Table1[[#This Row],[total_ps]]), _xlfn.AGGREGATE(1, 6, Table1[total_ps]), Table1[[#This Row],[total_ps]])</f>
        <v>39462</v>
      </c>
      <c r="J240">
        <f>_xlfn.XLOOKUP(Table1[[#This Row],[Key]],Recidivism!C:C,Recidivism!D:D)</f>
        <v>4691</v>
      </c>
      <c r="K240">
        <f>IF(ISNA(Table1[[#This Row],[convicts_admitted_raw]]), _xlfn.AGGREGATE(1, 6, Table1[convicts_admitted_raw]), Table1[[#This Row],[convicts_admitted_raw]])</f>
        <v>4691</v>
      </c>
      <c r="L240">
        <f>_xlfn.XLOOKUP(Table1[[#This Row],[Key]],Recidivism!C:C,Recidivism!E:E)</f>
        <v>193</v>
      </c>
      <c r="M240">
        <f>IF(ISNA(Table1[[#This Row],[habitual_offenders]]), _xlfn.AGGREGATE(1, 6, Table1[habitual_offenders]), Table1[[#This Row],[habitual_offenders]])</f>
        <v>193</v>
      </c>
      <c r="N240">
        <f>_xlfn.XLOOKUP(Table1[[#This Row],[Key]],Vocational!C:C,Vocational!E:E)</f>
        <v>793</v>
      </c>
      <c r="O240">
        <f>IF(ISNA(Table1[[#This Row],[vocational_count]]), _xlfn.AGGREGATE(1, 6,Table1[vocational_count]), Table1[[#This Row],[vocational_count]])</f>
        <v>793</v>
      </c>
    </row>
    <row r="241" spans="1:15" x14ac:dyDescent="0.3">
      <c r="A241" t="s">
        <v>26</v>
      </c>
      <c r="B241">
        <v>2008</v>
      </c>
      <c r="C241" t="str">
        <f>_xlfn.CONCAT(Table1[[#This Row],[STATE]],"-",Table1[[#This Row],[YEAR]])</f>
        <v>Punjab-2008</v>
      </c>
      <c r="D241">
        <v>381</v>
      </c>
      <c r="E241">
        <v>524</v>
      </c>
      <c r="F241">
        <v>36</v>
      </c>
      <c r="G241">
        <v>145</v>
      </c>
      <c r="H241">
        <f>_xlfn.XLOOKUP(Table1[[#This Row],[Key]],policseStrength!C:C,policseStrength!R:R)</f>
        <v>38082</v>
      </c>
      <c r="I241">
        <f>IF(ISNA(Table1[[#This Row],[total_ps]]), _xlfn.AGGREGATE(1, 6, Table1[total_ps]), Table1[[#This Row],[total_ps]])</f>
        <v>38082</v>
      </c>
      <c r="J241">
        <f>_xlfn.XLOOKUP(Table1[[#This Row],[Key]],Recidivism!C:C,Recidivism!D:D)</f>
        <v>4566</v>
      </c>
      <c r="K241">
        <f>IF(ISNA(Table1[[#This Row],[convicts_admitted_raw]]), _xlfn.AGGREGATE(1, 6, Table1[convicts_admitted_raw]), Table1[[#This Row],[convicts_admitted_raw]])</f>
        <v>4566</v>
      </c>
      <c r="L241">
        <f>_xlfn.XLOOKUP(Table1[[#This Row],[Key]],Recidivism!C:C,Recidivism!E:E)</f>
        <v>176</v>
      </c>
      <c r="M241">
        <f>IF(ISNA(Table1[[#This Row],[habitual_offenders]]), _xlfn.AGGREGATE(1, 6, Table1[habitual_offenders]), Table1[[#This Row],[habitual_offenders]])</f>
        <v>176</v>
      </c>
      <c r="N241">
        <f>_xlfn.XLOOKUP(Table1[[#This Row],[Key]],Vocational!C:C,Vocational!E:E)</f>
        <v>264</v>
      </c>
      <c r="O241">
        <f>IF(ISNA(Table1[[#This Row],[vocational_count]]), _xlfn.AGGREGATE(1, 6,Table1[vocational_count]), Table1[[#This Row],[vocational_count]])</f>
        <v>264</v>
      </c>
    </row>
    <row r="242" spans="1:15" x14ac:dyDescent="0.3">
      <c r="A242" t="s">
        <v>26</v>
      </c>
      <c r="B242">
        <v>2009</v>
      </c>
      <c r="C242" t="str">
        <f>_xlfn.CONCAT(Table1[[#This Row],[STATE]],"-",Table1[[#This Row],[YEAR]])</f>
        <v>Punjab-2009</v>
      </c>
      <c r="D242">
        <v>342</v>
      </c>
      <c r="E242">
        <v>497</v>
      </c>
      <c r="F242">
        <v>33</v>
      </c>
      <c r="G242">
        <v>84</v>
      </c>
      <c r="H242">
        <f>_xlfn.XLOOKUP(Table1[[#This Row],[Key]],policseStrength!C:C,policseStrength!R:R)</f>
        <v>36026</v>
      </c>
      <c r="I242">
        <f>IF(ISNA(Table1[[#This Row],[total_ps]]), _xlfn.AGGREGATE(1, 6, Table1[total_ps]), Table1[[#This Row],[total_ps]])</f>
        <v>36026</v>
      </c>
      <c r="J242">
        <f>_xlfn.XLOOKUP(Table1[[#This Row],[Key]],Recidivism!C:C,Recidivism!D:D)</f>
        <v>6320</v>
      </c>
      <c r="K242">
        <f>IF(ISNA(Table1[[#This Row],[convicts_admitted_raw]]), _xlfn.AGGREGATE(1, 6, Table1[convicts_admitted_raw]), Table1[[#This Row],[convicts_admitted_raw]])</f>
        <v>6320</v>
      </c>
      <c r="L242">
        <f>_xlfn.XLOOKUP(Table1[[#This Row],[Key]],Recidivism!C:C,Recidivism!E:E)</f>
        <v>183</v>
      </c>
      <c r="M242">
        <f>IF(ISNA(Table1[[#This Row],[habitual_offenders]]), _xlfn.AGGREGATE(1, 6, Table1[habitual_offenders]), Table1[[#This Row],[habitual_offenders]])</f>
        <v>183</v>
      </c>
      <c r="N242">
        <f>_xlfn.XLOOKUP(Table1[[#This Row],[Key]],Vocational!C:C,Vocational!E:E)</f>
        <v>265</v>
      </c>
      <c r="O242">
        <f>IF(ISNA(Table1[[#This Row],[vocational_count]]), _xlfn.AGGREGATE(1, 6,Table1[vocational_count]), Table1[[#This Row],[vocational_count]])</f>
        <v>265</v>
      </c>
    </row>
    <row r="243" spans="1:15" x14ac:dyDescent="0.3">
      <c r="A243" t="s">
        <v>26</v>
      </c>
      <c r="B243">
        <v>2010</v>
      </c>
      <c r="C243" t="str">
        <f>_xlfn.CONCAT(Table1[[#This Row],[STATE]],"-",Table1[[#This Row],[YEAR]])</f>
        <v>Punjab-2010</v>
      </c>
      <c r="D243">
        <v>365</v>
      </c>
      <c r="E243">
        <v>502</v>
      </c>
      <c r="F243">
        <v>29</v>
      </c>
      <c r="G243">
        <v>92</v>
      </c>
      <c r="H243">
        <f>_xlfn.XLOOKUP(Table1[[#This Row],[Key]],policseStrength!C:C,policseStrength!R:R)</f>
        <v>37356</v>
      </c>
      <c r="I243">
        <f>IF(ISNA(Table1[[#This Row],[total_ps]]), _xlfn.AGGREGATE(1, 6, Table1[total_ps]), Table1[[#This Row],[total_ps]])</f>
        <v>37356</v>
      </c>
      <c r="J243">
        <f>_xlfn.XLOOKUP(Table1[[#This Row],[Key]],Recidivism!C:C,Recidivism!D:D)</f>
        <v>6266</v>
      </c>
      <c r="K243">
        <f>IF(ISNA(Table1[[#This Row],[convicts_admitted_raw]]), _xlfn.AGGREGATE(1, 6, Table1[convicts_admitted_raw]), Table1[[#This Row],[convicts_admitted_raw]])</f>
        <v>6266</v>
      </c>
      <c r="L243">
        <f>_xlfn.XLOOKUP(Table1[[#This Row],[Key]],Recidivism!C:C,Recidivism!E:E)</f>
        <v>90</v>
      </c>
      <c r="M243">
        <f>IF(ISNA(Table1[[#This Row],[habitual_offenders]]), _xlfn.AGGREGATE(1, 6, Table1[habitual_offenders]), Table1[[#This Row],[habitual_offenders]])</f>
        <v>90</v>
      </c>
      <c r="N243">
        <f>_xlfn.XLOOKUP(Table1[[#This Row],[Key]],Vocational!C:C,Vocational!E:E)</f>
        <v>269</v>
      </c>
      <c r="O243">
        <f>IF(ISNA(Table1[[#This Row],[vocational_count]]), _xlfn.AGGREGATE(1, 6,Table1[vocational_count]), Table1[[#This Row],[vocational_count]])</f>
        <v>269</v>
      </c>
    </row>
    <row r="244" spans="1:15" x14ac:dyDescent="0.3">
      <c r="A244" t="s">
        <v>26</v>
      </c>
      <c r="B244">
        <v>2011</v>
      </c>
      <c r="C244" t="str">
        <f>_xlfn.CONCAT(Table1[[#This Row],[STATE]],"-",Table1[[#This Row],[YEAR]])</f>
        <v>Punjab-2011</v>
      </c>
      <c r="D244">
        <v>378</v>
      </c>
      <c r="E244">
        <v>514</v>
      </c>
      <c r="F244">
        <v>32</v>
      </c>
      <c r="G244">
        <v>96</v>
      </c>
      <c r="H244" t="e">
        <f>_xlfn.XLOOKUP(Table1[[#This Row],[Key]],policseStrength!C:C,policseStrength!R:R)</f>
        <v>#N/A</v>
      </c>
      <c r="I244">
        <f>IF(ISNA(Table1[[#This Row],[total_ps]]), _xlfn.AGGREGATE(1, 6, Table1[total_ps]), Table1[[#This Row],[total_ps]])</f>
        <v>20128.370106761566</v>
      </c>
      <c r="J244">
        <f>_xlfn.XLOOKUP(Table1[[#This Row],[Key]],Recidivism!C:C,Recidivism!D:D)</f>
        <v>7524</v>
      </c>
      <c r="K244">
        <f>IF(ISNA(Table1[[#This Row],[convicts_admitted_raw]]), _xlfn.AGGREGATE(1, 6, Table1[convicts_admitted_raw]), Table1[[#This Row],[convicts_admitted_raw]])</f>
        <v>7524</v>
      </c>
      <c r="L244">
        <f>_xlfn.XLOOKUP(Table1[[#This Row],[Key]],Recidivism!C:C,Recidivism!E:E)</f>
        <v>187</v>
      </c>
      <c r="M244">
        <f>IF(ISNA(Table1[[#This Row],[habitual_offenders]]), _xlfn.AGGREGATE(1, 6, Table1[habitual_offenders]), Table1[[#This Row],[habitual_offenders]])</f>
        <v>187</v>
      </c>
      <c r="N244">
        <f>_xlfn.XLOOKUP(Table1[[#This Row],[Key]],Vocational!C:C,Vocational!E:E)</f>
        <v>280</v>
      </c>
      <c r="O244">
        <f>IF(ISNA(Table1[[#This Row],[vocational_count]]), _xlfn.AGGREGATE(1, 6,Table1[vocational_count]), Table1[[#This Row],[vocational_count]])</f>
        <v>280</v>
      </c>
    </row>
    <row r="245" spans="1:15" x14ac:dyDescent="0.3">
      <c r="A245" t="s">
        <v>26</v>
      </c>
      <c r="B245">
        <v>2012</v>
      </c>
      <c r="C245" t="str">
        <f>_xlfn.CONCAT(Table1[[#This Row],[STATE]],"-",Table1[[#This Row],[YEAR]])</f>
        <v>Punjab-2012</v>
      </c>
      <c r="D245">
        <v>430</v>
      </c>
      <c r="E245">
        <v>602</v>
      </c>
      <c r="F245">
        <v>90</v>
      </c>
      <c r="G245">
        <v>142</v>
      </c>
      <c r="H245" t="e">
        <f>_xlfn.XLOOKUP(Table1[[#This Row],[Key]],policseStrength!C:C,policseStrength!R:R)</f>
        <v>#N/A</v>
      </c>
      <c r="I245">
        <f>IF(ISNA(Table1[[#This Row],[total_ps]]), _xlfn.AGGREGATE(1, 6, Table1[total_ps]), Table1[[#This Row],[total_ps]])</f>
        <v>20128.370106761566</v>
      </c>
      <c r="J245">
        <f>_xlfn.XLOOKUP(Table1[[#This Row],[Key]],Recidivism!C:C,Recidivism!D:D)</f>
        <v>8713</v>
      </c>
      <c r="K245">
        <f>IF(ISNA(Table1[[#This Row],[convicts_admitted_raw]]), _xlfn.AGGREGATE(1, 6, Table1[convicts_admitted_raw]), Table1[[#This Row],[convicts_admitted_raw]])</f>
        <v>8713</v>
      </c>
      <c r="L245">
        <f>_xlfn.XLOOKUP(Table1[[#This Row],[Key]],Recidivism!C:C,Recidivism!E:E)</f>
        <v>421</v>
      </c>
      <c r="M245">
        <f>IF(ISNA(Table1[[#This Row],[habitual_offenders]]), _xlfn.AGGREGATE(1, 6, Table1[habitual_offenders]), Table1[[#This Row],[habitual_offenders]])</f>
        <v>421</v>
      </c>
      <c r="N245">
        <f>_xlfn.XLOOKUP(Table1[[#This Row],[Key]],Vocational!C:C,Vocational!E:E)</f>
        <v>309</v>
      </c>
      <c r="O245">
        <f>IF(ISNA(Table1[[#This Row],[vocational_count]]), _xlfn.AGGREGATE(1, 6,Table1[vocational_count]), Table1[[#This Row],[vocational_count]])</f>
        <v>309</v>
      </c>
    </row>
    <row r="246" spans="1:15" x14ac:dyDescent="0.3">
      <c r="A246" t="s">
        <v>27</v>
      </c>
      <c r="B246">
        <v>2001</v>
      </c>
      <c r="C246" t="str">
        <f>_xlfn.CONCAT(Table1[[#This Row],[STATE]],"-",Table1[[#This Row],[YEAR]])</f>
        <v>Rajasthan-2001</v>
      </c>
      <c r="D246">
        <v>3168</v>
      </c>
      <c r="E246">
        <v>679</v>
      </c>
      <c r="F246">
        <v>345</v>
      </c>
      <c r="G246">
        <v>84</v>
      </c>
      <c r="H246">
        <f>_xlfn.XLOOKUP(Table1[[#This Row],[Key]],policseStrength!C:C,policseStrength!R:R)</f>
        <v>23164</v>
      </c>
      <c r="I246">
        <f>IF(ISNA(Table1[[#This Row],[total_ps]]), _xlfn.AGGREGATE(1, 6, Table1[total_ps]), Table1[[#This Row],[total_ps]])</f>
        <v>23164</v>
      </c>
      <c r="J246">
        <f>_xlfn.XLOOKUP(Table1[[#This Row],[Key]],Recidivism!C:C,Recidivism!D:D)</f>
        <v>10895</v>
      </c>
      <c r="K246">
        <f>IF(ISNA(Table1[[#This Row],[convicts_admitted_raw]]), _xlfn.AGGREGATE(1, 6, Table1[convicts_admitted_raw]), Table1[[#This Row],[convicts_admitted_raw]])</f>
        <v>10895</v>
      </c>
      <c r="L246">
        <f>_xlfn.XLOOKUP(Table1[[#This Row],[Key]],Recidivism!C:C,Recidivism!E:E)</f>
        <v>489</v>
      </c>
      <c r="M246">
        <f>IF(ISNA(Table1[[#This Row],[habitual_offenders]]), _xlfn.AGGREGATE(1, 6, Table1[habitual_offenders]), Table1[[#This Row],[habitual_offenders]])</f>
        <v>489</v>
      </c>
      <c r="N246">
        <f>_xlfn.XLOOKUP(Table1[[#This Row],[Key]],Vocational!C:C,Vocational!E:E)</f>
        <v>157</v>
      </c>
      <c r="O246">
        <f>IF(ISNA(Table1[[#This Row],[vocational_count]]), _xlfn.AGGREGATE(1, 6,Table1[vocational_count]), Table1[[#This Row],[vocational_count]])</f>
        <v>157</v>
      </c>
    </row>
    <row r="247" spans="1:15" x14ac:dyDescent="0.3">
      <c r="A247" t="s">
        <v>27</v>
      </c>
      <c r="B247">
        <v>2002</v>
      </c>
      <c r="C247" t="str">
        <f>_xlfn.CONCAT(Table1[[#This Row],[STATE]],"-",Table1[[#This Row],[YEAR]])</f>
        <v>Rajasthan-2002</v>
      </c>
      <c r="D247">
        <v>875</v>
      </c>
      <c r="E247">
        <v>848</v>
      </c>
      <c r="F247">
        <v>45</v>
      </c>
      <c r="G247">
        <v>63</v>
      </c>
      <c r="H247">
        <f>_xlfn.XLOOKUP(Table1[[#This Row],[Key]],policseStrength!C:C,policseStrength!R:R)</f>
        <v>22642</v>
      </c>
      <c r="I247">
        <f>IF(ISNA(Table1[[#This Row],[total_ps]]), _xlfn.AGGREGATE(1, 6, Table1[total_ps]), Table1[[#This Row],[total_ps]])</f>
        <v>22642</v>
      </c>
      <c r="J247">
        <f>_xlfn.XLOOKUP(Table1[[#This Row],[Key]],Recidivism!C:C,Recidivism!D:D)</f>
        <v>12405</v>
      </c>
      <c r="K247">
        <f>IF(ISNA(Table1[[#This Row],[convicts_admitted_raw]]), _xlfn.AGGREGATE(1, 6, Table1[convicts_admitted_raw]), Table1[[#This Row],[convicts_admitted_raw]])</f>
        <v>12405</v>
      </c>
      <c r="L247">
        <f>_xlfn.XLOOKUP(Table1[[#This Row],[Key]],Recidivism!C:C,Recidivism!E:E)</f>
        <v>186</v>
      </c>
      <c r="M247">
        <f>IF(ISNA(Table1[[#This Row],[habitual_offenders]]), _xlfn.AGGREGATE(1, 6, Table1[habitual_offenders]), Table1[[#This Row],[habitual_offenders]])</f>
        <v>186</v>
      </c>
      <c r="N247">
        <f>_xlfn.XLOOKUP(Table1[[#This Row],[Key]],Vocational!C:C,Vocational!E:E)</f>
        <v>17</v>
      </c>
      <c r="O247">
        <f>IF(ISNA(Table1[[#This Row],[vocational_count]]), _xlfn.AGGREGATE(1, 6,Table1[vocational_count]), Table1[[#This Row],[vocational_count]])</f>
        <v>17</v>
      </c>
    </row>
    <row r="248" spans="1:15" x14ac:dyDescent="0.3">
      <c r="A248" t="s">
        <v>27</v>
      </c>
      <c r="B248">
        <v>2003</v>
      </c>
      <c r="C248" t="str">
        <f>_xlfn.CONCAT(Table1[[#This Row],[STATE]],"-",Table1[[#This Row],[YEAR]])</f>
        <v>Rajasthan-2003</v>
      </c>
      <c r="D248">
        <v>979</v>
      </c>
      <c r="E248">
        <v>768</v>
      </c>
      <c r="F248">
        <v>96</v>
      </c>
      <c r="G248">
        <v>96</v>
      </c>
      <c r="H248">
        <f>_xlfn.XLOOKUP(Table1[[#This Row],[Key]],policseStrength!C:C,policseStrength!R:R)</f>
        <v>23244</v>
      </c>
      <c r="I248">
        <f>IF(ISNA(Table1[[#This Row],[total_ps]]), _xlfn.AGGREGATE(1, 6, Table1[total_ps]), Table1[[#This Row],[total_ps]])</f>
        <v>23244</v>
      </c>
      <c r="J248">
        <f>_xlfn.XLOOKUP(Table1[[#This Row],[Key]],Recidivism!C:C,Recidivism!D:D)</f>
        <v>13314</v>
      </c>
      <c r="K248">
        <f>IF(ISNA(Table1[[#This Row],[convicts_admitted_raw]]), _xlfn.AGGREGATE(1, 6, Table1[convicts_admitted_raw]), Table1[[#This Row],[convicts_admitted_raw]])</f>
        <v>13314</v>
      </c>
      <c r="L248">
        <f>_xlfn.XLOOKUP(Table1[[#This Row],[Key]],Recidivism!C:C,Recidivism!E:E)</f>
        <v>176</v>
      </c>
      <c r="M248">
        <f>IF(ISNA(Table1[[#This Row],[habitual_offenders]]), _xlfn.AGGREGATE(1, 6, Table1[habitual_offenders]), Table1[[#This Row],[habitual_offenders]])</f>
        <v>176</v>
      </c>
      <c r="N248">
        <f>_xlfn.XLOOKUP(Table1[[#This Row],[Key]],Vocational!C:C,Vocational!E:E)</f>
        <v>23</v>
      </c>
      <c r="O248">
        <f>IF(ISNA(Table1[[#This Row],[vocational_count]]), _xlfn.AGGREGATE(1, 6,Table1[vocational_count]), Table1[[#This Row],[vocational_count]])</f>
        <v>23</v>
      </c>
    </row>
    <row r="249" spans="1:15" x14ac:dyDescent="0.3">
      <c r="A249" t="s">
        <v>27</v>
      </c>
      <c r="B249">
        <v>2004</v>
      </c>
      <c r="C249" t="str">
        <f>_xlfn.CONCAT(Table1[[#This Row],[STATE]],"-",Table1[[#This Row],[YEAR]])</f>
        <v>Rajasthan-2004</v>
      </c>
      <c r="D249">
        <v>223</v>
      </c>
      <c r="E249">
        <v>821</v>
      </c>
      <c r="F249">
        <v>113</v>
      </c>
      <c r="G249">
        <v>54</v>
      </c>
      <c r="H249">
        <f>_xlfn.XLOOKUP(Table1[[#This Row],[Key]],policseStrength!C:C,policseStrength!R:R)</f>
        <v>22976</v>
      </c>
      <c r="I249">
        <f>IF(ISNA(Table1[[#This Row],[total_ps]]), _xlfn.AGGREGATE(1, 6, Table1[total_ps]), Table1[[#This Row],[total_ps]])</f>
        <v>22976</v>
      </c>
      <c r="J249">
        <f>_xlfn.XLOOKUP(Table1[[#This Row],[Key]],Recidivism!C:C,Recidivism!D:D)</f>
        <v>10782</v>
      </c>
      <c r="K249">
        <f>IF(ISNA(Table1[[#This Row],[convicts_admitted_raw]]), _xlfn.AGGREGATE(1, 6, Table1[convicts_admitted_raw]), Table1[[#This Row],[convicts_admitted_raw]])</f>
        <v>10782</v>
      </c>
      <c r="L249">
        <f>_xlfn.XLOOKUP(Table1[[#This Row],[Key]],Recidivism!C:C,Recidivism!E:E)</f>
        <v>192</v>
      </c>
      <c r="M249">
        <f>IF(ISNA(Table1[[#This Row],[habitual_offenders]]), _xlfn.AGGREGATE(1, 6, Table1[habitual_offenders]), Table1[[#This Row],[habitual_offenders]])</f>
        <v>192</v>
      </c>
      <c r="N249">
        <f>_xlfn.XLOOKUP(Table1[[#This Row],[Key]],Vocational!C:C,Vocational!E:E)</f>
        <v>50</v>
      </c>
      <c r="O249">
        <f>IF(ISNA(Table1[[#This Row],[vocational_count]]), _xlfn.AGGREGATE(1, 6,Table1[vocational_count]), Table1[[#This Row],[vocational_count]])</f>
        <v>50</v>
      </c>
    </row>
    <row r="250" spans="1:15" x14ac:dyDescent="0.3">
      <c r="A250" t="s">
        <v>27</v>
      </c>
      <c r="B250">
        <v>2005</v>
      </c>
      <c r="C250" t="str">
        <f>_xlfn.CONCAT(Table1[[#This Row],[STATE]],"-",Table1[[#This Row],[YEAR]])</f>
        <v>Rajasthan-2005</v>
      </c>
      <c r="D250">
        <v>389</v>
      </c>
      <c r="E250">
        <v>834</v>
      </c>
      <c r="F250">
        <v>182</v>
      </c>
      <c r="G250">
        <v>34</v>
      </c>
      <c r="H250">
        <f>_xlfn.XLOOKUP(Table1[[#This Row],[Key]],policseStrength!C:C,policseStrength!R:R)</f>
        <v>21606</v>
      </c>
      <c r="I250">
        <f>IF(ISNA(Table1[[#This Row],[total_ps]]), _xlfn.AGGREGATE(1, 6, Table1[total_ps]), Table1[[#This Row],[total_ps]])</f>
        <v>21606</v>
      </c>
      <c r="J250">
        <f>_xlfn.XLOOKUP(Table1[[#This Row],[Key]],Recidivism!C:C,Recidivism!D:D)</f>
        <v>10288</v>
      </c>
      <c r="K250">
        <f>IF(ISNA(Table1[[#This Row],[convicts_admitted_raw]]), _xlfn.AGGREGATE(1, 6, Table1[convicts_admitted_raw]), Table1[[#This Row],[convicts_admitted_raw]])</f>
        <v>10288</v>
      </c>
      <c r="L250">
        <f>_xlfn.XLOOKUP(Table1[[#This Row],[Key]],Recidivism!C:C,Recidivism!E:E)</f>
        <v>206</v>
      </c>
      <c r="M250">
        <f>IF(ISNA(Table1[[#This Row],[habitual_offenders]]), _xlfn.AGGREGATE(1, 6, Table1[habitual_offenders]), Table1[[#This Row],[habitual_offenders]])</f>
        <v>206</v>
      </c>
      <c r="N250">
        <f>_xlfn.XLOOKUP(Table1[[#This Row],[Key]],Vocational!C:C,Vocational!E:E)</f>
        <v>33</v>
      </c>
      <c r="O250">
        <f>IF(ISNA(Table1[[#This Row],[vocational_count]]), _xlfn.AGGREGATE(1, 6,Table1[vocational_count]), Table1[[#This Row],[vocational_count]])</f>
        <v>33</v>
      </c>
    </row>
    <row r="251" spans="1:15" x14ac:dyDescent="0.3">
      <c r="A251" t="s">
        <v>27</v>
      </c>
      <c r="B251">
        <v>2006</v>
      </c>
      <c r="C251" t="str">
        <f>_xlfn.CONCAT(Table1[[#This Row],[STATE]],"-",Table1[[#This Row],[YEAR]])</f>
        <v>Rajasthan-2006</v>
      </c>
      <c r="D251">
        <v>284</v>
      </c>
      <c r="E251">
        <v>777</v>
      </c>
      <c r="F251">
        <v>117</v>
      </c>
      <c r="G251">
        <v>42</v>
      </c>
      <c r="H251">
        <f>_xlfn.XLOOKUP(Table1[[#This Row],[Key]],policseStrength!C:C,policseStrength!R:R)</f>
        <v>21244</v>
      </c>
      <c r="I251">
        <f>IF(ISNA(Table1[[#This Row],[total_ps]]), _xlfn.AGGREGATE(1, 6, Table1[total_ps]), Table1[[#This Row],[total_ps]])</f>
        <v>21244</v>
      </c>
      <c r="J251">
        <f>_xlfn.XLOOKUP(Table1[[#This Row],[Key]],Recidivism!C:C,Recidivism!D:D)</f>
        <v>11476</v>
      </c>
      <c r="K251">
        <f>IF(ISNA(Table1[[#This Row],[convicts_admitted_raw]]), _xlfn.AGGREGATE(1, 6, Table1[convicts_admitted_raw]), Table1[[#This Row],[convicts_admitted_raw]])</f>
        <v>11476</v>
      </c>
      <c r="L251">
        <f>_xlfn.XLOOKUP(Table1[[#This Row],[Key]],Recidivism!C:C,Recidivism!E:E)</f>
        <v>181</v>
      </c>
      <c r="M251">
        <f>IF(ISNA(Table1[[#This Row],[habitual_offenders]]), _xlfn.AGGREGATE(1, 6, Table1[habitual_offenders]), Table1[[#This Row],[habitual_offenders]])</f>
        <v>181</v>
      </c>
      <c r="N251">
        <f>_xlfn.XLOOKUP(Table1[[#This Row],[Key]],Vocational!C:C,Vocational!E:E)</f>
        <v>34</v>
      </c>
      <c r="O251">
        <f>IF(ISNA(Table1[[#This Row],[vocational_count]]), _xlfn.AGGREGATE(1, 6,Table1[vocational_count]), Table1[[#This Row],[vocational_count]])</f>
        <v>34</v>
      </c>
    </row>
    <row r="252" spans="1:15" x14ac:dyDescent="0.3">
      <c r="A252" t="s">
        <v>27</v>
      </c>
      <c r="B252">
        <v>2007</v>
      </c>
      <c r="C252" t="str">
        <f>_xlfn.CONCAT(Table1[[#This Row],[STATE]],"-",Table1[[#This Row],[YEAR]])</f>
        <v>Rajasthan-2007</v>
      </c>
      <c r="D252">
        <v>308</v>
      </c>
      <c r="E252">
        <v>437</v>
      </c>
      <c r="F252">
        <v>45</v>
      </c>
      <c r="G252">
        <v>36</v>
      </c>
      <c r="H252">
        <f>_xlfn.XLOOKUP(Table1[[#This Row],[Key]],policseStrength!C:C,policseStrength!R:R)</f>
        <v>21100</v>
      </c>
      <c r="I252">
        <f>IF(ISNA(Table1[[#This Row],[total_ps]]), _xlfn.AGGREGATE(1, 6, Table1[total_ps]), Table1[[#This Row],[total_ps]])</f>
        <v>21100</v>
      </c>
      <c r="J252">
        <f>_xlfn.XLOOKUP(Table1[[#This Row],[Key]],Recidivism!C:C,Recidivism!D:D)</f>
        <v>11365</v>
      </c>
      <c r="K252">
        <f>IF(ISNA(Table1[[#This Row],[convicts_admitted_raw]]), _xlfn.AGGREGATE(1, 6, Table1[convicts_admitted_raw]), Table1[[#This Row],[convicts_admitted_raw]])</f>
        <v>11365</v>
      </c>
      <c r="L252">
        <f>_xlfn.XLOOKUP(Table1[[#This Row],[Key]],Recidivism!C:C,Recidivism!E:E)</f>
        <v>237</v>
      </c>
      <c r="M252">
        <f>IF(ISNA(Table1[[#This Row],[habitual_offenders]]), _xlfn.AGGREGATE(1, 6, Table1[habitual_offenders]), Table1[[#This Row],[habitual_offenders]])</f>
        <v>237</v>
      </c>
      <c r="N252">
        <f>_xlfn.XLOOKUP(Table1[[#This Row],[Key]],Vocational!C:C,Vocational!E:E)</f>
        <v>31</v>
      </c>
      <c r="O252">
        <f>IF(ISNA(Table1[[#This Row],[vocational_count]]), _xlfn.AGGREGATE(1, 6,Table1[vocational_count]), Table1[[#This Row],[vocational_count]])</f>
        <v>31</v>
      </c>
    </row>
    <row r="253" spans="1:15" x14ac:dyDescent="0.3">
      <c r="A253" t="s">
        <v>27</v>
      </c>
      <c r="B253">
        <v>2008</v>
      </c>
      <c r="C253" t="str">
        <f>_xlfn.CONCAT(Table1[[#This Row],[STATE]],"-",Table1[[#This Row],[YEAR]])</f>
        <v>Rajasthan-2008</v>
      </c>
      <c r="D253">
        <v>439</v>
      </c>
      <c r="E253">
        <v>521</v>
      </c>
      <c r="F253">
        <v>57</v>
      </c>
      <c r="G253">
        <v>37</v>
      </c>
      <c r="H253">
        <f>_xlfn.XLOOKUP(Table1[[#This Row],[Key]],policseStrength!C:C,policseStrength!R:R)</f>
        <v>23444</v>
      </c>
      <c r="I253">
        <f>IF(ISNA(Table1[[#This Row],[total_ps]]), _xlfn.AGGREGATE(1, 6, Table1[total_ps]), Table1[[#This Row],[total_ps]])</f>
        <v>23444</v>
      </c>
      <c r="J253">
        <f>_xlfn.XLOOKUP(Table1[[#This Row],[Key]],Recidivism!C:C,Recidivism!D:D)</f>
        <v>9906</v>
      </c>
      <c r="K253">
        <f>IF(ISNA(Table1[[#This Row],[convicts_admitted_raw]]), _xlfn.AGGREGATE(1, 6, Table1[convicts_admitted_raw]), Table1[[#This Row],[convicts_admitted_raw]])</f>
        <v>9906</v>
      </c>
      <c r="L253">
        <f>_xlfn.XLOOKUP(Table1[[#This Row],[Key]],Recidivism!C:C,Recidivism!E:E)</f>
        <v>240</v>
      </c>
      <c r="M253">
        <f>IF(ISNA(Table1[[#This Row],[habitual_offenders]]), _xlfn.AGGREGATE(1, 6, Table1[habitual_offenders]), Table1[[#This Row],[habitual_offenders]])</f>
        <v>240</v>
      </c>
      <c r="N253">
        <f>_xlfn.XLOOKUP(Table1[[#This Row],[Key]],Vocational!C:C,Vocational!E:E)</f>
        <v>2424</v>
      </c>
      <c r="O253">
        <f>IF(ISNA(Table1[[#This Row],[vocational_count]]), _xlfn.AGGREGATE(1, 6,Table1[vocational_count]), Table1[[#This Row],[vocational_count]])</f>
        <v>2424</v>
      </c>
    </row>
    <row r="254" spans="1:15" x14ac:dyDescent="0.3">
      <c r="A254" t="s">
        <v>27</v>
      </c>
      <c r="B254">
        <v>2009</v>
      </c>
      <c r="C254" t="str">
        <f>_xlfn.CONCAT(Table1[[#This Row],[STATE]],"-",Table1[[#This Row],[YEAR]])</f>
        <v>Rajasthan-2009</v>
      </c>
      <c r="D254">
        <v>220</v>
      </c>
      <c r="E254">
        <v>724</v>
      </c>
      <c r="F254">
        <v>19</v>
      </c>
      <c r="G254">
        <v>60</v>
      </c>
      <c r="H254">
        <f>_xlfn.XLOOKUP(Table1[[#This Row],[Key]],policseStrength!C:C,policseStrength!R:R)</f>
        <v>24090</v>
      </c>
      <c r="I254">
        <f>IF(ISNA(Table1[[#This Row],[total_ps]]), _xlfn.AGGREGATE(1, 6, Table1[total_ps]), Table1[[#This Row],[total_ps]])</f>
        <v>24090</v>
      </c>
      <c r="J254">
        <f>_xlfn.XLOOKUP(Table1[[#This Row],[Key]],Recidivism!C:C,Recidivism!D:D)</f>
        <v>8889</v>
      </c>
      <c r="K254">
        <f>IF(ISNA(Table1[[#This Row],[convicts_admitted_raw]]), _xlfn.AGGREGATE(1, 6, Table1[convicts_admitted_raw]), Table1[[#This Row],[convicts_admitted_raw]])</f>
        <v>8889</v>
      </c>
      <c r="L254">
        <f>_xlfn.XLOOKUP(Table1[[#This Row],[Key]],Recidivism!C:C,Recidivism!E:E)</f>
        <v>312</v>
      </c>
      <c r="M254">
        <f>IF(ISNA(Table1[[#This Row],[habitual_offenders]]), _xlfn.AGGREGATE(1, 6, Table1[habitual_offenders]), Table1[[#This Row],[habitual_offenders]])</f>
        <v>312</v>
      </c>
      <c r="N254">
        <f>_xlfn.XLOOKUP(Table1[[#This Row],[Key]],Vocational!C:C,Vocational!E:E)</f>
        <v>148</v>
      </c>
      <c r="O254">
        <f>IF(ISNA(Table1[[#This Row],[vocational_count]]), _xlfn.AGGREGATE(1, 6,Table1[vocational_count]), Table1[[#This Row],[vocational_count]])</f>
        <v>148</v>
      </c>
    </row>
    <row r="255" spans="1:15" x14ac:dyDescent="0.3">
      <c r="A255" t="s">
        <v>27</v>
      </c>
      <c r="B255">
        <v>2010</v>
      </c>
      <c r="C255" t="str">
        <f>_xlfn.CONCAT(Table1[[#This Row],[STATE]],"-",Table1[[#This Row],[YEAR]])</f>
        <v>Rajasthan-2010</v>
      </c>
      <c r="D255">
        <v>528</v>
      </c>
      <c r="E255">
        <v>729</v>
      </c>
      <c r="F255">
        <v>20</v>
      </c>
      <c r="G255">
        <v>95</v>
      </c>
      <c r="H255">
        <f>_xlfn.XLOOKUP(Table1[[#This Row],[Key]],policseStrength!C:C,policseStrength!R:R)</f>
        <v>23924</v>
      </c>
      <c r="I255">
        <f>IF(ISNA(Table1[[#This Row],[total_ps]]), _xlfn.AGGREGATE(1, 6, Table1[total_ps]), Table1[[#This Row],[total_ps]])</f>
        <v>23924</v>
      </c>
      <c r="J255">
        <f>_xlfn.XLOOKUP(Table1[[#This Row],[Key]],Recidivism!C:C,Recidivism!D:D)</f>
        <v>7687</v>
      </c>
      <c r="K255">
        <f>IF(ISNA(Table1[[#This Row],[convicts_admitted_raw]]), _xlfn.AGGREGATE(1, 6, Table1[convicts_admitted_raw]), Table1[[#This Row],[convicts_admitted_raw]])</f>
        <v>7687</v>
      </c>
      <c r="L255">
        <f>_xlfn.XLOOKUP(Table1[[#This Row],[Key]],Recidivism!C:C,Recidivism!E:E)</f>
        <v>149</v>
      </c>
      <c r="M255">
        <f>IF(ISNA(Table1[[#This Row],[habitual_offenders]]), _xlfn.AGGREGATE(1, 6, Table1[habitual_offenders]), Table1[[#This Row],[habitual_offenders]])</f>
        <v>149</v>
      </c>
      <c r="N255">
        <f>_xlfn.XLOOKUP(Table1[[#This Row],[Key]],Vocational!C:C,Vocational!E:E)</f>
        <v>254</v>
      </c>
      <c r="O255">
        <f>IF(ISNA(Table1[[#This Row],[vocational_count]]), _xlfn.AGGREGATE(1, 6,Table1[vocational_count]), Table1[[#This Row],[vocational_count]])</f>
        <v>254</v>
      </c>
    </row>
    <row r="256" spans="1:15" x14ac:dyDescent="0.3">
      <c r="A256" t="s">
        <v>27</v>
      </c>
      <c r="B256">
        <v>2011</v>
      </c>
      <c r="C256" t="str">
        <f>_xlfn.CONCAT(Table1[[#This Row],[STATE]],"-",Table1[[#This Row],[YEAR]])</f>
        <v>Rajasthan-2011</v>
      </c>
      <c r="D256">
        <v>999</v>
      </c>
      <c r="E256">
        <v>418</v>
      </c>
      <c r="F256">
        <v>15</v>
      </c>
      <c r="G256">
        <v>89</v>
      </c>
      <c r="H256" t="e">
        <f>_xlfn.XLOOKUP(Table1[[#This Row],[Key]],policseStrength!C:C,policseStrength!R:R)</f>
        <v>#N/A</v>
      </c>
      <c r="I256">
        <f>IF(ISNA(Table1[[#This Row],[total_ps]]), _xlfn.AGGREGATE(1, 6, Table1[total_ps]), Table1[[#This Row],[total_ps]])</f>
        <v>20128.370106761566</v>
      </c>
      <c r="J256">
        <f>_xlfn.XLOOKUP(Table1[[#This Row],[Key]],Recidivism!C:C,Recidivism!D:D)</f>
        <v>9326</v>
      </c>
      <c r="K256">
        <f>IF(ISNA(Table1[[#This Row],[convicts_admitted_raw]]), _xlfn.AGGREGATE(1, 6, Table1[convicts_admitted_raw]), Table1[[#This Row],[convicts_admitted_raw]])</f>
        <v>9326</v>
      </c>
      <c r="L256">
        <f>_xlfn.XLOOKUP(Table1[[#This Row],[Key]],Recidivism!C:C,Recidivism!E:E)</f>
        <v>360</v>
      </c>
      <c r="M256">
        <f>IF(ISNA(Table1[[#This Row],[habitual_offenders]]), _xlfn.AGGREGATE(1, 6, Table1[habitual_offenders]), Table1[[#This Row],[habitual_offenders]])</f>
        <v>360</v>
      </c>
      <c r="N256">
        <f>_xlfn.XLOOKUP(Table1[[#This Row],[Key]],Vocational!C:C,Vocational!E:E)</f>
        <v>291</v>
      </c>
      <c r="O256">
        <f>IF(ISNA(Table1[[#This Row],[vocational_count]]), _xlfn.AGGREGATE(1, 6,Table1[vocational_count]), Table1[[#This Row],[vocational_count]])</f>
        <v>291</v>
      </c>
    </row>
    <row r="257" spans="1:15" x14ac:dyDescent="0.3">
      <c r="A257" t="s">
        <v>27</v>
      </c>
      <c r="B257">
        <v>2012</v>
      </c>
      <c r="C257" t="str">
        <f>_xlfn.CONCAT(Table1[[#This Row],[STATE]],"-",Table1[[#This Row],[YEAR]])</f>
        <v>Rajasthan-2012</v>
      </c>
      <c r="D257">
        <v>950</v>
      </c>
      <c r="E257">
        <v>420</v>
      </c>
      <c r="F257">
        <v>18</v>
      </c>
      <c r="G257">
        <v>95</v>
      </c>
      <c r="H257" t="e">
        <f>_xlfn.XLOOKUP(Table1[[#This Row],[Key]],policseStrength!C:C,policseStrength!R:R)</f>
        <v>#N/A</v>
      </c>
      <c r="I257">
        <f>IF(ISNA(Table1[[#This Row],[total_ps]]), _xlfn.AGGREGATE(1, 6, Table1[total_ps]), Table1[[#This Row],[total_ps]])</f>
        <v>20128.370106761566</v>
      </c>
      <c r="J257">
        <f>_xlfn.XLOOKUP(Table1[[#This Row],[Key]],Recidivism!C:C,Recidivism!D:D)</f>
        <v>6083</v>
      </c>
      <c r="K257">
        <f>IF(ISNA(Table1[[#This Row],[convicts_admitted_raw]]), _xlfn.AGGREGATE(1, 6, Table1[convicts_admitted_raw]), Table1[[#This Row],[convicts_admitted_raw]])</f>
        <v>6083</v>
      </c>
      <c r="L257">
        <f>_xlfn.XLOOKUP(Table1[[#This Row],[Key]],Recidivism!C:C,Recidivism!E:E)</f>
        <v>261</v>
      </c>
      <c r="M257">
        <f>IF(ISNA(Table1[[#This Row],[habitual_offenders]]), _xlfn.AGGREGATE(1, 6, Table1[habitual_offenders]), Table1[[#This Row],[habitual_offenders]])</f>
        <v>261</v>
      </c>
      <c r="N257">
        <f>_xlfn.XLOOKUP(Table1[[#This Row],[Key]],Vocational!C:C,Vocational!E:E)</f>
        <v>8</v>
      </c>
      <c r="O257">
        <f>IF(ISNA(Table1[[#This Row],[vocational_count]]), _xlfn.AGGREGATE(1, 6,Table1[vocational_count]), Table1[[#This Row],[vocational_count]])</f>
        <v>8</v>
      </c>
    </row>
    <row r="258" spans="1:15" x14ac:dyDescent="0.3">
      <c r="A258" t="s">
        <v>28</v>
      </c>
      <c r="B258">
        <v>2001</v>
      </c>
      <c r="C258" t="str">
        <f>_xlfn.CONCAT(Table1[[#This Row],[STATE]],"-",Table1[[#This Row],[YEAR]])</f>
        <v>Sikkim-2001</v>
      </c>
      <c r="D258">
        <v>0</v>
      </c>
      <c r="E258">
        <v>0</v>
      </c>
      <c r="F258">
        <v>11</v>
      </c>
      <c r="G258">
        <v>0</v>
      </c>
      <c r="H258">
        <f>_xlfn.XLOOKUP(Table1[[#This Row],[Key]],policseStrength!C:C,policseStrength!R:R)</f>
        <v>2548</v>
      </c>
      <c r="I258">
        <f>IF(ISNA(Table1[[#This Row],[total_ps]]), _xlfn.AGGREGATE(1, 6, Table1[total_ps]), Table1[[#This Row],[total_ps]])</f>
        <v>2548</v>
      </c>
      <c r="J258">
        <f>_xlfn.XLOOKUP(Table1[[#This Row],[Key]],Recidivism!C:C,Recidivism!D:D)</f>
        <v>77</v>
      </c>
      <c r="K258">
        <f>IF(ISNA(Table1[[#This Row],[convicts_admitted_raw]]), _xlfn.AGGREGATE(1, 6, Table1[convicts_admitted_raw]), Table1[[#This Row],[convicts_admitted_raw]])</f>
        <v>77</v>
      </c>
      <c r="L258">
        <f>_xlfn.XLOOKUP(Table1[[#This Row],[Key]],Recidivism!C:C,Recidivism!E:E)</f>
        <v>6</v>
      </c>
      <c r="M258">
        <f>IF(ISNA(Table1[[#This Row],[habitual_offenders]]), _xlfn.AGGREGATE(1, 6, Table1[habitual_offenders]), Table1[[#This Row],[habitual_offenders]])</f>
        <v>6</v>
      </c>
      <c r="N258">
        <f>_xlfn.XLOOKUP(Table1[[#This Row],[Key]],Vocational!C:C,Vocational!E:E)</f>
        <v>12</v>
      </c>
      <c r="O258">
        <f>IF(ISNA(Table1[[#This Row],[vocational_count]]), _xlfn.AGGREGATE(1, 6,Table1[vocational_count]), Table1[[#This Row],[vocational_count]])</f>
        <v>12</v>
      </c>
    </row>
    <row r="259" spans="1:15" x14ac:dyDescent="0.3">
      <c r="A259" t="s">
        <v>28</v>
      </c>
      <c r="B259">
        <v>2002</v>
      </c>
      <c r="C259" t="str">
        <f>_xlfn.CONCAT(Table1[[#This Row],[STATE]],"-",Table1[[#This Row],[YEAR]])</f>
        <v>Sikkim-2002</v>
      </c>
      <c r="D259">
        <v>0</v>
      </c>
      <c r="E259">
        <v>0</v>
      </c>
      <c r="F259">
        <v>8</v>
      </c>
      <c r="G259">
        <v>0</v>
      </c>
      <c r="H259">
        <f>_xlfn.XLOOKUP(Table1[[#This Row],[Key]],policseStrength!C:C,policseStrength!R:R)</f>
        <v>2920</v>
      </c>
      <c r="I259">
        <f>IF(ISNA(Table1[[#This Row],[total_ps]]), _xlfn.AGGREGATE(1, 6, Table1[total_ps]), Table1[[#This Row],[total_ps]])</f>
        <v>2920</v>
      </c>
      <c r="J259">
        <f>_xlfn.XLOOKUP(Table1[[#This Row],[Key]],Recidivism!C:C,Recidivism!D:D)</f>
        <v>240</v>
      </c>
      <c r="K259">
        <f>IF(ISNA(Table1[[#This Row],[convicts_admitted_raw]]), _xlfn.AGGREGATE(1, 6, Table1[convicts_admitted_raw]), Table1[[#This Row],[convicts_admitted_raw]])</f>
        <v>240</v>
      </c>
      <c r="L259">
        <f>_xlfn.XLOOKUP(Table1[[#This Row],[Key]],Recidivism!C:C,Recidivism!E:E)</f>
        <v>5</v>
      </c>
      <c r="M259">
        <f>IF(ISNA(Table1[[#This Row],[habitual_offenders]]), _xlfn.AGGREGATE(1, 6, Table1[habitual_offenders]), Table1[[#This Row],[habitual_offenders]])</f>
        <v>5</v>
      </c>
      <c r="N259">
        <f>_xlfn.XLOOKUP(Table1[[#This Row],[Key]],Vocational!C:C,Vocational!E:E)</f>
        <v>15</v>
      </c>
      <c r="O259">
        <f>IF(ISNA(Table1[[#This Row],[vocational_count]]), _xlfn.AGGREGATE(1, 6,Table1[vocational_count]), Table1[[#This Row],[vocational_count]])</f>
        <v>15</v>
      </c>
    </row>
    <row r="260" spans="1:15" x14ac:dyDescent="0.3">
      <c r="A260" t="s">
        <v>28</v>
      </c>
      <c r="B260">
        <v>2003</v>
      </c>
      <c r="C260" t="str">
        <f>_xlfn.CONCAT(Table1[[#This Row],[STATE]],"-",Table1[[#This Row],[YEAR]])</f>
        <v>Sikkim-2003</v>
      </c>
      <c r="D260">
        <v>0</v>
      </c>
      <c r="E260">
        <v>0</v>
      </c>
      <c r="F260">
        <v>0</v>
      </c>
      <c r="G260">
        <v>0</v>
      </c>
      <c r="H260">
        <f>_xlfn.XLOOKUP(Table1[[#This Row],[Key]],policseStrength!C:C,policseStrength!R:R)</f>
        <v>2920</v>
      </c>
      <c r="I260">
        <f>IF(ISNA(Table1[[#This Row],[total_ps]]), _xlfn.AGGREGATE(1, 6, Table1[total_ps]), Table1[[#This Row],[total_ps]])</f>
        <v>2920</v>
      </c>
      <c r="J260">
        <f>_xlfn.XLOOKUP(Table1[[#This Row],[Key]],Recidivism!C:C,Recidivism!D:D)</f>
        <v>29</v>
      </c>
      <c r="K260">
        <f>IF(ISNA(Table1[[#This Row],[convicts_admitted_raw]]), _xlfn.AGGREGATE(1, 6, Table1[convicts_admitted_raw]), Table1[[#This Row],[convicts_admitted_raw]])</f>
        <v>29</v>
      </c>
      <c r="L260">
        <f>_xlfn.XLOOKUP(Table1[[#This Row],[Key]],Recidivism!C:C,Recidivism!E:E)</f>
        <v>17</v>
      </c>
      <c r="M260">
        <f>IF(ISNA(Table1[[#This Row],[habitual_offenders]]), _xlfn.AGGREGATE(1, 6, Table1[habitual_offenders]), Table1[[#This Row],[habitual_offenders]])</f>
        <v>17</v>
      </c>
      <c r="N260">
        <f>_xlfn.XLOOKUP(Table1[[#This Row],[Key]],Vocational!C:C,Vocational!E:E)</f>
        <v>4</v>
      </c>
      <c r="O260">
        <f>IF(ISNA(Table1[[#This Row],[vocational_count]]), _xlfn.AGGREGATE(1, 6,Table1[vocational_count]), Table1[[#This Row],[vocational_count]])</f>
        <v>4</v>
      </c>
    </row>
    <row r="261" spans="1:15" x14ac:dyDescent="0.3">
      <c r="A261" t="s">
        <v>28</v>
      </c>
      <c r="B261">
        <v>2004</v>
      </c>
      <c r="C261" t="str">
        <f>_xlfn.CONCAT(Table1[[#This Row],[STATE]],"-",Table1[[#This Row],[YEAR]])</f>
        <v>Sikkim-2004</v>
      </c>
      <c r="D261">
        <v>1</v>
      </c>
      <c r="E261">
        <v>0</v>
      </c>
      <c r="F261">
        <v>0</v>
      </c>
      <c r="G261">
        <v>0</v>
      </c>
      <c r="H261">
        <f>_xlfn.XLOOKUP(Table1[[#This Row],[Key]],policseStrength!C:C,policseStrength!R:R)</f>
        <v>2920</v>
      </c>
      <c r="I261">
        <f>IF(ISNA(Table1[[#This Row],[total_ps]]), _xlfn.AGGREGATE(1, 6, Table1[total_ps]), Table1[[#This Row],[total_ps]])</f>
        <v>2920</v>
      </c>
      <c r="J261">
        <f>_xlfn.XLOOKUP(Table1[[#This Row],[Key]],Recidivism!C:C,Recidivism!D:D)</f>
        <v>43</v>
      </c>
      <c r="K261">
        <f>IF(ISNA(Table1[[#This Row],[convicts_admitted_raw]]), _xlfn.AGGREGATE(1, 6, Table1[convicts_admitted_raw]), Table1[[#This Row],[convicts_admitted_raw]])</f>
        <v>43</v>
      </c>
      <c r="L261">
        <f>_xlfn.XLOOKUP(Table1[[#This Row],[Key]],Recidivism!C:C,Recidivism!E:E)</f>
        <v>12</v>
      </c>
      <c r="M261">
        <f>IF(ISNA(Table1[[#This Row],[habitual_offenders]]), _xlfn.AGGREGATE(1, 6, Table1[habitual_offenders]), Table1[[#This Row],[habitual_offenders]])</f>
        <v>12</v>
      </c>
      <c r="N261">
        <f>_xlfn.XLOOKUP(Table1[[#This Row],[Key]],Vocational!C:C,Vocational!E:E)</f>
        <v>7</v>
      </c>
      <c r="O261">
        <f>IF(ISNA(Table1[[#This Row],[vocational_count]]), _xlfn.AGGREGATE(1, 6,Table1[vocational_count]), Table1[[#This Row],[vocational_count]])</f>
        <v>7</v>
      </c>
    </row>
    <row r="262" spans="1:15" x14ac:dyDescent="0.3">
      <c r="A262" t="s">
        <v>28</v>
      </c>
      <c r="B262">
        <v>2005</v>
      </c>
      <c r="C262" t="str">
        <f>_xlfn.CONCAT(Table1[[#This Row],[STATE]],"-",Table1[[#This Row],[YEAR]])</f>
        <v>Sikkim-2005</v>
      </c>
      <c r="D262">
        <v>0</v>
      </c>
      <c r="E262">
        <v>0</v>
      </c>
      <c r="F262">
        <v>0</v>
      </c>
      <c r="G262">
        <v>0</v>
      </c>
      <c r="H262">
        <f>_xlfn.XLOOKUP(Table1[[#This Row],[Key]],policseStrength!C:C,policseStrength!R:R)</f>
        <v>3158</v>
      </c>
      <c r="I262">
        <f>IF(ISNA(Table1[[#This Row],[total_ps]]), _xlfn.AGGREGATE(1, 6, Table1[total_ps]), Table1[[#This Row],[total_ps]])</f>
        <v>3158</v>
      </c>
      <c r="J262">
        <f>_xlfn.XLOOKUP(Table1[[#This Row],[Key]],Recidivism!C:C,Recidivism!D:D)</f>
        <v>40</v>
      </c>
      <c r="K262">
        <f>IF(ISNA(Table1[[#This Row],[convicts_admitted_raw]]), _xlfn.AGGREGATE(1, 6, Table1[convicts_admitted_raw]), Table1[[#This Row],[convicts_admitted_raw]])</f>
        <v>40</v>
      </c>
      <c r="L262">
        <f>_xlfn.XLOOKUP(Table1[[#This Row],[Key]],Recidivism!C:C,Recidivism!E:E)</f>
        <v>10</v>
      </c>
      <c r="M262">
        <f>IF(ISNA(Table1[[#This Row],[habitual_offenders]]), _xlfn.AGGREGATE(1, 6, Table1[habitual_offenders]), Table1[[#This Row],[habitual_offenders]])</f>
        <v>10</v>
      </c>
      <c r="N262">
        <f>_xlfn.XLOOKUP(Table1[[#This Row],[Key]],Vocational!C:C,Vocational!E:E)</f>
        <v>7</v>
      </c>
      <c r="O262">
        <f>IF(ISNA(Table1[[#This Row],[vocational_count]]), _xlfn.AGGREGATE(1, 6,Table1[vocational_count]), Table1[[#This Row],[vocational_count]])</f>
        <v>7</v>
      </c>
    </row>
    <row r="263" spans="1:15" x14ac:dyDescent="0.3">
      <c r="A263" t="s">
        <v>28</v>
      </c>
      <c r="B263">
        <v>2006</v>
      </c>
      <c r="C263" t="str">
        <f>_xlfn.CONCAT(Table1[[#This Row],[STATE]],"-",Table1[[#This Row],[YEAR]])</f>
        <v>Sikkim-2006</v>
      </c>
      <c r="D263">
        <v>0</v>
      </c>
      <c r="E263">
        <v>0</v>
      </c>
      <c r="F263">
        <v>0</v>
      </c>
      <c r="G263">
        <v>0</v>
      </c>
      <c r="H263">
        <f>_xlfn.XLOOKUP(Table1[[#This Row],[Key]],policseStrength!C:C,policseStrength!R:R)</f>
        <v>3364</v>
      </c>
      <c r="I263">
        <f>IF(ISNA(Table1[[#This Row],[total_ps]]), _xlfn.AGGREGATE(1, 6, Table1[total_ps]), Table1[[#This Row],[total_ps]])</f>
        <v>3364</v>
      </c>
      <c r="J263">
        <f>_xlfn.XLOOKUP(Table1[[#This Row],[Key]],Recidivism!C:C,Recidivism!D:D)</f>
        <v>96</v>
      </c>
      <c r="K263">
        <f>IF(ISNA(Table1[[#This Row],[convicts_admitted_raw]]), _xlfn.AGGREGATE(1, 6, Table1[convicts_admitted_raw]), Table1[[#This Row],[convicts_admitted_raw]])</f>
        <v>96</v>
      </c>
      <c r="L263">
        <f>_xlfn.XLOOKUP(Table1[[#This Row],[Key]],Recidivism!C:C,Recidivism!E:E)</f>
        <v>4</v>
      </c>
      <c r="M263">
        <f>IF(ISNA(Table1[[#This Row],[habitual_offenders]]), _xlfn.AGGREGATE(1, 6, Table1[habitual_offenders]), Table1[[#This Row],[habitual_offenders]])</f>
        <v>4</v>
      </c>
      <c r="N263">
        <f>_xlfn.XLOOKUP(Table1[[#This Row],[Key]],Vocational!C:C,Vocational!E:E)</f>
        <v>12</v>
      </c>
      <c r="O263">
        <f>IF(ISNA(Table1[[#This Row],[vocational_count]]), _xlfn.AGGREGATE(1, 6,Table1[vocational_count]), Table1[[#This Row],[vocational_count]])</f>
        <v>12</v>
      </c>
    </row>
    <row r="264" spans="1:15" x14ac:dyDescent="0.3">
      <c r="A264" t="s">
        <v>28</v>
      </c>
      <c r="B264">
        <v>2007</v>
      </c>
      <c r="C264" t="str">
        <f>_xlfn.CONCAT(Table1[[#This Row],[STATE]],"-",Table1[[#This Row],[YEAR]])</f>
        <v>Sikkim-2007</v>
      </c>
      <c r="D264">
        <v>33</v>
      </c>
      <c r="E264">
        <v>15</v>
      </c>
      <c r="F264">
        <v>2</v>
      </c>
      <c r="G264">
        <v>12</v>
      </c>
      <c r="H264">
        <f>_xlfn.XLOOKUP(Table1[[#This Row],[Key]],policseStrength!C:C,policseStrength!R:R)</f>
        <v>2442</v>
      </c>
      <c r="I264">
        <f>IF(ISNA(Table1[[#This Row],[total_ps]]), _xlfn.AGGREGATE(1, 6, Table1[total_ps]), Table1[[#This Row],[total_ps]])</f>
        <v>2442</v>
      </c>
      <c r="J264">
        <f>_xlfn.XLOOKUP(Table1[[#This Row],[Key]],Recidivism!C:C,Recidivism!D:D)</f>
        <v>86</v>
      </c>
      <c r="K264">
        <f>IF(ISNA(Table1[[#This Row],[convicts_admitted_raw]]), _xlfn.AGGREGATE(1, 6, Table1[convicts_admitted_raw]), Table1[[#This Row],[convicts_admitted_raw]])</f>
        <v>86</v>
      </c>
      <c r="L264">
        <f>_xlfn.XLOOKUP(Table1[[#This Row],[Key]],Recidivism!C:C,Recidivism!E:E)</f>
        <v>6</v>
      </c>
      <c r="M264">
        <f>IF(ISNA(Table1[[#This Row],[habitual_offenders]]), _xlfn.AGGREGATE(1, 6, Table1[habitual_offenders]), Table1[[#This Row],[habitual_offenders]])</f>
        <v>6</v>
      </c>
      <c r="N264">
        <f>_xlfn.XLOOKUP(Table1[[#This Row],[Key]],Vocational!C:C,Vocational!E:E)</f>
        <v>34</v>
      </c>
      <c r="O264">
        <f>IF(ISNA(Table1[[#This Row],[vocational_count]]), _xlfn.AGGREGATE(1, 6,Table1[vocational_count]), Table1[[#This Row],[vocational_count]])</f>
        <v>34</v>
      </c>
    </row>
    <row r="265" spans="1:15" x14ac:dyDescent="0.3">
      <c r="A265" t="s">
        <v>28</v>
      </c>
      <c r="B265">
        <v>2008</v>
      </c>
      <c r="C265" t="str">
        <f>_xlfn.CONCAT(Table1[[#This Row],[STATE]],"-",Table1[[#This Row],[YEAR]])</f>
        <v>Sikkim-2008</v>
      </c>
      <c r="D265">
        <v>53</v>
      </c>
      <c r="E265">
        <v>12</v>
      </c>
      <c r="F265">
        <v>2</v>
      </c>
      <c r="G265">
        <v>7</v>
      </c>
      <c r="H265">
        <f>_xlfn.XLOOKUP(Table1[[#This Row],[Key]],policseStrength!C:C,policseStrength!R:R)</f>
        <v>3234</v>
      </c>
      <c r="I265">
        <f>IF(ISNA(Table1[[#This Row],[total_ps]]), _xlfn.AGGREGATE(1, 6, Table1[total_ps]), Table1[[#This Row],[total_ps]])</f>
        <v>3234</v>
      </c>
      <c r="J265">
        <f>_xlfn.XLOOKUP(Table1[[#This Row],[Key]],Recidivism!C:C,Recidivism!D:D)</f>
        <v>40</v>
      </c>
      <c r="K265">
        <f>IF(ISNA(Table1[[#This Row],[convicts_admitted_raw]]), _xlfn.AGGREGATE(1, 6, Table1[convicts_admitted_raw]), Table1[[#This Row],[convicts_admitted_raw]])</f>
        <v>40</v>
      </c>
      <c r="L265">
        <f>_xlfn.XLOOKUP(Table1[[#This Row],[Key]],Recidivism!C:C,Recidivism!E:E)</f>
        <v>4</v>
      </c>
      <c r="M265">
        <f>IF(ISNA(Table1[[#This Row],[habitual_offenders]]), _xlfn.AGGREGATE(1, 6, Table1[habitual_offenders]), Table1[[#This Row],[habitual_offenders]])</f>
        <v>4</v>
      </c>
      <c r="N265">
        <f>_xlfn.XLOOKUP(Table1[[#This Row],[Key]],Vocational!C:C,Vocational!E:E)</f>
        <v>13</v>
      </c>
      <c r="O265">
        <f>IF(ISNA(Table1[[#This Row],[vocational_count]]), _xlfn.AGGREGATE(1, 6,Table1[vocational_count]), Table1[[#This Row],[vocational_count]])</f>
        <v>13</v>
      </c>
    </row>
    <row r="266" spans="1:15" x14ac:dyDescent="0.3">
      <c r="A266" t="s">
        <v>28</v>
      </c>
      <c r="B266">
        <v>2009</v>
      </c>
      <c r="C266" t="str">
        <f>_xlfn.CONCAT(Table1[[#This Row],[STATE]],"-",Table1[[#This Row],[YEAR]])</f>
        <v>Sikkim-2009</v>
      </c>
      <c r="D266">
        <v>69</v>
      </c>
      <c r="E266">
        <v>15</v>
      </c>
      <c r="F266">
        <v>3</v>
      </c>
      <c r="G266">
        <v>5</v>
      </c>
      <c r="H266">
        <f>_xlfn.XLOOKUP(Table1[[#This Row],[Key]],policseStrength!C:C,policseStrength!R:R)</f>
        <v>3238</v>
      </c>
      <c r="I266">
        <f>IF(ISNA(Table1[[#This Row],[total_ps]]), _xlfn.AGGREGATE(1, 6, Table1[total_ps]), Table1[[#This Row],[total_ps]])</f>
        <v>3238</v>
      </c>
      <c r="J266">
        <f>_xlfn.XLOOKUP(Table1[[#This Row],[Key]],Recidivism!C:C,Recidivism!D:D)</f>
        <v>143</v>
      </c>
      <c r="K266">
        <f>IF(ISNA(Table1[[#This Row],[convicts_admitted_raw]]), _xlfn.AGGREGATE(1, 6, Table1[convicts_admitted_raw]), Table1[[#This Row],[convicts_admitted_raw]])</f>
        <v>143</v>
      </c>
      <c r="L266">
        <f>_xlfn.XLOOKUP(Table1[[#This Row],[Key]],Recidivism!C:C,Recidivism!E:E)</f>
        <v>14</v>
      </c>
      <c r="M266">
        <f>IF(ISNA(Table1[[#This Row],[habitual_offenders]]), _xlfn.AGGREGATE(1, 6, Table1[habitual_offenders]), Table1[[#This Row],[habitual_offenders]])</f>
        <v>14</v>
      </c>
      <c r="N266">
        <f>_xlfn.XLOOKUP(Table1[[#This Row],[Key]],Vocational!C:C,Vocational!E:E)</f>
        <v>13</v>
      </c>
      <c r="O266">
        <f>IF(ISNA(Table1[[#This Row],[vocational_count]]), _xlfn.AGGREGATE(1, 6,Table1[vocational_count]), Table1[[#This Row],[vocational_count]])</f>
        <v>13</v>
      </c>
    </row>
    <row r="267" spans="1:15" x14ac:dyDescent="0.3">
      <c r="A267" t="s">
        <v>28</v>
      </c>
      <c r="B267">
        <v>2010</v>
      </c>
      <c r="C267" t="str">
        <f>_xlfn.CONCAT(Table1[[#This Row],[STATE]],"-",Table1[[#This Row],[YEAR]])</f>
        <v>Sikkim-2010</v>
      </c>
      <c r="D267">
        <v>47</v>
      </c>
      <c r="E267">
        <v>13</v>
      </c>
      <c r="F267">
        <v>2</v>
      </c>
      <c r="G267">
        <v>8</v>
      </c>
      <c r="H267">
        <f>_xlfn.XLOOKUP(Table1[[#This Row],[Key]],policseStrength!C:C,policseStrength!R:R)</f>
        <v>4318</v>
      </c>
      <c r="I267">
        <f>IF(ISNA(Table1[[#This Row],[total_ps]]), _xlfn.AGGREGATE(1, 6, Table1[total_ps]), Table1[[#This Row],[total_ps]])</f>
        <v>4318</v>
      </c>
      <c r="J267">
        <f>_xlfn.XLOOKUP(Table1[[#This Row],[Key]],Recidivism!C:C,Recidivism!D:D)</f>
        <v>126</v>
      </c>
      <c r="K267">
        <f>IF(ISNA(Table1[[#This Row],[convicts_admitted_raw]]), _xlfn.AGGREGATE(1, 6, Table1[convicts_admitted_raw]), Table1[[#This Row],[convicts_admitted_raw]])</f>
        <v>126</v>
      </c>
      <c r="L267">
        <f>_xlfn.XLOOKUP(Table1[[#This Row],[Key]],Recidivism!C:C,Recidivism!E:E)</f>
        <v>18</v>
      </c>
      <c r="M267">
        <f>IF(ISNA(Table1[[#This Row],[habitual_offenders]]), _xlfn.AGGREGATE(1, 6, Table1[habitual_offenders]), Table1[[#This Row],[habitual_offenders]])</f>
        <v>18</v>
      </c>
      <c r="N267">
        <f>_xlfn.XLOOKUP(Table1[[#This Row],[Key]],Vocational!C:C,Vocational!E:E)</f>
        <v>12</v>
      </c>
      <c r="O267">
        <f>IF(ISNA(Table1[[#This Row],[vocational_count]]), _xlfn.AGGREGATE(1, 6,Table1[vocational_count]), Table1[[#This Row],[vocational_count]])</f>
        <v>12</v>
      </c>
    </row>
    <row r="268" spans="1:15" x14ac:dyDescent="0.3">
      <c r="A268" t="s">
        <v>28</v>
      </c>
      <c r="B268">
        <v>2011</v>
      </c>
      <c r="C268" t="str">
        <f>_xlfn.CONCAT(Table1[[#This Row],[STATE]],"-",Table1[[#This Row],[YEAR]])</f>
        <v>Sikkim-2011</v>
      </c>
      <c r="D268">
        <v>0</v>
      </c>
      <c r="E268">
        <v>0</v>
      </c>
      <c r="F268">
        <v>0</v>
      </c>
      <c r="G268">
        <v>0</v>
      </c>
      <c r="H268" t="e">
        <f>_xlfn.XLOOKUP(Table1[[#This Row],[Key]],policseStrength!C:C,policseStrength!R:R)</f>
        <v>#N/A</v>
      </c>
      <c r="I268">
        <f>IF(ISNA(Table1[[#This Row],[total_ps]]), _xlfn.AGGREGATE(1, 6, Table1[total_ps]), Table1[[#This Row],[total_ps]])</f>
        <v>20128.370106761566</v>
      </c>
      <c r="J268">
        <f>_xlfn.XLOOKUP(Table1[[#This Row],[Key]],Recidivism!C:C,Recidivism!D:D)</f>
        <v>58</v>
      </c>
      <c r="K268">
        <f>IF(ISNA(Table1[[#This Row],[convicts_admitted_raw]]), _xlfn.AGGREGATE(1, 6, Table1[convicts_admitted_raw]), Table1[[#This Row],[convicts_admitted_raw]])</f>
        <v>58</v>
      </c>
      <c r="L268">
        <f>_xlfn.XLOOKUP(Table1[[#This Row],[Key]],Recidivism!C:C,Recidivism!E:E)</f>
        <v>5</v>
      </c>
      <c r="M268">
        <f>IF(ISNA(Table1[[#This Row],[habitual_offenders]]), _xlfn.AGGREGATE(1, 6, Table1[habitual_offenders]), Table1[[#This Row],[habitual_offenders]])</f>
        <v>5</v>
      </c>
      <c r="N268">
        <f>_xlfn.XLOOKUP(Table1[[#This Row],[Key]],Vocational!C:C,Vocational!E:E)</f>
        <v>16</v>
      </c>
      <c r="O268">
        <f>IF(ISNA(Table1[[#This Row],[vocational_count]]), _xlfn.AGGREGATE(1, 6,Table1[vocational_count]), Table1[[#This Row],[vocational_count]])</f>
        <v>16</v>
      </c>
    </row>
    <row r="269" spans="1:15" x14ac:dyDescent="0.3">
      <c r="A269" t="s">
        <v>28</v>
      </c>
      <c r="B269">
        <v>2012</v>
      </c>
      <c r="C269" t="str">
        <f>_xlfn.CONCAT(Table1[[#This Row],[STATE]],"-",Table1[[#This Row],[YEAR]])</f>
        <v>Sikkim-2012</v>
      </c>
      <c r="D269">
        <v>0</v>
      </c>
      <c r="E269">
        <v>0</v>
      </c>
      <c r="F269">
        <v>0</v>
      </c>
      <c r="G269">
        <v>0</v>
      </c>
      <c r="H269" t="e">
        <f>_xlfn.XLOOKUP(Table1[[#This Row],[Key]],policseStrength!C:C,policseStrength!R:R)</f>
        <v>#N/A</v>
      </c>
      <c r="I269">
        <f>IF(ISNA(Table1[[#This Row],[total_ps]]), _xlfn.AGGREGATE(1, 6, Table1[total_ps]), Table1[[#This Row],[total_ps]])</f>
        <v>20128.370106761566</v>
      </c>
      <c r="J269">
        <f>_xlfn.XLOOKUP(Table1[[#This Row],[Key]],Recidivism!C:C,Recidivism!D:D)</f>
        <v>98</v>
      </c>
      <c r="K269">
        <f>IF(ISNA(Table1[[#This Row],[convicts_admitted_raw]]), _xlfn.AGGREGATE(1, 6, Table1[convicts_admitted_raw]), Table1[[#This Row],[convicts_admitted_raw]])</f>
        <v>98</v>
      </c>
      <c r="L269">
        <f>_xlfn.XLOOKUP(Table1[[#This Row],[Key]],Recidivism!C:C,Recidivism!E:E)</f>
        <v>17</v>
      </c>
      <c r="M269">
        <f>IF(ISNA(Table1[[#This Row],[habitual_offenders]]), _xlfn.AGGREGATE(1, 6, Table1[habitual_offenders]), Table1[[#This Row],[habitual_offenders]])</f>
        <v>17</v>
      </c>
      <c r="N269">
        <f>_xlfn.XLOOKUP(Table1[[#This Row],[Key]],Vocational!C:C,Vocational!E:E)</f>
        <v>20</v>
      </c>
      <c r="O269">
        <f>IF(ISNA(Table1[[#This Row],[vocational_count]]), _xlfn.AGGREGATE(1, 6,Table1[vocational_count]), Table1[[#This Row],[vocational_count]])</f>
        <v>20</v>
      </c>
    </row>
    <row r="270" spans="1:15" x14ac:dyDescent="0.3">
      <c r="A270" t="s">
        <v>29</v>
      </c>
      <c r="B270">
        <v>2001</v>
      </c>
      <c r="C270" t="str">
        <f>_xlfn.CONCAT(Table1[[#This Row],[STATE]],"-",Table1[[#This Row],[YEAR]])</f>
        <v>Tamilnadu-2001</v>
      </c>
      <c r="D270">
        <v>6653</v>
      </c>
      <c r="E270">
        <v>7462</v>
      </c>
      <c r="F270">
        <v>165</v>
      </c>
      <c r="G270">
        <v>145</v>
      </c>
      <c r="H270" t="e">
        <f>_xlfn.XLOOKUP(Table1[[#This Row],[Key]],policseStrength!C:C,policseStrength!R:R)</f>
        <v>#N/A</v>
      </c>
      <c r="I270">
        <f>IF(ISNA(Table1[[#This Row],[total_ps]]), _xlfn.AGGREGATE(1, 6, Table1[total_ps]), Table1[[#This Row],[total_ps]])</f>
        <v>20128.370106761566</v>
      </c>
      <c r="J270">
        <f>_xlfn.XLOOKUP(Table1[[#This Row],[Key]],Recidivism!C:C,Recidivism!D:D)</f>
        <v>5232</v>
      </c>
      <c r="K270">
        <f>IF(ISNA(Table1[[#This Row],[convicts_admitted_raw]]), _xlfn.AGGREGATE(1, 6, Table1[convicts_admitted_raw]), Table1[[#This Row],[convicts_admitted_raw]])</f>
        <v>5232</v>
      </c>
      <c r="L270">
        <f>_xlfn.XLOOKUP(Table1[[#This Row],[Key]],Recidivism!C:C,Recidivism!E:E)</f>
        <v>1348</v>
      </c>
      <c r="M270">
        <f>IF(ISNA(Table1[[#This Row],[habitual_offenders]]), _xlfn.AGGREGATE(1, 6, Table1[habitual_offenders]), Table1[[#This Row],[habitual_offenders]])</f>
        <v>1348</v>
      </c>
      <c r="N270">
        <f>_xlfn.XLOOKUP(Table1[[#This Row],[Key]],Vocational!C:C,Vocational!E:E)</f>
        <v>130</v>
      </c>
      <c r="O270">
        <f>IF(ISNA(Table1[[#This Row],[vocational_count]]), _xlfn.AGGREGATE(1, 6,Table1[vocational_count]), Table1[[#This Row],[vocational_count]])</f>
        <v>130</v>
      </c>
    </row>
    <row r="271" spans="1:15" x14ac:dyDescent="0.3">
      <c r="A271" t="s">
        <v>29</v>
      </c>
      <c r="B271">
        <v>2002</v>
      </c>
      <c r="C271" t="str">
        <f>_xlfn.CONCAT(Table1[[#This Row],[STATE]],"-",Table1[[#This Row],[YEAR]])</f>
        <v>Tamilnadu-2002</v>
      </c>
      <c r="D271">
        <v>5602</v>
      </c>
      <c r="E271">
        <v>5125</v>
      </c>
      <c r="F271">
        <v>191</v>
      </c>
      <c r="G271">
        <v>10</v>
      </c>
      <c r="H271" t="e">
        <f>_xlfn.XLOOKUP(Table1[[#This Row],[Key]],policseStrength!C:C,policseStrength!R:R)</f>
        <v>#N/A</v>
      </c>
      <c r="I271">
        <f>IF(ISNA(Table1[[#This Row],[total_ps]]), _xlfn.AGGREGATE(1, 6, Table1[total_ps]), Table1[[#This Row],[total_ps]])</f>
        <v>20128.370106761566</v>
      </c>
      <c r="J271">
        <f>_xlfn.XLOOKUP(Table1[[#This Row],[Key]],Recidivism!C:C,Recidivism!D:D)</f>
        <v>9362</v>
      </c>
      <c r="K271">
        <f>IF(ISNA(Table1[[#This Row],[convicts_admitted_raw]]), _xlfn.AGGREGATE(1, 6, Table1[convicts_admitted_raw]), Table1[[#This Row],[convicts_admitted_raw]])</f>
        <v>9362</v>
      </c>
      <c r="L271">
        <f>_xlfn.XLOOKUP(Table1[[#This Row],[Key]],Recidivism!C:C,Recidivism!E:E)</f>
        <v>4371</v>
      </c>
      <c r="M271">
        <f>IF(ISNA(Table1[[#This Row],[habitual_offenders]]), _xlfn.AGGREGATE(1, 6, Table1[habitual_offenders]), Table1[[#This Row],[habitual_offenders]])</f>
        <v>4371</v>
      </c>
      <c r="N271">
        <f>_xlfn.XLOOKUP(Table1[[#This Row],[Key]],Vocational!C:C,Vocational!E:E)</f>
        <v>120</v>
      </c>
      <c r="O271">
        <f>IF(ISNA(Table1[[#This Row],[vocational_count]]), _xlfn.AGGREGATE(1, 6,Table1[vocational_count]), Table1[[#This Row],[vocational_count]])</f>
        <v>120</v>
      </c>
    </row>
    <row r="272" spans="1:15" x14ac:dyDescent="0.3">
      <c r="A272" t="s">
        <v>29</v>
      </c>
      <c r="B272">
        <v>2003</v>
      </c>
      <c r="C272" t="str">
        <f>_xlfn.CONCAT(Table1[[#This Row],[STATE]],"-",Table1[[#This Row],[YEAR]])</f>
        <v>Tamilnadu-2003</v>
      </c>
      <c r="D272">
        <v>5702</v>
      </c>
      <c r="E272">
        <v>5215</v>
      </c>
      <c r="F272">
        <v>198</v>
      </c>
      <c r="G272">
        <v>15</v>
      </c>
      <c r="H272" t="e">
        <f>_xlfn.XLOOKUP(Table1[[#This Row],[Key]],policseStrength!C:C,policseStrength!R:R)</f>
        <v>#N/A</v>
      </c>
      <c r="I272">
        <f>IF(ISNA(Table1[[#This Row],[total_ps]]), _xlfn.AGGREGATE(1, 6, Table1[total_ps]), Table1[[#This Row],[total_ps]])</f>
        <v>20128.370106761566</v>
      </c>
      <c r="J272">
        <f>_xlfn.XLOOKUP(Table1[[#This Row],[Key]],Recidivism!C:C,Recidivism!D:D)</f>
        <v>10361</v>
      </c>
      <c r="K272">
        <f>IF(ISNA(Table1[[#This Row],[convicts_admitted_raw]]), _xlfn.AGGREGATE(1, 6, Table1[convicts_admitted_raw]), Table1[[#This Row],[convicts_admitted_raw]])</f>
        <v>10361</v>
      </c>
      <c r="L272">
        <f>_xlfn.XLOOKUP(Table1[[#This Row],[Key]],Recidivism!C:C,Recidivism!E:E)</f>
        <v>5371</v>
      </c>
      <c r="M272">
        <f>IF(ISNA(Table1[[#This Row],[habitual_offenders]]), _xlfn.AGGREGATE(1, 6, Table1[habitual_offenders]), Table1[[#This Row],[habitual_offenders]])</f>
        <v>5371</v>
      </c>
      <c r="N272">
        <f>_xlfn.XLOOKUP(Table1[[#This Row],[Key]],Vocational!C:C,Vocational!E:E)</f>
        <v>3</v>
      </c>
      <c r="O272">
        <f>IF(ISNA(Table1[[#This Row],[vocational_count]]), _xlfn.AGGREGATE(1, 6,Table1[vocational_count]), Table1[[#This Row],[vocational_count]])</f>
        <v>3</v>
      </c>
    </row>
    <row r="273" spans="1:15" x14ac:dyDescent="0.3">
      <c r="A273" t="s">
        <v>29</v>
      </c>
      <c r="B273">
        <v>2004</v>
      </c>
      <c r="C273" t="str">
        <f>_xlfn.CONCAT(Table1[[#This Row],[STATE]],"-",Table1[[#This Row],[YEAR]])</f>
        <v>Tamilnadu-2004</v>
      </c>
      <c r="D273">
        <v>2322</v>
      </c>
      <c r="E273">
        <v>2150</v>
      </c>
      <c r="F273">
        <v>172</v>
      </c>
      <c r="G273">
        <v>149</v>
      </c>
      <c r="H273" t="e">
        <f>_xlfn.XLOOKUP(Table1[[#This Row],[Key]],policseStrength!C:C,policseStrength!R:R)</f>
        <v>#N/A</v>
      </c>
      <c r="I273">
        <f>IF(ISNA(Table1[[#This Row],[total_ps]]), _xlfn.AGGREGATE(1, 6, Table1[total_ps]), Table1[[#This Row],[total_ps]])</f>
        <v>20128.370106761566</v>
      </c>
      <c r="J273">
        <f>_xlfn.XLOOKUP(Table1[[#This Row],[Key]],Recidivism!C:C,Recidivism!D:D)</f>
        <v>10415</v>
      </c>
      <c r="K273">
        <f>IF(ISNA(Table1[[#This Row],[convicts_admitted_raw]]), _xlfn.AGGREGATE(1, 6, Table1[convicts_admitted_raw]), Table1[[#This Row],[convicts_admitted_raw]])</f>
        <v>10415</v>
      </c>
      <c r="L273">
        <f>_xlfn.XLOOKUP(Table1[[#This Row],[Key]],Recidivism!C:C,Recidivism!E:E)</f>
        <v>5375</v>
      </c>
      <c r="M273">
        <f>IF(ISNA(Table1[[#This Row],[habitual_offenders]]), _xlfn.AGGREGATE(1, 6, Table1[habitual_offenders]), Table1[[#This Row],[habitual_offenders]])</f>
        <v>5375</v>
      </c>
      <c r="N273">
        <f>_xlfn.XLOOKUP(Table1[[#This Row],[Key]],Vocational!C:C,Vocational!E:E)</f>
        <v>127</v>
      </c>
      <c r="O273">
        <f>IF(ISNA(Table1[[#This Row],[vocational_count]]), _xlfn.AGGREGATE(1, 6,Table1[vocational_count]), Table1[[#This Row],[vocational_count]])</f>
        <v>127</v>
      </c>
    </row>
    <row r="274" spans="1:15" x14ac:dyDescent="0.3">
      <c r="A274" t="s">
        <v>29</v>
      </c>
      <c r="B274">
        <v>2005</v>
      </c>
      <c r="C274" t="str">
        <f>_xlfn.CONCAT(Table1[[#This Row],[STATE]],"-",Table1[[#This Row],[YEAR]])</f>
        <v>Tamilnadu-2005</v>
      </c>
      <c r="D274">
        <v>4844</v>
      </c>
      <c r="E274">
        <v>4500</v>
      </c>
      <c r="F274">
        <v>185</v>
      </c>
      <c r="G274">
        <v>509</v>
      </c>
      <c r="H274" t="e">
        <f>_xlfn.XLOOKUP(Table1[[#This Row],[Key]],policseStrength!C:C,policseStrength!R:R)</f>
        <v>#N/A</v>
      </c>
      <c r="I274">
        <f>IF(ISNA(Table1[[#This Row],[total_ps]]), _xlfn.AGGREGATE(1, 6, Table1[total_ps]), Table1[[#This Row],[total_ps]])</f>
        <v>20128.370106761566</v>
      </c>
      <c r="J274">
        <f>_xlfn.XLOOKUP(Table1[[#This Row],[Key]],Recidivism!C:C,Recidivism!D:D)</f>
        <v>9583</v>
      </c>
      <c r="K274">
        <f>IF(ISNA(Table1[[#This Row],[convicts_admitted_raw]]), _xlfn.AGGREGATE(1, 6, Table1[convicts_admitted_raw]), Table1[[#This Row],[convicts_admitted_raw]])</f>
        <v>9583</v>
      </c>
      <c r="L274">
        <f>_xlfn.XLOOKUP(Table1[[#This Row],[Key]],Recidivism!C:C,Recidivism!E:E)</f>
        <v>1845</v>
      </c>
      <c r="M274">
        <f>IF(ISNA(Table1[[#This Row],[habitual_offenders]]), _xlfn.AGGREGATE(1, 6, Table1[habitual_offenders]), Table1[[#This Row],[habitual_offenders]])</f>
        <v>1845</v>
      </c>
      <c r="N274">
        <f>_xlfn.XLOOKUP(Table1[[#This Row],[Key]],Vocational!C:C,Vocational!E:E)</f>
        <v>634</v>
      </c>
      <c r="O274">
        <f>IF(ISNA(Table1[[#This Row],[vocational_count]]), _xlfn.AGGREGATE(1, 6,Table1[vocational_count]), Table1[[#This Row],[vocational_count]])</f>
        <v>634</v>
      </c>
    </row>
    <row r="275" spans="1:15" x14ac:dyDescent="0.3">
      <c r="A275" t="s">
        <v>29</v>
      </c>
      <c r="B275">
        <v>2006</v>
      </c>
      <c r="C275" t="str">
        <f>_xlfn.CONCAT(Table1[[#This Row],[STATE]],"-",Table1[[#This Row],[YEAR]])</f>
        <v>Tamilnadu-2006</v>
      </c>
      <c r="D275">
        <v>4752</v>
      </c>
      <c r="E275">
        <v>4600</v>
      </c>
      <c r="F275">
        <v>195</v>
      </c>
      <c r="G275">
        <v>510</v>
      </c>
      <c r="H275" t="e">
        <f>_xlfn.XLOOKUP(Table1[[#This Row],[Key]],policseStrength!C:C,policseStrength!R:R)</f>
        <v>#N/A</v>
      </c>
      <c r="I275">
        <f>IF(ISNA(Table1[[#This Row],[total_ps]]), _xlfn.AGGREGATE(1, 6, Table1[total_ps]), Table1[[#This Row],[total_ps]])</f>
        <v>20128.370106761566</v>
      </c>
      <c r="J275">
        <f>_xlfn.XLOOKUP(Table1[[#This Row],[Key]],Recidivism!C:C,Recidivism!D:D)</f>
        <v>9475</v>
      </c>
      <c r="K275">
        <f>IF(ISNA(Table1[[#This Row],[convicts_admitted_raw]]), _xlfn.AGGREGATE(1, 6, Table1[convicts_admitted_raw]), Table1[[#This Row],[convicts_admitted_raw]])</f>
        <v>9475</v>
      </c>
      <c r="L275">
        <f>_xlfn.XLOOKUP(Table1[[#This Row],[Key]],Recidivism!C:C,Recidivism!E:E)</f>
        <v>1764</v>
      </c>
      <c r="M275">
        <f>IF(ISNA(Table1[[#This Row],[habitual_offenders]]), _xlfn.AGGREGATE(1, 6, Table1[habitual_offenders]), Table1[[#This Row],[habitual_offenders]])</f>
        <v>1764</v>
      </c>
      <c r="N275">
        <f>_xlfn.XLOOKUP(Table1[[#This Row],[Key]],Vocational!C:C,Vocational!E:E)</f>
        <v>641</v>
      </c>
      <c r="O275">
        <f>IF(ISNA(Table1[[#This Row],[vocational_count]]), _xlfn.AGGREGATE(1, 6,Table1[vocational_count]), Table1[[#This Row],[vocational_count]])</f>
        <v>641</v>
      </c>
    </row>
    <row r="276" spans="1:15" x14ac:dyDescent="0.3">
      <c r="A276" t="s">
        <v>29</v>
      </c>
      <c r="B276">
        <v>2007</v>
      </c>
      <c r="C276" t="str">
        <f>_xlfn.CONCAT(Table1[[#This Row],[STATE]],"-",Table1[[#This Row],[YEAR]])</f>
        <v>Tamilnadu-2007</v>
      </c>
      <c r="D276">
        <v>414</v>
      </c>
      <c r="E276">
        <v>3120</v>
      </c>
      <c r="F276">
        <v>288</v>
      </c>
      <c r="G276">
        <v>280</v>
      </c>
      <c r="H276" t="e">
        <f>_xlfn.XLOOKUP(Table1[[#This Row],[Key]],policseStrength!C:C,policseStrength!R:R)</f>
        <v>#N/A</v>
      </c>
      <c r="I276">
        <f>IF(ISNA(Table1[[#This Row],[total_ps]]), _xlfn.AGGREGATE(1, 6, Table1[total_ps]), Table1[[#This Row],[total_ps]])</f>
        <v>20128.370106761566</v>
      </c>
      <c r="J276">
        <f>_xlfn.XLOOKUP(Table1[[#This Row],[Key]],Recidivism!C:C,Recidivism!D:D)</f>
        <v>4955</v>
      </c>
      <c r="K276">
        <f>IF(ISNA(Table1[[#This Row],[convicts_admitted_raw]]), _xlfn.AGGREGATE(1, 6, Table1[convicts_admitted_raw]), Table1[[#This Row],[convicts_admitted_raw]])</f>
        <v>4955</v>
      </c>
      <c r="L276">
        <f>_xlfn.XLOOKUP(Table1[[#This Row],[Key]],Recidivism!C:C,Recidivism!E:E)</f>
        <v>1426</v>
      </c>
      <c r="M276">
        <f>IF(ISNA(Table1[[#This Row],[habitual_offenders]]), _xlfn.AGGREGATE(1, 6, Table1[habitual_offenders]), Table1[[#This Row],[habitual_offenders]])</f>
        <v>1426</v>
      </c>
      <c r="N276">
        <f>_xlfn.XLOOKUP(Table1[[#This Row],[Key]],Vocational!C:C,Vocational!E:E)</f>
        <v>186</v>
      </c>
      <c r="O276">
        <f>IF(ISNA(Table1[[#This Row],[vocational_count]]), _xlfn.AGGREGATE(1, 6,Table1[vocational_count]), Table1[[#This Row],[vocational_count]])</f>
        <v>186</v>
      </c>
    </row>
    <row r="277" spans="1:15" x14ac:dyDescent="0.3">
      <c r="A277" t="s">
        <v>29</v>
      </c>
      <c r="B277">
        <v>2008</v>
      </c>
      <c r="C277" t="str">
        <f>_xlfn.CONCAT(Table1[[#This Row],[STATE]],"-",Table1[[#This Row],[YEAR]])</f>
        <v>Tamilnadu-2008</v>
      </c>
      <c r="D277">
        <v>5988</v>
      </c>
      <c r="E277">
        <v>6460</v>
      </c>
      <c r="F277">
        <v>282</v>
      </c>
      <c r="G277">
        <v>337</v>
      </c>
      <c r="H277" t="e">
        <f>_xlfn.XLOOKUP(Table1[[#This Row],[Key]],policseStrength!C:C,policseStrength!R:R)</f>
        <v>#N/A</v>
      </c>
      <c r="I277">
        <f>IF(ISNA(Table1[[#This Row],[total_ps]]), _xlfn.AGGREGATE(1, 6, Table1[total_ps]), Table1[[#This Row],[total_ps]])</f>
        <v>20128.370106761566</v>
      </c>
      <c r="J277">
        <f>_xlfn.XLOOKUP(Table1[[#This Row],[Key]],Recidivism!C:C,Recidivism!D:D)</f>
        <v>7450</v>
      </c>
      <c r="K277">
        <f>IF(ISNA(Table1[[#This Row],[convicts_admitted_raw]]), _xlfn.AGGREGATE(1, 6, Table1[convicts_admitted_raw]), Table1[[#This Row],[convicts_admitted_raw]])</f>
        <v>7450</v>
      </c>
      <c r="L277">
        <f>_xlfn.XLOOKUP(Table1[[#This Row],[Key]],Recidivism!C:C,Recidivism!E:E)</f>
        <v>454</v>
      </c>
      <c r="M277">
        <f>IF(ISNA(Table1[[#This Row],[habitual_offenders]]), _xlfn.AGGREGATE(1, 6, Table1[habitual_offenders]), Table1[[#This Row],[habitual_offenders]])</f>
        <v>454</v>
      </c>
      <c r="N277">
        <f>_xlfn.XLOOKUP(Table1[[#This Row],[Key]],Vocational!C:C,Vocational!E:E)</f>
        <v>600</v>
      </c>
      <c r="O277">
        <f>IF(ISNA(Table1[[#This Row],[vocational_count]]), _xlfn.AGGREGATE(1, 6,Table1[vocational_count]), Table1[[#This Row],[vocational_count]])</f>
        <v>600</v>
      </c>
    </row>
    <row r="278" spans="1:15" x14ac:dyDescent="0.3">
      <c r="A278" t="s">
        <v>29</v>
      </c>
      <c r="B278">
        <v>2009</v>
      </c>
      <c r="C278" t="str">
        <f>_xlfn.CONCAT(Table1[[#This Row],[STATE]],"-",Table1[[#This Row],[YEAR]])</f>
        <v>Tamilnadu-2009</v>
      </c>
      <c r="D278">
        <v>1000</v>
      </c>
      <c r="E278">
        <v>10266</v>
      </c>
      <c r="F278">
        <v>370</v>
      </c>
      <c r="G278">
        <v>146</v>
      </c>
      <c r="H278" t="e">
        <f>_xlfn.XLOOKUP(Table1[[#This Row],[Key]],policseStrength!C:C,policseStrength!R:R)</f>
        <v>#N/A</v>
      </c>
      <c r="I278">
        <f>IF(ISNA(Table1[[#This Row],[total_ps]]), _xlfn.AGGREGATE(1, 6, Table1[total_ps]), Table1[[#This Row],[total_ps]])</f>
        <v>20128.370106761566</v>
      </c>
      <c r="J278">
        <f>_xlfn.XLOOKUP(Table1[[#This Row],[Key]],Recidivism!C:C,Recidivism!D:D)</f>
        <v>4828</v>
      </c>
      <c r="K278">
        <f>IF(ISNA(Table1[[#This Row],[convicts_admitted_raw]]), _xlfn.AGGREGATE(1, 6, Table1[convicts_admitted_raw]), Table1[[#This Row],[convicts_admitted_raw]])</f>
        <v>4828</v>
      </c>
      <c r="L278">
        <f>_xlfn.XLOOKUP(Table1[[#This Row],[Key]],Recidivism!C:C,Recidivism!E:E)</f>
        <v>427</v>
      </c>
      <c r="M278">
        <f>IF(ISNA(Table1[[#This Row],[habitual_offenders]]), _xlfn.AGGREGATE(1, 6, Table1[habitual_offenders]), Table1[[#This Row],[habitual_offenders]])</f>
        <v>427</v>
      </c>
      <c r="N278">
        <f>_xlfn.XLOOKUP(Table1[[#This Row],[Key]],Vocational!C:C,Vocational!E:E)</f>
        <v>10</v>
      </c>
      <c r="O278">
        <f>IF(ISNA(Table1[[#This Row],[vocational_count]]), _xlfn.AGGREGATE(1, 6,Table1[vocational_count]), Table1[[#This Row],[vocational_count]])</f>
        <v>10</v>
      </c>
    </row>
    <row r="279" spans="1:15" x14ac:dyDescent="0.3">
      <c r="A279" t="s">
        <v>29</v>
      </c>
      <c r="B279">
        <v>2010</v>
      </c>
      <c r="C279" t="str">
        <f>_xlfn.CONCAT(Table1[[#This Row],[STATE]],"-",Table1[[#This Row],[YEAR]])</f>
        <v>Tamilnadu-2010</v>
      </c>
      <c r="D279">
        <v>1553</v>
      </c>
      <c r="E279">
        <v>11041</v>
      </c>
      <c r="F279">
        <v>412</v>
      </c>
      <c r="G279">
        <v>339</v>
      </c>
      <c r="H279" t="e">
        <f>_xlfn.XLOOKUP(Table1[[#This Row],[Key]],policseStrength!C:C,policseStrength!R:R)</f>
        <v>#N/A</v>
      </c>
      <c r="I279">
        <f>IF(ISNA(Table1[[#This Row],[total_ps]]), _xlfn.AGGREGATE(1, 6, Table1[total_ps]), Table1[[#This Row],[total_ps]])</f>
        <v>20128.370106761566</v>
      </c>
      <c r="J279">
        <f>_xlfn.XLOOKUP(Table1[[#This Row],[Key]],Recidivism!C:C,Recidivism!D:D)</f>
        <v>4958</v>
      </c>
      <c r="K279">
        <f>IF(ISNA(Table1[[#This Row],[convicts_admitted_raw]]), _xlfn.AGGREGATE(1, 6, Table1[convicts_admitted_raw]), Table1[[#This Row],[convicts_admitted_raw]])</f>
        <v>4958</v>
      </c>
      <c r="L279">
        <f>_xlfn.XLOOKUP(Table1[[#This Row],[Key]],Recidivism!C:C,Recidivism!E:E)</f>
        <v>288</v>
      </c>
      <c r="M279">
        <f>IF(ISNA(Table1[[#This Row],[habitual_offenders]]), _xlfn.AGGREGATE(1, 6, Table1[habitual_offenders]), Table1[[#This Row],[habitual_offenders]])</f>
        <v>288</v>
      </c>
      <c r="N279">
        <f>_xlfn.XLOOKUP(Table1[[#This Row],[Key]],Vocational!C:C,Vocational!E:E)</f>
        <v>36</v>
      </c>
      <c r="O279">
        <f>IF(ISNA(Table1[[#This Row],[vocational_count]]), _xlfn.AGGREGATE(1, 6,Table1[vocational_count]), Table1[[#This Row],[vocational_count]])</f>
        <v>36</v>
      </c>
    </row>
    <row r="280" spans="1:15" x14ac:dyDescent="0.3">
      <c r="A280" t="s">
        <v>29</v>
      </c>
      <c r="B280">
        <v>2011</v>
      </c>
      <c r="C280" t="str">
        <f>_xlfn.CONCAT(Table1[[#This Row],[STATE]],"-",Table1[[#This Row],[YEAR]])</f>
        <v>Tamilnadu-2011</v>
      </c>
      <c r="D280">
        <v>1604</v>
      </c>
      <c r="E280">
        <v>12690</v>
      </c>
      <c r="F280">
        <v>611</v>
      </c>
      <c r="G280">
        <v>426</v>
      </c>
      <c r="H280" t="e">
        <f>_xlfn.XLOOKUP(Table1[[#This Row],[Key]],policseStrength!C:C,policseStrength!R:R)</f>
        <v>#N/A</v>
      </c>
      <c r="I280">
        <f>IF(ISNA(Table1[[#This Row],[total_ps]]), _xlfn.AGGREGATE(1, 6, Table1[total_ps]), Table1[[#This Row],[total_ps]])</f>
        <v>20128.370106761566</v>
      </c>
      <c r="J280">
        <f>_xlfn.XLOOKUP(Table1[[#This Row],[Key]],Recidivism!C:C,Recidivism!D:D)</f>
        <v>4112</v>
      </c>
      <c r="K280">
        <f>IF(ISNA(Table1[[#This Row],[convicts_admitted_raw]]), _xlfn.AGGREGATE(1, 6, Table1[convicts_admitted_raw]), Table1[[#This Row],[convicts_admitted_raw]])</f>
        <v>4112</v>
      </c>
      <c r="L280">
        <f>_xlfn.XLOOKUP(Table1[[#This Row],[Key]],Recidivism!C:C,Recidivism!E:E)</f>
        <v>72</v>
      </c>
      <c r="M280">
        <f>IF(ISNA(Table1[[#This Row],[habitual_offenders]]), _xlfn.AGGREGATE(1, 6, Table1[habitual_offenders]), Table1[[#This Row],[habitual_offenders]])</f>
        <v>72</v>
      </c>
      <c r="N280">
        <f>_xlfn.XLOOKUP(Table1[[#This Row],[Key]],Vocational!C:C,Vocational!E:E)</f>
        <v>52</v>
      </c>
      <c r="O280">
        <f>IF(ISNA(Table1[[#This Row],[vocational_count]]), _xlfn.AGGREGATE(1, 6,Table1[vocational_count]), Table1[[#This Row],[vocational_count]])</f>
        <v>52</v>
      </c>
    </row>
    <row r="281" spans="1:15" x14ac:dyDescent="0.3">
      <c r="A281" t="s">
        <v>29</v>
      </c>
      <c r="B281">
        <v>2012</v>
      </c>
      <c r="C281" t="str">
        <f>_xlfn.CONCAT(Table1[[#This Row],[STATE]],"-",Table1[[#This Row],[YEAR]])</f>
        <v>Tamilnadu-2012</v>
      </c>
      <c r="D281">
        <v>2738</v>
      </c>
      <c r="E281">
        <v>357</v>
      </c>
      <c r="F281">
        <v>191</v>
      </c>
      <c r="G281">
        <v>509</v>
      </c>
      <c r="H281" t="e">
        <f>_xlfn.XLOOKUP(Table1[[#This Row],[Key]],policseStrength!C:C,policseStrength!R:R)</f>
        <v>#N/A</v>
      </c>
      <c r="I281">
        <f>IF(ISNA(Table1[[#This Row],[total_ps]]), _xlfn.AGGREGATE(1, 6, Table1[total_ps]), Table1[[#This Row],[total_ps]])</f>
        <v>20128.370106761566</v>
      </c>
      <c r="J281">
        <f>_xlfn.XLOOKUP(Table1[[#This Row],[Key]],Recidivism!C:C,Recidivism!D:D)</f>
        <v>3046</v>
      </c>
      <c r="K281">
        <f>IF(ISNA(Table1[[#This Row],[convicts_admitted_raw]]), _xlfn.AGGREGATE(1, 6, Table1[convicts_admitted_raw]), Table1[[#This Row],[convicts_admitted_raw]])</f>
        <v>3046</v>
      </c>
      <c r="L281">
        <f>_xlfn.XLOOKUP(Table1[[#This Row],[Key]],Recidivism!C:C,Recidivism!E:E)</f>
        <v>127</v>
      </c>
      <c r="M281">
        <f>IF(ISNA(Table1[[#This Row],[habitual_offenders]]), _xlfn.AGGREGATE(1, 6, Table1[habitual_offenders]), Table1[[#This Row],[habitual_offenders]])</f>
        <v>127</v>
      </c>
      <c r="N281">
        <f>_xlfn.XLOOKUP(Table1[[#This Row],[Key]],Vocational!C:C,Vocational!E:E)</f>
        <v>58</v>
      </c>
      <c r="O281">
        <f>IF(ISNA(Table1[[#This Row],[vocational_count]]), _xlfn.AGGREGATE(1, 6,Table1[vocational_count]), Table1[[#This Row],[vocational_count]])</f>
        <v>58</v>
      </c>
    </row>
    <row r="282" spans="1:15" x14ac:dyDescent="0.3">
      <c r="A282" t="s">
        <v>30</v>
      </c>
      <c r="B282">
        <v>2001</v>
      </c>
      <c r="C282" t="str">
        <f>_xlfn.CONCAT(Table1[[#This Row],[STATE]],"-",Table1[[#This Row],[YEAR]])</f>
        <v>Tripura-2001</v>
      </c>
      <c r="D282">
        <v>295</v>
      </c>
      <c r="E282">
        <v>732</v>
      </c>
      <c r="F282">
        <v>0</v>
      </c>
      <c r="G282">
        <v>24</v>
      </c>
      <c r="H282">
        <f>_xlfn.XLOOKUP(Table1[[#This Row],[Key]],policseStrength!C:C,policseStrength!R:R)</f>
        <v>13522</v>
      </c>
      <c r="I282">
        <f>IF(ISNA(Table1[[#This Row],[total_ps]]), _xlfn.AGGREGATE(1, 6, Table1[total_ps]), Table1[[#This Row],[total_ps]])</f>
        <v>13522</v>
      </c>
      <c r="J282">
        <f>_xlfn.XLOOKUP(Table1[[#This Row],[Key]],Recidivism!C:C,Recidivism!D:D)</f>
        <v>295</v>
      </c>
      <c r="K282">
        <f>IF(ISNA(Table1[[#This Row],[convicts_admitted_raw]]), _xlfn.AGGREGATE(1, 6, Table1[convicts_admitted_raw]), Table1[[#This Row],[convicts_admitted_raw]])</f>
        <v>295</v>
      </c>
      <c r="L282">
        <f>_xlfn.XLOOKUP(Table1[[#This Row],[Key]],Recidivism!C:C,Recidivism!E:E)</f>
        <v>7</v>
      </c>
      <c r="M282">
        <f>IF(ISNA(Table1[[#This Row],[habitual_offenders]]), _xlfn.AGGREGATE(1, 6, Table1[habitual_offenders]), Table1[[#This Row],[habitual_offenders]])</f>
        <v>7</v>
      </c>
      <c r="N282">
        <f>_xlfn.XLOOKUP(Table1[[#This Row],[Key]],Vocational!C:C,Vocational!E:E)</f>
        <v>0</v>
      </c>
      <c r="O282">
        <f>IF(ISNA(Table1[[#This Row],[vocational_count]]), _xlfn.AGGREGATE(1, 6,Table1[vocational_count]), Table1[[#This Row],[vocational_count]])</f>
        <v>0</v>
      </c>
    </row>
    <row r="283" spans="1:15" x14ac:dyDescent="0.3">
      <c r="A283" t="s">
        <v>30</v>
      </c>
      <c r="B283">
        <v>2002</v>
      </c>
      <c r="C283" t="str">
        <f>_xlfn.CONCAT(Table1[[#This Row],[STATE]],"-",Table1[[#This Row],[YEAR]])</f>
        <v>Tripura-2002</v>
      </c>
      <c r="D283">
        <v>0</v>
      </c>
      <c r="E283">
        <v>750</v>
      </c>
      <c r="F283">
        <v>0</v>
      </c>
      <c r="G283">
        <v>25</v>
      </c>
      <c r="H283">
        <f>_xlfn.XLOOKUP(Table1[[#This Row],[Key]],policseStrength!C:C,policseStrength!R:R)</f>
        <v>16426</v>
      </c>
      <c r="I283">
        <f>IF(ISNA(Table1[[#This Row],[total_ps]]), _xlfn.AGGREGATE(1, 6, Table1[total_ps]), Table1[[#This Row],[total_ps]])</f>
        <v>16426</v>
      </c>
      <c r="J283">
        <f>_xlfn.XLOOKUP(Table1[[#This Row],[Key]],Recidivism!C:C,Recidivism!D:D)</f>
        <v>591</v>
      </c>
      <c r="K283">
        <f>IF(ISNA(Table1[[#This Row],[convicts_admitted_raw]]), _xlfn.AGGREGATE(1, 6, Table1[convicts_admitted_raw]), Table1[[#This Row],[convicts_admitted_raw]])</f>
        <v>591</v>
      </c>
      <c r="L283">
        <f>_xlfn.XLOOKUP(Table1[[#This Row],[Key]],Recidivism!C:C,Recidivism!E:E)</f>
        <v>0</v>
      </c>
      <c r="M283">
        <f>IF(ISNA(Table1[[#This Row],[habitual_offenders]]), _xlfn.AGGREGATE(1, 6, Table1[habitual_offenders]), Table1[[#This Row],[habitual_offenders]])</f>
        <v>0</v>
      </c>
      <c r="N283" t="e">
        <f>_xlfn.XLOOKUP(Table1[[#This Row],[Key]],Vocational!C:C,Vocational!E:E)</f>
        <v>#N/A</v>
      </c>
      <c r="O283">
        <f>IF(ISNA(Table1[[#This Row],[vocational_count]]), _xlfn.AGGREGATE(1, 6,Table1[vocational_count]), Table1[[#This Row],[vocational_count]])</f>
        <v>249.28426395939087</v>
      </c>
    </row>
    <row r="284" spans="1:15" x14ac:dyDescent="0.3">
      <c r="A284" t="s">
        <v>30</v>
      </c>
      <c r="B284">
        <v>2003</v>
      </c>
      <c r="C284" t="str">
        <f>_xlfn.CONCAT(Table1[[#This Row],[STATE]],"-",Table1[[#This Row],[YEAR]])</f>
        <v>Tripura-2003</v>
      </c>
      <c r="D284">
        <v>0</v>
      </c>
      <c r="E284">
        <v>738</v>
      </c>
      <c r="F284">
        <v>0</v>
      </c>
      <c r="G284">
        <v>10</v>
      </c>
      <c r="H284">
        <f>_xlfn.XLOOKUP(Table1[[#This Row],[Key]],policseStrength!C:C,policseStrength!R:R)</f>
        <v>16426</v>
      </c>
      <c r="I284">
        <f>IF(ISNA(Table1[[#This Row],[total_ps]]), _xlfn.AGGREGATE(1, 6, Table1[total_ps]), Table1[[#This Row],[total_ps]])</f>
        <v>16426</v>
      </c>
      <c r="J284">
        <f>_xlfn.XLOOKUP(Table1[[#This Row],[Key]],Recidivism!C:C,Recidivism!D:D)</f>
        <v>84</v>
      </c>
      <c r="K284">
        <f>IF(ISNA(Table1[[#This Row],[convicts_admitted_raw]]), _xlfn.AGGREGATE(1, 6, Table1[convicts_admitted_raw]), Table1[[#This Row],[convicts_admitted_raw]])</f>
        <v>84</v>
      </c>
      <c r="L284">
        <f>_xlfn.XLOOKUP(Table1[[#This Row],[Key]],Recidivism!C:C,Recidivism!E:E)</f>
        <v>0</v>
      </c>
      <c r="M284">
        <f>IF(ISNA(Table1[[#This Row],[habitual_offenders]]), _xlfn.AGGREGATE(1, 6, Table1[habitual_offenders]), Table1[[#This Row],[habitual_offenders]])</f>
        <v>0</v>
      </c>
      <c r="N284">
        <f>_xlfn.XLOOKUP(Table1[[#This Row],[Key]],Vocational!C:C,Vocational!E:E)</f>
        <v>265</v>
      </c>
      <c r="O284">
        <f>IF(ISNA(Table1[[#This Row],[vocational_count]]), _xlfn.AGGREGATE(1, 6,Table1[vocational_count]), Table1[[#This Row],[vocational_count]])</f>
        <v>265</v>
      </c>
    </row>
    <row r="285" spans="1:15" x14ac:dyDescent="0.3">
      <c r="A285" t="s">
        <v>30</v>
      </c>
      <c r="B285">
        <v>2004</v>
      </c>
      <c r="C285" t="str">
        <f>_xlfn.CONCAT(Table1[[#This Row],[STATE]],"-",Table1[[#This Row],[YEAR]])</f>
        <v>Tripura-2004</v>
      </c>
      <c r="D285">
        <v>128</v>
      </c>
      <c r="E285">
        <v>38</v>
      </c>
      <c r="F285">
        <v>0</v>
      </c>
      <c r="G285">
        <v>10</v>
      </c>
      <c r="H285">
        <f>_xlfn.XLOOKUP(Table1[[#This Row],[Key]],policseStrength!C:C,policseStrength!R:R)</f>
        <v>17976</v>
      </c>
      <c r="I285">
        <f>IF(ISNA(Table1[[#This Row],[total_ps]]), _xlfn.AGGREGATE(1, 6, Table1[total_ps]), Table1[[#This Row],[total_ps]])</f>
        <v>17976</v>
      </c>
      <c r="J285">
        <f>_xlfn.XLOOKUP(Table1[[#This Row],[Key]],Recidivism!C:C,Recidivism!D:D)</f>
        <v>203</v>
      </c>
      <c r="K285">
        <f>IF(ISNA(Table1[[#This Row],[convicts_admitted_raw]]), _xlfn.AGGREGATE(1, 6, Table1[convicts_admitted_raw]), Table1[[#This Row],[convicts_admitted_raw]])</f>
        <v>203</v>
      </c>
      <c r="L285">
        <f>_xlfn.XLOOKUP(Table1[[#This Row],[Key]],Recidivism!C:C,Recidivism!E:E)</f>
        <v>46</v>
      </c>
      <c r="M285">
        <f>IF(ISNA(Table1[[#This Row],[habitual_offenders]]), _xlfn.AGGREGATE(1, 6, Table1[habitual_offenders]), Table1[[#This Row],[habitual_offenders]])</f>
        <v>46</v>
      </c>
      <c r="N285">
        <f>_xlfn.XLOOKUP(Table1[[#This Row],[Key]],Vocational!C:C,Vocational!E:E)</f>
        <v>265</v>
      </c>
      <c r="O285">
        <f>IF(ISNA(Table1[[#This Row],[vocational_count]]), _xlfn.AGGREGATE(1, 6,Table1[vocational_count]), Table1[[#This Row],[vocational_count]])</f>
        <v>265</v>
      </c>
    </row>
    <row r="286" spans="1:15" x14ac:dyDescent="0.3">
      <c r="A286" t="s">
        <v>30</v>
      </c>
      <c r="B286">
        <v>2005</v>
      </c>
      <c r="C286" t="str">
        <f>_xlfn.CONCAT(Table1[[#This Row],[STATE]],"-",Table1[[#This Row],[YEAR]])</f>
        <v>Tripura-2005</v>
      </c>
      <c r="D286">
        <v>27</v>
      </c>
      <c r="E286">
        <v>233</v>
      </c>
      <c r="F286">
        <v>1</v>
      </c>
      <c r="G286">
        <v>25</v>
      </c>
      <c r="H286">
        <f>_xlfn.XLOOKUP(Table1[[#This Row],[Key]],policseStrength!C:C,policseStrength!R:R)</f>
        <v>17976</v>
      </c>
      <c r="I286">
        <f>IF(ISNA(Table1[[#This Row],[total_ps]]), _xlfn.AGGREGATE(1, 6, Table1[total_ps]), Table1[[#This Row],[total_ps]])</f>
        <v>17976</v>
      </c>
      <c r="J286">
        <f>_xlfn.XLOOKUP(Table1[[#This Row],[Key]],Recidivism!C:C,Recidivism!D:D)</f>
        <v>554</v>
      </c>
      <c r="K286">
        <f>IF(ISNA(Table1[[#This Row],[convicts_admitted_raw]]), _xlfn.AGGREGATE(1, 6, Table1[convicts_admitted_raw]), Table1[[#This Row],[convicts_admitted_raw]])</f>
        <v>554</v>
      </c>
      <c r="L286">
        <f>_xlfn.XLOOKUP(Table1[[#This Row],[Key]],Recidivism!C:C,Recidivism!E:E)</f>
        <v>28</v>
      </c>
      <c r="M286">
        <f>IF(ISNA(Table1[[#This Row],[habitual_offenders]]), _xlfn.AGGREGATE(1, 6, Table1[habitual_offenders]), Table1[[#This Row],[habitual_offenders]])</f>
        <v>28</v>
      </c>
      <c r="N286" t="e">
        <f>_xlfn.XLOOKUP(Table1[[#This Row],[Key]],Vocational!C:C,Vocational!E:E)</f>
        <v>#N/A</v>
      </c>
      <c r="O286">
        <f>IF(ISNA(Table1[[#This Row],[vocational_count]]), _xlfn.AGGREGATE(1, 6,Table1[vocational_count]), Table1[[#This Row],[vocational_count]])</f>
        <v>249.28426395939087</v>
      </c>
    </row>
    <row r="287" spans="1:15" x14ac:dyDescent="0.3">
      <c r="A287" t="s">
        <v>30</v>
      </c>
      <c r="B287">
        <v>2006</v>
      </c>
      <c r="C287" t="str">
        <f>_xlfn.CONCAT(Table1[[#This Row],[STATE]],"-",Table1[[#This Row],[YEAR]])</f>
        <v>Tripura-2006</v>
      </c>
      <c r="D287">
        <v>105</v>
      </c>
      <c r="E287">
        <v>99</v>
      </c>
      <c r="F287">
        <v>3</v>
      </c>
      <c r="G287">
        <v>62</v>
      </c>
      <c r="H287">
        <f>_xlfn.XLOOKUP(Table1[[#This Row],[Key]],policseStrength!C:C,policseStrength!R:R)</f>
        <v>24272</v>
      </c>
      <c r="I287">
        <f>IF(ISNA(Table1[[#This Row],[total_ps]]), _xlfn.AGGREGATE(1, 6, Table1[total_ps]), Table1[[#This Row],[total_ps]])</f>
        <v>24272</v>
      </c>
      <c r="J287">
        <f>_xlfn.XLOOKUP(Table1[[#This Row],[Key]],Recidivism!C:C,Recidivism!D:D)</f>
        <v>926</v>
      </c>
      <c r="K287">
        <f>IF(ISNA(Table1[[#This Row],[convicts_admitted_raw]]), _xlfn.AGGREGATE(1, 6, Table1[convicts_admitted_raw]), Table1[[#This Row],[convicts_admitted_raw]])</f>
        <v>926</v>
      </c>
      <c r="L287">
        <f>_xlfn.XLOOKUP(Table1[[#This Row],[Key]],Recidivism!C:C,Recidivism!E:E)</f>
        <v>16</v>
      </c>
      <c r="M287">
        <f>IF(ISNA(Table1[[#This Row],[habitual_offenders]]), _xlfn.AGGREGATE(1, 6, Table1[habitual_offenders]), Table1[[#This Row],[habitual_offenders]])</f>
        <v>16</v>
      </c>
      <c r="N287">
        <f>_xlfn.XLOOKUP(Table1[[#This Row],[Key]],Vocational!C:C,Vocational!E:E)</f>
        <v>7</v>
      </c>
      <c r="O287">
        <f>IF(ISNA(Table1[[#This Row],[vocational_count]]), _xlfn.AGGREGATE(1, 6,Table1[vocational_count]), Table1[[#This Row],[vocational_count]])</f>
        <v>7</v>
      </c>
    </row>
    <row r="288" spans="1:15" x14ac:dyDescent="0.3">
      <c r="A288" t="s">
        <v>30</v>
      </c>
      <c r="B288">
        <v>2007</v>
      </c>
      <c r="C288" t="str">
        <f>_xlfn.CONCAT(Table1[[#This Row],[STATE]],"-",Table1[[#This Row],[YEAR]])</f>
        <v>Tripura-2007</v>
      </c>
      <c r="D288">
        <v>21</v>
      </c>
      <c r="E288">
        <v>43</v>
      </c>
      <c r="F288">
        <v>2</v>
      </c>
      <c r="G288">
        <v>15</v>
      </c>
      <c r="H288">
        <f>_xlfn.XLOOKUP(Table1[[#This Row],[Key]],policseStrength!C:C,policseStrength!R:R)</f>
        <v>24100</v>
      </c>
      <c r="I288">
        <f>IF(ISNA(Table1[[#This Row],[total_ps]]), _xlfn.AGGREGATE(1, 6, Table1[total_ps]), Table1[[#This Row],[total_ps]])</f>
        <v>24100</v>
      </c>
      <c r="J288">
        <f>_xlfn.XLOOKUP(Table1[[#This Row],[Key]],Recidivism!C:C,Recidivism!D:D)</f>
        <v>1163</v>
      </c>
      <c r="K288">
        <f>IF(ISNA(Table1[[#This Row],[convicts_admitted_raw]]), _xlfn.AGGREGATE(1, 6, Table1[convicts_admitted_raw]), Table1[[#This Row],[convicts_admitted_raw]])</f>
        <v>1163</v>
      </c>
      <c r="L288">
        <f>_xlfn.XLOOKUP(Table1[[#This Row],[Key]],Recidivism!C:C,Recidivism!E:E)</f>
        <v>7</v>
      </c>
      <c r="M288">
        <f>IF(ISNA(Table1[[#This Row],[habitual_offenders]]), _xlfn.AGGREGATE(1, 6, Table1[habitual_offenders]), Table1[[#This Row],[habitual_offenders]])</f>
        <v>7</v>
      </c>
      <c r="N288">
        <f>_xlfn.XLOOKUP(Table1[[#This Row],[Key]],Vocational!C:C,Vocational!E:E)</f>
        <v>334</v>
      </c>
      <c r="O288">
        <f>IF(ISNA(Table1[[#This Row],[vocational_count]]), _xlfn.AGGREGATE(1, 6,Table1[vocational_count]), Table1[[#This Row],[vocational_count]])</f>
        <v>334</v>
      </c>
    </row>
    <row r="289" spans="1:15" x14ac:dyDescent="0.3">
      <c r="A289" t="s">
        <v>30</v>
      </c>
      <c r="B289">
        <v>2008</v>
      </c>
      <c r="C289" t="str">
        <f>_xlfn.CONCAT(Table1[[#This Row],[STATE]],"-",Table1[[#This Row],[YEAR]])</f>
        <v>Tripura-2008</v>
      </c>
      <c r="D289">
        <v>114</v>
      </c>
      <c r="E289">
        <v>115</v>
      </c>
      <c r="F289">
        <v>1</v>
      </c>
      <c r="G289">
        <v>12</v>
      </c>
      <c r="H289">
        <f>_xlfn.XLOOKUP(Table1[[#This Row],[Key]],policseStrength!C:C,policseStrength!R:R)</f>
        <v>26186</v>
      </c>
      <c r="I289">
        <f>IF(ISNA(Table1[[#This Row],[total_ps]]), _xlfn.AGGREGATE(1, 6, Table1[total_ps]), Table1[[#This Row],[total_ps]])</f>
        <v>26186</v>
      </c>
      <c r="J289">
        <f>_xlfn.XLOOKUP(Table1[[#This Row],[Key]],Recidivism!C:C,Recidivism!D:D)</f>
        <v>312</v>
      </c>
      <c r="K289">
        <f>IF(ISNA(Table1[[#This Row],[convicts_admitted_raw]]), _xlfn.AGGREGATE(1, 6, Table1[convicts_admitted_raw]), Table1[[#This Row],[convicts_admitted_raw]])</f>
        <v>312</v>
      </c>
      <c r="L289">
        <f>_xlfn.XLOOKUP(Table1[[#This Row],[Key]],Recidivism!C:C,Recidivism!E:E)</f>
        <v>49</v>
      </c>
      <c r="M289">
        <f>IF(ISNA(Table1[[#This Row],[habitual_offenders]]), _xlfn.AGGREGATE(1, 6, Table1[habitual_offenders]), Table1[[#This Row],[habitual_offenders]])</f>
        <v>49</v>
      </c>
      <c r="N289">
        <f>_xlfn.XLOOKUP(Table1[[#This Row],[Key]],Vocational!C:C,Vocational!E:E)</f>
        <v>31</v>
      </c>
      <c r="O289">
        <f>IF(ISNA(Table1[[#This Row],[vocational_count]]), _xlfn.AGGREGATE(1, 6,Table1[vocational_count]), Table1[[#This Row],[vocational_count]])</f>
        <v>31</v>
      </c>
    </row>
    <row r="290" spans="1:15" x14ac:dyDescent="0.3">
      <c r="A290" t="s">
        <v>30</v>
      </c>
      <c r="B290">
        <v>2009</v>
      </c>
      <c r="C290" t="str">
        <f>_xlfn.CONCAT(Table1[[#This Row],[STATE]],"-",Table1[[#This Row],[YEAR]])</f>
        <v>Tripura-2009</v>
      </c>
      <c r="D290">
        <v>88</v>
      </c>
      <c r="E290">
        <v>96</v>
      </c>
      <c r="F290">
        <v>3</v>
      </c>
      <c r="G290">
        <v>13</v>
      </c>
      <c r="H290">
        <f>_xlfn.XLOOKUP(Table1[[#This Row],[Key]],policseStrength!C:C,policseStrength!R:R)</f>
        <v>26188</v>
      </c>
      <c r="I290">
        <f>IF(ISNA(Table1[[#This Row],[total_ps]]), _xlfn.AGGREGATE(1, 6, Table1[total_ps]), Table1[[#This Row],[total_ps]])</f>
        <v>26188</v>
      </c>
      <c r="J290">
        <f>_xlfn.XLOOKUP(Table1[[#This Row],[Key]],Recidivism!C:C,Recidivism!D:D)</f>
        <v>1395</v>
      </c>
      <c r="K290">
        <f>IF(ISNA(Table1[[#This Row],[convicts_admitted_raw]]), _xlfn.AGGREGATE(1, 6, Table1[convicts_admitted_raw]), Table1[[#This Row],[convicts_admitted_raw]])</f>
        <v>1395</v>
      </c>
      <c r="L290">
        <f>_xlfn.XLOOKUP(Table1[[#This Row],[Key]],Recidivism!C:C,Recidivism!E:E)</f>
        <v>47</v>
      </c>
      <c r="M290">
        <f>IF(ISNA(Table1[[#This Row],[habitual_offenders]]), _xlfn.AGGREGATE(1, 6, Table1[habitual_offenders]), Table1[[#This Row],[habitual_offenders]])</f>
        <v>47</v>
      </c>
      <c r="N290">
        <f>_xlfn.XLOOKUP(Table1[[#This Row],[Key]],Vocational!C:C,Vocational!E:E)</f>
        <v>10</v>
      </c>
      <c r="O290">
        <f>IF(ISNA(Table1[[#This Row],[vocational_count]]), _xlfn.AGGREGATE(1, 6,Table1[vocational_count]), Table1[[#This Row],[vocational_count]])</f>
        <v>10</v>
      </c>
    </row>
    <row r="291" spans="1:15" x14ac:dyDescent="0.3">
      <c r="A291" t="s">
        <v>30</v>
      </c>
      <c r="B291">
        <v>2010</v>
      </c>
      <c r="C291" t="str">
        <f>_xlfn.CONCAT(Table1[[#This Row],[STATE]],"-",Table1[[#This Row],[YEAR]])</f>
        <v>Tripura-2010</v>
      </c>
      <c r="D291">
        <v>84</v>
      </c>
      <c r="E291">
        <v>98</v>
      </c>
      <c r="F291">
        <v>3</v>
      </c>
      <c r="G291">
        <v>10</v>
      </c>
      <c r="H291">
        <f>_xlfn.XLOOKUP(Table1[[#This Row],[Key]],policseStrength!C:C,policseStrength!R:R)</f>
        <v>27176</v>
      </c>
      <c r="I291">
        <f>IF(ISNA(Table1[[#This Row],[total_ps]]), _xlfn.AGGREGATE(1, 6, Table1[total_ps]), Table1[[#This Row],[total_ps]])</f>
        <v>27176</v>
      </c>
      <c r="J291">
        <f>_xlfn.XLOOKUP(Table1[[#This Row],[Key]],Recidivism!C:C,Recidivism!D:D)</f>
        <v>1245</v>
      </c>
      <c r="K291">
        <f>IF(ISNA(Table1[[#This Row],[convicts_admitted_raw]]), _xlfn.AGGREGATE(1, 6, Table1[convicts_admitted_raw]), Table1[[#This Row],[convicts_admitted_raw]])</f>
        <v>1245</v>
      </c>
      <c r="L291">
        <f>_xlfn.XLOOKUP(Table1[[#This Row],[Key]],Recidivism!C:C,Recidivism!E:E)</f>
        <v>15</v>
      </c>
      <c r="M291">
        <f>IF(ISNA(Table1[[#This Row],[habitual_offenders]]), _xlfn.AGGREGATE(1, 6, Table1[habitual_offenders]), Table1[[#This Row],[habitual_offenders]])</f>
        <v>15</v>
      </c>
      <c r="N291">
        <f>_xlfn.XLOOKUP(Table1[[#This Row],[Key]],Vocational!C:C,Vocational!E:E)</f>
        <v>10</v>
      </c>
      <c r="O291">
        <f>IF(ISNA(Table1[[#This Row],[vocational_count]]), _xlfn.AGGREGATE(1, 6,Table1[vocational_count]), Table1[[#This Row],[vocational_count]])</f>
        <v>10</v>
      </c>
    </row>
    <row r="292" spans="1:15" x14ac:dyDescent="0.3">
      <c r="A292" t="s">
        <v>30</v>
      </c>
      <c r="B292">
        <v>2011</v>
      </c>
      <c r="C292" t="str">
        <f>_xlfn.CONCAT(Table1[[#This Row],[STATE]],"-",Table1[[#This Row],[YEAR]])</f>
        <v>Tripura-2011</v>
      </c>
      <c r="D292">
        <v>85</v>
      </c>
      <c r="E292">
        <v>78</v>
      </c>
      <c r="F292">
        <v>4</v>
      </c>
      <c r="G292">
        <v>8</v>
      </c>
      <c r="H292" t="e">
        <f>_xlfn.XLOOKUP(Table1[[#This Row],[Key]],policseStrength!C:C,policseStrength!R:R)</f>
        <v>#N/A</v>
      </c>
      <c r="I292">
        <f>IF(ISNA(Table1[[#This Row],[total_ps]]), _xlfn.AGGREGATE(1, 6, Table1[total_ps]), Table1[[#This Row],[total_ps]])</f>
        <v>20128.370106761566</v>
      </c>
      <c r="J292">
        <f>_xlfn.XLOOKUP(Table1[[#This Row],[Key]],Recidivism!C:C,Recidivism!D:D)</f>
        <v>1311</v>
      </c>
      <c r="K292">
        <f>IF(ISNA(Table1[[#This Row],[convicts_admitted_raw]]), _xlfn.AGGREGATE(1, 6, Table1[convicts_admitted_raw]), Table1[[#This Row],[convicts_admitted_raw]])</f>
        <v>1311</v>
      </c>
      <c r="L292">
        <f>_xlfn.XLOOKUP(Table1[[#This Row],[Key]],Recidivism!C:C,Recidivism!E:E)</f>
        <v>18</v>
      </c>
      <c r="M292">
        <f>IF(ISNA(Table1[[#This Row],[habitual_offenders]]), _xlfn.AGGREGATE(1, 6, Table1[habitual_offenders]), Table1[[#This Row],[habitual_offenders]])</f>
        <v>18</v>
      </c>
      <c r="N292">
        <f>_xlfn.XLOOKUP(Table1[[#This Row],[Key]],Vocational!C:C,Vocational!E:E)</f>
        <v>10</v>
      </c>
      <c r="O292">
        <f>IF(ISNA(Table1[[#This Row],[vocational_count]]), _xlfn.AGGREGATE(1, 6,Table1[vocational_count]), Table1[[#This Row],[vocational_count]])</f>
        <v>10</v>
      </c>
    </row>
    <row r="293" spans="1:15" x14ac:dyDescent="0.3">
      <c r="A293" t="s">
        <v>30</v>
      </c>
      <c r="B293">
        <v>2012</v>
      </c>
      <c r="C293" t="str">
        <f>_xlfn.CONCAT(Table1[[#This Row],[STATE]],"-",Table1[[#This Row],[YEAR]])</f>
        <v>Tripura-2012</v>
      </c>
      <c r="D293">
        <v>73</v>
      </c>
      <c r="E293">
        <v>69</v>
      </c>
      <c r="F293">
        <v>3</v>
      </c>
      <c r="G293">
        <v>0</v>
      </c>
      <c r="H293" t="e">
        <f>_xlfn.XLOOKUP(Table1[[#This Row],[Key]],policseStrength!C:C,policseStrength!R:R)</f>
        <v>#N/A</v>
      </c>
      <c r="I293">
        <f>IF(ISNA(Table1[[#This Row],[total_ps]]), _xlfn.AGGREGATE(1, 6, Table1[total_ps]), Table1[[#This Row],[total_ps]])</f>
        <v>20128.370106761566</v>
      </c>
      <c r="J293">
        <f>_xlfn.XLOOKUP(Table1[[#This Row],[Key]],Recidivism!C:C,Recidivism!D:D)</f>
        <v>1359</v>
      </c>
      <c r="K293">
        <f>IF(ISNA(Table1[[#This Row],[convicts_admitted_raw]]), _xlfn.AGGREGATE(1, 6, Table1[convicts_admitted_raw]), Table1[[#This Row],[convicts_admitted_raw]])</f>
        <v>1359</v>
      </c>
      <c r="L293">
        <f>_xlfn.XLOOKUP(Table1[[#This Row],[Key]],Recidivism!C:C,Recidivism!E:E)</f>
        <v>22</v>
      </c>
      <c r="M293">
        <f>IF(ISNA(Table1[[#This Row],[habitual_offenders]]), _xlfn.AGGREGATE(1, 6, Table1[habitual_offenders]), Table1[[#This Row],[habitual_offenders]])</f>
        <v>22</v>
      </c>
      <c r="N293">
        <f>_xlfn.XLOOKUP(Table1[[#This Row],[Key]],Vocational!C:C,Vocational!E:E)</f>
        <v>10</v>
      </c>
      <c r="O293">
        <f>IF(ISNA(Table1[[#This Row],[vocational_count]]), _xlfn.AGGREGATE(1, 6,Table1[vocational_count]), Table1[[#This Row],[vocational_count]])</f>
        <v>10</v>
      </c>
    </row>
    <row r="294" spans="1:15" x14ac:dyDescent="0.3">
      <c r="A294" t="s">
        <v>31</v>
      </c>
      <c r="B294">
        <v>2001</v>
      </c>
      <c r="C294" t="str">
        <f>_xlfn.CONCAT(Table1[[#This Row],[STATE]],"-",Table1[[#This Row],[YEAR]])</f>
        <v>Uttar Pradesh-2001</v>
      </c>
      <c r="D294">
        <v>7576</v>
      </c>
      <c r="E294">
        <v>16967</v>
      </c>
      <c r="F294">
        <v>4</v>
      </c>
      <c r="G294">
        <v>115</v>
      </c>
      <c r="H294">
        <f>_xlfn.XLOOKUP(Table1[[#This Row],[Key]],policseStrength!C:C,policseStrength!R:R)</f>
        <v>66366</v>
      </c>
      <c r="I294">
        <f>IF(ISNA(Table1[[#This Row],[total_ps]]), _xlfn.AGGREGATE(1, 6, Table1[total_ps]), Table1[[#This Row],[total_ps]])</f>
        <v>66366</v>
      </c>
      <c r="J294">
        <f>_xlfn.XLOOKUP(Table1[[#This Row],[Key]],Recidivism!C:C,Recidivism!D:D)</f>
        <v>20458</v>
      </c>
      <c r="K294">
        <f>IF(ISNA(Table1[[#This Row],[convicts_admitted_raw]]), _xlfn.AGGREGATE(1, 6, Table1[convicts_admitted_raw]), Table1[[#This Row],[convicts_admitted_raw]])</f>
        <v>20458</v>
      </c>
      <c r="L294">
        <f>_xlfn.XLOOKUP(Table1[[#This Row],[Key]],Recidivism!C:C,Recidivism!E:E)</f>
        <v>722</v>
      </c>
      <c r="M294">
        <f>IF(ISNA(Table1[[#This Row],[habitual_offenders]]), _xlfn.AGGREGATE(1, 6, Table1[habitual_offenders]), Table1[[#This Row],[habitual_offenders]])</f>
        <v>722</v>
      </c>
      <c r="N294">
        <f>_xlfn.XLOOKUP(Table1[[#This Row],[Key]],Vocational!C:C,Vocational!E:E)</f>
        <v>140</v>
      </c>
      <c r="O294">
        <f>IF(ISNA(Table1[[#This Row],[vocational_count]]), _xlfn.AGGREGATE(1, 6,Table1[vocational_count]), Table1[[#This Row],[vocational_count]])</f>
        <v>140</v>
      </c>
    </row>
    <row r="295" spans="1:15" x14ac:dyDescent="0.3">
      <c r="A295" t="s">
        <v>31</v>
      </c>
      <c r="B295">
        <v>2002</v>
      </c>
      <c r="C295" t="str">
        <f>_xlfn.CONCAT(Table1[[#This Row],[STATE]],"-",Table1[[#This Row],[YEAR]])</f>
        <v>Uttar Pradesh-2002</v>
      </c>
      <c r="D295">
        <v>4552</v>
      </c>
      <c r="E295">
        <v>15970</v>
      </c>
      <c r="F295">
        <v>58</v>
      </c>
      <c r="G295">
        <v>15</v>
      </c>
      <c r="H295">
        <f>_xlfn.XLOOKUP(Table1[[#This Row],[Key]],policseStrength!C:C,policseStrength!R:R)</f>
        <v>66374</v>
      </c>
      <c r="I295">
        <f>IF(ISNA(Table1[[#This Row],[total_ps]]), _xlfn.AGGREGATE(1, 6, Table1[total_ps]), Table1[[#This Row],[total_ps]])</f>
        <v>66374</v>
      </c>
      <c r="J295">
        <f>_xlfn.XLOOKUP(Table1[[#This Row],[Key]],Recidivism!C:C,Recidivism!D:D)</f>
        <v>44180</v>
      </c>
      <c r="K295">
        <f>IF(ISNA(Table1[[#This Row],[convicts_admitted_raw]]), _xlfn.AGGREGATE(1, 6, Table1[convicts_admitted_raw]), Table1[[#This Row],[convicts_admitted_raw]])</f>
        <v>44180</v>
      </c>
      <c r="L295">
        <f>_xlfn.XLOOKUP(Table1[[#This Row],[Key]],Recidivism!C:C,Recidivism!E:E)</f>
        <v>2648</v>
      </c>
      <c r="M295">
        <f>IF(ISNA(Table1[[#This Row],[habitual_offenders]]), _xlfn.AGGREGATE(1, 6, Table1[habitual_offenders]), Table1[[#This Row],[habitual_offenders]])</f>
        <v>2648</v>
      </c>
      <c r="N295">
        <f>_xlfn.XLOOKUP(Table1[[#This Row],[Key]],Vocational!C:C,Vocational!E:E)</f>
        <v>76</v>
      </c>
      <c r="O295">
        <f>IF(ISNA(Table1[[#This Row],[vocational_count]]), _xlfn.AGGREGATE(1, 6,Table1[vocational_count]), Table1[[#This Row],[vocational_count]])</f>
        <v>76</v>
      </c>
    </row>
    <row r="296" spans="1:15" x14ac:dyDescent="0.3">
      <c r="A296" t="s">
        <v>31</v>
      </c>
      <c r="B296">
        <v>2003</v>
      </c>
      <c r="C296" t="str">
        <f>_xlfn.CONCAT(Table1[[#This Row],[STATE]],"-",Table1[[#This Row],[YEAR]])</f>
        <v>Uttar Pradesh-2003</v>
      </c>
      <c r="D296">
        <v>6428</v>
      </c>
      <c r="E296">
        <v>14292</v>
      </c>
      <c r="F296">
        <v>140</v>
      </c>
      <c r="G296">
        <v>175</v>
      </c>
      <c r="H296">
        <f>_xlfn.XLOOKUP(Table1[[#This Row],[Key]],policseStrength!C:C,policseStrength!R:R)</f>
        <v>60626</v>
      </c>
      <c r="I296">
        <f>IF(ISNA(Table1[[#This Row],[total_ps]]), _xlfn.AGGREGATE(1, 6, Table1[total_ps]), Table1[[#This Row],[total_ps]])</f>
        <v>60626</v>
      </c>
      <c r="J296">
        <f>_xlfn.XLOOKUP(Table1[[#This Row],[Key]],Recidivism!C:C,Recidivism!D:D)</f>
        <v>38215</v>
      </c>
      <c r="K296">
        <f>IF(ISNA(Table1[[#This Row],[convicts_admitted_raw]]), _xlfn.AGGREGATE(1, 6, Table1[convicts_admitted_raw]), Table1[[#This Row],[convicts_admitted_raw]])</f>
        <v>38215</v>
      </c>
      <c r="L296">
        <f>_xlfn.XLOOKUP(Table1[[#This Row],[Key]],Recidivism!C:C,Recidivism!E:E)</f>
        <v>4182</v>
      </c>
      <c r="M296">
        <f>IF(ISNA(Table1[[#This Row],[habitual_offenders]]), _xlfn.AGGREGATE(1, 6, Table1[habitual_offenders]), Table1[[#This Row],[habitual_offenders]])</f>
        <v>4182</v>
      </c>
      <c r="N296">
        <f>_xlfn.XLOOKUP(Table1[[#This Row],[Key]],Vocational!C:C,Vocational!E:E)</f>
        <v>462</v>
      </c>
      <c r="O296">
        <f>IF(ISNA(Table1[[#This Row],[vocational_count]]), _xlfn.AGGREGATE(1, 6,Table1[vocational_count]), Table1[[#This Row],[vocational_count]])</f>
        <v>462</v>
      </c>
    </row>
    <row r="297" spans="1:15" x14ac:dyDescent="0.3">
      <c r="A297" t="s">
        <v>31</v>
      </c>
      <c r="B297">
        <v>2004</v>
      </c>
      <c r="C297" t="str">
        <f>_xlfn.CONCAT(Table1[[#This Row],[STATE]],"-",Table1[[#This Row],[YEAR]])</f>
        <v>Uttar Pradesh-2004</v>
      </c>
      <c r="D297">
        <v>2183</v>
      </c>
      <c r="E297">
        <v>2665</v>
      </c>
      <c r="F297">
        <v>0</v>
      </c>
      <c r="G297">
        <v>5</v>
      </c>
      <c r="H297">
        <f>_xlfn.XLOOKUP(Table1[[#This Row],[Key]],policseStrength!C:C,policseStrength!R:R)</f>
        <v>62298</v>
      </c>
      <c r="I297">
        <f>IF(ISNA(Table1[[#This Row],[total_ps]]), _xlfn.AGGREGATE(1, 6, Table1[total_ps]), Table1[[#This Row],[total_ps]])</f>
        <v>62298</v>
      </c>
      <c r="J297">
        <f>_xlfn.XLOOKUP(Table1[[#This Row],[Key]],Recidivism!C:C,Recidivism!D:D)</f>
        <v>8787</v>
      </c>
      <c r="K297">
        <f>IF(ISNA(Table1[[#This Row],[convicts_admitted_raw]]), _xlfn.AGGREGATE(1, 6, Table1[convicts_admitted_raw]), Table1[[#This Row],[convicts_admitted_raw]])</f>
        <v>8787</v>
      </c>
      <c r="L297">
        <f>_xlfn.XLOOKUP(Table1[[#This Row],[Key]],Recidivism!C:C,Recidivism!E:E)</f>
        <v>183</v>
      </c>
      <c r="M297">
        <f>IF(ISNA(Table1[[#This Row],[habitual_offenders]]), _xlfn.AGGREGATE(1, 6, Table1[habitual_offenders]), Table1[[#This Row],[habitual_offenders]])</f>
        <v>183</v>
      </c>
      <c r="N297">
        <f>_xlfn.XLOOKUP(Table1[[#This Row],[Key]],Vocational!C:C,Vocational!E:E)</f>
        <v>46</v>
      </c>
      <c r="O297">
        <f>IF(ISNA(Table1[[#This Row],[vocational_count]]), _xlfn.AGGREGATE(1, 6,Table1[vocational_count]), Table1[[#This Row],[vocational_count]])</f>
        <v>46</v>
      </c>
    </row>
    <row r="298" spans="1:15" x14ac:dyDescent="0.3">
      <c r="A298" t="s">
        <v>31</v>
      </c>
      <c r="B298">
        <v>2005</v>
      </c>
      <c r="C298" t="str">
        <f>_xlfn.CONCAT(Table1[[#This Row],[STATE]],"-",Table1[[#This Row],[YEAR]])</f>
        <v>Uttar Pradesh-2005</v>
      </c>
      <c r="D298">
        <v>7539</v>
      </c>
      <c r="E298">
        <v>7742</v>
      </c>
      <c r="F298">
        <v>4</v>
      </c>
      <c r="G298">
        <v>125</v>
      </c>
      <c r="H298">
        <f>_xlfn.XLOOKUP(Table1[[#This Row],[Key]],policseStrength!C:C,policseStrength!R:R)</f>
        <v>66080</v>
      </c>
      <c r="I298">
        <f>IF(ISNA(Table1[[#This Row],[total_ps]]), _xlfn.AGGREGATE(1, 6, Table1[total_ps]), Table1[[#This Row],[total_ps]])</f>
        <v>66080</v>
      </c>
      <c r="J298">
        <f>_xlfn.XLOOKUP(Table1[[#This Row],[Key]],Recidivism!C:C,Recidivism!D:D)</f>
        <v>42541</v>
      </c>
      <c r="K298">
        <f>IF(ISNA(Table1[[#This Row],[convicts_admitted_raw]]), _xlfn.AGGREGATE(1, 6, Table1[convicts_admitted_raw]), Table1[[#This Row],[convicts_admitted_raw]])</f>
        <v>42541</v>
      </c>
      <c r="L298">
        <f>_xlfn.XLOOKUP(Table1[[#This Row],[Key]],Recidivism!C:C,Recidivism!E:E)</f>
        <v>2213</v>
      </c>
      <c r="M298">
        <f>IF(ISNA(Table1[[#This Row],[habitual_offenders]]), _xlfn.AGGREGATE(1, 6, Table1[habitual_offenders]), Table1[[#This Row],[habitual_offenders]])</f>
        <v>2213</v>
      </c>
      <c r="N298">
        <f>_xlfn.XLOOKUP(Table1[[#This Row],[Key]],Vocational!C:C,Vocational!E:E)</f>
        <v>34</v>
      </c>
      <c r="O298">
        <f>IF(ISNA(Table1[[#This Row],[vocational_count]]), _xlfn.AGGREGATE(1, 6,Table1[vocational_count]), Table1[[#This Row],[vocational_count]])</f>
        <v>34</v>
      </c>
    </row>
    <row r="299" spans="1:15" x14ac:dyDescent="0.3">
      <c r="A299" t="s">
        <v>31</v>
      </c>
      <c r="B299">
        <v>2006</v>
      </c>
      <c r="C299" t="str">
        <f>_xlfn.CONCAT(Table1[[#This Row],[STATE]],"-",Table1[[#This Row],[YEAR]])</f>
        <v>Uttar Pradesh-2006</v>
      </c>
      <c r="D299">
        <v>6108</v>
      </c>
      <c r="E299">
        <v>8350</v>
      </c>
      <c r="F299">
        <v>0</v>
      </c>
      <c r="G299">
        <v>130</v>
      </c>
      <c r="H299">
        <f>_xlfn.XLOOKUP(Table1[[#This Row],[Key]],policseStrength!C:C,policseStrength!R:R)</f>
        <v>66080</v>
      </c>
      <c r="I299">
        <f>IF(ISNA(Table1[[#This Row],[total_ps]]), _xlfn.AGGREGATE(1, 6, Table1[total_ps]), Table1[[#This Row],[total_ps]])</f>
        <v>66080</v>
      </c>
      <c r="J299">
        <f>_xlfn.XLOOKUP(Table1[[#This Row],[Key]],Recidivism!C:C,Recidivism!D:D)</f>
        <v>54865</v>
      </c>
      <c r="K299">
        <f>IF(ISNA(Table1[[#This Row],[convicts_admitted_raw]]), _xlfn.AGGREGATE(1, 6, Table1[convicts_admitted_raw]), Table1[[#This Row],[convicts_admitted_raw]])</f>
        <v>54865</v>
      </c>
      <c r="L299">
        <f>_xlfn.XLOOKUP(Table1[[#This Row],[Key]],Recidivism!C:C,Recidivism!E:E)</f>
        <v>2008</v>
      </c>
      <c r="M299">
        <f>IF(ISNA(Table1[[#This Row],[habitual_offenders]]), _xlfn.AGGREGATE(1, 6, Table1[habitual_offenders]), Table1[[#This Row],[habitual_offenders]])</f>
        <v>2008</v>
      </c>
      <c r="N299">
        <f>_xlfn.XLOOKUP(Table1[[#This Row],[Key]],Vocational!C:C,Vocational!E:E)</f>
        <v>130</v>
      </c>
      <c r="O299">
        <f>IF(ISNA(Table1[[#This Row],[vocational_count]]), _xlfn.AGGREGATE(1, 6,Table1[vocational_count]), Table1[[#This Row],[vocational_count]])</f>
        <v>130</v>
      </c>
    </row>
    <row r="300" spans="1:15" x14ac:dyDescent="0.3">
      <c r="A300" t="s">
        <v>31</v>
      </c>
      <c r="B300">
        <v>2007</v>
      </c>
      <c r="C300" t="str">
        <f>_xlfn.CONCAT(Table1[[#This Row],[STATE]],"-",Table1[[#This Row],[YEAR]])</f>
        <v>Uttar Pradesh-2007</v>
      </c>
      <c r="D300">
        <v>9254</v>
      </c>
      <c r="E300">
        <v>10008</v>
      </c>
      <c r="F300">
        <v>0</v>
      </c>
      <c r="G300">
        <v>78</v>
      </c>
      <c r="H300">
        <f>_xlfn.XLOOKUP(Table1[[#This Row],[Key]],policseStrength!C:C,policseStrength!R:R)</f>
        <v>63848</v>
      </c>
      <c r="I300">
        <f>IF(ISNA(Table1[[#This Row],[total_ps]]), _xlfn.AGGREGATE(1, 6, Table1[total_ps]), Table1[[#This Row],[total_ps]])</f>
        <v>63848</v>
      </c>
      <c r="J300">
        <f>_xlfn.XLOOKUP(Table1[[#This Row],[Key]],Recidivism!C:C,Recidivism!D:D)</f>
        <v>58832</v>
      </c>
      <c r="K300">
        <f>IF(ISNA(Table1[[#This Row],[convicts_admitted_raw]]), _xlfn.AGGREGATE(1, 6, Table1[convicts_admitted_raw]), Table1[[#This Row],[convicts_admitted_raw]])</f>
        <v>58832</v>
      </c>
      <c r="L300">
        <f>_xlfn.XLOOKUP(Table1[[#This Row],[Key]],Recidivism!C:C,Recidivism!E:E)</f>
        <v>5023</v>
      </c>
      <c r="M300">
        <f>IF(ISNA(Table1[[#This Row],[habitual_offenders]]), _xlfn.AGGREGATE(1, 6, Table1[habitual_offenders]), Table1[[#This Row],[habitual_offenders]])</f>
        <v>5023</v>
      </c>
      <c r="N300">
        <f>_xlfn.XLOOKUP(Table1[[#This Row],[Key]],Vocational!C:C,Vocational!E:E)</f>
        <v>282</v>
      </c>
      <c r="O300">
        <f>IF(ISNA(Table1[[#This Row],[vocational_count]]), _xlfn.AGGREGATE(1, 6,Table1[vocational_count]), Table1[[#This Row],[vocational_count]])</f>
        <v>282</v>
      </c>
    </row>
    <row r="301" spans="1:15" x14ac:dyDescent="0.3">
      <c r="A301" t="s">
        <v>31</v>
      </c>
      <c r="B301">
        <v>2008</v>
      </c>
      <c r="C301" t="str">
        <f>_xlfn.CONCAT(Table1[[#This Row],[STATE]],"-",Table1[[#This Row],[YEAR]])</f>
        <v>Uttar Pradesh-2008</v>
      </c>
      <c r="D301">
        <v>9961</v>
      </c>
      <c r="E301">
        <v>9309</v>
      </c>
      <c r="F301">
        <v>5</v>
      </c>
      <c r="G301">
        <v>69</v>
      </c>
      <c r="H301">
        <f>_xlfn.XLOOKUP(Table1[[#This Row],[Key]],policseStrength!C:C,policseStrength!R:R)</f>
        <v>61210</v>
      </c>
      <c r="I301">
        <f>IF(ISNA(Table1[[#This Row],[total_ps]]), _xlfn.AGGREGATE(1, 6, Table1[total_ps]), Table1[[#This Row],[total_ps]])</f>
        <v>61210</v>
      </c>
      <c r="J301">
        <f>_xlfn.XLOOKUP(Table1[[#This Row],[Key]],Recidivism!C:C,Recidivism!D:D)</f>
        <v>64450</v>
      </c>
      <c r="K301">
        <f>IF(ISNA(Table1[[#This Row],[convicts_admitted_raw]]), _xlfn.AGGREGATE(1, 6, Table1[convicts_admitted_raw]), Table1[[#This Row],[convicts_admitted_raw]])</f>
        <v>64450</v>
      </c>
      <c r="L301">
        <f>_xlfn.XLOOKUP(Table1[[#This Row],[Key]],Recidivism!C:C,Recidivism!E:E)</f>
        <v>3433</v>
      </c>
      <c r="M301">
        <f>IF(ISNA(Table1[[#This Row],[habitual_offenders]]), _xlfn.AGGREGATE(1, 6, Table1[habitual_offenders]), Table1[[#This Row],[habitual_offenders]])</f>
        <v>3433</v>
      </c>
      <c r="N301">
        <f>_xlfn.XLOOKUP(Table1[[#This Row],[Key]],Vocational!C:C,Vocational!E:E)</f>
        <v>69</v>
      </c>
      <c r="O301">
        <f>IF(ISNA(Table1[[#This Row],[vocational_count]]), _xlfn.AGGREGATE(1, 6,Table1[vocational_count]), Table1[[#This Row],[vocational_count]])</f>
        <v>69</v>
      </c>
    </row>
    <row r="302" spans="1:15" x14ac:dyDescent="0.3">
      <c r="A302" t="s">
        <v>31</v>
      </c>
      <c r="B302">
        <v>2009</v>
      </c>
      <c r="C302" t="str">
        <f>_xlfn.CONCAT(Table1[[#This Row],[STATE]],"-",Table1[[#This Row],[YEAR]])</f>
        <v>Uttar Pradesh-2009</v>
      </c>
      <c r="D302">
        <v>7666</v>
      </c>
      <c r="E302">
        <v>8077</v>
      </c>
      <c r="F302">
        <v>180</v>
      </c>
      <c r="G302">
        <v>505</v>
      </c>
      <c r="H302">
        <f>_xlfn.XLOOKUP(Table1[[#This Row],[Key]],policseStrength!C:C,policseStrength!R:R)</f>
        <v>66732</v>
      </c>
      <c r="I302">
        <f>IF(ISNA(Table1[[#This Row],[total_ps]]), _xlfn.AGGREGATE(1, 6, Table1[total_ps]), Table1[[#This Row],[total_ps]])</f>
        <v>66732</v>
      </c>
      <c r="J302">
        <f>_xlfn.XLOOKUP(Table1[[#This Row],[Key]],Recidivism!C:C,Recidivism!D:D)</f>
        <v>61076</v>
      </c>
      <c r="K302">
        <f>IF(ISNA(Table1[[#This Row],[convicts_admitted_raw]]), _xlfn.AGGREGATE(1, 6, Table1[convicts_admitted_raw]), Table1[[#This Row],[convicts_admitted_raw]])</f>
        <v>61076</v>
      </c>
      <c r="L302">
        <f>_xlfn.XLOOKUP(Table1[[#This Row],[Key]],Recidivism!C:C,Recidivism!E:E)</f>
        <v>3678</v>
      </c>
      <c r="M302">
        <f>IF(ISNA(Table1[[#This Row],[habitual_offenders]]), _xlfn.AGGREGATE(1, 6, Table1[habitual_offenders]), Table1[[#This Row],[habitual_offenders]])</f>
        <v>3678</v>
      </c>
      <c r="N302">
        <f>_xlfn.XLOOKUP(Table1[[#This Row],[Key]],Vocational!C:C,Vocational!E:E)</f>
        <v>0</v>
      </c>
      <c r="O302">
        <f>IF(ISNA(Table1[[#This Row],[vocational_count]]), _xlfn.AGGREGATE(1, 6,Table1[vocational_count]), Table1[[#This Row],[vocational_count]])</f>
        <v>0</v>
      </c>
    </row>
    <row r="303" spans="1:15" x14ac:dyDescent="0.3">
      <c r="A303" t="s">
        <v>31</v>
      </c>
      <c r="B303">
        <v>2010</v>
      </c>
      <c r="C303" t="str">
        <f>_xlfn.CONCAT(Table1[[#This Row],[STATE]],"-",Table1[[#This Row],[YEAR]])</f>
        <v>Uttar Pradesh-2010</v>
      </c>
      <c r="D303">
        <v>7562</v>
      </c>
      <c r="E303">
        <v>7968</v>
      </c>
      <c r="F303">
        <v>141</v>
      </c>
      <c r="G303">
        <v>398</v>
      </c>
      <c r="H303">
        <f>_xlfn.XLOOKUP(Table1[[#This Row],[Key]],policseStrength!C:C,policseStrength!R:R)</f>
        <v>61796</v>
      </c>
      <c r="I303">
        <f>IF(ISNA(Table1[[#This Row],[total_ps]]), _xlfn.AGGREGATE(1, 6, Table1[total_ps]), Table1[[#This Row],[total_ps]])</f>
        <v>61796</v>
      </c>
      <c r="J303">
        <f>_xlfn.XLOOKUP(Table1[[#This Row],[Key]],Recidivism!C:C,Recidivism!D:D)</f>
        <v>62338</v>
      </c>
      <c r="K303">
        <f>IF(ISNA(Table1[[#This Row],[convicts_admitted_raw]]), _xlfn.AGGREGATE(1, 6, Table1[convicts_admitted_raw]), Table1[[#This Row],[convicts_admitted_raw]])</f>
        <v>62338</v>
      </c>
      <c r="L303">
        <f>_xlfn.XLOOKUP(Table1[[#This Row],[Key]],Recidivism!C:C,Recidivism!E:E)</f>
        <v>3628</v>
      </c>
      <c r="M303">
        <f>IF(ISNA(Table1[[#This Row],[habitual_offenders]]), _xlfn.AGGREGATE(1, 6, Table1[habitual_offenders]), Table1[[#This Row],[habitual_offenders]])</f>
        <v>3628</v>
      </c>
      <c r="N303">
        <f>_xlfn.XLOOKUP(Table1[[#This Row],[Key]],Vocational!C:C,Vocational!E:E)</f>
        <v>398</v>
      </c>
      <c r="O303">
        <f>IF(ISNA(Table1[[#This Row],[vocational_count]]), _xlfn.AGGREGATE(1, 6,Table1[vocational_count]), Table1[[#This Row],[vocational_count]])</f>
        <v>398</v>
      </c>
    </row>
    <row r="304" spans="1:15" x14ac:dyDescent="0.3">
      <c r="A304" t="s">
        <v>31</v>
      </c>
      <c r="B304">
        <v>2011</v>
      </c>
      <c r="C304" t="str">
        <f>_xlfn.CONCAT(Table1[[#This Row],[STATE]],"-",Table1[[#This Row],[YEAR]])</f>
        <v>Uttar Pradesh-2011</v>
      </c>
      <c r="D304">
        <v>7509</v>
      </c>
      <c r="E304">
        <v>7912</v>
      </c>
      <c r="F304">
        <v>138</v>
      </c>
      <c r="G304">
        <v>417</v>
      </c>
      <c r="H304" t="e">
        <f>_xlfn.XLOOKUP(Table1[[#This Row],[Key]],policseStrength!C:C,policseStrength!R:R)</f>
        <v>#N/A</v>
      </c>
      <c r="I304">
        <f>IF(ISNA(Table1[[#This Row],[total_ps]]), _xlfn.AGGREGATE(1, 6, Table1[total_ps]), Table1[[#This Row],[total_ps]])</f>
        <v>20128.370106761566</v>
      </c>
      <c r="J304">
        <f>_xlfn.XLOOKUP(Table1[[#This Row],[Key]],Recidivism!C:C,Recidivism!D:D)</f>
        <v>61291</v>
      </c>
      <c r="K304">
        <f>IF(ISNA(Table1[[#This Row],[convicts_admitted_raw]]), _xlfn.AGGREGATE(1, 6, Table1[convicts_admitted_raw]), Table1[[#This Row],[convicts_admitted_raw]])</f>
        <v>61291</v>
      </c>
      <c r="L304">
        <f>_xlfn.XLOOKUP(Table1[[#This Row],[Key]],Recidivism!C:C,Recidivism!E:E)</f>
        <v>3603</v>
      </c>
      <c r="M304">
        <f>IF(ISNA(Table1[[#This Row],[habitual_offenders]]), _xlfn.AGGREGATE(1, 6, Table1[habitual_offenders]), Table1[[#This Row],[habitual_offenders]])</f>
        <v>3603</v>
      </c>
      <c r="N304">
        <f>_xlfn.XLOOKUP(Table1[[#This Row],[Key]],Vocational!C:C,Vocational!E:E)</f>
        <v>417</v>
      </c>
      <c r="O304">
        <f>IF(ISNA(Table1[[#This Row],[vocational_count]]), _xlfn.AGGREGATE(1, 6,Table1[vocational_count]), Table1[[#This Row],[vocational_count]])</f>
        <v>417</v>
      </c>
    </row>
    <row r="305" spans="1:15" x14ac:dyDescent="0.3">
      <c r="A305" t="s">
        <v>31</v>
      </c>
      <c r="B305">
        <v>2012</v>
      </c>
      <c r="C305" t="str">
        <f>_xlfn.CONCAT(Table1[[#This Row],[STATE]],"-",Table1[[#This Row],[YEAR]])</f>
        <v>Uttar Pradesh-2012</v>
      </c>
      <c r="D305">
        <v>12604</v>
      </c>
      <c r="E305">
        <v>8135</v>
      </c>
      <c r="F305">
        <v>1044</v>
      </c>
      <c r="G305">
        <v>467</v>
      </c>
      <c r="H305" t="e">
        <f>_xlfn.XLOOKUP(Table1[[#This Row],[Key]],policseStrength!C:C,policseStrength!R:R)</f>
        <v>#N/A</v>
      </c>
      <c r="I305">
        <f>IF(ISNA(Table1[[#This Row],[total_ps]]), _xlfn.AGGREGATE(1, 6, Table1[total_ps]), Table1[[#This Row],[total_ps]])</f>
        <v>20128.370106761566</v>
      </c>
      <c r="J305">
        <f>_xlfn.XLOOKUP(Table1[[#This Row],[Key]],Recidivism!C:C,Recidivism!D:D)</f>
        <v>60909</v>
      </c>
      <c r="K305">
        <f>IF(ISNA(Table1[[#This Row],[convicts_admitted_raw]]), _xlfn.AGGREGATE(1, 6, Table1[convicts_admitted_raw]), Table1[[#This Row],[convicts_admitted_raw]])</f>
        <v>60909</v>
      </c>
      <c r="L305">
        <f>_xlfn.XLOOKUP(Table1[[#This Row],[Key]],Recidivism!C:C,Recidivism!E:E)</f>
        <v>4245</v>
      </c>
      <c r="M305">
        <f>IF(ISNA(Table1[[#This Row],[habitual_offenders]]), _xlfn.AGGREGATE(1, 6, Table1[habitual_offenders]), Table1[[#This Row],[habitual_offenders]])</f>
        <v>4245</v>
      </c>
      <c r="N305">
        <f>_xlfn.XLOOKUP(Table1[[#This Row],[Key]],Vocational!C:C,Vocational!E:E)</f>
        <v>417</v>
      </c>
      <c r="O305">
        <f>IF(ISNA(Table1[[#This Row],[vocational_count]]), _xlfn.AGGREGATE(1, 6,Table1[vocational_count]), Table1[[#This Row],[vocational_count]])</f>
        <v>417</v>
      </c>
    </row>
    <row r="306" spans="1:15" x14ac:dyDescent="0.3">
      <c r="A306" t="s">
        <v>32</v>
      </c>
      <c r="B306">
        <v>2001</v>
      </c>
      <c r="C306" t="str">
        <f>_xlfn.CONCAT(Table1[[#This Row],[STATE]],"-",Table1[[#This Row],[YEAR]])</f>
        <v>Uttaranchal-2001</v>
      </c>
      <c r="D306">
        <v>518</v>
      </c>
      <c r="E306">
        <v>25</v>
      </c>
      <c r="F306">
        <v>0</v>
      </c>
      <c r="G306">
        <v>0</v>
      </c>
      <c r="H306" t="e">
        <f>_xlfn.XLOOKUP(Table1[[#This Row],[Key]],policseStrength!C:C,policseStrength!R:R)</f>
        <v>#N/A</v>
      </c>
      <c r="I306">
        <f>IF(ISNA(Table1[[#This Row],[total_ps]]), _xlfn.AGGREGATE(1, 6, Table1[total_ps]), Table1[[#This Row],[total_ps]])</f>
        <v>20128.370106761566</v>
      </c>
      <c r="J306">
        <f>_xlfn.XLOOKUP(Table1[[#This Row],[Key]],Recidivism!C:C,Recidivism!D:D)</f>
        <v>836</v>
      </c>
      <c r="K306">
        <f>IF(ISNA(Table1[[#This Row],[convicts_admitted_raw]]), _xlfn.AGGREGATE(1, 6, Table1[convicts_admitted_raw]), Table1[[#This Row],[convicts_admitted_raw]])</f>
        <v>836</v>
      </c>
      <c r="L306">
        <f>_xlfn.XLOOKUP(Table1[[#This Row],[Key]],Recidivism!C:C,Recidivism!E:E)</f>
        <v>7</v>
      </c>
      <c r="M306">
        <f>IF(ISNA(Table1[[#This Row],[habitual_offenders]]), _xlfn.AGGREGATE(1, 6, Table1[habitual_offenders]), Table1[[#This Row],[habitual_offenders]])</f>
        <v>7</v>
      </c>
      <c r="N306" t="e">
        <f>_xlfn.XLOOKUP(Table1[[#This Row],[Key]],Vocational!C:C,Vocational!E:E)</f>
        <v>#N/A</v>
      </c>
      <c r="O306">
        <f>IF(ISNA(Table1[[#This Row],[vocational_count]]), _xlfn.AGGREGATE(1, 6,Table1[vocational_count]), Table1[[#This Row],[vocational_count]])</f>
        <v>249.28426395939087</v>
      </c>
    </row>
    <row r="307" spans="1:15" x14ac:dyDescent="0.3">
      <c r="A307" t="s">
        <v>32</v>
      </c>
      <c r="B307">
        <v>2002</v>
      </c>
      <c r="C307" t="str">
        <f>_xlfn.CONCAT(Table1[[#This Row],[STATE]],"-",Table1[[#This Row],[YEAR]])</f>
        <v>Uttaranchal-2002</v>
      </c>
      <c r="D307">
        <v>385</v>
      </c>
      <c r="E307">
        <v>91</v>
      </c>
      <c r="F307">
        <v>0</v>
      </c>
      <c r="G307">
        <v>0</v>
      </c>
      <c r="H307" t="e">
        <f>_xlfn.XLOOKUP(Table1[[#This Row],[Key]],policseStrength!C:C,policseStrength!R:R)</f>
        <v>#N/A</v>
      </c>
      <c r="I307">
        <f>IF(ISNA(Table1[[#This Row],[total_ps]]), _xlfn.AGGREGATE(1, 6, Table1[total_ps]), Table1[[#This Row],[total_ps]])</f>
        <v>20128.370106761566</v>
      </c>
      <c r="J307">
        <f>_xlfn.XLOOKUP(Table1[[#This Row],[Key]],Recidivism!C:C,Recidivism!D:D)</f>
        <v>913</v>
      </c>
      <c r="K307">
        <f>IF(ISNA(Table1[[#This Row],[convicts_admitted_raw]]), _xlfn.AGGREGATE(1, 6, Table1[convicts_admitted_raw]), Table1[[#This Row],[convicts_admitted_raw]])</f>
        <v>913</v>
      </c>
      <c r="L307">
        <f>_xlfn.XLOOKUP(Table1[[#This Row],[Key]],Recidivism!C:C,Recidivism!E:E)</f>
        <v>19</v>
      </c>
      <c r="M307">
        <f>IF(ISNA(Table1[[#This Row],[habitual_offenders]]), _xlfn.AGGREGATE(1, 6, Table1[habitual_offenders]), Table1[[#This Row],[habitual_offenders]])</f>
        <v>19</v>
      </c>
      <c r="N307">
        <f>_xlfn.XLOOKUP(Table1[[#This Row],[Key]],Vocational!C:C,Vocational!E:E)</f>
        <v>40</v>
      </c>
      <c r="O307">
        <f>IF(ISNA(Table1[[#This Row],[vocational_count]]), _xlfn.AGGREGATE(1, 6,Table1[vocational_count]), Table1[[#This Row],[vocational_count]])</f>
        <v>40</v>
      </c>
    </row>
    <row r="308" spans="1:15" x14ac:dyDescent="0.3">
      <c r="A308" t="s">
        <v>32</v>
      </c>
      <c r="B308">
        <v>2003</v>
      </c>
      <c r="C308" t="str">
        <f>_xlfn.CONCAT(Table1[[#This Row],[STATE]],"-",Table1[[#This Row],[YEAR]])</f>
        <v>Uttaranchal-2003</v>
      </c>
      <c r="D308">
        <v>150</v>
      </c>
      <c r="E308">
        <v>60</v>
      </c>
      <c r="F308">
        <v>0</v>
      </c>
      <c r="G308">
        <v>20</v>
      </c>
      <c r="H308" t="e">
        <f>_xlfn.XLOOKUP(Table1[[#This Row],[Key]],policseStrength!C:C,policseStrength!R:R)</f>
        <v>#N/A</v>
      </c>
      <c r="I308">
        <f>IF(ISNA(Table1[[#This Row],[total_ps]]), _xlfn.AGGREGATE(1, 6, Table1[total_ps]), Table1[[#This Row],[total_ps]])</f>
        <v>20128.370106761566</v>
      </c>
      <c r="J308">
        <f>_xlfn.XLOOKUP(Table1[[#This Row],[Key]],Recidivism!C:C,Recidivism!D:D)</f>
        <v>882</v>
      </c>
      <c r="K308">
        <f>IF(ISNA(Table1[[#This Row],[convicts_admitted_raw]]), _xlfn.AGGREGATE(1, 6, Table1[convicts_admitted_raw]), Table1[[#This Row],[convicts_admitted_raw]])</f>
        <v>882</v>
      </c>
      <c r="L308">
        <f>_xlfn.XLOOKUP(Table1[[#This Row],[Key]],Recidivism!C:C,Recidivism!E:E)</f>
        <v>0</v>
      </c>
      <c r="M308">
        <f>IF(ISNA(Table1[[#This Row],[habitual_offenders]]), _xlfn.AGGREGATE(1, 6, Table1[habitual_offenders]), Table1[[#This Row],[habitual_offenders]])</f>
        <v>0</v>
      </c>
      <c r="N308">
        <f>_xlfn.XLOOKUP(Table1[[#This Row],[Key]],Vocational!C:C,Vocational!E:E)</f>
        <v>350</v>
      </c>
      <c r="O308">
        <f>IF(ISNA(Table1[[#This Row],[vocational_count]]), _xlfn.AGGREGATE(1, 6,Table1[vocational_count]), Table1[[#This Row],[vocational_count]])</f>
        <v>350</v>
      </c>
    </row>
    <row r="309" spans="1:15" x14ac:dyDescent="0.3">
      <c r="A309" t="s">
        <v>32</v>
      </c>
      <c r="B309">
        <v>2004</v>
      </c>
      <c r="C309" t="str">
        <f>_xlfn.CONCAT(Table1[[#This Row],[STATE]],"-",Table1[[#This Row],[YEAR]])</f>
        <v>Uttaranchal-2004</v>
      </c>
      <c r="D309">
        <v>150</v>
      </c>
      <c r="E309">
        <v>70</v>
      </c>
      <c r="F309">
        <v>0</v>
      </c>
      <c r="G309">
        <v>20</v>
      </c>
      <c r="H309" t="e">
        <f>_xlfn.XLOOKUP(Table1[[#This Row],[Key]],policseStrength!C:C,policseStrength!R:R)</f>
        <v>#N/A</v>
      </c>
      <c r="I309">
        <f>IF(ISNA(Table1[[#This Row],[total_ps]]), _xlfn.AGGREGATE(1, 6, Table1[total_ps]), Table1[[#This Row],[total_ps]])</f>
        <v>20128.370106761566</v>
      </c>
      <c r="J309">
        <f>_xlfn.XLOOKUP(Table1[[#This Row],[Key]],Recidivism!C:C,Recidivism!D:D)</f>
        <v>916</v>
      </c>
      <c r="K309">
        <f>IF(ISNA(Table1[[#This Row],[convicts_admitted_raw]]), _xlfn.AGGREGATE(1, 6, Table1[convicts_admitted_raw]), Table1[[#This Row],[convicts_admitted_raw]])</f>
        <v>916</v>
      </c>
      <c r="L309">
        <f>_xlfn.XLOOKUP(Table1[[#This Row],[Key]],Recidivism!C:C,Recidivism!E:E)</f>
        <v>0</v>
      </c>
      <c r="M309">
        <f>IF(ISNA(Table1[[#This Row],[habitual_offenders]]), _xlfn.AGGREGATE(1, 6, Table1[habitual_offenders]), Table1[[#This Row],[habitual_offenders]])</f>
        <v>0</v>
      </c>
      <c r="N309">
        <f>_xlfn.XLOOKUP(Table1[[#This Row],[Key]],Vocational!C:C,Vocational!E:E)</f>
        <v>380</v>
      </c>
      <c r="O309">
        <f>IF(ISNA(Table1[[#This Row],[vocational_count]]), _xlfn.AGGREGATE(1, 6,Table1[vocational_count]), Table1[[#This Row],[vocational_count]])</f>
        <v>380</v>
      </c>
    </row>
    <row r="310" spans="1:15" x14ac:dyDescent="0.3">
      <c r="A310" t="s">
        <v>32</v>
      </c>
      <c r="B310">
        <v>2005</v>
      </c>
      <c r="C310" t="str">
        <f>_xlfn.CONCAT(Table1[[#This Row],[STATE]],"-",Table1[[#This Row],[YEAR]])</f>
        <v>Uttaranchal-2005</v>
      </c>
      <c r="D310">
        <v>335</v>
      </c>
      <c r="E310">
        <v>145</v>
      </c>
      <c r="F310">
        <v>11</v>
      </c>
      <c r="G310">
        <v>22</v>
      </c>
      <c r="H310" t="e">
        <f>_xlfn.XLOOKUP(Table1[[#This Row],[Key]],policseStrength!C:C,policseStrength!R:R)</f>
        <v>#N/A</v>
      </c>
      <c r="I310">
        <f>IF(ISNA(Table1[[#This Row],[total_ps]]), _xlfn.AGGREGATE(1, 6, Table1[total_ps]), Table1[[#This Row],[total_ps]])</f>
        <v>20128.370106761566</v>
      </c>
      <c r="J310">
        <f>_xlfn.XLOOKUP(Table1[[#This Row],[Key]],Recidivism!C:C,Recidivism!D:D)</f>
        <v>1144</v>
      </c>
      <c r="K310">
        <f>IF(ISNA(Table1[[#This Row],[convicts_admitted_raw]]), _xlfn.AGGREGATE(1, 6, Table1[convicts_admitted_raw]), Table1[[#This Row],[convicts_admitted_raw]])</f>
        <v>1144</v>
      </c>
      <c r="L310">
        <f>_xlfn.XLOOKUP(Table1[[#This Row],[Key]],Recidivism!C:C,Recidivism!E:E)</f>
        <v>46</v>
      </c>
      <c r="M310">
        <f>IF(ISNA(Table1[[#This Row],[habitual_offenders]]), _xlfn.AGGREGATE(1, 6, Table1[habitual_offenders]), Table1[[#This Row],[habitual_offenders]])</f>
        <v>46</v>
      </c>
      <c r="N310">
        <f>_xlfn.XLOOKUP(Table1[[#This Row],[Key]],Vocational!C:C,Vocational!E:E)</f>
        <v>60</v>
      </c>
      <c r="O310">
        <f>IF(ISNA(Table1[[#This Row],[vocational_count]]), _xlfn.AGGREGATE(1, 6,Table1[vocational_count]), Table1[[#This Row],[vocational_count]])</f>
        <v>60</v>
      </c>
    </row>
    <row r="311" spans="1:15" x14ac:dyDescent="0.3">
      <c r="A311" t="s">
        <v>32</v>
      </c>
      <c r="B311">
        <v>2006</v>
      </c>
      <c r="C311" t="str">
        <f>_xlfn.CONCAT(Table1[[#This Row],[STATE]],"-",Table1[[#This Row],[YEAR]])</f>
        <v>Uttaranchal-2006</v>
      </c>
      <c r="D311">
        <v>301</v>
      </c>
      <c r="E311">
        <v>285</v>
      </c>
      <c r="F311">
        <v>11</v>
      </c>
      <c r="G311">
        <v>42</v>
      </c>
      <c r="H311" t="e">
        <f>_xlfn.XLOOKUP(Table1[[#This Row],[Key]],policseStrength!C:C,policseStrength!R:R)</f>
        <v>#N/A</v>
      </c>
      <c r="I311">
        <f>IF(ISNA(Table1[[#This Row],[total_ps]]), _xlfn.AGGREGATE(1, 6, Table1[total_ps]), Table1[[#This Row],[total_ps]])</f>
        <v>20128.370106761566</v>
      </c>
      <c r="J311">
        <f>_xlfn.XLOOKUP(Table1[[#This Row],[Key]],Recidivism!C:C,Recidivism!D:D)</f>
        <v>986</v>
      </c>
      <c r="K311">
        <f>IF(ISNA(Table1[[#This Row],[convicts_admitted_raw]]), _xlfn.AGGREGATE(1, 6, Table1[convicts_admitted_raw]), Table1[[#This Row],[convicts_admitted_raw]])</f>
        <v>986</v>
      </c>
      <c r="L311">
        <f>_xlfn.XLOOKUP(Table1[[#This Row],[Key]],Recidivism!C:C,Recidivism!E:E)</f>
        <v>18</v>
      </c>
      <c r="M311">
        <f>IF(ISNA(Table1[[#This Row],[habitual_offenders]]), _xlfn.AGGREGATE(1, 6, Table1[habitual_offenders]), Table1[[#This Row],[habitual_offenders]])</f>
        <v>18</v>
      </c>
      <c r="N311">
        <f>_xlfn.XLOOKUP(Table1[[#This Row],[Key]],Vocational!C:C,Vocational!E:E)</f>
        <v>40</v>
      </c>
      <c r="O311">
        <f>IF(ISNA(Table1[[#This Row],[vocational_count]]), _xlfn.AGGREGATE(1, 6,Table1[vocational_count]), Table1[[#This Row],[vocational_count]])</f>
        <v>40</v>
      </c>
    </row>
    <row r="312" spans="1:15" x14ac:dyDescent="0.3">
      <c r="A312" t="s">
        <v>32</v>
      </c>
      <c r="B312">
        <v>2007</v>
      </c>
      <c r="C312" t="str">
        <f>_xlfn.CONCAT(Table1[[#This Row],[STATE]],"-",Table1[[#This Row],[YEAR]])</f>
        <v>Uttaranchal-2007</v>
      </c>
      <c r="D312">
        <v>202</v>
      </c>
      <c r="E312">
        <v>195</v>
      </c>
      <c r="F312">
        <v>0</v>
      </c>
      <c r="G312">
        <v>40</v>
      </c>
      <c r="H312" t="e">
        <f>_xlfn.XLOOKUP(Table1[[#This Row],[Key]],policseStrength!C:C,policseStrength!R:R)</f>
        <v>#N/A</v>
      </c>
      <c r="I312">
        <f>IF(ISNA(Table1[[#This Row],[total_ps]]), _xlfn.AGGREGATE(1, 6, Table1[total_ps]), Table1[[#This Row],[total_ps]])</f>
        <v>20128.370106761566</v>
      </c>
      <c r="J312">
        <f>_xlfn.XLOOKUP(Table1[[#This Row],[Key]],Recidivism!C:C,Recidivism!D:D)</f>
        <v>787</v>
      </c>
      <c r="K312">
        <f>IF(ISNA(Table1[[#This Row],[convicts_admitted_raw]]), _xlfn.AGGREGATE(1, 6, Table1[convicts_admitted_raw]), Table1[[#This Row],[convicts_admitted_raw]])</f>
        <v>787</v>
      </c>
      <c r="L312">
        <f>_xlfn.XLOOKUP(Table1[[#This Row],[Key]],Recidivism!C:C,Recidivism!E:E)</f>
        <v>86</v>
      </c>
      <c r="M312">
        <f>IF(ISNA(Table1[[#This Row],[habitual_offenders]]), _xlfn.AGGREGATE(1, 6, Table1[habitual_offenders]), Table1[[#This Row],[habitual_offenders]])</f>
        <v>86</v>
      </c>
      <c r="N312">
        <f>_xlfn.XLOOKUP(Table1[[#This Row],[Key]],Vocational!C:C,Vocational!E:E)</f>
        <v>21</v>
      </c>
      <c r="O312">
        <f>IF(ISNA(Table1[[#This Row],[vocational_count]]), _xlfn.AGGREGATE(1, 6,Table1[vocational_count]), Table1[[#This Row],[vocational_count]])</f>
        <v>21</v>
      </c>
    </row>
    <row r="313" spans="1:15" x14ac:dyDescent="0.3">
      <c r="A313" t="s">
        <v>32</v>
      </c>
      <c r="B313">
        <v>2008</v>
      </c>
      <c r="C313" t="str">
        <f>_xlfn.CONCAT(Table1[[#This Row],[STATE]],"-",Table1[[#This Row],[YEAR]])</f>
        <v>Uttaranchal-2008</v>
      </c>
      <c r="D313">
        <v>139</v>
      </c>
      <c r="E313">
        <v>178</v>
      </c>
      <c r="F313">
        <v>103</v>
      </c>
      <c r="G313">
        <v>17</v>
      </c>
      <c r="H313" t="e">
        <f>_xlfn.XLOOKUP(Table1[[#This Row],[Key]],policseStrength!C:C,policseStrength!R:R)</f>
        <v>#N/A</v>
      </c>
      <c r="I313">
        <f>IF(ISNA(Table1[[#This Row],[total_ps]]), _xlfn.AGGREGATE(1, 6, Table1[total_ps]), Table1[[#This Row],[total_ps]])</f>
        <v>20128.370106761566</v>
      </c>
      <c r="J313">
        <f>_xlfn.XLOOKUP(Table1[[#This Row],[Key]],Recidivism!C:C,Recidivism!D:D)</f>
        <v>1067</v>
      </c>
      <c r="K313">
        <f>IF(ISNA(Table1[[#This Row],[convicts_admitted_raw]]), _xlfn.AGGREGATE(1, 6, Table1[convicts_admitted_raw]), Table1[[#This Row],[convicts_admitted_raw]])</f>
        <v>1067</v>
      </c>
      <c r="L313">
        <f>_xlfn.XLOOKUP(Table1[[#This Row],[Key]],Recidivism!C:C,Recidivism!E:E)</f>
        <v>81</v>
      </c>
      <c r="M313">
        <f>IF(ISNA(Table1[[#This Row],[habitual_offenders]]), _xlfn.AGGREGATE(1, 6, Table1[habitual_offenders]), Table1[[#This Row],[habitual_offenders]])</f>
        <v>81</v>
      </c>
      <c r="N313">
        <f>_xlfn.XLOOKUP(Table1[[#This Row],[Key]],Vocational!C:C,Vocational!E:E)</f>
        <v>130</v>
      </c>
      <c r="O313">
        <f>IF(ISNA(Table1[[#This Row],[vocational_count]]), _xlfn.AGGREGATE(1, 6,Table1[vocational_count]), Table1[[#This Row],[vocational_count]])</f>
        <v>130</v>
      </c>
    </row>
    <row r="314" spans="1:15" x14ac:dyDescent="0.3">
      <c r="A314" t="s">
        <v>32</v>
      </c>
      <c r="B314">
        <v>2009</v>
      </c>
      <c r="C314" t="str">
        <f>_xlfn.CONCAT(Table1[[#This Row],[STATE]],"-",Table1[[#This Row],[YEAR]])</f>
        <v>Uttaranchal-2009</v>
      </c>
      <c r="D314">
        <v>394</v>
      </c>
      <c r="E314">
        <v>320</v>
      </c>
      <c r="F314">
        <v>224</v>
      </c>
      <c r="G314">
        <v>62</v>
      </c>
      <c r="H314" t="e">
        <f>_xlfn.XLOOKUP(Table1[[#This Row],[Key]],policseStrength!C:C,policseStrength!R:R)</f>
        <v>#N/A</v>
      </c>
      <c r="I314">
        <f>IF(ISNA(Table1[[#This Row],[total_ps]]), _xlfn.AGGREGATE(1, 6, Table1[total_ps]), Table1[[#This Row],[total_ps]])</f>
        <v>20128.370106761566</v>
      </c>
      <c r="J314">
        <f>_xlfn.XLOOKUP(Table1[[#This Row],[Key]],Recidivism!C:C,Recidivism!D:D)</f>
        <v>1253</v>
      </c>
      <c r="K314">
        <f>IF(ISNA(Table1[[#This Row],[convicts_admitted_raw]]), _xlfn.AGGREGATE(1, 6, Table1[convicts_admitted_raw]), Table1[[#This Row],[convicts_admitted_raw]])</f>
        <v>1253</v>
      </c>
      <c r="L314">
        <f>_xlfn.XLOOKUP(Table1[[#This Row],[Key]],Recidivism!C:C,Recidivism!E:E)</f>
        <v>6</v>
      </c>
      <c r="M314">
        <f>IF(ISNA(Table1[[#This Row],[habitual_offenders]]), _xlfn.AGGREGATE(1, 6, Table1[habitual_offenders]), Table1[[#This Row],[habitual_offenders]])</f>
        <v>6</v>
      </c>
      <c r="N314">
        <f>_xlfn.XLOOKUP(Table1[[#This Row],[Key]],Vocational!C:C,Vocational!E:E)</f>
        <v>20</v>
      </c>
      <c r="O314">
        <f>IF(ISNA(Table1[[#This Row],[vocational_count]]), _xlfn.AGGREGATE(1, 6,Table1[vocational_count]), Table1[[#This Row],[vocational_count]])</f>
        <v>20</v>
      </c>
    </row>
    <row r="315" spans="1:15" x14ac:dyDescent="0.3">
      <c r="A315" t="s">
        <v>32</v>
      </c>
      <c r="B315">
        <v>2010</v>
      </c>
      <c r="C315" t="str">
        <f>_xlfn.CONCAT(Table1[[#This Row],[STATE]],"-",Table1[[#This Row],[YEAR]])</f>
        <v>Uttaranchal-2010</v>
      </c>
      <c r="D315">
        <v>140</v>
      </c>
      <c r="E315">
        <v>350</v>
      </c>
      <c r="F315">
        <v>249</v>
      </c>
      <c r="G315">
        <v>38</v>
      </c>
      <c r="H315" t="e">
        <f>_xlfn.XLOOKUP(Table1[[#This Row],[Key]],policseStrength!C:C,policseStrength!R:R)</f>
        <v>#N/A</v>
      </c>
      <c r="I315">
        <f>IF(ISNA(Table1[[#This Row],[total_ps]]), _xlfn.AGGREGATE(1, 6, Table1[total_ps]), Table1[[#This Row],[total_ps]])</f>
        <v>20128.370106761566</v>
      </c>
      <c r="J315">
        <f>_xlfn.XLOOKUP(Table1[[#This Row],[Key]],Recidivism!C:C,Recidivism!D:D)</f>
        <v>1465</v>
      </c>
      <c r="K315">
        <f>IF(ISNA(Table1[[#This Row],[convicts_admitted_raw]]), _xlfn.AGGREGATE(1, 6, Table1[convicts_admitted_raw]), Table1[[#This Row],[convicts_admitted_raw]])</f>
        <v>1465</v>
      </c>
      <c r="L315">
        <f>_xlfn.XLOOKUP(Table1[[#This Row],[Key]],Recidivism!C:C,Recidivism!E:E)</f>
        <v>5</v>
      </c>
      <c r="M315">
        <f>IF(ISNA(Table1[[#This Row],[habitual_offenders]]), _xlfn.AGGREGATE(1, 6, Table1[habitual_offenders]), Table1[[#This Row],[habitual_offenders]])</f>
        <v>5</v>
      </c>
      <c r="N315">
        <f>_xlfn.XLOOKUP(Table1[[#This Row],[Key]],Vocational!C:C,Vocational!E:E)</f>
        <v>10</v>
      </c>
      <c r="O315">
        <f>IF(ISNA(Table1[[#This Row],[vocational_count]]), _xlfn.AGGREGATE(1, 6,Table1[vocational_count]), Table1[[#This Row],[vocational_count]])</f>
        <v>10</v>
      </c>
    </row>
    <row r="316" spans="1:15" x14ac:dyDescent="0.3">
      <c r="A316" t="s">
        <v>32</v>
      </c>
      <c r="B316">
        <v>2011</v>
      </c>
      <c r="C316" t="str">
        <f>_xlfn.CONCAT(Table1[[#This Row],[STATE]],"-",Table1[[#This Row],[YEAR]])</f>
        <v>Uttaranchal-2011</v>
      </c>
      <c r="D316">
        <v>175</v>
      </c>
      <c r="E316">
        <v>402</v>
      </c>
      <c r="F316">
        <v>265</v>
      </c>
      <c r="G316">
        <v>52</v>
      </c>
      <c r="H316" t="e">
        <f>_xlfn.XLOOKUP(Table1[[#This Row],[Key]],policseStrength!C:C,policseStrength!R:R)</f>
        <v>#N/A</v>
      </c>
      <c r="I316">
        <f>IF(ISNA(Table1[[#This Row],[total_ps]]), _xlfn.AGGREGATE(1, 6, Table1[total_ps]), Table1[[#This Row],[total_ps]])</f>
        <v>20128.370106761566</v>
      </c>
      <c r="J316">
        <f>_xlfn.XLOOKUP(Table1[[#This Row],[Key]],Recidivism!C:C,Recidivism!D:D)</f>
        <v>1500</v>
      </c>
      <c r="K316">
        <f>IF(ISNA(Table1[[#This Row],[convicts_admitted_raw]]), _xlfn.AGGREGATE(1, 6, Table1[convicts_admitted_raw]), Table1[[#This Row],[convicts_admitted_raw]])</f>
        <v>1500</v>
      </c>
      <c r="L316">
        <f>_xlfn.XLOOKUP(Table1[[#This Row],[Key]],Recidivism!C:C,Recidivism!E:E)</f>
        <v>4</v>
      </c>
      <c r="M316">
        <f>IF(ISNA(Table1[[#This Row],[habitual_offenders]]), _xlfn.AGGREGATE(1, 6, Table1[habitual_offenders]), Table1[[#This Row],[habitual_offenders]])</f>
        <v>4</v>
      </c>
      <c r="N316">
        <f>_xlfn.XLOOKUP(Table1[[#This Row],[Key]],Vocational!C:C,Vocational!E:E)</f>
        <v>20</v>
      </c>
      <c r="O316">
        <f>IF(ISNA(Table1[[#This Row],[vocational_count]]), _xlfn.AGGREGATE(1, 6,Table1[vocational_count]), Table1[[#This Row],[vocational_count]])</f>
        <v>20</v>
      </c>
    </row>
    <row r="317" spans="1:15" x14ac:dyDescent="0.3">
      <c r="A317" t="s">
        <v>32</v>
      </c>
      <c r="B317">
        <v>2012</v>
      </c>
      <c r="C317" t="str">
        <f>_xlfn.CONCAT(Table1[[#This Row],[STATE]],"-",Table1[[#This Row],[YEAR]])</f>
        <v>Uttaranchal-2012</v>
      </c>
      <c r="D317">
        <v>60</v>
      </c>
      <c r="E317">
        <v>49</v>
      </c>
      <c r="F317">
        <v>66</v>
      </c>
      <c r="G317">
        <v>40</v>
      </c>
      <c r="H317" t="e">
        <f>_xlfn.XLOOKUP(Table1[[#This Row],[Key]],policseStrength!C:C,policseStrength!R:R)</f>
        <v>#N/A</v>
      </c>
      <c r="I317">
        <f>IF(ISNA(Table1[[#This Row],[total_ps]]), _xlfn.AGGREGATE(1, 6, Table1[total_ps]), Table1[[#This Row],[total_ps]])</f>
        <v>20128.370106761566</v>
      </c>
      <c r="J317">
        <f>_xlfn.XLOOKUP(Table1[[#This Row],[Key]],Recidivism!C:C,Recidivism!D:D)</f>
        <v>1644</v>
      </c>
      <c r="K317">
        <f>IF(ISNA(Table1[[#This Row],[convicts_admitted_raw]]), _xlfn.AGGREGATE(1, 6, Table1[convicts_admitted_raw]), Table1[[#This Row],[convicts_admitted_raw]])</f>
        <v>1644</v>
      </c>
      <c r="L317">
        <f>_xlfn.XLOOKUP(Table1[[#This Row],[Key]],Recidivism!C:C,Recidivism!E:E)</f>
        <v>2</v>
      </c>
      <c r="M317">
        <f>IF(ISNA(Table1[[#This Row],[habitual_offenders]]), _xlfn.AGGREGATE(1, 6, Table1[habitual_offenders]), Table1[[#This Row],[habitual_offenders]])</f>
        <v>2</v>
      </c>
      <c r="N317">
        <f>_xlfn.XLOOKUP(Table1[[#This Row],[Key]],Vocational!C:C,Vocational!E:E)</f>
        <v>12</v>
      </c>
      <c r="O317">
        <f>IF(ISNA(Table1[[#This Row],[vocational_count]]), _xlfn.AGGREGATE(1, 6,Table1[vocational_count]), Table1[[#This Row],[vocational_count]])</f>
        <v>12</v>
      </c>
    </row>
    <row r="318" spans="1:15" x14ac:dyDescent="0.3">
      <c r="A318" t="s">
        <v>33</v>
      </c>
      <c r="B318">
        <v>2001</v>
      </c>
      <c r="C318" t="str">
        <f>_xlfn.CONCAT(Table1[[#This Row],[STATE]],"-",Table1[[#This Row],[YEAR]])</f>
        <v>West Bengal-2001</v>
      </c>
      <c r="D318">
        <v>484</v>
      </c>
      <c r="E318">
        <v>301</v>
      </c>
      <c r="F318">
        <v>7</v>
      </c>
      <c r="G318">
        <v>15</v>
      </c>
      <c r="H318">
        <f>_xlfn.XLOOKUP(Table1[[#This Row],[Key]],policseStrength!C:C,policseStrength!R:R)</f>
        <v>43774</v>
      </c>
      <c r="I318">
        <f>IF(ISNA(Table1[[#This Row],[total_ps]]), _xlfn.AGGREGATE(1, 6, Table1[total_ps]), Table1[[#This Row],[total_ps]])</f>
        <v>43774</v>
      </c>
      <c r="J318">
        <f>_xlfn.XLOOKUP(Table1[[#This Row],[Key]],Recidivism!C:C,Recidivism!D:D)</f>
        <v>30165</v>
      </c>
      <c r="K318">
        <f>IF(ISNA(Table1[[#This Row],[convicts_admitted_raw]]), _xlfn.AGGREGATE(1, 6, Table1[convicts_admitted_raw]), Table1[[#This Row],[convicts_admitted_raw]])</f>
        <v>30165</v>
      </c>
      <c r="L318">
        <f>_xlfn.XLOOKUP(Table1[[#This Row],[Key]],Recidivism!C:C,Recidivism!E:E)</f>
        <v>1811</v>
      </c>
      <c r="M318">
        <f>IF(ISNA(Table1[[#This Row],[habitual_offenders]]), _xlfn.AGGREGATE(1, 6, Table1[habitual_offenders]), Table1[[#This Row],[habitual_offenders]])</f>
        <v>1811</v>
      </c>
      <c r="N318">
        <f>_xlfn.XLOOKUP(Table1[[#This Row],[Key]],Vocational!C:C,Vocational!E:E)</f>
        <v>43</v>
      </c>
      <c r="O318">
        <f>IF(ISNA(Table1[[#This Row],[vocational_count]]), _xlfn.AGGREGATE(1, 6,Table1[vocational_count]), Table1[[#This Row],[vocational_count]])</f>
        <v>43</v>
      </c>
    </row>
    <row r="319" spans="1:15" x14ac:dyDescent="0.3">
      <c r="A319" t="s">
        <v>33</v>
      </c>
      <c r="B319">
        <v>2002</v>
      </c>
      <c r="C319" t="str">
        <f>_xlfn.CONCAT(Table1[[#This Row],[STATE]],"-",Table1[[#This Row],[YEAR]])</f>
        <v>West Bengal-2002</v>
      </c>
      <c r="D319">
        <v>380</v>
      </c>
      <c r="E319">
        <v>241</v>
      </c>
      <c r="F319">
        <v>15</v>
      </c>
      <c r="G319">
        <v>40</v>
      </c>
      <c r="H319">
        <f>_xlfn.XLOOKUP(Table1[[#This Row],[Key]],policseStrength!C:C,policseStrength!R:R)</f>
        <v>40930</v>
      </c>
      <c r="I319">
        <f>IF(ISNA(Table1[[#This Row],[total_ps]]), _xlfn.AGGREGATE(1, 6, Table1[total_ps]), Table1[[#This Row],[total_ps]])</f>
        <v>40930</v>
      </c>
      <c r="J319">
        <f>_xlfn.XLOOKUP(Table1[[#This Row],[Key]],Recidivism!C:C,Recidivism!D:D)</f>
        <v>24614</v>
      </c>
      <c r="K319">
        <f>IF(ISNA(Table1[[#This Row],[convicts_admitted_raw]]), _xlfn.AGGREGATE(1, 6, Table1[convicts_admitted_raw]), Table1[[#This Row],[convicts_admitted_raw]])</f>
        <v>24614</v>
      </c>
      <c r="L319">
        <f>_xlfn.XLOOKUP(Table1[[#This Row],[Key]],Recidivism!C:C,Recidivism!E:E)</f>
        <v>1253</v>
      </c>
      <c r="M319">
        <f>IF(ISNA(Table1[[#This Row],[habitual_offenders]]), _xlfn.AGGREGATE(1, 6, Table1[habitual_offenders]), Table1[[#This Row],[habitual_offenders]])</f>
        <v>1253</v>
      </c>
      <c r="N319">
        <f>_xlfn.XLOOKUP(Table1[[#This Row],[Key]],Vocational!C:C,Vocational!E:E)</f>
        <v>15</v>
      </c>
      <c r="O319">
        <f>IF(ISNA(Table1[[#This Row],[vocational_count]]), _xlfn.AGGREGATE(1, 6,Table1[vocational_count]), Table1[[#This Row],[vocational_count]])</f>
        <v>15</v>
      </c>
    </row>
    <row r="320" spans="1:15" x14ac:dyDescent="0.3">
      <c r="A320" t="s">
        <v>33</v>
      </c>
      <c r="B320">
        <v>2003</v>
      </c>
      <c r="C320" t="str">
        <f>_xlfn.CONCAT(Table1[[#This Row],[STATE]],"-",Table1[[#This Row],[YEAR]])</f>
        <v>West Bengal-2003</v>
      </c>
      <c r="D320">
        <v>378</v>
      </c>
      <c r="E320">
        <v>275</v>
      </c>
      <c r="F320">
        <v>13</v>
      </c>
      <c r="G320">
        <v>30</v>
      </c>
      <c r="H320">
        <f>_xlfn.XLOOKUP(Table1[[#This Row],[Key]],policseStrength!C:C,policseStrength!R:R)</f>
        <v>41238</v>
      </c>
      <c r="I320">
        <f>IF(ISNA(Table1[[#This Row],[total_ps]]), _xlfn.AGGREGATE(1, 6, Table1[total_ps]), Table1[[#This Row],[total_ps]])</f>
        <v>41238</v>
      </c>
      <c r="J320">
        <f>_xlfn.XLOOKUP(Table1[[#This Row],[Key]],Recidivism!C:C,Recidivism!D:D)</f>
        <v>29625</v>
      </c>
      <c r="K320">
        <f>IF(ISNA(Table1[[#This Row],[convicts_admitted_raw]]), _xlfn.AGGREGATE(1, 6, Table1[convicts_admitted_raw]), Table1[[#This Row],[convicts_admitted_raw]])</f>
        <v>29625</v>
      </c>
      <c r="L320">
        <f>_xlfn.XLOOKUP(Table1[[#This Row],[Key]],Recidivism!C:C,Recidivism!E:E)</f>
        <v>1712</v>
      </c>
      <c r="M320">
        <f>IF(ISNA(Table1[[#This Row],[habitual_offenders]]), _xlfn.AGGREGATE(1, 6, Table1[habitual_offenders]), Table1[[#This Row],[habitual_offenders]])</f>
        <v>1712</v>
      </c>
      <c r="N320">
        <f>_xlfn.XLOOKUP(Table1[[#This Row],[Key]],Vocational!C:C,Vocational!E:E)</f>
        <v>1</v>
      </c>
      <c r="O320">
        <f>IF(ISNA(Table1[[#This Row],[vocational_count]]), _xlfn.AGGREGATE(1, 6,Table1[vocational_count]), Table1[[#This Row],[vocational_count]])</f>
        <v>1</v>
      </c>
    </row>
    <row r="321" spans="1:15" x14ac:dyDescent="0.3">
      <c r="A321" t="s">
        <v>33</v>
      </c>
      <c r="B321">
        <v>2004</v>
      </c>
      <c r="C321" t="str">
        <f>_xlfn.CONCAT(Table1[[#This Row],[STATE]],"-",Table1[[#This Row],[YEAR]])</f>
        <v>West Bengal-2004</v>
      </c>
      <c r="D321">
        <v>321</v>
      </c>
      <c r="E321">
        <v>244</v>
      </c>
      <c r="F321">
        <v>4</v>
      </c>
      <c r="G321">
        <v>11</v>
      </c>
      <c r="H321">
        <f>_xlfn.XLOOKUP(Table1[[#This Row],[Key]],policseStrength!C:C,policseStrength!R:R)</f>
        <v>44250</v>
      </c>
      <c r="I321">
        <f>IF(ISNA(Table1[[#This Row],[total_ps]]), _xlfn.AGGREGATE(1, 6, Table1[total_ps]), Table1[[#This Row],[total_ps]])</f>
        <v>44250</v>
      </c>
      <c r="J321">
        <f>_xlfn.XLOOKUP(Table1[[#This Row],[Key]],Recidivism!C:C,Recidivism!D:D)</f>
        <v>29115</v>
      </c>
      <c r="K321">
        <f>IF(ISNA(Table1[[#This Row],[convicts_admitted_raw]]), _xlfn.AGGREGATE(1, 6, Table1[convicts_admitted_raw]), Table1[[#This Row],[convicts_admitted_raw]])</f>
        <v>29115</v>
      </c>
      <c r="L321">
        <f>_xlfn.XLOOKUP(Table1[[#This Row],[Key]],Recidivism!C:C,Recidivism!E:E)</f>
        <v>1803</v>
      </c>
      <c r="M321">
        <f>IF(ISNA(Table1[[#This Row],[habitual_offenders]]), _xlfn.AGGREGATE(1, 6, Table1[habitual_offenders]), Table1[[#This Row],[habitual_offenders]])</f>
        <v>1803</v>
      </c>
      <c r="N321">
        <f>_xlfn.XLOOKUP(Table1[[#This Row],[Key]],Vocational!C:C,Vocational!E:E)</f>
        <v>175</v>
      </c>
      <c r="O321">
        <f>IF(ISNA(Table1[[#This Row],[vocational_count]]), _xlfn.AGGREGATE(1, 6,Table1[vocational_count]), Table1[[#This Row],[vocational_count]])</f>
        <v>175</v>
      </c>
    </row>
    <row r="322" spans="1:15" x14ac:dyDescent="0.3">
      <c r="A322" t="s">
        <v>33</v>
      </c>
      <c r="B322">
        <v>2005</v>
      </c>
      <c r="C322" t="str">
        <f>_xlfn.CONCAT(Table1[[#This Row],[STATE]],"-",Table1[[#This Row],[YEAR]])</f>
        <v>West Bengal-2005</v>
      </c>
      <c r="D322">
        <v>322</v>
      </c>
      <c r="E322">
        <v>291</v>
      </c>
      <c r="F322">
        <v>6</v>
      </c>
      <c r="G322">
        <v>14</v>
      </c>
      <c r="H322">
        <f>_xlfn.XLOOKUP(Table1[[#This Row],[Key]],policseStrength!C:C,policseStrength!R:R)</f>
        <v>38134</v>
      </c>
      <c r="I322">
        <f>IF(ISNA(Table1[[#This Row],[total_ps]]), _xlfn.AGGREGATE(1, 6, Table1[total_ps]), Table1[[#This Row],[total_ps]])</f>
        <v>38134</v>
      </c>
      <c r="J322">
        <f>_xlfn.XLOOKUP(Table1[[#This Row],[Key]],Recidivism!C:C,Recidivism!D:D)</f>
        <v>3412</v>
      </c>
      <c r="K322">
        <f>IF(ISNA(Table1[[#This Row],[convicts_admitted_raw]]), _xlfn.AGGREGATE(1, 6, Table1[convicts_admitted_raw]), Table1[[#This Row],[convicts_admitted_raw]])</f>
        <v>3412</v>
      </c>
      <c r="L322">
        <f>_xlfn.XLOOKUP(Table1[[#This Row],[Key]],Recidivism!C:C,Recidivism!E:E)</f>
        <v>1867</v>
      </c>
      <c r="M322">
        <f>IF(ISNA(Table1[[#This Row],[habitual_offenders]]), _xlfn.AGGREGATE(1, 6, Table1[habitual_offenders]), Table1[[#This Row],[habitual_offenders]])</f>
        <v>1867</v>
      </c>
      <c r="N322">
        <f>_xlfn.XLOOKUP(Table1[[#This Row],[Key]],Vocational!C:C,Vocational!E:E)</f>
        <v>316</v>
      </c>
      <c r="O322">
        <f>IF(ISNA(Table1[[#This Row],[vocational_count]]), _xlfn.AGGREGATE(1, 6,Table1[vocational_count]), Table1[[#This Row],[vocational_count]])</f>
        <v>316</v>
      </c>
    </row>
    <row r="323" spans="1:15" x14ac:dyDescent="0.3">
      <c r="A323" t="s">
        <v>33</v>
      </c>
      <c r="B323">
        <v>2006</v>
      </c>
      <c r="C323" t="str">
        <f>_xlfn.CONCAT(Table1[[#This Row],[STATE]],"-",Table1[[#This Row],[YEAR]])</f>
        <v>West Bengal-2006</v>
      </c>
      <c r="D323">
        <v>6519</v>
      </c>
      <c r="E323">
        <v>4185</v>
      </c>
      <c r="F323">
        <v>35</v>
      </c>
      <c r="G323">
        <v>13</v>
      </c>
      <c r="H323">
        <f>_xlfn.XLOOKUP(Table1[[#This Row],[Key]],policseStrength!C:C,policseStrength!R:R)</f>
        <v>38356</v>
      </c>
      <c r="I323">
        <f>IF(ISNA(Table1[[#This Row],[total_ps]]), _xlfn.AGGREGATE(1, 6, Table1[total_ps]), Table1[[#This Row],[total_ps]])</f>
        <v>38356</v>
      </c>
      <c r="J323">
        <f>_xlfn.XLOOKUP(Table1[[#This Row],[Key]],Recidivism!C:C,Recidivism!D:D)</f>
        <v>31395</v>
      </c>
      <c r="K323">
        <f>IF(ISNA(Table1[[#This Row],[convicts_admitted_raw]]), _xlfn.AGGREGATE(1, 6, Table1[convicts_admitted_raw]), Table1[[#This Row],[convicts_admitted_raw]])</f>
        <v>31395</v>
      </c>
      <c r="L323">
        <f>_xlfn.XLOOKUP(Table1[[#This Row],[Key]],Recidivism!C:C,Recidivism!E:E)</f>
        <v>1657</v>
      </c>
      <c r="M323">
        <f>IF(ISNA(Table1[[#This Row],[habitual_offenders]]), _xlfn.AGGREGATE(1, 6, Table1[habitual_offenders]), Table1[[#This Row],[habitual_offenders]])</f>
        <v>1657</v>
      </c>
      <c r="N323">
        <f>_xlfn.XLOOKUP(Table1[[#This Row],[Key]],Vocational!C:C,Vocational!E:E)</f>
        <v>12</v>
      </c>
      <c r="O323">
        <f>IF(ISNA(Table1[[#This Row],[vocational_count]]), _xlfn.AGGREGATE(1, 6,Table1[vocational_count]), Table1[[#This Row],[vocational_count]])</f>
        <v>12</v>
      </c>
    </row>
    <row r="324" spans="1:15" x14ac:dyDescent="0.3">
      <c r="A324" t="s">
        <v>33</v>
      </c>
      <c r="B324">
        <v>2007</v>
      </c>
      <c r="C324" t="str">
        <f>_xlfn.CONCAT(Table1[[#This Row],[STATE]],"-",Table1[[#This Row],[YEAR]])</f>
        <v>West Bengal-2007</v>
      </c>
      <c r="D324">
        <v>1519</v>
      </c>
      <c r="E324">
        <v>2180</v>
      </c>
      <c r="F324">
        <v>30</v>
      </c>
      <c r="G324">
        <v>11</v>
      </c>
      <c r="H324">
        <f>_xlfn.XLOOKUP(Table1[[#This Row],[Key]],policseStrength!C:C,policseStrength!R:R)</f>
        <v>59380</v>
      </c>
      <c r="I324">
        <f>IF(ISNA(Table1[[#This Row],[total_ps]]), _xlfn.AGGREGATE(1, 6, Table1[total_ps]), Table1[[#This Row],[total_ps]])</f>
        <v>59380</v>
      </c>
      <c r="J324">
        <f>_xlfn.XLOOKUP(Table1[[#This Row],[Key]],Recidivism!C:C,Recidivism!D:D)</f>
        <v>31300</v>
      </c>
      <c r="K324">
        <f>IF(ISNA(Table1[[#This Row],[convicts_admitted_raw]]), _xlfn.AGGREGATE(1, 6, Table1[convicts_admitted_raw]), Table1[[#This Row],[convicts_admitted_raw]])</f>
        <v>31300</v>
      </c>
      <c r="L324">
        <f>_xlfn.XLOOKUP(Table1[[#This Row],[Key]],Recidivism!C:C,Recidivism!E:E)</f>
        <v>1700</v>
      </c>
      <c r="M324">
        <f>IF(ISNA(Table1[[#This Row],[habitual_offenders]]), _xlfn.AGGREGATE(1, 6, Table1[habitual_offenders]), Table1[[#This Row],[habitual_offenders]])</f>
        <v>1700</v>
      </c>
      <c r="N324">
        <f>_xlfn.XLOOKUP(Table1[[#This Row],[Key]],Vocational!C:C,Vocational!E:E)</f>
        <v>334</v>
      </c>
      <c r="O324">
        <f>IF(ISNA(Table1[[#This Row],[vocational_count]]), _xlfn.AGGREGATE(1, 6,Table1[vocational_count]), Table1[[#This Row],[vocational_count]])</f>
        <v>334</v>
      </c>
    </row>
    <row r="325" spans="1:15" x14ac:dyDescent="0.3">
      <c r="A325" t="s">
        <v>33</v>
      </c>
      <c r="B325">
        <v>2008</v>
      </c>
      <c r="C325" t="str">
        <f>_xlfn.CONCAT(Table1[[#This Row],[STATE]],"-",Table1[[#This Row],[YEAR]])</f>
        <v>West Bengal-2008</v>
      </c>
      <c r="D325">
        <v>2828</v>
      </c>
      <c r="E325">
        <v>1994</v>
      </c>
      <c r="F325">
        <v>26</v>
      </c>
      <c r="G325">
        <v>31</v>
      </c>
      <c r="H325">
        <f>_xlfn.XLOOKUP(Table1[[#This Row],[Key]],policseStrength!C:C,policseStrength!R:R)</f>
        <v>38686</v>
      </c>
      <c r="I325">
        <f>IF(ISNA(Table1[[#This Row],[total_ps]]), _xlfn.AGGREGATE(1, 6, Table1[total_ps]), Table1[[#This Row],[total_ps]])</f>
        <v>38686</v>
      </c>
      <c r="J325">
        <f>_xlfn.XLOOKUP(Table1[[#This Row],[Key]],Recidivism!C:C,Recidivism!D:D)</f>
        <v>31700</v>
      </c>
      <c r="K325">
        <f>IF(ISNA(Table1[[#This Row],[convicts_admitted_raw]]), _xlfn.AGGREGATE(1, 6, Table1[convicts_admitted_raw]), Table1[[#This Row],[convicts_admitted_raw]])</f>
        <v>31700</v>
      </c>
      <c r="L325">
        <f>_xlfn.XLOOKUP(Table1[[#This Row],[Key]],Recidivism!C:C,Recidivism!E:E)</f>
        <v>1950</v>
      </c>
      <c r="M325">
        <f>IF(ISNA(Table1[[#This Row],[habitual_offenders]]), _xlfn.AGGREGATE(1, 6, Table1[habitual_offenders]), Table1[[#This Row],[habitual_offenders]])</f>
        <v>1950</v>
      </c>
      <c r="N325">
        <f>_xlfn.XLOOKUP(Table1[[#This Row],[Key]],Vocational!C:C,Vocational!E:E)</f>
        <v>752</v>
      </c>
      <c r="O325">
        <f>IF(ISNA(Table1[[#This Row],[vocational_count]]), _xlfn.AGGREGATE(1, 6,Table1[vocational_count]), Table1[[#This Row],[vocational_count]])</f>
        <v>752</v>
      </c>
    </row>
    <row r="326" spans="1:15" x14ac:dyDescent="0.3">
      <c r="A326" t="s">
        <v>33</v>
      </c>
      <c r="B326">
        <v>2009</v>
      </c>
      <c r="C326" t="str">
        <f>_xlfn.CONCAT(Table1[[#This Row],[STATE]],"-",Table1[[#This Row],[YEAR]])</f>
        <v>West Bengal-2009</v>
      </c>
      <c r="D326">
        <v>1711</v>
      </c>
      <c r="E326">
        <v>605</v>
      </c>
      <c r="F326">
        <v>10</v>
      </c>
      <c r="G326">
        <v>0</v>
      </c>
      <c r="H326">
        <f>_xlfn.XLOOKUP(Table1[[#This Row],[Key]],policseStrength!C:C,policseStrength!R:R)</f>
        <v>43284</v>
      </c>
      <c r="I326">
        <f>IF(ISNA(Table1[[#This Row],[total_ps]]), _xlfn.AGGREGATE(1, 6, Table1[total_ps]), Table1[[#This Row],[total_ps]])</f>
        <v>43284</v>
      </c>
      <c r="J326">
        <f>_xlfn.XLOOKUP(Table1[[#This Row],[Key]],Recidivism!C:C,Recidivism!D:D)</f>
        <v>10890</v>
      </c>
      <c r="K326">
        <f>IF(ISNA(Table1[[#This Row],[convicts_admitted_raw]]), _xlfn.AGGREGATE(1, 6, Table1[convicts_admitted_raw]), Table1[[#This Row],[convicts_admitted_raw]])</f>
        <v>10890</v>
      </c>
      <c r="L326">
        <f>_xlfn.XLOOKUP(Table1[[#This Row],[Key]],Recidivism!C:C,Recidivism!E:E)</f>
        <v>2100</v>
      </c>
      <c r="M326">
        <f>IF(ISNA(Table1[[#This Row],[habitual_offenders]]), _xlfn.AGGREGATE(1, 6, Table1[habitual_offenders]), Table1[[#This Row],[habitual_offenders]])</f>
        <v>2100</v>
      </c>
      <c r="N326">
        <f>_xlfn.XLOOKUP(Table1[[#This Row],[Key]],Vocational!C:C,Vocational!E:E)</f>
        <v>377</v>
      </c>
      <c r="O326">
        <f>IF(ISNA(Table1[[#This Row],[vocational_count]]), _xlfn.AGGREGATE(1, 6,Table1[vocational_count]), Table1[[#This Row],[vocational_count]])</f>
        <v>377</v>
      </c>
    </row>
    <row r="327" spans="1:15" x14ac:dyDescent="0.3">
      <c r="A327" t="s">
        <v>33</v>
      </c>
      <c r="B327">
        <v>2010</v>
      </c>
      <c r="C327" t="str">
        <f>_xlfn.CONCAT(Table1[[#This Row],[STATE]],"-",Table1[[#This Row],[YEAR]])</f>
        <v>West Bengal-2010</v>
      </c>
      <c r="D327">
        <v>2520</v>
      </c>
      <c r="E327">
        <v>1240</v>
      </c>
      <c r="F327">
        <v>18</v>
      </c>
      <c r="G327">
        <v>15</v>
      </c>
      <c r="H327">
        <f>_xlfn.XLOOKUP(Table1[[#This Row],[Key]],policseStrength!C:C,policseStrength!R:R)</f>
        <v>44382</v>
      </c>
      <c r="I327">
        <f>IF(ISNA(Table1[[#This Row],[total_ps]]), _xlfn.AGGREGATE(1, 6, Table1[total_ps]), Table1[[#This Row],[total_ps]])</f>
        <v>44382</v>
      </c>
      <c r="J327">
        <f>_xlfn.XLOOKUP(Table1[[#This Row],[Key]],Recidivism!C:C,Recidivism!D:D)</f>
        <v>12150</v>
      </c>
      <c r="K327">
        <f>IF(ISNA(Table1[[#This Row],[convicts_admitted_raw]]), _xlfn.AGGREGATE(1, 6, Table1[convicts_admitted_raw]), Table1[[#This Row],[convicts_admitted_raw]])</f>
        <v>12150</v>
      </c>
      <c r="L327">
        <f>_xlfn.XLOOKUP(Table1[[#This Row],[Key]],Recidivism!C:C,Recidivism!E:E)</f>
        <v>1940</v>
      </c>
      <c r="M327">
        <f>IF(ISNA(Table1[[#This Row],[habitual_offenders]]), _xlfn.AGGREGATE(1, 6, Table1[habitual_offenders]), Table1[[#This Row],[habitual_offenders]])</f>
        <v>1940</v>
      </c>
      <c r="N327">
        <f>_xlfn.XLOOKUP(Table1[[#This Row],[Key]],Vocational!C:C,Vocational!E:E)</f>
        <v>64</v>
      </c>
      <c r="O327">
        <f>IF(ISNA(Table1[[#This Row],[vocational_count]]), _xlfn.AGGREGATE(1, 6,Table1[vocational_count]), Table1[[#This Row],[vocational_count]])</f>
        <v>64</v>
      </c>
    </row>
    <row r="328" spans="1:15" x14ac:dyDescent="0.3">
      <c r="A328" t="s">
        <v>33</v>
      </c>
      <c r="B328">
        <v>2011</v>
      </c>
      <c r="C328" t="str">
        <f>_xlfn.CONCAT(Table1[[#This Row],[STATE]],"-",Table1[[#This Row],[YEAR]])</f>
        <v>West Bengal-2011</v>
      </c>
      <c r="D328">
        <v>7224</v>
      </c>
      <c r="E328">
        <v>2248</v>
      </c>
      <c r="F328">
        <v>75</v>
      </c>
      <c r="G328">
        <v>124</v>
      </c>
      <c r="H328" t="e">
        <f>_xlfn.XLOOKUP(Table1[[#This Row],[Key]],policseStrength!C:C,policseStrength!R:R)</f>
        <v>#N/A</v>
      </c>
      <c r="I328">
        <f>IF(ISNA(Table1[[#This Row],[total_ps]]), _xlfn.AGGREGATE(1, 6, Table1[total_ps]), Table1[[#This Row],[total_ps]])</f>
        <v>20128.370106761566</v>
      </c>
      <c r="J328">
        <f>_xlfn.XLOOKUP(Table1[[#This Row],[Key]],Recidivism!C:C,Recidivism!D:D)</f>
        <v>10259</v>
      </c>
      <c r="K328">
        <f>IF(ISNA(Table1[[#This Row],[convicts_admitted_raw]]), _xlfn.AGGREGATE(1, 6, Table1[convicts_admitted_raw]), Table1[[#This Row],[convicts_admitted_raw]])</f>
        <v>10259</v>
      </c>
      <c r="L328">
        <f>_xlfn.XLOOKUP(Table1[[#This Row],[Key]],Recidivism!C:C,Recidivism!E:E)</f>
        <v>1470</v>
      </c>
      <c r="M328">
        <f>IF(ISNA(Table1[[#This Row],[habitual_offenders]]), _xlfn.AGGREGATE(1, 6, Table1[habitual_offenders]), Table1[[#This Row],[habitual_offenders]])</f>
        <v>1470</v>
      </c>
      <c r="N328">
        <f>_xlfn.XLOOKUP(Table1[[#This Row],[Key]],Vocational!C:C,Vocational!E:E)</f>
        <v>245</v>
      </c>
      <c r="O328">
        <f>IF(ISNA(Table1[[#This Row],[vocational_count]]), _xlfn.AGGREGATE(1, 6,Table1[vocational_count]), Table1[[#This Row],[vocational_count]])</f>
        <v>245</v>
      </c>
    </row>
    <row r="329" spans="1:15" x14ac:dyDescent="0.3">
      <c r="A329" t="s">
        <v>33</v>
      </c>
      <c r="B329">
        <v>2012</v>
      </c>
      <c r="C329" t="str">
        <f>_xlfn.CONCAT(Table1[[#This Row],[STATE]],"-",Table1[[#This Row],[YEAR]])</f>
        <v>West Bengal-2012</v>
      </c>
      <c r="D329">
        <v>2505</v>
      </c>
      <c r="E329">
        <v>1686</v>
      </c>
      <c r="F329">
        <v>141</v>
      </c>
      <c r="G329">
        <v>253</v>
      </c>
      <c r="H329" t="e">
        <f>_xlfn.XLOOKUP(Table1[[#This Row],[Key]],policseStrength!C:C,policseStrength!R:R)</f>
        <v>#N/A</v>
      </c>
      <c r="I329">
        <f>IF(ISNA(Table1[[#This Row],[total_ps]]), _xlfn.AGGREGATE(1, 6, Table1[total_ps]), Table1[[#This Row],[total_ps]])</f>
        <v>20128.370106761566</v>
      </c>
      <c r="J329">
        <f>_xlfn.XLOOKUP(Table1[[#This Row],[Key]],Recidivism!C:C,Recidivism!D:D)</f>
        <v>8650</v>
      </c>
      <c r="K329">
        <f>IF(ISNA(Table1[[#This Row],[convicts_admitted_raw]]), _xlfn.AGGREGATE(1, 6, Table1[convicts_admitted_raw]), Table1[[#This Row],[convicts_admitted_raw]])</f>
        <v>8650</v>
      </c>
      <c r="L329">
        <f>_xlfn.XLOOKUP(Table1[[#This Row],[Key]],Recidivism!C:C,Recidivism!E:E)</f>
        <v>1207</v>
      </c>
      <c r="M329">
        <f>IF(ISNA(Table1[[#This Row],[habitual_offenders]]), _xlfn.AGGREGATE(1, 6, Table1[habitual_offenders]), Table1[[#This Row],[habitual_offenders]])</f>
        <v>1207</v>
      </c>
      <c r="N329">
        <f>_xlfn.XLOOKUP(Table1[[#This Row],[Key]],Vocational!C:C,Vocational!E:E)</f>
        <v>55</v>
      </c>
      <c r="O329">
        <f>IF(ISNA(Table1[[#This Row],[vocational_count]]), _xlfn.AGGREGATE(1, 6,Table1[vocational_count]), Table1[[#This Row],[vocational_count]])</f>
        <v>55</v>
      </c>
    </row>
    <row r="330" spans="1:15" x14ac:dyDescent="0.3">
      <c r="A330" t="s">
        <v>34</v>
      </c>
      <c r="B330">
        <v>2003</v>
      </c>
      <c r="C330" t="str">
        <f>_xlfn.CONCAT(Table1[[#This Row],[STATE]],"-",Table1[[#This Row],[YEAR]])</f>
        <v>A &amp; N Islands-2003</v>
      </c>
      <c r="D330">
        <v>22</v>
      </c>
      <c r="E330">
        <v>25</v>
      </c>
      <c r="F330">
        <v>0</v>
      </c>
      <c r="G330">
        <v>6</v>
      </c>
      <c r="H330" t="e">
        <f>_xlfn.XLOOKUP(Table1[[#This Row],[Key]],policseStrength!C:C,policseStrength!R:R)</f>
        <v>#N/A</v>
      </c>
      <c r="I330">
        <f>IF(ISNA(Table1[[#This Row],[total_ps]]), _xlfn.AGGREGATE(1, 6, Table1[total_ps]), Table1[[#This Row],[total_ps]])</f>
        <v>20128.370106761566</v>
      </c>
      <c r="J330">
        <f>_xlfn.XLOOKUP(Table1[[#This Row],[Key]],Recidivism!C:C,Recidivism!D:D)</f>
        <v>397</v>
      </c>
      <c r="K330">
        <f>IF(ISNA(Table1[[#This Row],[convicts_admitted_raw]]), _xlfn.AGGREGATE(1, 6, Table1[convicts_admitted_raw]), Table1[[#This Row],[convicts_admitted_raw]])</f>
        <v>397</v>
      </c>
      <c r="L330">
        <f>_xlfn.XLOOKUP(Table1[[#This Row],[Key]],Recidivism!C:C,Recidivism!E:E)</f>
        <v>17</v>
      </c>
      <c r="M330">
        <f>IF(ISNA(Table1[[#This Row],[habitual_offenders]]), _xlfn.AGGREGATE(1, 6, Table1[habitual_offenders]), Table1[[#This Row],[habitual_offenders]])</f>
        <v>17</v>
      </c>
      <c r="N330">
        <f>_xlfn.XLOOKUP(Table1[[#This Row],[Key]],Vocational!C:C,Vocational!E:E)</f>
        <v>30</v>
      </c>
      <c r="O330">
        <f>IF(ISNA(Table1[[#This Row],[vocational_count]]), _xlfn.AGGREGATE(1, 6,Table1[vocational_count]), Table1[[#This Row],[vocational_count]])</f>
        <v>30</v>
      </c>
    </row>
    <row r="331" spans="1:15" x14ac:dyDescent="0.3">
      <c r="A331" t="s">
        <v>34</v>
      </c>
      <c r="B331">
        <v>2004</v>
      </c>
      <c r="C331" t="str">
        <f>_xlfn.CONCAT(Table1[[#This Row],[STATE]],"-",Table1[[#This Row],[YEAR]])</f>
        <v>A &amp; N Islands-2004</v>
      </c>
      <c r="D331">
        <v>40</v>
      </c>
      <c r="E331">
        <v>85</v>
      </c>
      <c r="F331">
        <v>0</v>
      </c>
      <c r="G331">
        <v>6</v>
      </c>
      <c r="H331" t="e">
        <f>_xlfn.XLOOKUP(Table1[[#This Row],[Key]],policseStrength!C:C,policseStrength!R:R)</f>
        <v>#N/A</v>
      </c>
      <c r="I331">
        <f>IF(ISNA(Table1[[#This Row],[total_ps]]), _xlfn.AGGREGATE(1, 6, Table1[total_ps]), Table1[[#This Row],[total_ps]])</f>
        <v>20128.370106761566</v>
      </c>
      <c r="J331">
        <f>_xlfn.XLOOKUP(Table1[[#This Row],[Key]],Recidivism!C:C,Recidivism!D:D)</f>
        <v>418</v>
      </c>
      <c r="K331">
        <f>IF(ISNA(Table1[[#This Row],[convicts_admitted_raw]]), _xlfn.AGGREGATE(1, 6, Table1[convicts_admitted_raw]), Table1[[#This Row],[convicts_admitted_raw]])</f>
        <v>418</v>
      </c>
      <c r="L331">
        <f>_xlfn.XLOOKUP(Table1[[#This Row],[Key]],Recidivism!C:C,Recidivism!E:E)</f>
        <v>15</v>
      </c>
      <c r="M331">
        <f>IF(ISNA(Table1[[#This Row],[habitual_offenders]]), _xlfn.AGGREGATE(1, 6, Table1[habitual_offenders]), Table1[[#This Row],[habitual_offenders]])</f>
        <v>15</v>
      </c>
      <c r="N331">
        <f>_xlfn.XLOOKUP(Table1[[#This Row],[Key]],Vocational!C:C,Vocational!E:E)</f>
        <v>35</v>
      </c>
      <c r="O331">
        <f>IF(ISNA(Table1[[#This Row],[vocational_count]]), _xlfn.AGGREGATE(1, 6,Table1[vocational_count]), Table1[[#This Row],[vocational_count]])</f>
        <v>35</v>
      </c>
    </row>
    <row r="332" spans="1:15" x14ac:dyDescent="0.3">
      <c r="A332" t="s">
        <v>34</v>
      </c>
      <c r="B332">
        <v>2005</v>
      </c>
      <c r="C332" t="str">
        <f>_xlfn.CONCAT(Table1[[#This Row],[STATE]],"-",Table1[[#This Row],[YEAR]])</f>
        <v>A &amp; N Islands-2005</v>
      </c>
      <c r="D332">
        <v>0</v>
      </c>
      <c r="E332">
        <v>0</v>
      </c>
      <c r="F332">
        <v>0</v>
      </c>
      <c r="G332">
        <v>0</v>
      </c>
      <c r="H332" t="e">
        <f>_xlfn.XLOOKUP(Table1[[#This Row],[Key]],policseStrength!C:C,policseStrength!R:R)</f>
        <v>#N/A</v>
      </c>
      <c r="I332">
        <f>IF(ISNA(Table1[[#This Row],[total_ps]]), _xlfn.AGGREGATE(1, 6, Table1[total_ps]), Table1[[#This Row],[total_ps]])</f>
        <v>20128.370106761566</v>
      </c>
      <c r="J332">
        <f>_xlfn.XLOOKUP(Table1[[#This Row],[Key]],Recidivism!C:C,Recidivism!D:D)</f>
        <v>390</v>
      </c>
      <c r="K332">
        <f>IF(ISNA(Table1[[#This Row],[convicts_admitted_raw]]), _xlfn.AGGREGATE(1, 6, Table1[convicts_admitted_raw]), Table1[[#This Row],[convicts_admitted_raw]])</f>
        <v>390</v>
      </c>
      <c r="L332">
        <f>_xlfn.XLOOKUP(Table1[[#This Row],[Key]],Recidivism!C:C,Recidivism!E:E)</f>
        <v>43</v>
      </c>
      <c r="M332">
        <f>IF(ISNA(Table1[[#This Row],[habitual_offenders]]), _xlfn.AGGREGATE(1, 6, Table1[habitual_offenders]), Table1[[#This Row],[habitual_offenders]])</f>
        <v>43</v>
      </c>
      <c r="N332">
        <f>_xlfn.XLOOKUP(Table1[[#This Row],[Key]],Vocational!C:C,Vocational!E:E)</f>
        <v>26</v>
      </c>
      <c r="O332">
        <f>IF(ISNA(Table1[[#This Row],[vocational_count]]), _xlfn.AGGREGATE(1, 6,Table1[vocational_count]), Table1[[#This Row],[vocational_count]])</f>
        <v>26</v>
      </c>
    </row>
    <row r="333" spans="1:15" x14ac:dyDescent="0.3">
      <c r="A333" t="s">
        <v>34</v>
      </c>
      <c r="B333">
        <v>2006</v>
      </c>
      <c r="C333" t="str">
        <f>_xlfn.CONCAT(Table1[[#This Row],[STATE]],"-",Table1[[#This Row],[YEAR]])</f>
        <v>A &amp; N Islands-2006</v>
      </c>
      <c r="D333">
        <v>40</v>
      </c>
      <c r="E333">
        <v>85</v>
      </c>
      <c r="F333">
        <v>0</v>
      </c>
      <c r="G333">
        <v>5</v>
      </c>
      <c r="H333" t="e">
        <f>_xlfn.XLOOKUP(Table1[[#This Row],[Key]],policseStrength!C:C,policseStrength!R:R)</f>
        <v>#N/A</v>
      </c>
      <c r="I333">
        <f>IF(ISNA(Table1[[#This Row],[total_ps]]), _xlfn.AGGREGATE(1, 6, Table1[total_ps]), Table1[[#This Row],[total_ps]])</f>
        <v>20128.370106761566</v>
      </c>
      <c r="J333">
        <f>_xlfn.XLOOKUP(Table1[[#This Row],[Key]],Recidivism!C:C,Recidivism!D:D)</f>
        <v>390</v>
      </c>
      <c r="K333">
        <f>IF(ISNA(Table1[[#This Row],[convicts_admitted_raw]]), _xlfn.AGGREGATE(1, 6, Table1[convicts_admitted_raw]), Table1[[#This Row],[convicts_admitted_raw]])</f>
        <v>390</v>
      </c>
      <c r="L333">
        <f>_xlfn.XLOOKUP(Table1[[#This Row],[Key]],Recidivism!C:C,Recidivism!E:E)</f>
        <v>43</v>
      </c>
      <c r="M333">
        <f>IF(ISNA(Table1[[#This Row],[habitual_offenders]]), _xlfn.AGGREGATE(1, 6, Table1[habitual_offenders]), Table1[[#This Row],[habitual_offenders]])</f>
        <v>43</v>
      </c>
      <c r="N333">
        <f>_xlfn.XLOOKUP(Table1[[#This Row],[Key]],Vocational!C:C,Vocational!E:E)</f>
        <v>26</v>
      </c>
      <c r="O333">
        <f>IF(ISNA(Table1[[#This Row],[vocational_count]]), _xlfn.AGGREGATE(1, 6,Table1[vocational_count]), Table1[[#This Row],[vocational_count]])</f>
        <v>26</v>
      </c>
    </row>
    <row r="334" spans="1:15" x14ac:dyDescent="0.3">
      <c r="A334" t="s">
        <v>34</v>
      </c>
      <c r="B334">
        <v>2007</v>
      </c>
      <c r="C334" t="str">
        <f>_xlfn.CONCAT(Table1[[#This Row],[STATE]],"-",Table1[[#This Row],[YEAR]])</f>
        <v>A &amp; N Islands-2007</v>
      </c>
      <c r="D334">
        <v>85</v>
      </c>
      <c r="E334">
        <v>36</v>
      </c>
      <c r="F334">
        <v>1</v>
      </c>
      <c r="G334">
        <v>0</v>
      </c>
      <c r="H334" t="e">
        <f>_xlfn.XLOOKUP(Table1[[#This Row],[Key]],policseStrength!C:C,policseStrength!R:R)</f>
        <v>#N/A</v>
      </c>
      <c r="I334">
        <f>IF(ISNA(Table1[[#This Row],[total_ps]]), _xlfn.AGGREGATE(1, 6, Table1[total_ps]), Table1[[#This Row],[total_ps]])</f>
        <v>20128.370106761566</v>
      </c>
      <c r="J334">
        <f>_xlfn.XLOOKUP(Table1[[#This Row],[Key]],Recidivism!C:C,Recidivism!D:D)</f>
        <v>562</v>
      </c>
      <c r="K334">
        <f>IF(ISNA(Table1[[#This Row],[convicts_admitted_raw]]), _xlfn.AGGREGATE(1, 6, Table1[convicts_admitted_raw]), Table1[[#This Row],[convicts_admitted_raw]])</f>
        <v>562</v>
      </c>
      <c r="L334">
        <f>_xlfn.XLOOKUP(Table1[[#This Row],[Key]],Recidivism!C:C,Recidivism!E:E)</f>
        <v>28</v>
      </c>
      <c r="M334">
        <f>IF(ISNA(Table1[[#This Row],[habitual_offenders]]), _xlfn.AGGREGATE(1, 6, Table1[habitual_offenders]), Table1[[#This Row],[habitual_offenders]])</f>
        <v>28</v>
      </c>
      <c r="N334">
        <f>_xlfn.XLOOKUP(Table1[[#This Row],[Key]],Vocational!C:C,Vocational!E:E)</f>
        <v>19</v>
      </c>
      <c r="O334">
        <f>IF(ISNA(Table1[[#This Row],[vocational_count]]), _xlfn.AGGREGATE(1, 6,Table1[vocational_count]), Table1[[#This Row],[vocational_count]])</f>
        <v>19</v>
      </c>
    </row>
    <row r="335" spans="1:15" x14ac:dyDescent="0.3">
      <c r="A335" t="s">
        <v>34</v>
      </c>
      <c r="B335">
        <v>2008</v>
      </c>
      <c r="C335" t="str">
        <f>_xlfn.CONCAT(Table1[[#This Row],[STATE]],"-",Table1[[#This Row],[YEAR]])</f>
        <v>A &amp; N Islands-2008</v>
      </c>
      <c r="D335">
        <v>48</v>
      </c>
      <c r="E335">
        <v>13</v>
      </c>
      <c r="F335">
        <v>1</v>
      </c>
      <c r="G335">
        <v>0</v>
      </c>
      <c r="H335" t="e">
        <f>_xlfn.XLOOKUP(Table1[[#This Row],[Key]],policseStrength!C:C,policseStrength!R:R)</f>
        <v>#N/A</v>
      </c>
      <c r="I335">
        <f>IF(ISNA(Table1[[#This Row],[total_ps]]), _xlfn.AGGREGATE(1, 6, Table1[total_ps]), Table1[[#This Row],[total_ps]])</f>
        <v>20128.370106761566</v>
      </c>
      <c r="J335">
        <f>_xlfn.XLOOKUP(Table1[[#This Row],[Key]],Recidivism!C:C,Recidivism!D:D)</f>
        <v>574</v>
      </c>
      <c r="K335">
        <f>IF(ISNA(Table1[[#This Row],[convicts_admitted_raw]]), _xlfn.AGGREGATE(1, 6, Table1[convicts_admitted_raw]), Table1[[#This Row],[convicts_admitted_raw]])</f>
        <v>574</v>
      </c>
      <c r="L335">
        <f>_xlfn.XLOOKUP(Table1[[#This Row],[Key]],Recidivism!C:C,Recidivism!E:E)</f>
        <v>23</v>
      </c>
      <c r="M335">
        <f>IF(ISNA(Table1[[#This Row],[habitual_offenders]]), _xlfn.AGGREGATE(1, 6, Table1[habitual_offenders]), Table1[[#This Row],[habitual_offenders]])</f>
        <v>23</v>
      </c>
      <c r="N335">
        <f>_xlfn.XLOOKUP(Table1[[#This Row],[Key]],Vocational!C:C,Vocational!E:E)</f>
        <v>10</v>
      </c>
      <c r="O335">
        <f>IF(ISNA(Table1[[#This Row],[vocational_count]]), _xlfn.AGGREGATE(1, 6,Table1[vocational_count]), Table1[[#This Row],[vocational_count]])</f>
        <v>10</v>
      </c>
    </row>
    <row r="336" spans="1:15" x14ac:dyDescent="0.3">
      <c r="A336" t="s">
        <v>34</v>
      </c>
      <c r="B336">
        <v>2009</v>
      </c>
      <c r="C336" t="str">
        <f>_xlfn.CONCAT(Table1[[#This Row],[STATE]],"-",Table1[[#This Row],[YEAR]])</f>
        <v>A &amp; N Islands-2009</v>
      </c>
      <c r="D336">
        <v>92</v>
      </c>
      <c r="E336">
        <v>29</v>
      </c>
      <c r="F336">
        <v>0</v>
      </c>
      <c r="G336">
        <v>0</v>
      </c>
      <c r="H336" t="e">
        <f>_xlfn.XLOOKUP(Table1[[#This Row],[Key]],policseStrength!C:C,policseStrength!R:R)</f>
        <v>#N/A</v>
      </c>
      <c r="I336">
        <f>IF(ISNA(Table1[[#This Row],[total_ps]]), _xlfn.AGGREGATE(1, 6, Table1[total_ps]), Table1[[#This Row],[total_ps]])</f>
        <v>20128.370106761566</v>
      </c>
      <c r="J336">
        <f>_xlfn.XLOOKUP(Table1[[#This Row],[Key]],Recidivism!C:C,Recidivism!D:D)</f>
        <v>340</v>
      </c>
      <c r="K336">
        <f>IF(ISNA(Table1[[#This Row],[convicts_admitted_raw]]), _xlfn.AGGREGATE(1, 6, Table1[convicts_admitted_raw]), Table1[[#This Row],[convicts_admitted_raw]])</f>
        <v>340</v>
      </c>
      <c r="L336">
        <f>_xlfn.XLOOKUP(Table1[[#This Row],[Key]],Recidivism!C:C,Recidivism!E:E)</f>
        <v>32</v>
      </c>
      <c r="M336">
        <f>IF(ISNA(Table1[[#This Row],[habitual_offenders]]), _xlfn.AGGREGATE(1, 6, Table1[habitual_offenders]), Table1[[#This Row],[habitual_offenders]])</f>
        <v>32</v>
      </c>
      <c r="N336">
        <f>_xlfn.XLOOKUP(Table1[[#This Row],[Key]],Vocational!C:C,Vocational!E:E)</f>
        <v>8</v>
      </c>
      <c r="O336">
        <f>IF(ISNA(Table1[[#This Row],[vocational_count]]), _xlfn.AGGREGATE(1, 6,Table1[vocational_count]), Table1[[#This Row],[vocational_count]])</f>
        <v>8</v>
      </c>
    </row>
    <row r="337" spans="1:15" x14ac:dyDescent="0.3">
      <c r="A337" t="s">
        <v>34</v>
      </c>
      <c r="B337">
        <v>2010</v>
      </c>
      <c r="C337" t="str">
        <f>_xlfn.CONCAT(Table1[[#This Row],[STATE]],"-",Table1[[#This Row],[YEAR]])</f>
        <v>A &amp; N Islands-2010</v>
      </c>
      <c r="D337">
        <v>157</v>
      </c>
      <c r="E337">
        <v>45</v>
      </c>
      <c r="F337">
        <v>0</v>
      </c>
      <c r="G337">
        <v>0</v>
      </c>
      <c r="H337" t="e">
        <f>_xlfn.XLOOKUP(Table1[[#This Row],[Key]],policseStrength!C:C,policseStrength!R:R)</f>
        <v>#N/A</v>
      </c>
      <c r="I337">
        <f>IF(ISNA(Table1[[#This Row],[total_ps]]), _xlfn.AGGREGATE(1, 6, Table1[total_ps]), Table1[[#This Row],[total_ps]])</f>
        <v>20128.370106761566</v>
      </c>
      <c r="J337">
        <f>_xlfn.XLOOKUP(Table1[[#This Row],[Key]],Recidivism!C:C,Recidivism!D:D)</f>
        <v>318</v>
      </c>
      <c r="K337">
        <f>IF(ISNA(Table1[[#This Row],[convicts_admitted_raw]]), _xlfn.AGGREGATE(1, 6, Table1[convicts_admitted_raw]), Table1[[#This Row],[convicts_admitted_raw]])</f>
        <v>318</v>
      </c>
      <c r="L337">
        <f>_xlfn.XLOOKUP(Table1[[#This Row],[Key]],Recidivism!C:C,Recidivism!E:E)</f>
        <v>47</v>
      </c>
      <c r="M337">
        <f>IF(ISNA(Table1[[#This Row],[habitual_offenders]]), _xlfn.AGGREGATE(1, 6, Table1[habitual_offenders]), Table1[[#This Row],[habitual_offenders]])</f>
        <v>47</v>
      </c>
      <c r="N337">
        <f>_xlfn.XLOOKUP(Table1[[#This Row],[Key]],Vocational!C:C,Vocational!E:E)</f>
        <v>19</v>
      </c>
      <c r="O337">
        <f>IF(ISNA(Table1[[#This Row],[vocational_count]]), _xlfn.AGGREGATE(1, 6,Table1[vocational_count]), Table1[[#This Row],[vocational_count]])</f>
        <v>19</v>
      </c>
    </row>
    <row r="338" spans="1:15" x14ac:dyDescent="0.3">
      <c r="A338" t="s">
        <v>34</v>
      </c>
      <c r="B338">
        <v>2011</v>
      </c>
      <c r="C338" t="str">
        <f>_xlfn.CONCAT(Table1[[#This Row],[STATE]],"-",Table1[[#This Row],[YEAR]])</f>
        <v>A &amp; N Islands-2011</v>
      </c>
      <c r="D338">
        <v>170</v>
      </c>
      <c r="E338">
        <v>59</v>
      </c>
      <c r="F338">
        <v>13</v>
      </c>
      <c r="G338">
        <v>0</v>
      </c>
      <c r="H338" t="e">
        <f>_xlfn.XLOOKUP(Table1[[#This Row],[Key]],policseStrength!C:C,policseStrength!R:R)</f>
        <v>#N/A</v>
      </c>
      <c r="I338">
        <f>IF(ISNA(Table1[[#This Row],[total_ps]]), _xlfn.AGGREGATE(1, 6, Table1[total_ps]), Table1[[#This Row],[total_ps]])</f>
        <v>20128.370106761566</v>
      </c>
      <c r="J338">
        <f>_xlfn.XLOOKUP(Table1[[#This Row],[Key]],Recidivism!C:C,Recidivism!D:D)</f>
        <v>350</v>
      </c>
      <c r="K338">
        <f>IF(ISNA(Table1[[#This Row],[convicts_admitted_raw]]), _xlfn.AGGREGATE(1, 6, Table1[convicts_admitted_raw]), Table1[[#This Row],[convicts_admitted_raw]])</f>
        <v>350</v>
      </c>
      <c r="L338">
        <f>_xlfn.XLOOKUP(Table1[[#This Row],[Key]],Recidivism!C:C,Recidivism!E:E)</f>
        <v>15</v>
      </c>
      <c r="M338">
        <f>IF(ISNA(Table1[[#This Row],[habitual_offenders]]), _xlfn.AGGREGATE(1, 6, Table1[habitual_offenders]), Table1[[#This Row],[habitual_offenders]])</f>
        <v>15</v>
      </c>
      <c r="N338">
        <f>_xlfn.XLOOKUP(Table1[[#This Row],[Key]],Vocational!C:C,Vocational!E:E)</f>
        <v>13</v>
      </c>
      <c r="O338">
        <f>IF(ISNA(Table1[[#This Row],[vocational_count]]), _xlfn.AGGREGATE(1, 6,Table1[vocational_count]), Table1[[#This Row],[vocational_count]])</f>
        <v>13</v>
      </c>
    </row>
    <row r="339" spans="1:15" x14ac:dyDescent="0.3">
      <c r="A339" t="s">
        <v>34</v>
      </c>
      <c r="B339">
        <v>2012</v>
      </c>
      <c r="C339" t="str">
        <f>_xlfn.CONCAT(Table1[[#This Row],[STATE]],"-",Table1[[#This Row],[YEAR]])</f>
        <v>A &amp; N Islands-2012</v>
      </c>
      <c r="D339">
        <v>142</v>
      </c>
      <c r="E339">
        <v>98</v>
      </c>
      <c r="F339">
        <v>13</v>
      </c>
      <c r="G339">
        <v>0</v>
      </c>
      <c r="H339" t="e">
        <f>_xlfn.XLOOKUP(Table1[[#This Row],[Key]],policseStrength!C:C,policseStrength!R:R)</f>
        <v>#N/A</v>
      </c>
      <c r="I339">
        <f>IF(ISNA(Table1[[#This Row],[total_ps]]), _xlfn.AGGREGATE(1, 6, Table1[total_ps]), Table1[[#This Row],[total_ps]])</f>
        <v>20128.370106761566</v>
      </c>
      <c r="J339">
        <f>_xlfn.XLOOKUP(Table1[[#This Row],[Key]],Recidivism!C:C,Recidivism!D:D)</f>
        <v>1398</v>
      </c>
      <c r="K339">
        <f>IF(ISNA(Table1[[#This Row],[convicts_admitted_raw]]), _xlfn.AGGREGATE(1, 6, Table1[convicts_admitted_raw]), Table1[[#This Row],[convicts_admitted_raw]])</f>
        <v>1398</v>
      </c>
      <c r="L339">
        <f>_xlfn.XLOOKUP(Table1[[#This Row],[Key]],Recidivism!C:C,Recidivism!E:E)</f>
        <v>25</v>
      </c>
      <c r="M339">
        <f>IF(ISNA(Table1[[#This Row],[habitual_offenders]]), _xlfn.AGGREGATE(1, 6, Table1[habitual_offenders]), Table1[[#This Row],[habitual_offenders]])</f>
        <v>25</v>
      </c>
      <c r="N339">
        <f>_xlfn.XLOOKUP(Table1[[#This Row],[Key]],Vocational!C:C,Vocational!E:E)</f>
        <v>13</v>
      </c>
      <c r="O339">
        <f>IF(ISNA(Table1[[#This Row],[vocational_count]]), _xlfn.AGGREGATE(1, 6,Table1[vocational_count]), Table1[[#This Row],[vocational_count]])</f>
        <v>13</v>
      </c>
    </row>
    <row r="340" spans="1:15" x14ac:dyDescent="0.3">
      <c r="A340" t="s">
        <v>35</v>
      </c>
      <c r="B340">
        <v>2001</v>
      </c>
      <c r="C340" t="str">
        <f>_xlfn.CONCAT(Table1[[#This Row],[STATE]],"-",Table1[[#This Row],[YEAR]])</f>
        <v>Chandigarh-2001</v>
      </c>
      <c r="D340">
        <v>0</v>
      </c>
      <c r="E340">
        <v>37</v>
      </c>
      <c r="F340">
        <v>0</v>
      </c>
      <c r="G340">
        <v>0</v>
      </c>
      <c r="H340">
        <f>_xlfn.XLOOKUP(Table1[[#This Row],[Key]],policseStrength!C:C,policseStrength!R:R)</f>
        <v>0</v>
      </c>
      <c r="I340">
        <f>IF(ISNA(Table1[[#This Row],[total_ps]]), _xlfn.AGGREGATE(1, 6, Table1[total_ps]), Table1[[#This Row],[total_ps]])</f>
        <v>0</v>
      </c>
      <c r="J340">
        <f>_xlfn.XLOOKUP(Table1[[#This Row],[Key]],Recidivism!C:C,Recidivism!D:D)</f>
        <v>137</v>
      </c>
      <c r="K340">
        <f>IF(ISNA(Table1[[#This Row],[convicts_admitted_raw]]), _xlfn.AGGREGATE(1, 6, Table1[convicts_admitted_raw]), Table1[[#This Row],[convicts_admitted_raw]])</f>
        <v>137</v>
      </c>
      <c r="L340">
        <f>_xlfn.XLOOKUP(Table1[[#This Row],[Key]],Recidivism!C:C,Recidivism!E:E)</f>
        <v>12</v>
      </c>
      <c r="M340">
        <f>IF(ISNA(Table1[[#This Row],[habitual_offenders]]), _xlfn.AGGREGATE(1, 6, Table1[habitual_offenders]), Table1[[#This Row],[habitual_offenders]])</f>
        <v>12</v>
      </c>
      <c r="N340">
        <f>_xlfn.XLOOKUP(Table1[[#This Row],[Key]],Vocational!C:C,Vocational!E:E)</f>
        <v>58</v>
      </c>
      <c r="O340">
        <f>IF(ISNA(Table1[[#This Row],[vocational_count]]), _xlfn.AGGREGATE(1, 6,Table1[vocational_count]), Table1[[#This Row],[vocational_count]])</f>
        <v>58</v>
      </c>
    </row>
    <row r="341" spans="1:15" x14ac:dyDescent="0.3">
      <c r="A341" t="s">
        <v>35</v>
      </c>
      <c r="B341">
        <v>2002</v>
      </c>
      <c r="C341" t="str">
        <f>_xlfn.CONCAT(Table1[[#This Row],[STATE]],"-",Table1[[#This Row],[YEAR]])</f>
        <v>Chandigarh-2002</v>
      </c>
      <c r="D341">
        <v>0</v>
      </c>
      <c r="E341">
        <v>42</v>
      </c>
      <c r="F341">
        <v>35</v>
      </c>
      <c r="G341">
        <v>12</v>
      </c>
      <c r="H341">
        <f>_xlfn.XLOOKUP(Table1[[#This Row],[Key]],policseStrength!C:C,policseStrength!R:R)</f>
        <v>838</v>
      </c>
      <c r="I341">
        <f>IF(ISNA(Table1[[#This Row],[total_ps]]), _xlfn.AGGREGATE(1, 6, Table1[total_ps]), Table1[[#This Row],[total_ps]])</f>
        <v>838</v>
      </c>
      <c r="J341">
        <f>_xlfn.XLOOKUP(Table1[[#This Row],[Key]],Recidivism!C:C,Recidivism!D:D)</f>
        <v>204</v>
      </c>
      <c r="K341">
        <f>IF(ISNA(Table1[[#This Row],[convicts_admitted_raw]]), _xlfn.AGGREGATE(1, 6, Table1[convicts_admitted_raw]), Table1[[#This Row],[convicts_admitted_raw]])</f>
        <v>204</v>
      </c>
      <c r="L341">
        <f>_xlfn.XLOOKUP(Table1[[#This Row],[Key]],Recidivism!C:C,Recidivism!E:E)</f>
        <v>8</v>
      </c>
      <c r="M341">
        <f>IF(ISNA(Table1[[#This Row],[habitual_offenders]]), _xlfn.AGGREGATE(1, 6, Table1[habitual_offenders]), Table1[[#This Row],[habitual_offenders]])</f>
        <v>8</v>
      </c>
      <c r="N341">
        <f>_xlfn.XLOOKUP(Table1[[#This Row],[Key]],Vocational!C:C,Vocational!E:E)</f>
        <v>12</v>
      </c>
      <c r="O341">
        <f>IF(ISNA(Table1[[#This Row],[vocational_count]]), _xlfn.AGGREGATE(1, 6,Table1[vocational_count]), Table1[[#This Row],[vocational_count]])</f>
        <v>12</v>
      </c>
    </row>
    <row r="342" spans="1:15" x14ac:dyDescent="0.3">
      <c r="A342" t="s">
        <v>35</v>
      </c>
      <c r="B342">
        <v>2003</v>
      </c>
      <c r="C342" t="str">
        <f>_xlfn.CONCAT(Table1[[#This Row],[STATE]],"-",Table1[[#This Row],[YEAR]])</f>
        <v>Chandigarh-2003</v>
      </c>
      <c r="D342">
        <v>15</v>
      </c>
      <c r="E342">
        <v>32</v>
      </c>
      <c r="F342">
        <v>42</v>
      </c>
      <c r="G342">
        <v>35</v>
      </c>
      <c r="H342">
        <f>_xlfn.XLOOKUP(Table1[[#This Row],[Key]],policseStrength!C:C,policseStrength!R:R)</f>
        <v>838</v>
      </c>
      <c r="I342">
        <f>IF(ISNA(Table1[[#This Row],[total_ps]]), _xlfn.AGGREGATE(1, 6, Table1[total_ps]), Table1[[#This Row],[total_ps]])</f>
        <v>838</v>
      </c>
      <c r="J342">
        <f>_xlfn.XLOOKUP(Table1[[#This Row],[Key]],Recidivism!C:C,Recidivism!D:D)</f>
        <v>211</v>
      </c>
      <c r="K342">
        <f>IF(ISNA(Table1[[#This Row],[convicts_admitted_raw]]), _xlfn.AGGREGATE(1, 6, Table1[convicts_admitted_raw]), Table1[[#This Row],[convicts_admitted_raw]])</f>
        <v>211</v>
      </c>
      <c r="L342">
        <f>_xlfn.XLOOKUP(Table1[[#This Row],[Key]],Recidivism!C:C,Recidivism!E:E)</f>
        <v>15</v>
      </c>
      <c r="M342">
        <f>IF(ISNA(Table1[[#This Row],[habitual_offenders]]), _xlfn.AGGREGATE(1, 6, Table1[habitual_offenders]), Table1[[#This Row],[habitual_offenders]])</f>
        <v>15</v>
      </c>
      <c r="N342">
        <f>_xlfn.XLOOKUP(Table1[[#This Row],[Key]],Vocational!C:C,Vocational!E:E)</f>
        <v>26</v>
      </c>
      <c r="O342">
        <f>IF(ISNA(Table1[[#This Row],[vocational_count]]), _xlfn.AGGREGATE(1, 6,Table1[vocational_count]), Table1[[#This Row],[vocational_count]])</f>
        <v>26</v>
      </c>
    </row>
    <row r="343" spans="1:15" x14ac:dyDescent="0.3">
      <c r="A343" t="s">
        <v>35</v>
      </c>
      <c r="B343">
        <v>2004</v>
      </c>
      <c r="C343" t="str">
        <f>_xlfn.CONCAT(Table1[[#This Row],[STATE]],"-",Table1[[#This Row],[YEAR]])</f>
        <v>Chandigarh-2004</v>
      </c>
      <c r="D343">
        <v>0</v>
      </c>
      <c r="E343">
        <v>0</v>
      </c>
      <c r="F343">
        <v>0</v>
      </c>
      <c r="G343">
        <v>0</v>
      </c>
      <c r="H343">
        <f>_xlfn.XLOOKUP(Table1[[#This Row],[Key]],policseStrength!C:C,policseStrength!R:R)</f>
        <v>838</v>
      </c>
      <c r="I343">
        <f>IF(ISNA(Table1[[#This Row],[total_ps]]), _xlfn.AGGREGATE(1, 6, Table1[total_ps]), Table1[[#This Row],[total_ps]])</f>
        <v>838</v>
      </c>
      <c r="J343">
        <f>_xlfn.XLOOKUP(Table1[[#This Row],[Key]],Recidivism!C:C,Recidivism!D:D)</f>
        <v>168</v>
      </c>
      <c r="K343">
        <f>IF(ISNA(Table1[[#This Row],[convicts_admitted_raw]]), _xlfn.AGGREGATE(1, 6, Table1[convicts_admitted_raw]), Table1[[#This Row],[convicts_admitted_raw]])</f>
        <v>168</v>
      </c>
      <c r="L343">
        <f>_xlfn.XLOOKUP(Table1[[#This Row],[Key]],Recidivism!C:C,Recidivism!E:E)</f>
        <v>7</v>
      </c>
      <c r="M343">
        <f>IF(ISNA(Table1[[#This Row],[habitual_offenders]]), _xlfn.AGGREGATE(1, 6, Table1[habitual_offenders]), Table1[[#This Row],[habitual_offenders]])</f>
        <v>7</v>
      </c>
      <c r="N343">
        <f>_xlfn.XLOOKUP(Table1[[#This Row],[Key]],Vocational!C:C,Vocational!E:E)</f>
        <v>6</v>
      </c>
      <c r="O343">
        <f>IF(ISNA(Table1[[#This Row],[vocational_count]]), _xlfn.AGGREGATE(1, 6,Table1[vocational_count]), Table1[[#This Row],[vocational_count]])</f>
        <v>6</v>
      </c>
    </row>
    <row r="344" spans="1:15" x14ac:dyDescent="0.3">
      <c r="A344" t="s">
        <v>35</v>
      </c>
      <c r="B344">
        <v>2005</v>
      </c>
      <c r="C344" t="str">
        <f>_xlfn.CONCAT(Table1[[#This Row],[STATE]],"-",Table1[[#This Row],[YEAR]])</f>
        <v>Chandigarh-2005</v>
      </c>
      <c r="D344">
        <v>0</v>
      </c>
      <c r="E344">
        <v>22</v>
      </c>
      <c r="F344">
        <v>0</v>
      </c>
      <c r="G344">
        <v>0</v>
      </c>
      <c r="H344">
        <f>_xlfn.XLOOKUP(Table1[[#This Row],[Key]],policseStrength!C:C,policseStrength!R:R)</f>
        <v>838</v>
      </c>
      <c r="I344">
        <f>IF(ISNA(Table1[[#This Row],[total_ps]]), _xlfn.AGGREGATE(1, 6, Table1[total_ps]), Table1[[#This Row],[total_ps]])</f>
        <v>838</v>
      </c>
      <c r="J344">
        <f>_xlfn.XLOOKUP(Table1[[#This Row],[Key]],Recidivism!C:C,Recidivism!D:D)</f>
        <v>157</v>
      </c>
      <c r="K344">
        <f>IF(ISNA(Table1[[#This Row],[convicts_admitted_raw]]), _xlfn.AGGREGATE(1, 6, Table1[convicts_admitted_raw]), Table1[[#This Row],[convicts_admitted_raw]])</f>
        <v>157</v>
      </c>
      <c r="L344">
        <f>_xlfn.XLOOKUP(Table1[[#This Row],[Key]],Recidivism!C:C,Recidivism!E:E)</f>
        <v>66</v>
      </c>
      <c r="M344">
        <f>IF(ISNA(Table1[[#This Row],[habitual_offenders]]), _xlfn.AGGREGATE(1, 6, Table1[habitual_offenders]), Table1[[#This Row],[habitual_offenders]])</f>
        <v>66</v>
      </c>
      <c r="N344">
        <f>_xlfn.XLOOKUP(Table1[[#This Row],[Key]],Vocational!C:C,Vocational!E:E)</f>
        <v>22</v>
      </c>
      <c r="O344">
        <f>IF(ISNA(Table1[[#This Row],[vocational_count]]), _xlfn.AGGREGATE(1, 6,Table1[vocational_count]), Table1[[#This Row],[vocational_count]])</f>
        <v>22</v>
      </c>
    </row>
    <row r="345" spans="1:15" x14ac:dyDescent="0.3">
      <c r="A345" t="s">
        <v>35</v>
      </c>
      <c r="B345">
        <v>2006</v>
      </c>
      <c r="C345" t="str">
        <f>_xlfn.CONCAT(Table1[[#This Row],[STATE]],"-",Table1[[#This Row],[YEAR]])</f>
        <v>Chandigarh-2006</v>
      </c>
      <c r="D345">
        <v>0</v>
      </c>
      <c r="E345">
        <v>18</v>
      </c>
      <c r="F345">
        <v>19</v>
      </c>
      <c r="G345">
        <v>0</v>
      </c>
      <c r="H345">
        <f>_xlfn.XLOOKUP(Table1[[#This Row],[Key]],policseStrength!C:C,policseStrength!R:R)</f>
        <v>838</v>
      </c>
      <c r="I345">
        <f>IF(ISNA(Table1[[#This Row],[total_ps]]), _xlfn.AGGREGATE(1, 6, Table1[total_ps]), Table1[[#This Row],[total_ps]])</f>
        <v>838</v>
      </c>
      <c r="J345">
        <f>_xlfn.XLOOKUP(Table1[[#This Row],[Key]],Recidivism!C:C,Recidivism!D:D)</f>
        <v>232</v>
      </c>
      <c r="K345">
        <f>IF(ISNA(Table1[[#This Row],[convicts_admitted_raw]]), _xlfn.AGGREGATE(1, 6, Table1[convicts_admitted_raw]), Table1[[#This Row],[convicts_admitted_raw]])</f>
        <v>232</v>
      </c>
      <c r="L345">
        <f>_xlfn.XLOOKUP(Table1[[#This Row],[Key]],Recidivism!C:C,Recidivism!E:E)</f>
        <v>49</v>
      </c>
      <c r="M345">
        <f>IF(ISNA(Table1[[#This Row],[habitual_offenders]]), _xlfn.AGGREGATE(1, 6, Table1[habitual_offenders]), Table1[[#This Row],[habitual_offenders]])</f>
        <v>49</v>
      </c>
      <c r="N345">
        <f>_xlfn.XLOOKUP(Table1[[#This Row],[Key]],Vocational!C:C,Vocational!E:E)</f>
        <v>18</v>
      </c>
      <c r="O345">
        <f>IF(ISNA(Table1[[#This Row],[vocational_count]]), _xlfn.AGGREGATE(1, 6,Table1[vocational_count]), Table1[[#This Row],[vocational_count]])</f>
        <v>18</v>
      </c>
    </row>
    <row r="346" spans="1:15" x14ac:dyDescent="0.3">
      <c r="A346" t="s">
        <v>35</v>
      </c>
      <c r="B346">
        <v>2007</v>
      </c>
      <c r="C346" t="str">
        <f>_xlfn.CONCAT(Table1[[#This Row],[STATE]],"-",Table1[[#This Row],[YEAR]])</f>
        <v>Chandigarh-2007</v>
      </c>
      <c r="D346">
        <v>0</v>
      </c>
      <c r="E346">
        <v>35</v>
      </c>
      <c r="F346">
        <v>36</v>
      </c>
      <c r="G346">
        <v>0</v>
      </c>
      <c r="H346">
        <f>_xlfn.XLOOKUP(Table1[[#This Row],[Key]],policseStrength!C:C,policseStrength!R:R)</f>
        <v>838</v>
      </c>
      <c r="I346">
        <f>IF(ISNA(Table1[[#This Row],[total_ps]]), _xlfn.AGGREGATE(1, 6, Table1[total_ps]), Table1[[#This Row],[total_ps]])</f>
        <v>838</v>
      </c>
      <c r="J346">
        <f>_xlfn.XLOOKUP(Table1[[#This Row],[Key]],Recidivism!C:C,Recidivism!D:D)</f>
        <v>267</v>
      </c>
      <c r="K346">
        <f>IF(ISNA(Table1[[#This Row],[convicts_admitted_raw]]), _xlfn.AGGREGATE(1, 6, Table1[convicts_admitted_raw]), Table1[[#This Row],[convicts_admitted_raw]])</f>
        <v>267</v>
      </c>
      <c r="L346">
        <f>_xlfn.XLOOKUP(Table1[[#This Row],[Key]],Recidivism!C:C,Recidivism!E:E)</f>
        <v>8</v>
      </c>
      <c r="M346">
        <f>IF(ISNA(Table1[[#This Row],[habitual_offenders]]), _xlfn.AGGREGATE(1, 6, Table1[habitual_offenders]), Table1[[#This Row],[habitual_offenders]])</f>
        <v>8</v>
      </c>
      <c r="N346">
        <f>_xlfn.XLOOKUP(Table1[[#This Row],[Key]],Vocational!C:C,Vocational!E:E)</f>
        <v>35</v>
      </c>
      <c r="O346">
        <f>IF(ISNA(Table1[[#This Row],[vocational_count]]), _xlfn.AGGREGATE(1, 6,Table1[vocational_count]), Table1[[#This Row],[vocational_count]])</f>
        <v>35</v>
      </c>
    </row>
    <row r="347" spans="1:15" x14ac:dyDescent="0.3">
      <c r="A347" t="s">
        <v>35</v>
      </c>
      <c r="B347">
        <v>2008</v>
      </c>
      <c r="C347" t="str">
        <f>_xlfn.CONCAT(Table1[[#This Row],[STATE]],"-",Table1[[#This Row],[YEAR]])</f>
        <v>Chandigarh-2008</v>
      </c>
      <c r="D347">
        <v>0</v>
      </c>
      <c r="E347">
        <v>28</v>
      </c>
      <c r="F347">
        <v>42</v>
      </c>
      <c r="G347">
        <v>25</v>
      </c>
      <c r="H347">
        <f>_xlfn.XLOOKUP(Table1[[#This Row],[Key]],policseStrength!C:C,policseStrength!R:R)</f>
        <v>838</v>
      </c>
      <c r="I347">
        <f>IF(ISNA(Table1[[#This Row],[total_ps]]), _xlfn.AGGREGATE(1, 6, Table1[total_ps]), Table1[[#This Row],[total_ps]])</f>
        <v>838</v>
      </c>
      <c r="J347">
        <f>_xlfn.XLOOKUP(Table1[[#This Row],[Key]],Recidivism!C:C,Recidivism!D:D)</f>
        <v>226</v>
      </c>
      <c r="K347">
        <f>IF(ISNA(Table1[[#This Row],[convicts_admitted_raw]]), _xlfn.AGGREGATE(1, 6, Table1[convicts_admitted_raw]), Table1[[#This Row],[convicts_admitted_raw]])</f>
        <v>226</v>
      </c>
      <c r="L347">
        <f>_xlfn.XLOOKUP(Table1[[#This Row],[Key]],Recidivism!C:C,Recidivism!E:E)</f>
        <v>6</v>
      </c>
      <c r="M347">
        <f>IF(ISNA(Table1[[#This Row],[habitual_offenders]]), _xlfn.AGGREGATE(1, 6, Table1[habitual_offenders]), Table1[[#This Row],[habitual_offenders]])</f>
        <v>6</v>
      </c>
      <c r="N347">
        <f>_xlfn.XLOOKUP(Table1[[#This Row],[Key]],Vocational!C:C,Vocational!E:E)</f>
        <v>12</v>
      </c>
      <c r="O347">
        <f>IF(ISNA(Table1[[#This Row],[vocational_count]]), _xlfn.AGGREGATE(1, 6,Table1[vocational_count]), Table1[[#This Row],[vocational_count]])</f>
        <v>12</v>
      </c>
    </row>
    <row r="348" spans="1:15" x14ac:dyDescent="0.3">
      <c r="A348" t="s">
        <v>35</v>
      </c>
      <c r="B348">
        <v>2009</v>
      </c>
      <c r="C348" t="str">
        <f>_xlfn.CONCAT(Table1[[#This Row],[STATE]],"-",Table1[[#This Row],[YEAR]])</f>
        <v>Chandigarh-2009</v>
      </c>
      <c r="D348">
        <v>0</v>
      </c>
      <c r="E348">
        <v>36</v>
      </c>
      <c r="F348">
        <v>39</v>
      </c>
      <c r="G348">
        <v>31</v>
      </c>
      <c r="H348">
        <f>_xlfn.XLOOKUP(Table1[[#This Row],[Key]],policseStrength!C:C,policseStrength!R:R)</f>
        <v>1148</v>
      </c>
      <c r="I348">
        <f>IF(ISNA(Table1[[#This Row],[total_ps]]), _xlfn.AGGREGATE(1, 6, Table1[total_ps]), Table1[[#This Row],[total_ps]])</f>
        <v>1148</v>
      </c>
      <c r="J348">
        <f>_xlfn.XLOOKUP(Table1[[#This Row],[Key]],Recidivism!C:C,Recidivism!D:D)</f>
        <v>260</v>
      </c>
      <c r="K348">
        <f>IF(ISNA(Table1[[#This Row],[convicts_admitted_raw]]), _xlfn.AGGREGATE(1, 6, Table1[convicts_admitted_raw]), Table1[[#This Row],[convicts_admitted_raw]])</f>
        <v>260</v>
      </c>
      <c r="L348">
        <f>_xlfn.XLOOKUP(Table1[[#This Row],[Key]],Recidivism!C:C,Recidivism!E:E)</f>
        <v>11</v>
      </c>
      <c r="M348">
        <f>IF(ISNA(Table1[[#This Row],[habitual_offenders]]), _xlfn.AGGREGATE(1, 6, Table1[habitual_offenders]), Table1[[#This Row],[habitual_offenders]])</f>
        <v>11</v>
      </c>
      <c r="N348">
        <f>_xlfn.XLOOKUP(Table1[[#This Row],[Key]],Vocational!C:C,Vocational!E:E)</f>
        <v>19</v>
      </c>
      <c r="O348">
        <f>IF(ISNA(Table1[[#This Row],[vocational_count]]), _xlfn.AGGREGATE(1, 6,Table1[vocational_count]), Table1[[#This Row],[vocational_count]])</f>
        <v>19</v>
      </c>
    </row>
    <row r="349" spans="1:15" x14ac:dyDescent="0.3">
      <c r="A349" t="s">
        <v>35</v>
      </c>
      <c r="B349">
        <v>2010</v>
      </c>
      <c r="C349" t="str">
        <f>_xlfn.CONCAT(Table1[[#This Row],[STATE]],"-",Table1[[#This Row],[YEAR]])</f>
        <v>Chandigarh-2010</v>
      </c>
      <c r="D349">
        <v>0</v>
      </c>
      <c r="E349">
        <v>46</v>
      </c>
      <c r="F349">
        <v>34</v>
      </c>
      <c r="G349">
        <v>26</v>
      </c>
      <c r="H349">
        <f>_xlfn.XLOOKUP(Table1[[#This Row],[Key]],policseStrength!C:C,policseStrength!R:R)</f>
        <v>1270</v>
      </c>
      <c r="I349">
        <f>IF(ISNA(Table1[[#This Row],[total_ps]]), _xlfn.AGGREGATE(1, 6, Table1[total_ps]), Table1[[#This Row],[total_ps]])</f>
        <v>1270</v>
      </c>
      <c r="J349">
        <f>_xlfn.XLOOKUP(Table1[[#This Row],[Key]],Recidivism!C:C,Recidivism!D:D)</f>
        <v>199</v>
      </c>
      <c r="K349">
        <f>IF(ISNA(Table1[[#This Row],[convicts_admitted_raw]]), _xlfn.AGGREGATE(1, 6, Table1[convicts_admitted_raw]), Table1[[#This Row],[convicts_admitted_raw]])</f>
        <v>199</v>
      </c>
      <c r="L349">
        <f>_xlfn.XLOOKUP(Table1[[#This Row],[Key]],Recidivism!C:C,Recidivism!E:E)</f>
        <v>7</v>
      </c>
      <c r="M349">
        <f>IF(ISNA(Table1[[#This Row],[habitual_offenders]]), _xlfn.AGGREGATE(1, 6, Table1[habitual_offenders]), Table1[[#This Row],[habitual_offenders]])</f>
        <v>7</v>
      </c>
      <c r="N349">
        <f>_xlfn.XLOOKUP(Table1[[#This Row],[Key]],Vocational!C:C,Vocational!E:E)</f>
        <v>32</v>
      </c>
      <c r="O349">
        <f>IF(ISNA(Table1[[#This Row],[vocational_count]]), _xlfn.AGGREGATE(1, 6,Table1[vocational_count]), Table1[[#This Row],[vocational_count]])</f>
        <v>32</v>
      </c>
    </row>
    <row r="350" spans="1:15" x14ac:dyDescent="0.3">
      <c r="A350" t="s">
        <v>35</v>
      </c>
      <c r="B350">
        <v>2011</v>
      </c>
      <c r="C350" t="str">
        <f>_xlfn.CONCAT(Table1[[#This Row],[STATE]],"-",Table1[[#This Row],[YEAR]])</f>
        <v>Chandigarh-2011</v>
      </c>
      <c r="D350">
        <v>0</v>
      </c>
      <c r="E350">
        <v>150</v>
      </c>
      <c r="F350">
        <v>37</v>
      </c>
      <c r="G350">
        <v>18</v>
      </c>
      <c r="H350" t="e">
        <f>_xlfn.XLOOKUP(Table1[[#This Row],[Key]],policseStrength!C:C,policseStrength!R:R)</f>
        <v>#N/A</v>
      </c>
      <c r="I350">
        <f>IF(ISNA(Table1[[#This Row],[total_ps]]), _xlfn.AGGREGATE(1, 6, Table1[total_ps]), Table1[[#This Row],[total_ps]])</f>
        <v>20128.370106761566</v>
      </c>
      <c r="J350">
        <f>_xlfn.XLOOKUP(Table1[[#This Row],[Key]],Recidivism!C:C,Recidivism!D:D)</f>
        <v>204</v>
      </c>
      <c r="K350">
        <f>IF(ISNA(Table1[[#This Row],[convicts_admitted_raw]]), _xlfn.AGGREGATE(1, 6, Table1[convicts_admitted_raw]), Table1[[#This Row],[convicts_admitted_raw]])</f>
        <v>204</v>
      </c>
      <c r="L350">
        <f>_xlfn.XLOOKUP(Table1[[#This Row],[Key]],Recidivism!C:C,Recidivism!E:E)</f>
        <v>12</v>
      </c>
      <c r="M350">
        <f>IF(ISNA(Table1[[#This Row],[habitual_offenders]]), _xlfn.AGGREGATE(1, 6, Table1[habitual_offenders]), Table1[[#This Row],[habitual_offenders]])</f>
        <v>12</v>
      </c>
      <c r="N350">
        <f>_xlfn.XLOOKUP(Table1[[#This Row],[Key]],Vocational!C:C,Vocational!E:E)</f>
        <v>18</v>
      </c>
      <c r="O350">
        <f>IF(ISNA(Table1[[#This Row],[vocational_count]]), _xlfn.AGGREGATE(1, 6,Table1[vocational_count]), Table1[[#This Row],[vocational_count]])</f>
        <v>18</v>
      </c>
    </row>
    <row r="351" spans="1:15" x14ac:dyDescent="0.3">
      <c r="A351" t="s">
        <v>35</v>
      </c>
      <c r="B351">
        <v>2012</v>
      </c>
      <c r="C351" t="str">
        <f>_xlfn.CONCAT(Table1[[#This Row],[STATE]],"-",Table1[[#This Row],[YEAR]])</f>
        <v>Chandigarh-2012</v>
      </c>
      <c r="D351">
        <v>0</v>
      </c>
      <c r="E351">
        <v>225</v>
      </c>
      <c r="F351">
        <v>96</v>
      </c>
      <c r="G351">
        <v>15</v>
      </c>
      <c r="H351" t="e">
        <f>_xlfn.XLOOKUP(Table1[[#This Row],[Key]],policseStrength!C:C,policseStrength!R:R)</f>
        <v>#N/A</v>
      </c>
      <c r="I351">
        <f>IF(ISNA(Table1[[#This Row],[total_ps]]), _xlfn.AGGREGATE(1, 6, Table1[total_ps]), Table1[[#This Row],[total_ps]])</f>
        <v>20128.370106761566</v>
      </c>
      <c r="J351">
        <f>_xlfn.XLOOKUP(Table1[[#This Row],[Key]],Recidivism!C:C,Recidivism!D:D)</f>
        <v>280</v>
      </c>
      <c r="K351">
        <f>IF(ISNA(Table1[[#This Row],[convicts_admitted_raw]]), _xlfn.AGGREGATE(1, 6, Table1[convicts_admitted_raw]), Table1[[#This Row],[convicts_admitted_raw]])</f>
        <v>280</v>
      </c>
      <c r="L351">
        <f>_xlfn.XLOOKUP(Table1[[#This Row],[Key]],Recidivism!C:C,Recidivism!E:E)</f>
        <v>26</v>
      </c>
      <c r="M351">
        <f>IF(ISNA(Table1[[#This Row],[habitual_offenders]]), _xlfn.AGGREGATE(1, 6, Table1[habitual_offenders]), Table1[[#This Row],[habitual_offenders]])</f>
        <v>26</v>
      </c>
      <c r="N351">
        <f>_xlfn.XLOOKUP(Table1[[#This Row],[Key]],Vocational!C:C,Vocational!E:E)</f>
        <v>27</v>
      </c>
      <c r="O351">
        <f>IF(ISNA(Table1[[#This Row],[vocational_count]]), _xlfn.AGGREGATE(1, 6,Table1[vocational_count]), Table1[[#This Row],[vocational_count]])</f>
        <v>27</v>
      </c>
    </row>
    <row r="352" spans="1:15" x14ac:dyDescent="0.3">
      <c r="A352" t="s">
        <v>36</v>
      </c>
      <c r="B352">
        <v>2001</v>
      </c>
      <c r="C352" t="str">
        <f>_xlfn.CONCAT(Table1[[#This Row],[STATE]],"-",Table1[[#This Row],[YEAR]])</f>
        <v>D &amp; N Haveli-2001</v>
      </c>
      <c r="D352">
        <v>0</v>
      </c>
      <c r="E352">
        <v>0</v>
      </c>
      <c r="F352">
        <v>0</v>
      </c>
      <c r="G352">
        <v>0</v>
      </c>
      <c r="H352" t="e">
        <f>_xlfn.XLOOKUP(Table1[[#This Row],[Key]],policseStrength!C:C,policseStrength!R:R)</f>
        <v>#N/A</v>
      </c>
      <c r="I352">
        <f>IF(ISNA(Table1[[#This Row],[total_ps]]), _xlfn.AGGREGATE(1, 6, Table1[total_ps]), Table1[[#This Row],[total_ps]])</f>
        <v>20128.370106761566</v>
      </c>
      <c r="J352">
        <f>_xlfn.XLOOKUP(Table1[[#This Row],[Key]],Recidivism!C:C,Recidivism!D:D)</f>
        <v>0</v>
      </c>
      <c r="K352">
        <f>IF(ISNA(Table1[[#This Row],[convicts_admitted_raw]]), _xlfn.AGGREGATE(1, 6, Table1[convicts_admitted_raw]), Table1[[#This Row],[convicts_admitted_raw]])</f>
        <v>0</v>
      </c>
      <c r="L352">
        <f>_xlfn.XLOOKUP(Table1[[#This Row],[Key]],Recidivism!C:C,Recidivism!E:E)</f>
        <v>0</v>
      </c>
      <c r="M352">
        <f>IF(ISNA(Table1[[#This Row],[habitual_offenders]]), _xlfn.AGGREGATE(1, 6, Table1[habitual_offenders]), Table1[[#This Row],[habitual_offenders]])</f>
        <v>0</v>
      </c>
      <c r="N352" t="e">
        <f>_xlfn.XLOOKUP(Table1[[#This Row],[Key]],Vocational!C:C,Vocational!E:E)</f>
        <v>#N/A</v>
      </c>
      <c r="O352">
        <f>IF(ISNA(Table1[[#This Row],[vocational_count]]), _xlfn.AGGREGATE(1, 6,Table1[vocational_count]), Table1[[#This Row],[vocational_count]])</f>
        <v>249.28426395939087</v>
      </c>
    </row>
    <row r="353" spans="1:15" x14ac:dyDescent="0.3">
      <c r="A353" t="s">
        <v>36</v>
      </c>
      <c r="B353">
        <v>2002</v>
      </c>
      <c r="C353" t="str">
        <f>_xlfn.CONCAT(Table1[[#This Row],[STATE]],"-",Table1[[#This Row],[YEAR]])</f>
        <v>D &amp; N Haveli-2002</v>
      </c>
      <c r="D353">
        <v>0</v>
      </c>
      <c r="E353">
        <v>0</v>
      </c>
      <c r="F353">
        <v>0</v>
      </c>
      <c r="G353">
        <v>0</v>
      </c>
      <c r="H353" t="e">
        <f>_xlfn.XLOOKUP(Table1[[#This Row],[Key]],policseStrength!C:C,policseStrength!R:R)</f>
        <v>#N/A</v>
      </c>
      <c r="I353">
        <f>IF(ISNA(Table1[[#This Row],[total_ps]]), _xlfn.AGGREGATE(1, 6, Table1[total_ps]), Table1[[#This Row],[total_ps]])</f>
        <v>20128.370106761566</v>
      </c>
      <c r="J353">
        <f>_xlfn.XLOOKUP(Table1[[#This Row],[Key]],Recidivism!C:C,Recidivism!D:D)</f>
        <v>0</v>
      </c>
      <c r="K353">
        <f>IF(ISNA(Table1[[#This Row],[convicts_admitted_raw]]), _xlfn.AGGREGATE(1, 6, Table1[convicts_admitted_raw]), Table1[[#This Row],[convicts_admitted_raw]])</f>
        <v>0</v>
      </c>
      <c r="L353">
        <f>_xlfn.XLOOKUP(Table1[[#This Row],[Key]],Recidivism!C:C,Recidivism!E:E)</f>
        <v>0</v>
      </c>
      <c r="M353">
        <f>IF(ISNA(Table1[[#This Row],[habitual_offenders]]), _xlfn.AGGREGATE(1, 6, Table1[habitual_offenders]), Table1[[#This Row],[habitual_offenders]])</f>
        <v>0</v>
      </c>
      <c r="N353" t="e">
        <f>_xlfn.XLOOKUP(Table1[[#This Row],[Key]],Vocational!C:C,Vocational!E:E)</f>
        <v>#N/A</v>
      </c>
      <c r="O353">
        <f>IF(ISNA(Table1[[#This Row],[vocational_count]]), _xlfn.AGGREGATE(1, 6,Table1[vocational_count]), Table1[[#This Row],[vocational_count]])</f>
        <v>249.28426395939087</v>
      </c>
    </row>
    <row r="354" spans="1:15" x14ac:dyDescent="0.3">
      <c r="A354" t="s">
        <v>36</v>
      </c>
      <c r="B354">
        <v>2003</v>
      </c>
      <c r="C354" t="str">
        <f>_xlfn.CONCAT(Table1[[#This Row],[STATE]],"-",Table1[[#This Row],[YEAR]])</f>
        <v>D &amp; N Haveli-2003</v>
      </c>
      <c r="D354">
        <v>0</v>
      </c>
      <c r="E354">
        <v>0</v>
      </c>
      <c r="F354">
        <v>0</v>
      </c>
      <c r="G354">
        <v>0</v>
      </c>
      <c r="H354" t="e">
        <f>_xlfn.XLOOKUP(Table1[[#This Row],[Key]],policseStrength!C:C,policseStrength!R:R)</f>
        <v>#N/A</v>
      </c>
      <c r="I354">
        <f>IF(ISNA(Table1[[#This Row],[total_ps]]), _xlfn.AGGREGATE(1, 6, Table1[total_ps]), Table1[[#This Row],[total_ps]])</f>
        <v>20128.370106761566</v>
      </c>
      <c r="J354">
        <f>_xlfn.XLOOKUP(Table1[[#This Row],[Key]],Recidivism!C:C,Recidivism!D:D)</f>
        <v>0</v>
      </c>
      <c r="K354">
        <f>IF(ISNA(Table1[[#This Row],[convicts_admitted_raw]]), _xlfn.AGGREGATE(1, 6, Table1[convicts_admitted_raw]), Table1[[#This Row],[convicts_admitted_raw]])</f>
        <v>0</v>
      </c>
      <c r="L354">
        <f>_xlfn.XLOOKUP(Table1[[#This Row],[Key]],Recidivism!C:C,Recidivism!E:E)</f>
        <v>0</v>
      </c>
      <c r="M354">
        <f>IF(ISNA(Table1[[#This Row],[habitual_offenders]]), _xlfn.AGGREGATE(1, 6, Table1[habitual_offenders]), Table1[[#This Row],[habitual_offenders]])</f>
        <v>0</v>
      </c>
      <c r="N354" t="e">
        <f>_xlfn.XLOOKUP(Table1[[#This Row],[Key]],Vocational!C:C,Vocational!E:E)</f>
        <v>#N/A</v>
      </c>
      <c r="O354">
        <f>IF(ISNA(Table1[[#This Row],[vocational_count]]), _xlfn.AGGREGATE(1, 6,Table1[vocational_count]), Table1[[#This Row],[vocational_count]])</f>
        <v>249.28426395939087</v>
      </c>
    </row>
    <row r="355" spans="1:15" x14ac:dyDescent="0.3">
      <c r="A355" t="s">
        <v>36</v>
      </c>
      <c r="B355">
        <v>2004</v>
      </c>
      <c r="C355" t="str">
        <f>_xlfn.CONCAT(Table1[[#This Row],[STATE]],"-",Table1[[#This Row],[YEAR]])</f>
        <v>D &amp; N Haveli-2004</v>
      </c>
      <c r="D355">
        <v>0</v>
      </c>
      <c r="E355">
        <v>0</v>
      </c>
      <c r="F355">
        <v>0</v>
      </c>
      <c r="G355">
        <v>0</v>
      </c>
      <c r="H355" t="e">
        <f>_xlfn.XLOOKUP(Table1[[#This Row],[Key]],policseStrength!C:C,policseStrength!R:R)</f>
        <v>#N/A</v>
      </c>
      <c r="I355">
        <f>IF(ISNA(Table1[[#This Row],[total_ps]]), _xlfn.AGGREGATE(1, 6, Table1[total_ps]), Table1[[#This Row],[total_ps]])</f>
        <v>20128.370106761566</v>
      </c>
      <c r="J355">
        <f>_xlfn.XLOOKUP(Table1[[#This Row],[Key]],Recidivism!C:C,Recidivism!D:D)</f>
        <v>0</v>
      </c>
      <c r="K355">
        <f>IF(ISNA(Table1[[#This Row],[convicts_admitted_raw]]), _xlfn.AGGREGATE(1, 6, Table1[convicts_admitted_raw]), Table1[[#This Row],[convicts_admitted_raw]])</f>
        <v>0</v>
      </c>
      <c r="L355">
        <f>_xlfn.XLOOKUP(Table1[[#This Row],[Key]],Recidivism!C:C,Recidivism!E:E)</f>
        <v>0</v>
      </c>
      <c r="M355">
        <f>IF(ISNA(Table1[[#This Row],[habitual_offenders]]), _xlfn.AGGREGATE(1, 6, Table1[habitual_offenders]), Table1[[#This Row],[habitual_offenders]])</f>
        <v>0</v>
      </c>
      <c r="N355" t="e">
        <f>_xlfn.XLOOKUP(Table1[[#This Row],[Key]],Vocational!C:C,Vocational!E:E)</f>
        <v>#N/A</v>
      </c>
      <c r="O355">
        <f>IF(ISNA(Table1[[#This Row],[vocational_count]]), _xlfn.AGGREGATE(1, 6,Table1[vocational_count]), Table1[[#This Row],[vocational_count]])</f>
        <v>249.28426395939087</v>
      </c>
    </row>
    <row r="356" spans="1:15" x14ac:dyDescent="0.3">
      <c r="A356" t="s">
        <v>36</v>
      </c>
      <c r="B356">
        <v>2005</v>
      </c>
      <c r="C356" t="str">
        <f>_xlfn.CONCAT(Table1[[#This Row],[STATE]],"-",Table1[[#This Row],[YEAR]])</f>
        <v>D &amp; N Haveli-2005</v>
      </c>
      <c r="D356">
        <v>0</v>
      </c>
      <c r="E356">
        <v>0</v>
      </c>
      <c r="F356">
        <v>0</v>
      </c>
      <c r="G356">
        <v>0</v>
      </c>
      <c r="H356" t="e">
        <f>_xlfn.XLOOKUP(Table1[[#This Row],[Key]],policseStrength!C:C,policseStrength!R:R)</f>
        <v>#N/A</v>
      </c>
      <c r="I356">
        <f>IF(ISNA(Table1[[#This Row],[total_ps]]), _xlfn.AGGREGATE(1, 6, Table1[total_ps]), Table1[[#This Row],[total_ps]])</f>
        <v>20128.370106761566</v>
      </c>
      <c r="J356">
        <f>_xlfn.XLOOKUP(Table1[[#This Row],[Key]],Recidivism!C:C,Recidivism!D:D)</f>
        <v>0</v>
      </c>
      <c r="K356">
        <f>IF(ISNA(Table1[[#This Row],[convicts_admitted_raw]]), _xlfn.AGGREGATE(1, 6, Table1[convicts_admitted_raw]), Table1[[#This Row],[convicts_admitted_raw]])</f>
        <v>0</v>
      </c>
      <c r="L356">
        <f>_xlfn.XLOOKUP(Table1[[#This Row],[Key]],Recidivism!C:C,Recidivism!E:E)</f>
        <v>0</v>
      </c>
      <c r="M356">
        <f>IF(ISNA(Table1[[#This Row],[habitual_offenders]]), _xlfn.AGGREGATE(1, 6, Table1[habitual_offenders]), Table1[[#This Row],[habitual_offenders]])</f>
        <v>0</v>
      </c>
      <c r="N356" t="e">
        <f>_xlfn.XLOOKUP(Table1[[#This Row],[Key]],Vocational!C:C,Vocational!E:E)</f>
        <v>#N/A</v>
      </c>
      <c r="O356">
        <f>IF(ISNA(Table1[[#This Row],[vocational_count]]), _xlfn.AGGREGATE(1, 6,Table1[vocational_count]), Table1[[#This Row],[vocational_count]])</f>
        <v>249.28426395939087</v>
      </c>
    </row>
    <row r="357" spans="1:15" x14ac:dyDescent="0.3">
      <c r="A357" t="s">
        <v>36</v>
      </c>
      <c r="B357">
        <v>2006</v>
      </c>
      <c r="C357" t="str">
        <f>_xlfn.CONCAT(Table1[[#This Row],[STATE]],"-",Table1[[#This Row],[YEAR]])</f>
        <v>D &amp; N Haveli-2006</v>
      </c>
      <c r="D357">
        <v>0</v>
      </c>
      <c r="E357">
        <v>0</v>
      </c>
      <c r="F357">
        <v>0</v>
      </c>
      <c r="G357">
        <v>0</v>
      </c>
      <c r="H357" t="e">
        <f>_xlfn.XLOOKUP(Table1[[#This Row],[Key]],policseStrength!C:C,policseStrength!R:R)</f>
        <v>#N/A</v>
      </c>
      <c r="I357">
        <f>IF(ISNA(Table1[[#This Row],[total_ps]]), _xlfn.AGGREGATE(1, 6, Table1[total_ps]), Table1[[#This Row],[total_ps]])</f>
        <v>20128.370106761566</v>
      </c>
      <c r="J357">
        <f>_xlfn.XLOOKUP(Table1[[#This Row],[Key]],Recidivism!C:C,Recidivism!D:D)</f>
        <v>0</v>
      </c>
      <c r="K357">
        <f>IF(ISNA(Table1[[#This Row],[convicts_admitted_raw]]), _xlfn.AGGREGATE(1, 6, Table1[convicts_admitted_raw]), Table1[[#This Row],[convicts_admitted_raw]])</f>
        <v>0</v>
      </c>
      <c r="L357">
        <f>_xlfn.XLOOKUP(Table1[[#This Row],[Key]],Recidivism!C:C,Recidivism!E:E)</f>
        <v>0</v>
      </c>
      <c r="M357">
        <f>IF(ISNA(Table1[[#This Row],[habitual_offenders]]), _xlfn.AGGREGATE(1, 6, Table1[habitual_offenders]), Table1[[#This Row],[habitual_offenders]])</f>
        <v>0</v>
      </c>
      <c r="N357" t="e">
        <f>_xlfn.XLOOKUP(Table1[[#This Row],[Key]],Vocational!C:C,Vocational!E:E)</f>
        <v>#N/A</v>
      </c>
      <c r="O357">
        <f>IF(ISNA(Table1[[#This Row],[vocational_count]]), _xlfn.AGGREGATE(1, 6,Table1[vocational_count]), Table1[[#This Row],[vocational_count]])</f>
        <v>249.28426395939087</v>
      </c>
    </row>
    <row r="358" spans="1:15" x14ac:dyDescent="0.3">
      <c r="A358" t="s">
        <v>36</v>
      </c>
      <c r="B358">
        <v>2007</v>
      </c>
      <c r="C358" t="str">
        <f>_xlfn.CONCAT(Table1[[#This Row],[STATE]],"-",Table1[[#This Row],[YEAR]])</f>
        <v>D &amp; N Haveli-2007</v>
      </c>
      <c r="D358">
        <v>0</v>
      </c>
      <c r="E358">
        <v>0</v>
      </c>
      <c r="F358">
        <v>0</v>
      </c>
      <c r="G358">
        <v>0</v>
      </c>
      <c r="H358" t="e">
        <f>_xlfn.XLOOKUP(Table1[[#This Row],[Key]],policseStrength!C:C,policseStrength!R:R)</f>
        <v>#N/A</v>
      </c>
      <c r="I358">
        <f>IF(ISNA(Table1[[#This Row],[total_ps]]), _xlfn.AGGREGATE(1, 6, Table1[total_ps]), Table1[[#This Row],[total_ps]])</f>
        <v>20128.370106761566</v>
      </c>
      <c r="J358">
        <f>_xlfn.XLOOKUP(Table1[[#This Row],[Key]],Recidivism!C:C,Recidivism!D:D)</f>
        <v>0</v>
      </c>
      <c r="K358">
        <f>IF(ISNA(Table1[[#This Row],[convicts_admitted_raw]]), _xlfn.AGGREGATE(1, 6, Table1[convicts_admitted_raw]), Table1[[#This Row],[convicts_admitted_raw]])</f>
        <v>0</v>
      </c>
      <c r="L358">
        <f>_xlfn.XLOOKUP(Table1[[#This Row],[Key]],Recidivism!C:C,Recidivism!E:E)</f>
        <v>0</v>
      </c>
      <c r="M358">
        <f>IF(ISNA(Table1[[#This Row],[habitual_offenders]]), _xlfn.AGGREGATE(1, 6, Table1[habitual_offenders]), Table1[[#This Row],[habitual_offenders]])</f>
        <v>0</v>
      </c>
      <c r="N358" t="e">
        <f>_xlfn.XLOOKUP(Table1[[#This Row],[Key]],Vocational!C:C,Vocational!E:E)</f>
        <v>#N/A</v>
      </c>
      <c r="O358">
        <f>IF(ISNA(Table1[[#This Row],[vocational_count]]), _xlfn.AGGREGATE(1, 6,Table1[vocational_count]), Table1[[#This Row],[vocational_count]])</f>
        <v>249.28426395939087</v>
      </c>
    </row>
    <row r="359" spans="1:15" x14ac:dyDescent="0.3">
      <c r="A359" t="s">
        <v>36</v>
      </c>
      <c r="B359">
        <v>2008</v>
      </c>
      <c r="C359" t="str">
        <f>_xlfn.CONCAT(Table1[[#This Row],[STATE]],"-",Table1[[#This Row],[YEAR]])</f>
        <v>D &amp; N Haveli-2008</v>
      </c>
      <c r="D359">
        <v>0</v>
      </c>
      <c r="E359">
        <v>0</v>
      </c>
      <c r="F359">
        <v>0</v>
      </c>
      <c r="G359">
        <v>0</v>
      </c>
      <c r="H359" t="e">
        <f>_xlfn.XLOOKUP(Table1[[#This Row],[Key]],policseStrength!C:C,policseStrength!R:R)</f>
        <v>#N/A</v>
      </c>
      <c r="I359">
        <f>IF(ISNA(Table1[[#This Row],[total_ps]]), _xlfn.AGGREGATE(1, 6, Table1[total_ps]), Table1[[#This Row],[total_ps]])</f>
        <v>20128.370106761566</v>
      </c>
      <c r="J359">
        <f>_xlfn.XLOOKUP(Table1[[#This Row],[Key]],Recidivism!C:C,Recidivism!D:D)</f>
        <v>11</v>
      </c>
      <c r="K359">
        <f>IF(ISNA(Table1[[#This Row],[convicts_admitted_raw]]), _xlfn.AGGREGATE(1, 6, Table1[convicts_admitted_raw]), Table1[[#This Row],[convicts_admitted_raw]])</f>
        <v>11</v>
      </c>
      <c r="L359">
        <f>_xlfn.XLOOKUP(Table1[[#This Row],[Key]],Recidivism!C:C,Recidivism!E:E)</f>
        <v>0</v>
      </c>
      <c r="M359">
        <f>IF(ISNA(Table1[[#This Row],[habitual_offenders]]), _xlfn.AGGREGATE(1, 6, Table1[habitual_offenders]), Table1[[#This Row],[habitual_offenders]])</f>
        <v>0</v>
      </c>
      <c r="N359" t="e">
        <f>_xlfn.XLOOKUP(Table1[[#This Row],[Key]],Vocational!C:C,Vocational!E:E)</f>
        <v>#N/A</v>
      </c>
      <c r="O359">
        <f>IF(ISNA(Table1[[#This Row],[vocational_count]]), _xlfn.AGGREGATE(1, 6,Table1[vocational_count]), Table1[[#This Row],[vocational_count]])</f>
        <v>249.28426395939087</v>
      </c>
    </row>
    <row r="360" spans="1:15" x14ac:dyDescent="0.3">
      <c r="A360" t="s">
        <v>36</v>
      </c>
      <c r="B360">
        <v>2009</v>
      </c>
      <c r="C360" t="str">
        <f>_xlfn.CONCAT(Table1[[#This Row],[STATE]],"-",Table1[[#This Row],[YEAR]])</f>
        <v>D &amp; N Haveli-2009</v>
      </c>
      <c r="D360">
        <v>0</v>
      </c>
      <c r="E360">
        <v>0</v>
      </c>
      <c r="F360">
        <v>0</v>
      </c>
      <c r="G360">
        <v>0</v>
      </c>
      <c r="H360" t="e">
        <f>_xlfn.XLOOKUP(Table1[[#This Row],[Key]],policseStrength!C:C,policseStrength!R:R)</f>
        <v>#N/A</v>
      </c>
      <c r="I360">
        <f>IF(ISNA(Table1[[#This Row],[total_ps]]), _xlfn.AGGREGATE(1, 6, Table1[total_ps]), Table1[[#This Row],[total_ps]])</f>
        <v>20128.370106761566</v>
      </c>
      <c r="J360">
        <f>_xlfn.XLOOKUP(Table1[[#This Row],[Key]],Recidivism!C:C,Recidivism!D:D)</f>
        <v>2</v>
      </c>
      <c r="K360">
        <f>IF(ISNA(Table1[[#This Row],[convicts_admitted_raw]]), _xlfn.AGGREGATE(1, 6, Table1[convicts_admitted_raw]), Table1[[#This Row],[convicts_admitted_raw]])</f>
        <v>2</v>
      </c>
      <c r="L360">
        <f>_xlfn.XLOOKUP(Table1[[#This Row],[Key]],Recidivism!C:C,Recidivism!E:E)</f>
        <v>0</v>
      </c>
      <c r="M360">
        <f>IF(ISNA(Table1[[#This Row],[habitual_offenders]]), _xlfn.AGGREGATE(1, 6, Table1[habitual_offenders]), Table1[[#This Row],[habitual_offenders]])</f>
        <v>0</v>
      </c>
      <c r="N360">
        <f>_xlfn.XLOOKUP(Table1[[#This Row],[Key]],Vocational!C:C,Vocational!E:E)</f>
        <v>0</v>
      </c>
      <c r="O360">
        <f>IF(ISNA(Table1[[#This Row],[vocational_count]]), _xlfn.AGGREGATE(1, 6,Table1[vocational_count]), Table1[[#This Row],[vocational_count]])</f>
        <v>0</v>
      </c>
    </row>
    <row r="361" spans="1:15" x14ac:dyDescent="0.3">
      <c r="A361" t="s">
        <v>36</v>
      </c>
      <c r="B361">
        <v>2010</v>
      </c>
      <c r="C361" t="str">
        <f>_xlfn.CONCAT(Table1[[#This Row],[STATE]],"-",Table1[[#This Row],[YEAR]])</f>
        <v>D &amp; N Haveli-2010</v>
      </c>
      <c r="D361">
        <v>0</v>
      </c>
      <c r="E361">
        <v>0</v>
      </c>
      <c r="F361">
        <v>0</v>
      </c>
      <c r="G361">
        <v>0</v>
      </c>
      <c r="H361" t="e">
        <f>_xlfn.XLOOKUP(Table1[[#This Row],[Key]],policseStrength!C:C,policseStrength!R:R)</f>
        <v>#N/A</v>
      </c>
      <c r="I361">
        <f>IF(ISNA(Table1[[#This Row],[total_ps]]), _xlfn.AGGREGATE(1, 6, Table1[total_ps]), Table1[[#This Row],[total_ps]])</f>
        <v>20128.370106761566</v>
      </c>
      <c r="J361">
        <f>_xlfn.XLOOKUP(Table1[[#This Row],[Key]],Recidivism!C:C,Recidivism!D:D)</f>
        <v>5</v>
      </c>
      <c r="K361">
        <f>IF(ISNA(Table1[[#This Row],[convicts_admitted_raw]]), _xlfn.AGGREGATE(1, 6, Table1[convicts_admitted_raw]), Table1[[#This Row],[convicts_admitted_raw]])</f>
        <v>5</v>
      </c>
      <c r="L361">
        <f>_xlfn.XLOOKUP(Table1[[#This Row],[Key]],Recidivism!C:C,Recidivism!E:E)</f>
        <v>1</v>
      </c>
      <c r="M361">
        <f>IF(ISNA(Table1[[#This Row],[habitual_offenders]]), _xlfn.AGGREGATE(1, 6, Table1[habitual_offenders]), Table1[[#This Row],[habitual_offenders]])</f>
        <v>1</v>
      </c>
      <c r="N361">
        <f>_xlfn.XLOOKUP(Table1[[#This Row],[Key]],Vocational!C:C,Vocational!E:E)</f>
        <v>0</v>
      </c>
      <c r="O361">
        <f>IF(ISNA(Table1[[#This Row],[vocational_count]]), _xlfn.AGGREGATE(1, 6,Table1[vocational_count]), Table1[[#This Row],[vocational_count]])</f>
        <v>0</v>
      </c>
    </row>
    <row r="362" spans="1:15" x14ac:dyDescent="0.3">
      <c r="A362" t="s">
        <v>36</v>
      </c>
      <c r="B362">
        <v>2011</v>
      </c>
      <c r="C362" t="str">
        <f>_xlfn.CONCAT(Table1[[#This Row],[STATE]],"-",Table1[[#This Row],[YEAR]])</f>
        <v>D &amp; N Haveli-2011</v>
      </c>
      <c r="D362">
        <v>0</v>
      </c>
      <c r="E362">
        <v>0</v>
      </c>
      <c r="F362">
        <v>0</v>
      </c>
      <c r="G362">
        <v>0</v>
      </c>
      <c r="H362" t="e">
        <f>_xlfn.XLOOKUP(Table1[[#This Row],[Key]],policseStrength!C:C,policseStrength!R:R)</f>
        <v>#N/A</v>
      </c>
      <c r="I362">
        <f>IF(ISNA(Table1[[#This Row],[total_ps]]), _xlfn.AGGREGATE(1, 6, Table1[total_ps]), Table1[[#This Row],[total_ps]])</f>
        <v>20128.370106761566</v>
      </c>
      <c r="J362">
        <f>_xlfn.XLOOKUP(Table1[[#This Row],[Key]],Recidivism!C:C,Recidivism!D:D)</f>
        <v>15</v>
      </c>
      <c r="K362">
        <f>IF(ISNA(Table1[[#This Row],[convicts_admitted_raw]]), _xlfn.AGGREGATE(1, 6, Table1[convicts_admitted_raw]), Table1[[#This Row],[convicts_admitted_raw]])</f>
        <v>15</v>
      </c>
      <c r="L362">
        <f>_xlfn.XLOOKUP(Table1[[#This Row],[Key]],Recidivism!C:C,Recidivism!E:E)</f>
        <v>0</v>
      </c>
      <c r="M362">
        <f>IF(ISNA(Table1[[#This Row],[habitual_offenders]]), _xlfn.AGGREGATE(1, 6, Table1[habitual_offenders]), Table1[[#This Row],[habitual_offenders]])</f>
        <v>0</v>
      </c>
      <c r="N362" t="e">
        <f>_xlfn.XLOOKUP(Table1[[#This Row],[Key]],Vocational!C:C,Vocational!E:E)</f>
        <v>#N/A</v>
      </c>
      <c r="O362">
        <f>IF(ISNA(Table1[[#This Row],[vocational_count]]), _xlfn.AGGREGATE(1, 6,Table1[vocational_count]), Table1[[#This Row],[vocational_count]])</f>
        <v>249.28426395939087</v>
      </c>
    </row>
    <row r="363" spans="1:15" x14ac:dyDescent="0.3">
      <c r="A363" t="s">
        <v>36</v>
      </c>
      <c r="B363">
        <v>2012</v>
      </c>
      <c r="C363" t="str">
        <f>_xlfn.CONCAT(Table1[[#This Row],[STATE]],"-",Table1[[#This Row],[YEAR]])</f>
        <v>D &amp; N Haveli-2012</v>
      </c>
      <c r="D363">
        <v>0</v>
      </c>
      <c r="E363">
        <v>0</v>
      </c>
      <c r="F363">
        <v>0</v>
      </c>
      <c r="G363">
        <v>0</v>
      </c>
      <c r="H363" t="e">
        <f>_xlfn.XLOOKUP(Table1[[#This Row],[Key]],policseStrength!C:C,policseStrength!R:R)</f>
        <v>#N/A</v>
      </c>
      <c r="I363">
        <f>IF(ISNA(Table1[[#This Row],[total_ps]]), _xlfn.AGGREGATE(1, 6, Table1[total_ps]), Table1[[#This Row],[total_ps]])</f>
        <v>20128.370106761566</v>
      </c>
      <c r="J363">
        <f>_xlfn.XLOOKUP(Table1[[#This Row],[Key]],Recidivism!C:C,Recidivism!D:D)</f>
        <v>13</v>
      </c>
      <c r="K363">
        <f>IF(ISNA(Table1[[#This Row],[convicts_admitted_raw]]), _xlfn.AGGREGATE(1, 6, Table1[convicts_admitted_raw]), Table1[[#This Row],[convicts_admitted_raw]])</f>
        <v>13</v>
      </c>
      <c r="L363">
        <f>_xlfn.XLOOKUP(Table1[[#This Row],[Key]],Recidivism!C:C,Recidivism!E:E)</f>
        <v>2</v>
      </c>
      <c r="M363">
        <f>IF(ISNA(Table1[[#This Row],[habitual_offenders]]), _xlfn.AGGREGATE(1, 6, Table1[habitual_offenders]), Table1[[#This Row],[habitual_offenders]])</f>
        <v>2</v>
      </c>
      <c r="N363">
        <f>_xlfn.XLOOKUP(Table1[[#This Row],[Key]],Vocational!C:C,Vocational!E:E)</f>
        <v>0</v>
      </c>
      <c r="O363">
        <f>IF(ISNA(Table1[[#This Row],[vocational_count]]), _xlfn.AGGREGATE(1, 6,Table1[vocational_count]), Table1[[#This Row],[vocational_count]])</f>
        <v>0</v>
      </c>
    </row>
    <row r="364" spans="1:15" x14ac:dyDescent="0.3">
      <c r="A364" t="s">
        <v>37</v>
      </c>
      <c r="B364">
        <v>2001</v>
      </c>
      <c r="C364" t="str">
        <f>_xlfn.CONCAT(Table1[[#This Row],[STATE]],"-",Table1[[#This Row],[YEAR]])</f>
        <v>Daman &amp; Diu-2001</v>
      </c>
      <c r="D364">
        <v>0</v>
      </c>
      <c r="E364">
        <v>0</v>
      </c>
      <c r="F364">
        <v>0</v>
      </c>
      <c r="G364">
        <v>0</v>
      </c>
      <c r="H364">
        <f>_xlfn.XLOOKUP(Table1[[#This Row],[Key]],policseStrength!C:C,policseStrength!R:R)</f>
        <v>0</v>
      </c>
      <c r="I364">
        <f>IF(ISNA(Table1[[#This Row],[total_ps]]), _xlfn.AGGREGATE(1, 6, Table1[total_ps]), Table1[[#This Row],[total_ps]])</f>
        <v>0</v>
      </c>
      <c r="J364">
        <f>_xlfn.XLOOKUP(Table1[[#This Row],[Key]],Recidivism!C:C,Recidivism!D:D)</f>
        <v>10</v>
      </c>
      <c r="K364">
        <f>IF(ISNA(Table1[[#This Row],[convicts_admitted_raw]]), _xlfn.AGGREGATE(1, 6, Table1[convicts_admitted_raw]), Table1[[#This Row],[convicts_admitted_raw]])</f>
        <v>10</v>
      </c>
      <c r="L364">
        <f>_xlfn.XLOOKUP(Table1[[#This Row],[Key]],Recidivism!C:C,Recidivism!E:E)</f>
        <v>0</v>
      </c>
      <c r="M364">
        <f>IF(ISNA(Table1[[#This Row],[habitual_offenders]]), _xlfn.AGGREGATE(1, 6, Table1[habitual_offenders]), Table1[[#This Row],[habitual_offenders]])</f>
        <v>0</v>
      </c>
      <c r="N364" t="e">
        <f>_xlfn.XLOOKUP(Table1[[#This Row],[Key]],Vocational!C:C,Vocational!E:E)</f>
        <v>#N/A</v>
      </c>
      <c r="O364">
        <f>IF(ISNA(Table1[[#This Row],[vocational_count]]), _xlfn.AGGREGATE(1, 6,Table1[vocational_count]), Table1[[#This Row],[vocational_count]])</f>
        <v>249.28426395939087</v>
      </c>
    </row>
    <row r="365" spans="1:15" x14ac:dyDescent="0.3">
      <c r="A365" t="s">
        <v>37</v>
      </c>
      <c r="B365">
        <v>2002</v>
      </c>
      <c r="C365" t="str">
        <f>_xlfn.CONCAT(Table1[[#This Row],[STATE]],"-",Table1[[#This Row],[YEAR]])</f>
        <v>Daman &amp; Diu-2002</v>
      </c>
      <c r="D365">
        <v>0</v>
      </c>
      <c r="E365">
        <v>0</v>
      </c>
      <c r="F365">
        <v>0</v>
      </c>
      <c r="G365">
        <v>0</v>
      </c>
      <c r="H365">
        <f>_xlfn.XLOOKUP(Table1[[#This Row],[Key]],policseStrength!C:C,policseStrength!R:R)</f>
        <v>0</v>
      </c>
      <c r="I365">
        <f>IF(ISNA(Table1[[#This Row],[total_ps]]), _xlfn.AGGREGATE(1, 6, Table1[total_ps]), Table1[[#This Row],[total_ps]])</f>
        <v>0</v>
      </c>
      <c r="J365">
        <f>_xlfn.XLOOKUP(Table1[[#This Row],[Key]],Recidivism!C:C,Recidivism!D:D)</f>
        <v>8</v>
      </c>
      <c r="K365">
        <f>IF(ISNA(Table1[[#This Row],[convicts_admitted_raw]]), _xlfn.AGGREGATE(1, 6, Table1[convicts_admitted_raw]), Table1[[#This Row],[convicts_admitted_raw]])</f>
        <v>8</v>
      </c>
      <c r="L365">
        <f>_xlfn.XLOOKUP(Table1[[#This Row],[Key]],Recidivism!C:C,Recidivism!E:E)</f>
        <v>0</v>
      </c>
      <c r="M365">
        <f>IF(ISNA(Table1[[#This Row],[habitual_offenders]]), _xlfn.AGGREGATE(1, 6, Table1[habitual_offenders]), Table1[[#This Row],[habitual_offenders]])</f>
        <v>0</v>
      </c>
      <c r="N365" t="e">
        <f>_xlfn.XLOOKUP(Table1[[#This Row],[Key]],Vocational!C:C,Vocational!E:E)</f>
        <v>#N/A</v>
      </c>
      <c r="O365">
        <f>IF(ISNA(Table1[[#This Row],[vocational_count]]), _xlfn.AGGREGATE(1, 6,Table1[vocational_count]), Table1[[#This Row],[vocational_count]])</f>
        <v>249.28426395939087</v>
      </c>
    </row>
    <row r="366" spans="1:15" x14ac:dyDescent="0.3">
      <c r="A366" t="s">
        <v>37</v>
      </c>
      <c r="B366">
        <v>2003</v>
      </c>
      <c r="C366" t="str">
        <f>_xlfn.CONCAT(Table1[[#This Row],[STATE]],"-",Table1[[#This Row],[YEAR]])</f>
        <v>Daman &amp; Diu-2003</v>
      </c>
      <c r="D366">
        <v>0</v>
      </c>
      <c r="E366">
        <v>0</v>
      </c>
      <c r="F366">
        <v>0</v>
      </c>
      <c r="G366">
        <v>0</v>
      </c>
      <c r="H366">
        <f>_xlfn.XLOOKUP(Table1[[#This Row],[Key]],policseStrength!C:C,policseStrength!R:R)</f>
        <v>0</v>
      </c>
      <c r="I366">
        <f>IF(ISNA(Table1[[#This Row],[total_ps]]), _xlfn.AGGREGATE(1, 6, Table1[total_ps]), Table1[[#This Row],[total_ps]])</f>
        <v>0</v>
      </c>
      <c r="J366">
        <f>_xlfn.XLOOKUP(Table1[[#This Row],[Key]],Recidivism!C:C,Recidivism!D:D)</f>
        <v>9</v>
      </c>
      <c r="K366">
        <f>IF(ISNA(Table1[[#This Row],[convicts_admitted_raw]]), _xlfn.AGGREGATE(1, 6, Table1[convicts_admitted_raw]), Table1[[#This Row],[convicts_admitted_raw]])</f>
        <v>9</v>
      </c>
      <c r="L366">
        <f>_xlfn.XLOOKUP(Table1[[#This Row],[Key]],Recidivism!C:C,Recidivism!E:E)</f>
        <v>0</v>
      </c>
      <c r="M366">
        <f>IF(ISNA(Table1[[#This Row],[habitual_offenders]]), _xlfn.AGGREGATE(1, 6, Table1[habitual_offenders]), Table1[[#This Row],[habitual_offenders]])</f>
        <v>0</v>
      </c>
      <c r="N366" t="e">
        <f>_xlfn.XLOOKUP(Table1[[#This Row],[Key]],Vocational!C:C,Vocational!E:E)</f>
        <v>#N/A</v>
      </c>
      <c r="O366">
        <f>IF(ISNA(Table1[[#This Row],[vocational_count]]), _xlfn.AGGREGATE(1, 6,Table1[vocational_count]), Table1[[#This Row],[vocational_count]])</f>
        <v>249.28426395939087</v>
      </c>
    </row>
    <row r="367" spans="1:15" x14ac:dyDescent="0.3">
      <c r="A367" t="s">
        <v>37</v>
      </c>
      <c r="B367">
        <v>2004</v>
      </c>
      <c r="C367" t="str">
        <f>_xlfn.CONCAT(Table1[[#This Row],[STATE]],"-",Table1[[#This Row],[YEAR]])</f>
        <v>Daman &amp; Diu-2004</v>
      </c>
      <c r="D367">
        <v>0</v>
      </c>
      <c r="E367">
        <v>0</v>
      </c>
      <c r="F367">
        <v>0</v>
      </c>
      <c r="G367">
        <v>0</v>
      </c>
      <c r="H367">
        <f>_xlfn.XLOOKUP(Table1[[#This Row],[Key]],policseStrength!C:C,policseStrength!R:R)</f>
        <v>0</v>
      </c>
      <c r="I367">
        <f>IF(ISNA(Table1[[#This Row],[total_ps]]), _xlfn.AGGREGATE(1, 6, Table1[total_ps]), Table1[[#This Row],[total_ps]])</f>
        <v>0</v>
      </c>
      <c r="J367">
        <f>_xlfn.XLOOKUP(Table1[[#This Row],[Key]],Recidivism!C:C,Recidivism!D:D)</f>
        <v>2</v>
      </c>
      <c r="K367">
        <f>IF(ISNA(Table1[[#This Row],[convicts_admitted_raw]]), _xlfn.AGGREGATE(1, 6, Table1[convicts_admitted_raw]), Table1[[#This Row],[convicts_admitted_raw]])</f>
        <v>2</v>
      </c>
      <c r="L367">
        <f>_xlfn.XLOOKUP(Table1[[#This Row],[Key]],Recidivism!C:C,Recidivism!E:E)</f>
        <v>0</v>
      </c>
      <c r="M367">
        <f>IF(ISNA(Table1[[#This Row],[habitual_offenders]]), _xlfn.AGGREGATE(1, 6, Table1[habitual_offenders]), Table1[[#This Row],[habitual_offenders]])</f>
        <v>0</v>
      </c>
      <c r="N367" t="e">
        <f>_xlfn.XLOOKUP(Table1[[#This Row],[Key]],Vocational!C:C,Vocational!E:E)</f>
        <v>#N/A</v>
      </c>
      <c r="O367">
        <f>IF(ISNA(Table1[[#This Row],[vocational_count]]), _xlfn.AGGREGATE(1, 6,Table1[vocational_count]), Table1[[#This Row],[vocational_count]])</f>
        <v>249.28426395939087</v>
      </c>
    </row>
    <row r="368" spans="1:15" x14ac:dyDescent="0.3">
      <c r="A368" t="s">
        <v>37</v>
      </c>
      <c r="B368">
        <v>2005</v>
      </c>
      <c r="C368" t="str">
        <f>_xlfn.CONCAT(Table1[[#This Row],[STATE]],"-",Table1[[#This Row],[YEAR]])</f>
        <v>Daman &amp; Diu-2005</v>
      </c>
      <c r="D368">
        <v>0</v>
      </c>
      <c r="E368">
        <v>0</v>
      </c>
      <c r="F368">
        <v>0</v>
      </c>
      <c r="G368">
        <v>0</v>
      </c>
      <c r="H368">
        <f>_xlfn.XLOOKUP(Table1[[#This Row],[Key]],policseStrength!C:C,policseStrength!R:R)</f>
        <v>0</v>
      </c>
      <c r="I368">
        <f>IF(ISNA(Table1[[#This Row],[total_ps]]), _xlfn.AGGREGATE(1, 6, Table1[total_ps]), Table1[[#This Row],[total_ps]])</f>
        <v>0</v>
      </c>
      <c r="J368">
        <f>_xlfn.XLOOKUP(Table1[[#This Row],[Key]],Recidivism!C:C,Recidivism!D:D)</f>
        <v>2</v>
      </c>
      <c r="K368">
        <f>IF(ISNA(Table1[[#This Row],[convicts_admitted_raw]]), _xlfn.AGGREGATE(1, 6, Table1[convicts_admitted_raw]), Table1[[#This Row],[convicts_admitted_raw]])</f>
        <v>2</v>
      </c>
      <c r="L368">
        <f>_xlfn.XLOOKUP(Table1[[#This Row],[Key]],Recidivism!C:C,Recidivism!E:E)</f>
        <v>0</v>
      </c>
      <c r="M368">
        <f>IF(ISNA(Table1[[#This Row],[habitual_offenders]]), _xlfn.AGGREGATE(1, 6, Table1[habitual_offenders]), Table1[[#This Row],[habitual_offenders]])</f>
        <v>0</v>
      </c>
      <c r="N368" t="e">
        <f>_xlfn.XLOOKUP(Table1[[#This Row],[Key]],Vocational!C:C,Vocational!E:E)</f>
        <v>#N/A</v>
      </c>
      <c r="O368">
        <f>IF(ISNA(Table1[[#This Row],[vocational_count]]), _xlfn.AGGREGATE(1, 6,Table1[vocational_count]), Table1[[#This Row],[vocational_count]])</f>
        <v>249.28426395939087</v>
      </c>
    </row>
    <row r="369" spans="1:15" x14ac:dyDescent="0.3">
      <c r="A369" t="s">
        <v>37</v>
      </c>
      <c r="B369">
        <v>2006</v>
      </c>
      <c r="C369" t="str">
        <f>_xlfn.CONCAT(Table1[[#This Row],[STATE]],"-",Table1[[#This Row],[YEAR]])</f>
        <v>Daman &amp; Diu-2006</v>
      </c>
      <c r="D369">
        <v>0</v>
      </c>
      <c r="E369">
        <v>0</v>
      </c>
      <c r="F369">
        <v>0</v>
      </c>
      <c r="G369">
        <v>0</v>
      </c>
      <c r="H369">
        <f>_xlfn.XLOOKUP(Table1[[#This Row],[Key]],policseStrength!C:C,policseStrength!R:R)</f>
        <v>0</v>
      </c>
      <c r="I369">
        <f>IF(ISNA(Table1[[#This Row],[total_ps]]), _xlfn.AGGREGATE(1, 6, Table1[total_ps]), Table1[[#This Row],[total_ps]])</f>
        <v>0</v>
      </c>
      <c r="J369">
        <f>_xlfn.XLOOKUP(Table1[[#This Row],[Key]],Recidivism!C:C,Recidivism!D:D)</f>
        <v>1</v>
      </c>
      <c r="K369">
        <f>IF(ISNA(Table1[[#This Row],[convicts_admitted_raw]]), _xlfn.AGGREGATE(1, 6, Table1[convicts_admitted_raw]), Table1[[#This Row],[convicts_admitted_raw]])</f>
        <v>1</v>
      </c>
      <c r="L369">
        <f>_xlfn.XLOOKUP(Table1[[#This Row],[Key]],Recidivism!C:C,Recidivism!E:E)</f>
        <v>0</v>
      </c>
      <c r="M369">
        <f>IF(ISNA(Table1[[#This Row],[habitual_offenders]]), _xlfn.AGGREGATE(1, 6, Table1[habitual_offenders]), Table1[[#This Row],[habitual_offenders]])</f>
        <v>0</v>
      </c>
      <c r="N369" t="e">
        <f>_xlfn.XLOOKUP(Table1[[#This Row],[Key]],Vocational!C:C,Vocational!E:E)</f>
        <v>#N/A</v>
      </c>
      <c r="O369">
        <f>IF(ISNA(Table1[[#This Row],[vocational_count]]), _xlfn.AGGREGATE(1, 6,Table1[vocational_count]), Table1[[#This Row],[vocational_count]])</f>
        <v>249.28426395939087</v>
      </c>
    </row>
    <row r="370" spans="1:15" x14ac:dyDescent="0.3">
      <c r="A370" t="s">
        <v>37</v>
      </c>
      <c r="B370">
        <v>2007</v>
      </c>
      <c r="C370" t="str">
        <f>_xlfn.CONCAT(Table1[[#This Row],[STATE]],"-",Table1[[#This Row],[YEAR]])</f>
        <v>Daman &amp; Diu-2007</v>
      </c>
      <c r="D370">
        <v>0</v>
      </c>
      <c r="E370">
        <v>0</v>
      </c>
      <c r="F370">
        <v>0</v>
      </c>
      <c r="G370">
        <v>0</v>
      </c>
      <c r="H370">
        <f>_xlfn.XLOOKUP(Table1[[#This Row],[Key]],policseStrength!C:C,policseStrength!R:R)</f>
        <v>0</v>
      </c>
      <c r="I370">
        <f>IF(ISNA(Table1[[#This Row],[total_ps]]), _xlfn.AGGREGATE(1, 6, Table1[total_ps]), Table1[[#This Row],[total_ps]])</f>
        <v>0</v>
      </c>
      <c r="J370">
        <f>_xlfn.XLOOKUP(Table1[[#This Row],[Key]],Recidivism!C:C,Recidivism!D:D)</f>
        <v>2</v>
      </c>
      <c r="K370">
        <f>IF(ISNA(Table1[[#This Row],[convicts_admitted_raw]]), _xlfn.AGGREGATE(1, 6, Table1[convicts_admitted_raw]), Table1[[#This Row],[convicts_admitted_raw]])</f>
        <v>2</v>
      </c>
      <c r="L370">
        <f>_xlfn.XLOOKUP(Table1[[#This Row],[Key]],Recidivism!C:C,Recidivism!E:E)</f>
        <v>0</v>
      </c>
      <c r="M370">
        <f>IF(ISNA(Table1[[#This Row],[habitual_offenders]]), _xlfn.AGGREGATE(1, 6, Table1[habitual_offenders]), Table1[[#This Row],[habitual_offenders]])</f>
        <v>0</v>
      </c>
      <c r="N370" t="e">
        <f>_xlfn.XLOOKUP(Table1[[#This Row],[Key]],Vocational!C:C,Vocational!E:E)</f>
        <v>#N/A</v>
      </c>
      <c r="O370">
        <f>IF(ISNA(Table1[[#This Row],[vocational_count]]), _xlfn.AGGREGATE(1, 6,Table1[vocational_count]), Table1[[#This Row],[vocational_count]])</f>
        <v>249.28426395939087</v>
      </c>
    </row>
    <row r="371" spans="1:15" x14ac:dyDescent="0.3">
      <c r="A371" t="s">
        <v>37</v>
      </c>
      <c r="B371">
        <v>2008</v>
      </c>
      <c r="C371" t="str">
        <f>_xlfn.CONCAT(Table1[[#This Row],[STATE]],"-",Table1[[#This Row],[YEAR]])</f>
        <v>Daman &amp; Diu-2008</v>
      </c>
      <c r="D371">
        <v>0</v>
      </c>
      <c r="E371">
        <v>0</v>
      </c>
      <c r="F371">
        <v>0</v>
      </c>
      <c r="G371">
        <v>0</v>
      </c>
      <c r="H371">
        <f>_xlfn.XLOOKUP(Table1[[#This Row],[Key]],policseStrength!C:C,policseStrength!R:R)</f>
        <v>0</v>
      </c>
      <c r="I371">
        <f>IF(ISNA(Table1[[#This Row],[total_ps]]), _xlfn.AGGREGATE(1, 6, Table1[total_ps]), Table1[[#This Row],[total_ps]])</f>
        <v>0</v>
      </c>
      <c r="J371">
        <f>_xlfn.XLOOKUP(Table1[[#This Row],[Key]],Recidivism!C:C,Recidivism!D:D)</f>
        <v>0</v>
      </c>
      <c r="K371">
        <f>IF(ISNA(Table1[[#This Row],[convicts_admitted_raw]]), _xlfn.AGGREGATE(1, 6, Table1[convicts_admitted_raw]), Table1[[#This Row],[convicts_admitted_raw]])</f>
        <v>0</v>
      </c>
      <c r="L371">
        <f>_xlfn.XLOOKUP(Table1[[#This Row],[Key]],Recidivism!C:C,Recidivism!E:E)</f>
        <v>0</v>
      </c>
      <c r="M371">
        <f>IF(ISNA(Table1[[#This Row],[habitual_offenders]]), _xlfn.AGGREGATE(1, 6, Table1[habitual_offenders]), Table1[[#This Row],[habitual_offenders]])</f>
        <v>0</v>
      </c>
      <c r="N371" t="e">
        <f>_xlfn.XLOOKUP(Table1[[#This Row],[Key]],Vocational!C:C,Vocational!E:E)</f>
        <v>#N/A</v>
      </c>
      <c r="O371">
        <f>IF(ISNA(Table1[[#This Row],[vocational_count]]), _xlfn.AGGREGATE(1, 6,Table1[vocational_count]), Table1[[#This Row],[vocational_count]])</f>
        <v>249.28426395939087</v>
      </c>
    </row>
    <row r="372" spans="1:15" x14ac:dyDescent="0.3">
      <c r="A372" t="s">
        <v>37</v>
      </c>
      <c r="B372">
        <v>2009</v>
      </c>
      <c r="C372" t="str">
        <f>_xlfn.CONCAT(Table1[[#This Row],[STATE]],"-",Table1[[#This Row],[YEAR]])</f>
        <v>Daman &amp; Diu-2009</v>
      </c>
      <c r="D372">
        <v>0</v>
      </c>
      <c r="E372">
        <v>0</v>
      </c>
      <c r="F372">
        <v>0</v>
      </c>
      <c r="G372">
        <v>0</v>
      </c>
      <c r="H372">
        <f>_xlfn.XLOOKUP(Table1[[#This Row],[Key]],policseStrength!C:C,policseStrength!R:R)</f>
        <v>0</v>
      </c>
      <c r="I372">
        <f>IF(ISNA(Table1[[#This Row],[total_ps]]), _xlfn.AGGREGATE(1, 6, Table1[total_ps]), Table1[[#This Row],[total_ps]])</f>
        <v>0</v>
      </c>
      <c r="J372">
        <f>_xlfn.XLOOKUP(Table1[[#This Row],[Key]],Recidivism!C:C,Recidivism!D:D)</f>
        <v>0</v>
      </c>
      <c r="K372">
        <f>IF(ISNA(Table1[[#This Row],[convicts_admitted_raw]]), _xlfn.AGGREGATE(1, 6, Table1[convicts_admitted_raw]), Table1[[#This Row],[convicts_admitted_raw]])</f>
        <v>0</v>
      </c>
      <c r="L372">
        <f>_xlfn.XLOOKUP(Table1[[#This Row],[Key]],Recidivism!C:C,Recidivism!E:E)</f>
        <v>0</v>
      </c>
      <c r="M372">
        <f>IF(ISNA(Table1[[#This Row],[habitual_offenders]]), _xlfn.AGGREGATE(1, 6, Table1[habitual_offenders]), Table1[[#This Row],[habitual_offenders]])</f>
        <v>0</v>
      </c>
      <c r="N372">
        <f>_xlfn.XLOOKUP(Table1[[#This Row],[Key]],Vocational!C:C,Vocational!E:E)</f>
        <v>0</v>
      </c>
      <c r="O372">
        <f>IF(ISNA(Table1[[#This Row],[vocational_count]]), _xlfn.AGGREGATE(1, 6,Table1[vocational_count]), Table1[[#This Row],[vocational_count]])</f>
        <v>0</v>
      </c>
    </row>
    <row r="373" spans="1:15" x14ac:dyDescent="0.3">
      <c r="A373" t="s">
        <v>37</v>
      </c>
      <c r="B373">
        <v>2010</v>
      </c>
      <c r="C373" t="str">
        <f>_xlfn.CONCAT(Table1[[#This Row],[STATE]],"-",Table1[[#This Row],[YEAR]])</f>
        <v>Daman &amp; Diu-2010</v>
      </c>
      <c r="D373">
        <v>0</v>
      </c>
      <c r="E373">
        <v>0</v>
      </c>
      <c r="F373">
        <v>0</v>
      </c>
      <c r="G373">
        <v>0</v>
      </c>
      <c r="H373">
        <f>_xlfn.XLOOKUP(Table1[[#This Row],[Key]],policseStrength!C:C,policseStrength!R:R)</f>
        <v>0</v>
      </c>
      <c r="I373">
        <f>IF(ISNA(Table1[[#This Row],[total_ps]]), _xlfn.AGGREGATE(1, 6, Table1[total_ps]), Table1[[#This Row],[total_ps]])</f>
        <v>0</v>
      </c>
      <c r="J373">
        <f>_xlfn.XLOOKUP(Table1[[#This Row],[Key]],Recidivism!C:C,Recidivism!D:D)</f>
        <v>0</v>
      </c>
      <c r="K373">
        <f>IF(ISNA(Table1[[#This Row],[convicts_admitted_raw]]), _xlfn.AGGREGATE(1, 6, Table1[convicts_admitted_raw]), Table1[[#This Row],[convicts_admitted_raw]])</f>
        <v>0</v>
      </c>
      <c r="L373">
        <f>_xlfn.XLOOKUP(Table1[[#This Row],[Key]],Recidivism!C:C,Recidivism!E:E)</f>
        <v>0</v>
      </c>
      <c r="M373">
        <f>IF(ISNA(Table1[[#This Row],[habitual_offenders]]), _xlfn.AGGREGATE(1, 6, Table1[habitual_offenders]), Table1[[#This Row],[habitual_offenders]])</f>
        <v>0</v>
      </c>
      <c r="N373">
        <f>_xlfn.XLOOKUP(Table1[[#This Row],[Key]],Vocational!C:C,Vocational!E:E)</f>
        <v>0</v>
      </c>
      <c r="O373">
        <f>IF(ISNA(Table1[[#This Row],[vocational_count]]), _xlfn.AGGREGATE(1, 6,Table1[vocational_count]), Table1[[#This Row],[vocational_count]])</f>
        <v>0</v>
      </c>
    </row>
    <row r="374" spans="1:15" x14ac:dyDescent="0.3">
      <c r="A374" t="s">
        <v>37</v>
      </c>
      <c r="B374">
        <v>2011</v>
      </c>
      <c r="C374" t="str">
        <f>_xlfn.CONCAT(Table1[[#This Row],[STATE]],"-",Table1[[#This Row],[YEAR]])</f>
        <v>Daman &amp; Diu-2011</v>
      </c>
      <c r="D374">
        <v>0</v>
      </c>
      <c r="E374">
        <v>0</v>
      </c>
      <c r="F374">
        <v>0</v>
      </c>
      <c r="G374">
        <v>0</v>
      </c>
      <c r="H374" t="e">
        <f>_xlfn.XLOOKUP(Table1[[#This Row],[Key]],policseStrength!C:C,policseStrength!R:R)</f>
        <v>#N/A</v>
      </c>
      <c r="I374">
        <f>IF(ISNA(Table1[[#This Row],[total_ps]]), _xlfn.AGGREGATE(1, 6, Table1[total_ps]), Table1[[#This Row],[total_ps]])</f>
        <v>20128.370106761566</v>
      </c>
      <c r="J374">
        <f>_xlfn.XLOOKUP(Table1[[#This Row],[Key]],Recidivism!C:C,Recidivism!D:D)</f>
        <v>0</v>
      </c>
      <c r="K374">
        <f>IF(ISNA(Table1[[#This Row],[convicts_admitted_raw]]), _xlfn.AGGREGATE(1, 6, Table1[convicts_admitted_raw]), Table1[[#This Row],[convicts_admitted_raw]])</f>
        <v>0</v>
      </c>
      <c r="L374">
        <f>_xlfn.XLOOKUP(Table1[[#This Row],[Key]],Recidivism!C:C,Recidivism!E:E)</f>
        <v>0</v>
      </c>
      <c r="M374">
        <f>IF(ISNA(Table1[[#This Row],[habitual_offenders]]), _xlfn.AGGREGATE(1, 6, Table1[habitual_offenders]), Table1[[#This Row],[habitual_offenders]])</f>
        <v>0</v>
      </c>
      <c r="N374" t="e">
        <f>_xlfn.XLOOKUP(Table1[[#This Row],[Key]],Vocational!C:C,Vocational!E:E)</f>
        <v>#N/A</v>
      </c>
      <c r="O374">
        <f>IF(ISNA(Table1[[#This Row],[vocational_count]]), _xlfn.AGGREGATE(1, 6,Table1[vocational_count]), Table1[[#This Row],[vocational_count]])</f>
        <v>249.28426395939087</v>
      </c>
    </row>
    <row r="375" spans="1:15" x14ac:dyDescent="0.3">
      <c r="A375" t="s">
        <v>37</v>
      </c>
      <c r="B375">
        <v>2012</v>
      </c>
      <c r="C375" t="str">
        <f>_xlfn.CONCAT(Table1[[#This Row],[STATE]],"-",Table1[[#This Row],[YEAR]])</f>
        <v>Daman &amp; Diu-2012</v>
      </c>
      <c r="D375">
        <v>0</v>
      </c>
      <c r="E375">
        <v>0</v>
      </c>
      <c r="F375">
        <v>0</v>
      </c>
      <c r="G375">
        <v>0</v>
      </c>
      <c r="H375" t="e">
        <f>_xlfn.XLOOKUP(Table1[[#This Row],[Key]],policseStrength!C:C,policseStrength!R:R)</f>
        <v>#N/A</v>
      </c>
      <c r="I375">
        <f>IF(ISNA(Table1[[#This Row],[total_ps]]), _xlfn.AGGREGATE(1, 6, Table1[total_ps]), Table1[[#This Row],[total_ps]])</f>
        <v>20128.370106761566</v>
      </c>
      <c r="J375">
        <f>_xlfn.XLOOKUP(Table1[[#This Row],[Key]],Recidivism!C:C,Recidivism!D:D)</f>
        <v>2</v>
      </c>
      <c r="K375">
        <f>IF(ISNA(Table1[[#This Row],[convicts_admitted_raw]]), _xlfn.AGGREGATE(1, 6, Table1[convicts_admitted_raw]), Table1[[#This Row],[convicts_admitted_raw]])</f>
        <v>2</v>
      </c>
      <c r="L375">
        <f>_xlfn.XLOOKUP(Table1[[#This Row],[Key]],Recidivism!C:C,Recidivism!E:E)</f>
        <v>0</v>
      </c>
      <c r="M375">
        <f>IF(ISNA(Table1[[#This Row],[habitual_offenders]]), _xlfn.AGGREGATE(1, 6, Table1[habitual_offenders]), Table1[[#This Row],[habitual_offenders]])</f>
        <v>0</v>
      </c>
      <c r="N375">
        <f>_xlfn.XLOOKUP(Table1[[#This Row],[Key]],Vocational!C:C,Vocational!E:E)</f>
        <v>0</v>
      </c>
      <c r="O375">
        <f>IF(ISNA(Table1[[#This Row],[vocational_count]]), _xlfn.AGGREGATE(1, 6,Table1[vocational_count]), Table1[[#This Row],[vocational_count]])</f>
        <v>0</v>
      </c>
    </row>
    <row r="376" spans="1:15" x14ac:dyDescent="0.3">
      <c r="A376" t="s">
        <v>38</v>
      </c>
      <c r="B376">
        <v>2001</v>
      </c>
      <c r="C376" t="str">
        <f>_xlfn.CONCAT(Table1[[#This Row],[STATE]],"-",Table1[[#This Row],[YEAR]])</f>
        <v>Delhi-2001</v>
      </c>
      <c r="D376">
        <v>8356</v>
      </c>
      <c r="E376">
        <v>10281</v>
      </c>
      <c r="F376">
        <v>487</v>
      </c>
      <c r="G376">
        <v>438</v>
      </c>
      <c r="H376">
        <f>_xlfn.XLOOKUP(Table1[[#This Row],[Key]],policseStrength!C:C,policseStrength!R:R)</f>
        <v>20866</v>
      </c>
      <c r="I376">
        <f>IF(ISNA(Table1[[#This Row],[total_ps]]), _xlfn.AGGREGATE(1, 6, Table1[total_ps]), Table1[[#This Row],[total_ps]])</f>
        <v>20866</v>
      </c>
      <c r="J376">
        <f>_xlfn.XLOOKUP(Table1[[#This Row],[Key]],Recidivism!C:C,Recidivism!D:D)</f>
        <v>9115</v>
      </c>
      <c r="K376">
        <f>IF(ISNA(Table1[[#This Row],[convicts_admitted_raw]]), _xlfn.AGGREGATE(1, 6, Table1[convicts_admitted_raw]), Table1[[#This Row],[convicts_admitted_raw]])</f>
        <v>9115</v>
      </c>
      <c r="L376">
        <f>_xlfn.XLOOKUP(Table1[[#This Row],[Key]],Recidivism!C:C,Recidivism!E:E)</f>
        <v>594</v>
      </c>
      <c r="M376">
        <f>IF(ISNA(Table1[[#This Row],[habitual_offenders]]), _xlfn.AGGREGATE(1, 6, Table1[habitual_offenders]), Table1[[#This Row],[habitual_offenders]])</f>
        <v>594</v>
      </c>
      <c r="N376">
        <f>_xlfn.XLOOKUP(Table1[[#This Row],[Key]],Vocational!C:C,Vocational!E:E)</f>
        <v>251</v>
      </c>
      <c r="O376">
        <f>IF(ISNA(Table1[[#This Row],[vocational_count]]), _xlfn.AGGREGATE(1, 6,Table1[vocational_count]), Table1[[#This Row],[vocational_count]])</f>
        <v>251</v>
      </c>
    </row>
    <row r="377" spans="1:15" x14ac:dyDescent="0.3">
      <c r="A377" t="s">
        <v>38</v>
      </c>
      <c r="B377">
        <v>2002</v>
      </c>
      <c r="C377" t="str">
        <f>_xlfn.CONCAT(Table1[[#This Row],[STATE]],"-",Table1[[#This Row],[YEAR]])</f>
        <v>Delhi-2002</v>
      </c>
      <c r="D377">
        <v>20932</v>
      </c>
      <c r="E377">
        <v>1594</v>
      </c>
      <c r="F377">
        <v>158</v>
      </c>
      <c r="G377">
        <v>551</v>
      </c>
      <c r="H377">
        <f>_xlfn.XLOOKUP(Table1[[#This Row],[Key]],policseStrength!C:C,policseStrength!R:R)</f>
        <v>20392</v>
      </c>
      <c r="I377">
        <f>IF(ISNA(Table1[[#This Row],[total_ps]]), _xlfn.AGGREGATE(1, 6, Table1[total_ps]), Table1[[#This Row],[total_ps]])</f>
        <v>20392</v>
      </c>
      <c r="J377">
        <f>_xlfn.XLOOKUP(Table1[[#This Row],[Key]],Recidivism!C:C,Recidivism!D:D)</f>
        <v>9607</v>
      </c>
      <c r="K377">
        <f>IF(ISNA(Table1[[#This Row],[convicts_admitted_raw]]), _xlfn.AGGREGATE(1, 6, Table1[convicts_admitted_raw]), Table1[[#This Row],[convicts_admitted_raw]])</f>
        <v>9607</v>
      </c>
      <c r="L377">
        <f>_xlfn.XLOOKUP(Table1[[#This Row],[Key]],Recidivism!C:C,Recidivism!E:E)</f>
        <v>615</v>
      </c>
      <c r="M377">
        <f>IF(ISNA(Table1[[#This Row],[habitual_offenders]]), _xlfn.AGGREGATE(1, 6, Table1[habitual_offenders]), Table1[[#This Row],[habitual_offenders]])</f>
        <v>615</v>
      </c>
      <c r="N377">
        <f>_xlfn.XLOOKUP(Table1[[#This Row],[Key]],Vocational!C:C,Vocational!E:E)</f>
        <v>410</v>
      </c>
      <c r="O377">
        <f>IF(ISNA(Table1[[#This Row],[vocational_count]]), _xlfn.AGGREGATE(1, 6,Table1[vocational_count]), Table1[[#This Row],[vocational_count]])</f>
        <v>410</v>
      </c>
    </row>
    <row r="378" spans="1:15" x14ac:dyDescent="0.3">
      <c r="A378" t="s">
        <v>38</v>
      </c>
      <c r="B378">
        <v>2003</v>
      </c>
      <c r="C378" t="str">
        <f>_xlfn.CONCAT(Table1[[#This Row],[STATE]],"-",Table1[[#This Row],[YEAR]])</f>
        <v>Delhi-2003</v>
      </c>
      <c r="D378">
        <v>2853</v>
      </c>
      <c r="E378">
        <v>1294</v>
      </c>
      <c r="F378">
        <v>202</v>
      </c>
      <c r="G378">
        <v>142</v>
      </c>
      <c r="H378">
        <f>_xlfn.XLOOKUP(Table1[[#This Row],[Key]],policseStrength!C:C,policseStrength!R:R)</f>
        <v>20038</v>
      </c>
      <c r="I378">
        <f>IF(ISNA(Table1[[#This Row],[total_ps]]), _xlfn.AGGREGATE(1, 6, Table1[total_ps]), Table1[[#This Row],[total_ps]])</f>
        <v>20038</v>
      </c>
      <c r="J378">
        <f>_xlfn.XLOOKUP(Table1[[#This Row],[Key]],Recidivism!C:C,Recidivism!D:D)</f>
        <v>9939</v>
      </c>
      <c r="K378">
        <f>IF(ISNA(Table1[[#This Row],[convicts_admitted_raw]]), _xlfn.AGGREGATE(1, 6, Table1[convicts_admitted_raw]), Table1[[#This Row],[convicts_admitted_raw]])</f>
        <v>9939</v>
      </c>
      <c r="L378">
        <f>_xlfn.XLOOKUP(Table1[[#This Row],[Key]],Recidivism!C:C,Recidivism!E:E)</f>
        <v>807</v>
      </c>
      <c r="M378">
        <f>IF(ISNA(Table1[[#This Row],[habitual_offenders]]), _xlfn.AGGREGATE(1, 6, Table1[habitual_offenders]), Table1[[#This Row],[habitual_offenders]])</f>
        <v>807</v>
      </c>
      <c r="N378">
        <f>_xlfn.XLOOKUP(Table1[[#This Row],[Key]],Vocational!C:C,Vocational!E:E)</f>
        <v>386</v>
      </c>
      <c r="O378">
        <f>IF(ISNA(Table1[[#This Row],[vocational_count]]), _xlfn.AGGREGATE(1, 6,Table1[vocational_count]), Table1[[#This Row],[vocational_count]])</f>
        <v>386</v>
      </c>
    </row>
    <row r="379" spans="1:15" x14ac:dyDescent="0.3">
      <c r="A379" t="s">
        <v>38</v>
      </c>
      <c r="B379">
        <v>2004</v>
      </c>
      <c r="C379" t="str">
        <f>_xlfn.CONCAT(Table1[[#This Row],[STATE]],"-",Table1[[#This Row],[YEAR]])</f>
        <v>Delhi-2004</v>
      </c>
      <c r="D379">
        <v>4487</v>
      </c>
      <c r="E379">
        <v>927</v>
      </c>
      <c r="F379">
        <v>53</v>
      </c>
      <c r="G379">
        <v>118</v>
      </c>
      <c r="H379">
        <f>_xlfn.XLOOKUP(Table1[[#This Row],[Key]],policseStrength!C:C,policseStrength!R:R)</f>
        <v>20906</v>
      </c>
      <c r="I379">
        <f>IF(ISNA(Table1[[#This Row],[total_ps]]), _xlfn.AGGREGATE(1, 6, Table1[total_ps]), Table1[[#This Row],[total_ps]])</f>
        <v>20906</v>
      </c>
      <c r="J379">
        <f>_xlfn.XLOOKUP(Table1[[#This Row],[Key]],Recidivism!C:C,Recidivism!D:D)</f>
        <v>9234</v>
      </c>
      <c r="K379">
        <f>IF(ISNA(Table1[[#This Row],[convicts_admitted_raw]]), _xlfn.AGGREGATE(1, 6, Table1[convicts_admitted_raw]), Table1[[#This Row],[convicts_admitted_raw]])</f>
        <v>9234</v>
      </c>
      <c r="L379">
        <f>_xlfn.XLOOKUP(Table1[[#This Row],[Key]],Recidivism!C:C,Recidivism!E:E)</f>
        <v>702</v>
      </c>
      <c r="M379">
        <f>IF(ISNA(Table1[[#This Row],[habitual_offenders]]), _xlfn.AGGREGATE(1, 6, Table1[habitual_offenders]), Table1[[#This Row],[habitual_offenders]])</f>
        <v>702</v>
      </c>
      <c r="N379">
        <f>_xlfn.XLOOKUP(Table1[[#This Row],[Key]],Vocational!C:C,Vocational!E:E)</f>
        <v>242</v>
      </c>
      <c r="O379">
        <f>IF(ISNA(Table1[[#This Row],[vocational_count]]), _xlfn.AGGREGATE(1, 6,Table1[vocational_count]), Table1[[#This Row],[vocational_count]])</f>
        <v>242</v>
      </c>
    </row>
    <row r="380" spans="1:15" x14ac:dyDescent="0.3">
      <c r="A380" t="s">
        <v>38</v>
      </c>
      <c r="B380">
        <v>2005</v>
      </c>
      <c r="C380" t="str">
        <f>_xlfn.CONCAT(Table1[[#This Row],[STATE]],"-",Table1[[#This Row],[YEAR]])</f>
        <v>Delhi-2005</v>
      </c>
      <c r="D380">
        <v>2679</v>
      </c>
      <c r="E380">
        <v>1691</v>
      </c>
      <c r="F380">
        <v>274</v>
      </c>
      <c r="G380">
        <v>95</v>
      </c>
      <c r="H380">
        <f>_xlfn.XLOOKUP(Table1[[#This Row],[Key]],policseStrength!C:C,policseStrength!R:R)</f>
        <v>20886</v>
      </c>
      <c r="I380">
        <f>IF(ISNA(Table1[[#This Row],[total_ps]]), _xlfn.AGGREGATE(1, 6, Table1[total_ps]), Table1[[#This Row],[total_ps]])</f>
        <v>20886</v>
      </c>
      <c r="J380">
        <f>_xlfn.XLOOKUP(Table1[[#This Row],[Key]],Recidivism!C:C,Recidivism!D:D)</f>
        <v>11532</v>
      </c>
      <c r="K380">
        <f>IF(ISNA(Table1[[#This Row],[convicts_admitted_raw]]), _xlfn.AGGREGATE(1, 6, Table1[convicts_admitted_raw]), Table1[[#This Row],[convicts_admitted_raw]])</f>
        <v>11532</v>
      </c>
      <c r="L380">
        <f>_xlfn.XLOOKUP(Table1[[#This Row],[Key]],Recidivism!C:C,Recidivism!E:E)</f>
        <v>474</v>
      </c>
      <c r="M380">
        <f>IF(ISNA(Table1[[#This Row],[habitual_offenders]]), _xlfn.AGGREGATE(1, 6, Table1[habitual_offenders]), Table1[[#This Row],[habitual_offenders]])</f>
        <v>474</v>
      </c>
      <c r="N380">
        <f>_xlfn.XLOOKUP(Table1[[#This Row],[Key]],Vocational!C:C,Vocational!E:E)</f>
        <v>26</v>
      </c>
      <c r="O380">
        <f>IF(ISNA(Table1[[#This Row],[vocational_count]]), _xlfn.AGGREGATE(1, 6,Table1[vocational_count]), Table1[[#This Row],[vocational_count]])</f>
        <v>26</v>
      </c>
    </row>
    <row r="381" spans="1:15" x14ac:dyDescent="0.3">
      <c r="A381" t="s">
        <v>38</v>
      </c>
      <c r="B381">
        <v>2006</v>
      </c>
      <c r="C381" t="str">
        <f>_xlfn.CONCAT(Table1[[#This Row],[STATE]],"-",Table1[[#This Row],[YEAR]])</f>
        <v>Delhi-2006</v>
      </c>
      <c r="D381">
        <v>2357</v>
      </c>
      <c r="E381">
        <v>946</v>
      </c>
      <c r="F381">
        <v>244</v>
      </c>
      <c r="G381">
        <v>77</v>
      </c>
      <c r="H381">
        <f>_xlfn.XLOOKUP(Table1[[#This Row],[Key]],policseStrength!C:C,policseStrength!R:R)</f>
        <v>19478</v>
      </c>
      <c r="I381">
        <f>IF(ISNA(Table1[[#This Row],[total_ps]]), _xlfn.AGGREGATE(1, 6, Table1[total_ps]), Table1[[#This Row],[total_ps]])</f>
        <v>19478</v>
      </c>
      <c r="J381">
        <f>_xlfn.XLOOKUP(Table1[[#This Row],[Key]],Recidivism!C:C,Recidivism!D:D)</f>
        <v>10432</v>
      </c>
      <c r="K381">
        <f>IF(ISNA(Table1[[#This Row],[convicts_admitted_raw]]), _xlfn.AGGREGATE(1, 6, Table1[convicts_admitted_raw]), Table1[[#This Row],[convicts_admitted_raw]])</f>
        <v>10432</v>
      </c>
      <c r="L381">
        <f>_xlfn.XLOOKUP(Table1[[#This Row],[Key]],Recidivism!C:C,Recidivism!E:E)</f>
        <v>955</v>
      </c>
      <c r="M381">
        <f>IF(ISNA(Table1[[#This Row],[habitual_offenders]]), _xlfn.AGGREGATE(1, 6, Table1[habitual_offenders]), Table1[[#This Row],[habitual_offenders]])</f>
        <v>955</v>
      </c>
      <c r="N381">
        <f>_xlfn.XLOOKUP(Table1[[#This Row],[Key]],Vocational!C:C,Vocational!E:E)</f>
        <v>27</v>
      </c>
      <c r="O381">
        <f>IF(ISNA(Table1[[#This Row],[vocational_count]]), _xlfn.AGGREGATE(1, 6,Table1[vocational_count]), Table1[[#This Row],[vocational_count]])</f>
        <v>27</v>
      </c>
    </row>
    <row r="382" spans="1:15" x14ac:dyDescent="0.3">
      <c r="A382" t="s">
        <v>38</v>
      </c>
      <c r="B382">
        <v>2007</v>
      </c>
      <c r="C382" t="str">
        <f>_xlfn.CONCAT(Table1[[#This Row],[STATE]],"-",Table1[[#This Row],[YEAR]])</f>
        <v>Delhi-2007</v>
      </c>
      <c r="D382">
        <v>1814</v>
      </c>
      <c r="E382">
        <v>659</v>
      </c>
      <c r="F382">
        <v>270</v>
      </c>
      <c r="G382">
        <v>115</v>
      </c>
      <c r="H382">
        <f>_xlfn.XLOOKUP(Table1[[#This Row],[Key]],policseStrength!C:C,policseStrength!R:R)</f>
        <v>17252</v>
      </c>
      <c r="I382">
        <f>IF(ISNA(Table1[[#This Row],[total_ps]]), _xlfn.AGGREGATE(1, 6, Table1[total_ps]), Table1[[#This Row],[total_ps]])</f>
        <v>17252</v>
      </c>
      <c r="J382">
        <f>_xlfn.XLOOKUP(Table1[[#This Row],[Key]],Recidivism!C:C,Recidivism!D:D)</f>
        <v>11531</v>
      </c>
      <c r="K382">
        <f>IF(ISNA(Table1[[#This Row],[convicts_admitted_raw]]), _xlfn.AGGREGATE(1, 6, Table1[convicts_admitted_raw]), Table1[[#This Row],[convicts_admitted_raw]])</f>
        <v>11531</v>
      </c>
      <c r="L382">
        <f>_xlfn.XLOOKUP(Table1[[#This Row],[Key]],Recidivism!C:C,Recidivism!E:E)</f>
        <v>1529</v>
      </c>
      <c r="M382">
        <f>IF(ISNA(Table1[[#This Row],[habitual_offenders]]), _xlfn.AGGREGATE(1, 6, Table1[habitual_offenders]), Table1[[#This Row],[habitual_offenders]])</f>
        <v>1529</v>
      </c>
      <c r="N382">
        <f>_xlfn.XLOOKUP(Table1[[#This Row],[Key]],Vocational!C:C,Vocational!E:E)</f>
        <v>15</v>
      </c>
      <c r="O382">
        <f>IF(ISNA(Table1[[#This Row],[vocational_count]]), _xlfn.AGGREGATE(1, 6,Table1[vocational_count]), Table1[[#This Row],[vocational_count]])</f>
        <v>15</v>
      </c>
    </row>
    <row r="383" spans="1:15" x14ac:dyDescent="0.3">
      <c r="A383" t="s">
        <v>38</v>
      </c>
      <c r="B383">
        <v>2008</v>
      </c>
      <c r="C383" t="str">
        <f>_xlfn.CONCAT(Table1[[#This Row],[STATE]],"-",Table1[[#This Row],[YEAR]])</f>
        <v>Delhi-2008</v>
      </c>
      <c r="D383">
        <v>1804</v>
      </c>
      <c r="E383">
        <v>678</v>
      </c>
      <c r="F383">
        <v>245</v>
      </c>
      <c r="G383">
        <v>126</v>
      </c>
      <c r="H383">
        <f>_xlfn.XLOOKUP(Table1[[#This Row],[Key]],policseStrength!C:C,policseStrength!R:R)</f>
        <v>15220</v>
      </c>
      <c r="I383">
        <f>IF(ISNA(Table1[[#This Row],[total_ps]]), _xlfn.AGGREGATE(1, 6, Table1[total_ps]), Table1[[#This Row],[total_ps]])</f>
        <v>15220</v>
      </c>
      <c r="J383">
        <f>_xlfn.XLOOKUP(Table1[[#This Row],[Key]],Recidivism!C:C,Recidivism!D:D)</f>
        <v>6767</v>
      </c>
      <c r="K383">
        <f>IF(ISNA(Table1[[#This Row],[convicts_admitted_raw]]), _xlfn.AGGREGATE(1, 6, Table1[convicts_admitted_raw]), Table1[[#This Row],[convicts_admitted_raw]])</f>
        <v>6767</v>
      </c>
      <c r="L383">
        <f>_xlfn.XLOOKUP(Table1[[#This Row],[Key]],Recidivism!C:C,Recidivism!E:E)</f>
        <v>1595</v>
      </c>
      <c r="M383">
        <f>IF(ISNA(Table1[[#This Row],[habitual_offenders]]), _xlfn.AGGREGATE(1, 6, Table1[habitual_offenders]), Table1[[#This Row],[habitual_offenders]])</f>
        <v>1595</v>
      </c>
      <c r="N383">
        <f>_xlfn.XLOOKUP(Table1[[#This Row],[Key]],Vocational!C:C,Vocational!E:E)</f>
        <v>33</v>
      </c>
      <c r="O383">
        <f>IF(ISNA(Table1[[#This Row],[vocational_count]]), _xlfn.AGGREGATE(1, 6,Table1[vocational_count]), Table1[[#This Row],[vocational_count]])</f>
        <v>33</v>
      </c>
    </row>
    <row r="384" spans="1:15" x14ac:dyDescent="0.3">
      <c r="A384" t="s">
        <v>38</v>
      </c>
      <c r="B384">
        <v>2009</v>
      </c>
      <c r="C384" t="str">
        <f>_xlfn.CONCAT(Table1[[#This Row],[STATE]],"-",Table1[[#This Row],[YEAR]])</f>
        <v>Delhi-2009</v>
      </c>
      <c r="D384">
        <v>1217</v>
      </c>
      <c r="E384">
        <v>964</v>
      </c>
      <c r="F384">
        <v>251</v>
      </c>
      <c r="G384">
        <v>82</v>
      </c>
      <c r="H384">
        <f>_xlfn.XLOOKUP(Table1[[#This Row],[Key]],policseStrength!C:C,policseStrength!R:R)</f>
        <v>12442</v>
      </c>
      <c r="I384">
        <f>IF(ISNA(Table1[[#This Row],[total_ps]]), _xlfn.AGGREGATE(1, 6, Table1[total_ps]), Table1[[#This Row],[total_ps]])</f>
        <v>12442</v>
      </c>
      <c r="J384">
        <f>_xlfn.XLOOKUP(Table1[[#This Row],[Key]],Recidivism!C:C,Recidivism!D:D)</f>
        <v>6774</v>
      </c>
      <c r="K384">
        <f>IF(ISNA(Table1[[#This Row],[convicts_admitted_raw]]), _xlfn.AGGREGATE(1, 6, Table1[convicts_admitted_raw]), Table1[[#This Row],[convicts_admitted_raw]])</f>
        <v>6774</v>
      </c>
      <c r="L384">
        <f>_xlfn.XLOOKUP(Table1[[#This Row],[Key]],Recidivism!C:C,Recidivism!E:E)</f>
        <v>1491</v>
      </c>
      <c r="M384">
        <f>IF(ISNA(Table1[[#This Row],[habitual_offenders]]), _xlfn.AGGREGATE(1, 6, Table1[habitual_offenders]), Table1[[#This Row],[habitual_offenders]])</f>
        <v>1491</v>
      </c>
      <c r="N384">
        <f>_xlfn.XLOOKUP(Table1[[#This Row],[Key]],Vocational!C:C,Vocational!E:E)</f>
        <v>47</v>
      </c>
      <c r="O384">
        <f>IF(ISNA(Table1[[#This Row],[vocational_count]]), _xlfn.AGGREGATE(1, 6,Table1[vocational_count]), Table1[[#This Row],[vocational_count]])</f>
        <v>47</v>
      </c>
    </row>
    <row r="385" spans="1:15" x14ac:dyDescent="0.3">
      <c r="A385" t="s">
        <v>38</v>
      </c>
      <c r="B385">
        <v>2010</v>
      </c>
      <c r="C385" t="str">
        <f>_xlfn.CONCAT(Table1[[#This Row],[STATE]],"-",Table1[[#This Row],[YEAR]])</f>
        <v>Delhi-2010</v>
      </c>
      <c r="D385">
        <v>694</v>
      </c>
      <c r="E385">
        <v>1036</v>
      </c>
      <c r="F385">
        <v>313</v>
      </c>
      <c r="G385">
        <v>132</v>
      </c>
      <c r="H385">
        <f>_xlfn.XLOOKUP(Table1[[#This Row],[Key]],policseStrength!C:C,policseStrength!R:R)</f>
        <v>13188</v>
      </c>
      <c r="I385">
        <f>IF(ISNA(Table1[[#This Row],[total_ps]]), _xlfn.AGGREGATE(1, 6, Table1[total_ps]), Table1[[#This Row],[total_ps]])</f>
        <v>13188</v>
      </c>
      <c r="J385">
        <f>_xlfn.XLOOKUP(Table1[[#This Row],[Key]],Recidivism!C:C,Recidivism!D:D)</f>
        <v>8440</v>
      </c>
      <c r="K385">
        <f>IF(ISNA(Table1[[#This Row],[convicts_admitted_raw]]), _xlfn.AGGREGATE(1, 6, Table1[convicts_admitted_raw]), Table1[[#This Row],[convicts_admitted_raw]])</f>
        <v>8440</v>
      </c>
      <c r="L385">
        <f>_xlfn.XLOOKUP(Table1[[#This Row],[Key]],Recidivism!C:C,Recidivism!E:E)</f>
        <v>1728</v>
      </c>
      <c r="M385">
        <f>IF(ISNA(Table1[[#This Row],[habitual_offenders]]), _xlfn.AGGREGATE(1, 6, Table1[habitual_offenders]), Table1[[#This Row],[habitual_offenders]])</f>
        <v>1728</v>
      </c>
      <c r="N385">
        <f>_xlfn.XLOOKUP(Table1[[#This Row],[Key]],Vocational!C:C,Vocational!E:E)</f>
        <v>171</v>
      </c>
      <c r="O385">
        <f>IF(ISNA(Table1[[#This Row],[vocational_count]]), _xlfn.AGGREGATE(1, 6,Table1[vocational_count]), Table1[[#This Row],[vocational_count]])</f>
        <v>171</v>
      </c>
    </row>
    <row r="386" spans="1:15" x14ac:dyDescent="0.3">
      <c r="A386" t="s">
        <v>38</v>
      </c>
      <c r="B386">
        <v>2011</v>
      </c>
      <c r="C386" t="str">
        <f>_xlfn.CONCAT(Table1[[#This Row],[STATE]],"-",Table1[[#This Row],[YEAR]])</f>
        <v>Delhi-2011</v>
      </c>
      <c r="D386">
        <v>1321</v>
      </c>
      <c r="E386">
        <v>1005</v>
      </c>
      <c r="F386">
        <v>457</v>
      </c>
      <c r="G386">
        <v>94</v>
      </c>
      <c r="H386" t="e">
        <f>_xlfn.XLOOKUP(Table1[[#This Row],[Key]],policseStrength!C:C,policseStrength!R:R)</f>
        <v>#N/A</v>
      </c>
      <c r="I386">
        <f>IF(ISNA(Table1[[#This Row],[total_ps]]), _xlfn.AGGREGATE(1, 6, Table1[total_ps]), Table1[[#This Row],[total_ps]])</f>
        <v>20128.370106761566</v>
      </c>
      <c r="J386">
        <f>_xlfn.XLOOKUP(Table1[[#This Row],[Key]],Recidivism!C:C,Recidivism!D:D)</f>
        <v>8367</v>
      </c>
      <c r="K386">
        <f>IF(ISNA(Table1[[#This Row],[convicts_admitted_raw]]), _xlfn.AGGREGATE(1, 6, Table1[convicts_admitted_raw]), Table1[[#This Row],[convicts_admitted_raw]])</f>
        <v>8367</v>
      </c>
      <c r="L386">
        <f>_xlfn.XLOOKUP(Table1[[#This Row],[Key]],Recidivism!C:C,Recidivism!E:E)</f>
        <v>1335</v>
      </c>
      <c r="M386">
        <f>IF(ISNA(Table1[[#This Row],[habitual_offenders]]), _xlfn.AGGREGATE(1, 6, Table1[habitual_offenders]), Table1[[#This Row],[habitual_offenders]])</f>
        <v>1335</v>
      </c>
      <c r="N386">
        <f>_xlfn.XLOOKUP(Table1[[#This Row],[Key]],Vocational!C:C,Vocational!E:E)</f>
        <v>6</v>
      </c>
      <c r="O386">
        <f>IF(ISNA(Table1[[#This Row],[vocational_count]]), _xlfn.AGGREGATE(1, 6,Table1[vocational_count]), Table1[[#This Row],[vocational_count]])</f>
        <v>6</v>
      </c>
    </row>
    <row r="387" spans="1:15" x14ac:dyDescent="0.3">
      <c r="A387" t="s">
        <v>38</v>
      </c>
      <c r="B387">
        <v>2012</v>
      </c>
      <c r="C387" t="str">
        <f>_xlfn.CONCAT(Table1[[#This Row],[STATE]],"-",Table1[[#This Row],[YEAR]])</f>
        <v>Delhi-2012</v>
      </c>
      <c r="D387">
        <v>1204</v>
      </c>
      <c r="E387">
        <v>1312</v>
      </c>
      <c r="F387">
        <v>880</v>
      </c>
      <c r="G387">
        <v>172</v>
      </c>
      <c r="H387" t="e">
        <f>_xlfn.XLOOKUP(Table1[[#This Row],[Key]],policseStrength!C:C,policseStrength!R:R)</f>
        <v>#N/A</v>
      </c>
      <c r="I387">
        <f>IF(ISNA(Table1[[#This Row],[total_ps]]), _xlfn.AGGREGATE(1, 6, Table1[total_ps]), Table1[[#This Row],[total_ps]])</f>
        <v>20128.370106761566</v>
      </c>
      <c r="J387">
        <f>_xlfn.XLOOKUP(Table1[[#This Row],[Key]],Recidivism!C:C,Recidivism!D:D)</f>
        <v>8046</v>
      </c>
      <c r="K387">
        <f>IF(ISNA(Table1[[#This Row],[convicts_admitted_raw]]), _xlfn.AGGREGATE(1, 6, Table1[convicts_admitted_raw]), Table1[[#This Row],[convicts_admitted_raw]])</f>
        <v>8046</v>
      </c>
      <c r="L387">
        <f>_xlfn.XLOOKUP(Table1[[#This Row],[Key]],Recidivism!C:C,Recidivism!E:E)</f>
        <v>1899</v>
      </c>
      <c r="M387">
        <f>IF(ISNA(Table1[[#This Row],[habitual_offenders]]), _xlfn.AGGREGATE(1, 6, Table1[habitual_offenders]), Table1[[#This Row],[habitual_offenders]])</f>
        <v>1899</v>
      </c>
      <c r="N387">
        <f>_xlfn.XLOOKUP(Table1[[#This Row],[Key]],Vocational!C:C,Vocational!E:E)</f>
        <v>66</v>
      </c>
      <c r="O387">
        <f>IF(ISNA(Table1[[#This Row],[vocational_count]]), _xlfn.AGGREGATE(1, 6,Table1[vocational_count]), Table1[[#This Row],[vocational_count]])</f>
        <v>66</v>
      </c>
    </row>
    <row r="388" spans="1:15" x14ac:dyDescent="0.3">
      <c r="A388" t="s">
        <v>39</v>
      </c>
      <c r="B388">
        <v>2001</v>
      </c>
      <c r="C388" t="str">
        <f>_xlfn.CONCAT(Table1[[#This Row],[STATE]],"-",Table1[[#This Row],[YEAR]])</f>
        <v>Lakshadweep-2001</v>
      </c>
      <c r="D388">
        <v>0</v>
      </c>
      <c r="E388">
        <v>0</v>
      </c>
      <c r="F388">
        <v>0</v>
      </c>
      <c r="G388">
        <v>0</v>
      </c>
      <c r="H388">
        <f>_xlfn.XLOOKUP(Table1[[#This Row],[Key]],policseStrength!C:C,policseStrength!R:R)</f>
        <v>0</v>
      </c>
      <c r="I388">
        <f>IF(ISNA(Table1[[#This Row],[total_ps]]), _xlfn.AGGREGATE(1, 6, Table1[total_ps]), Table1[[#This Row],[total_ps]])</f>
        <v>0</v>
      </c>
      <c r="J388">
        <f>_xlfn.XLOOKUP(Table1[[#This Row],[Key]],Recidivism!C:C,Recidivism!D:D)</f>
        <v>0</v>
      </c>
      <c r="K388">
        <f>IF(ISNA(Table1[[#This Row],[convicts_admitted_raw]]), _xlfn.AGGREGATE(1, 6, Table1[convicts_admitted_raw]), Table1[[#This Row],[convicts_admitted_raw]])</f>
        <v>0</v>
      </c>
      <c r="L388">
        <f>_xlfn.XLOOKUP(Table1[[#This Row],[Key]],Recidivism!C:C,Recidivism!E:E)</f>
        <v>0</v>
      </c>
      <c r="M388">
        <f>IF(ISNA(Table1[[#This Row],[habitual_offenders]]), _xlfn.AGGREGATE(1, 6, Table1[habitual_offenders]), Table1[[#This Row],[habitual_offenders]])</f>
        <v>0</v>
      </c>
      <c r="N388" t="e">
        <f>_xlfn.XLOOKUP(Table1[[#This Row],[Key]],Vocational!C:C,Vocational!E:E)</f>
        <v>#N/A</v>
      </c>
      <c r="O388">
        <f>IF(ISNA(Table1[[#This Row],[vocational_count]]), _xlfn.AGGREGATE(1, 6,Table1[vocational_count]), Table1[[#This Row],[vocational_count]])</f>
        <v>249.28426395939087</v>
      </c>
    </row>
    <row r="389" spans="1:15" x14ac:dyDescent="0.3">
      <c r="A389" t="s">
        <v>39</v>
      </c>
      <c r="B389">
        <v>2002</v>
      </c>
      <c r="C389" t="str">
        <f>_xlfn.CONCAT(Table1[[#This Row],[STATE]],"-",Table1[[#This Row],[YEAR]])</f>
        <v>Lakshadweep-2002</v>
      </c>
      <c r="D389">
        <v>0</v>
      </c>
      <c r="E389">
        <v>0</v>
      </c>
      <c r="F389">
        <v>0</v>
      </c>
      <c r="G389">
        <v>0</v>
      </c>
      <c r="H389">
        <f>_xlfn.XLOOKUP(Table1[[#This Row],[Key]],policseStrength!C:C,policseStrength!R:R)</f>
        <v>0</v>
      </c>
      <c r="I389">
        <f>IF(ISNA(Table1[[#This Row],[total_ps]]), _xlfn.AGGREGATE(1, 6, Table1[total_ps]), Table1[[#This Row],[total_ps]])</f>
        <v>0</v>
      </c>
      <c r="J389">
        <f>_xlfn.XLOOKUP(Table1[[#This Row],[Key]],Recidivism!C:C,Recidivism!D:D)</f>
        <v>2</v>
      </c>
      <c r="K389">
        <f>IF(ISNA(Table1[[#This Row],[convicts_admitted_raw]]), _xlfn.AGGREGATE(1, 6, Table1[convicts_admitted_raw]), Table1[[#This Row],[convicts_admitted_raw]])</f>
        <v>2</v>
      </c>
      <c r="L389">
        <f>_xlfn.XLOOKUP(Table1[[#This Row],[Key]],Recidivism!C:C,Recidivism!E:E)</f>
        <v>0</v>
      </c>
      <c r="M389">
        <f>IF(ISNA(Table1[[#This Row],[habitual_offenders]]), _xlfn.AGGREGATE(1, 6, Table1[habitual_offenders]), Table1[[#This Row],[habitual_offenders]])</f>
        <v>0</v>
      </c>
      <c r="N389" t="e">
        <f>_xlfn.XLOOKUP(Table1[[#This Row],[Key]],Vocational!C:C,Vocational!E:E)</f>
        <v>#N/A</v>
      </c>
      <c r="O389">
        <f>IF(ISNA(Table1[[#This Row],[vocational_count]]), _xlfn.AGGREGATE(1, 6,Table1[vocational_count]), Table1[[#This Row],[vocational_count]])</f>
        <v>249.28426395939087</v>
      </c>
    </row>
    <row r="390" spans="1:15" x14ac:dyDescent="0.3">
      <c r="A390" t="s">
        <v>39</v>
      </c>
      <c r="B390">
        <v>2003</v>
      </c>
      <c r="C390" t="str">
        <f>_xlfn.CONCAT(Table1[[#This Row],[STATE]],"-",Table1[[#This Row],[YEAR]])</f>
        <v>Lakshadweep-2003</v>
      </c>
      <c r="D390">
        <v>0</v>
      </c>
      <c r="E390">
        <v>0</v>
      </c>
      <c r="F390">
        <v>0</v>
      </c>
      <c r="G390">
        <v>0</v>
      </c>
      <c r="H390">
        <f>_xlfn.XLOOKUP(Table1[[#This Row],[Key]],policseStrength!C:C,policseStrength!R:R)</f>
        <v>0</v>
      </c>
      <c r="I390">
        <f>IF(ISNA(Table1[[#This Row],[total_ps]]), _xlfn.AGGREGATE(1, 6, Table1[total_ps]), Table1[[#This Row],[total_ps]])</f>
        <v>0</v>
      </c>
      <c r="J390">
        <f>_xlfn.XLOOKUP(Table1[[#This Row],[Key]],Recidivism!C:C,Recidivism!D:D)</f>
        <v>0</v>
      </c>
      <c r="K390">
        <f>IF(ISNA(Table1[[#This Row],[convicts_admitted_raw]]), _xlfn.AGGREGATE(1, 6, Table1[convicts_admitted_raw]), Table1[[#This Row],[convicts_admitted_raw]])</f>
        <v>0</v>
      </c>
      <c r="L390">
        <f>_xlfn.XLOOKUP(Table1[[#This Row],[Key]],Recidivism!C:C,Recidivism!E:E)</f>
        <v>0</v>
      </c>
      <c r="M390">
        <f>IF(ISNA(Table1[[#This Row],[habitual_offenders]]), _xlfn.AGGREGATE(1, 6, Table1[habitual_offenders]), Table1[[#This Row],[habitual_offenders]])</f>
        <v>0</v>
      </c>
      <c r="N390" t="e">
        <f>_xlfn.XLOOKUP(Table1[[#This Row],[Key]],Vocational!C:C,Vocational!E:E)</f>
        <v>#N/A</v>
      </c>
      <c r="O390">
        <f>IF(ISNA(Table1[[#This Row],[vocational_count]]), _xlfn.AGGREGATE(1, 6,Table1[vocational_count]), Table1[[#This Row],[vocational_count]])</f>
        <v>249.28426395939087</v>
      </c>
    </row>
    <row r="391" spans="1:15" x14ac:dyDescent="0.3">
      <c r="A391" t="s">
        <v>39</v>
      </c>
      <c r="B391">
        <v>2004</v>
      </c>
      <c r="C391" t="str">
        <f>_xlfn.CONCAT(Table1[[#This Row],[STATE]],"-",Table1[[#This Row],[YEAR]])</f>
        <v>Lakshadweep-2004</v>
      </c>
      <c r="D391">
        <v>0</v>
      </c>
      <c r="E391">
        <v>0</v>
      </c>
      <c r="F391">
        <v>0</v>
      </c>
      <c r="G391">
        <v>0</v>
      </c>
      <c r="H391">
        <f>_xlfn.XLOOKUP(Table1[[#This Row],[Key]],policseStrength!C:C,policseStrength!R:R)</f>
        <v>0</v>
      </c>
      <c r="I391">
        <f>IF(ISNA(Table1[[#This Row],[total_ps]]), _xlfn.AGGREGATE(1, 6, Table1[total_ps]), Table1[[#This Row],[total_ps]])</f>
        <v>0</v>
      </c>
      <c r="J391">
        <f>_xlfn.XLOOKUP(Table1[[#This Row],[Key]],Recidivism!C:C,Recidivism!D:D)</f>
        <v>0</v>
      </c>
      <c r="K391">
        <f>IF(ISNA(Table1[[#This Row],[convicts_admitted_raw]]), _xlfn.AGGREGATE(1, 6, Table1[convicts_admitted_raw]), Table1[[#This Row],[convicts_admitted_raw]])</f>
        <v>0</v>
      </c>
      <c r="L391">
        <f>_xlfn.XLOOKUP(Table1[[#This Row],[Key]],Recidivism!C:C,Recidivism!E:E)</f>
        <v>0</v>
      </c>
      <c r="M391">
        <f>IF(ISNA(Table1[[#This Row],[habitual_offenders]]), _xlfn.AGGREGATE(1, 6, Table1[habitual_offenders]), Table1[[#This Row],[habitual_offenders]])</f>
        <v>0</v>
      </c>
      <c r="N391" t="e">
        <f>_xlfn.XLOOKUP(Table1[[#This Row],[Key]],Vocational!C:C,Vocational!E:E)</f>
        <v>#N/A</v>
      </c>
      <c r="O391">
        <f>IF(ISNA(Table1[[#This Row],[vocational_count]]), _xlfn.AGGREGATE(1, 6,Table1[vocational_count]), Table1[[#This Row],[vocational_count]])</f>
        <v>249.28426395939087</v>
      </c>
    </row>
    <row r="392" spans="1:15" x14ac:dyDescent="0.3">
      <c r="A392" t="s">
        <v>39</v>
      </c>
      <c r="B392">
        <v>2005</v>
      </c>
      <c r="C392" t="str">
        <f>_xlfn.CONCAT(Table1[[#This Row],[STATE]],"-",Table1[[#This Row],[YEAR]])</f>
        <v>Lakshadweep-2005</v>
      </c>
      <c r="D392">
        <v>0</v>
      </c>
      <c r="E392">
        <v>0</v>
      </c>
      <c r="F392">
        <v>0</v>
      </c>
      <c r="G392">
        <v>0</v>
      </c>
      <c r="H392">
        <f>_xlfn.XLOOKUP(Table1[[#This Row],[Key]],policseStrength!C:C,policseStrength!R:R)</f>
        <v>0</v>
      </c>
      <c r="I392">
        <f>IF(ISNA(Table1[[#This Row],[total_ps]]), _xlfn.AGGREGATE(1, 6, Table1[total_ps]), Table1[[#This Row],[total_ps]])</f>
        <v>0</v>
      </c>
      <c r="J392">
        <f>_xlfn.XLOOKUP(Table1[[#This Row],[Key]],Recidivism!C:C,Recidivism!D:D)</f>
        <v>0</v>
      </c>
      <c r="K392">
        <f>IF(ISNA(Table1[[#This Row],[convicts_admitted_raw]]), _xlfn.AGGREGATE(1, 6, Table1[convicts_admitted_raw]), Table1[[#This Row],[convicts_admitted_raw]])</f>
        <v>0</v>
      </c>
      <c r="L392">
        <f>_xlfn.XLOOKUP(Table1[[#This Row],[Key]],Recidivism!C:C,Recidivism!E:E)</f>
        <v>0</v>
      </c>
      <c r="M392">
        <f>IF(ISNA(Table1[[#This Row],[habitual_offenders]]), _xlfn.AGGREGATE(1, 6, Table1[habitual_offenders]), Table1[[#This Row],[habitual_offenders]])</f>
        <v>0</v>
      </c>
      <c r="N392" t="e">
        <f>_xlfn.XLOOKUP(Table1[[#This Row],[Key]],Vocational!C:C,Vocational!E:E)</f>
        <v>#N/A</v>
      </c>
      <c r="O392">
        <f>IF(ISNA(Table1[[#This Row],[vocational_count]]), _xlfn.AGGREGATE(1, 6,Table1[vocational_count]), Table1[[#This Row],[vocational_count]])</f>
        <v>249.28426395939087</v>
      </c>
    </row>
    <row r="393" spans="1:15" x14ac:dyDescent="0.3">
      <c r="A393" t="s">
        <v>39</v>
      </c>
      <c r="B393">
        <v>2006</v>
      </c>
      <c r="C393" t="str">
        <f>_xlfn.CONCAT(Table1[[#This Row],[STATE]],"-",Table1[[#This Row],[YEAR]])</f>
        <v>Lakshadweep-2006</v>
      </c>
      <c r="D393">
        <v>0</v>
      </c>
      <c r="E393">
        <v>0</v>
      </c>
      <c r="F393">
        <v>0</v>
      </c>
      <c r="G393">
        <v>0</v>
      </c>
      <c r="H393">
        <f>_xlfn.XLOOKUP(Table1[[#This Row],[Key]],policseStrength!C:C,policseStrength!R:R)</f>
        <v>0</v>
      </c>
      <c r="I393">
        <f>IF(ISNA(Table1[[#This Row],[total_ps]]), _xlfn.AGGREGATE(1, 6, Table1[total_ps]), Table1[[#This Row],[total_ps]])</f>
        <v>0</v>
      </c>
      <c r="J393">
        <f>_xlfn.XLOOKUP(Table1[[#This Row],[Key]],Recidivism!C:C,Recidivism!D:D)</f>
        <v>0</v>
      </c>
      <c r="K393">
        <f>IF(ISNA(Table1[[#This Row],[convicts_admitted_raw]]), _xlfn.AGGREGATE(1, 6, Table1[convicts_admitted_raw]), Table1[[#This Row],[convicts_admitted_raw]])</f>
        <v>0</v>
      </c>
      <c r="L393">
        <f>_xlfn.XLOOKUP(Table1[[#This Row],[Key]],Recidivism!C:C,Recidivism!E:E)</f>
        <v>0</v>
      </c>
      <c r="M393">
        <f>IF(ISNA(Table1[[#This Row],[habitual_offenders]]), _xlfn.AGGREGATE(1, 6, Table1[habitual_offenders]), Table1[[#This Row],[habitual_offenders]])</f>
        <v>0</v>
      </c>
      <c r="N393" t="e">
        <f>_xlfn.XLOOKUP(Table1[[#This Row],[Key]],Vocational!C:C,Vocational!E:E)</f>
        <v>#N/A</v>
      </c>
      <c r="O393">
        <f>IF(ISNA(Table1[[#This Row],[vocational_count]]), _xlfn.AGGREGATE(1, 6,Table1[vocational_count]), Table1[[#This Row],[vocational_count]])</f>
        <v>249.28426395939087</v>
      </c>
    </row>
    <row r="394" spans="1:15" x14ac:dyDescent="0.3">
      <c r="A394" t="s">
        <v>39</v>
      </c>
      <c r="B394">
        <v>2007</v>
      </c>
      <c r="C394" t="str">
        <f>_xlfn.CONCAT(Table1[[#This Row],[STATE]],"-",Table1[[#This Row],[YEAR]])</f>
        <v>Lakshadweep-2007</v>
      </c>
      <c r="D394">
        <v>0</v>
      </c>
      <c r="E394">
        <v>0</v>
      </c>
      <c r="F394">
        <v>0</v>
      </c>
      <c r="G394">
        <v>0</v>
      </c>
      <c r="H394">
        <f>_xlfn.XLOOKUP(Table1[[#This Row],[Key]],policseStrength!C:C,policseStrength!R:R)</f>
        <v>0</v>
      </c>
      <c r="I394">
        <f>IF(ISNA(Table1[[#This Row],[total_ps]]), _xlfn.AGGREGATE(1, 6, Table1[total_ps]), Table1[[#This Row],[total_ps]])</f>
        <v>0</v>
      </c>
      <c r="J394">
        <f>_xlfn.XLOOKUP(Table1[[#This Row],[Key]],Recidivism!C:C,Recidivism!D:D)</f>
        <v>0</v>
      </c>
      <c r="K394">
        <f>IF(ISNA(Table1[[#This Row],[convicts_admitted_raw]]), _xlfn.AGGREGATE(1, 6, Table1[convicts_admitted_raw]), Table1[[#This Row],[convicts_admitted_raw]])</f>
        <v>0</v>
      </c>
      <c r="L394">
        <f>_xlfn.XLOOKUP(Table1[[#This Row],[Key]],Recidivism!C:C,Recidivism!E:E)</f>
        <v>0</v>
      </c>
      <c r="M394">
        <f>IF(ISNA(Table1[[#This Row],[habitual_offenders]]), _xlfn.AGGREGATE(1, 6, Table1[habitual_offenders]), Table1[[#This Row],[habitual_offenders]])</f>
        <v>0</v>
      </c>
      <c r="N394" t="e">
        <f>_xlfn.XLOOKUP(Table1[[#This Row],[Key]],Vocational!C:C,Vocational!E:E)</f>
        <v>#N/A</v>
      </c>
      <c r="O394">
        <f>IF(ISNA(Table1[[#This Row],[vocational_count]]), _xlfn.AGGREGATE(1, 6,Table1[vocational_count]), Table1[[#This Row],[vocational_count]])</f>
        <v>249.28426395939087</v>
      </c>
    </row>
    <row r="395" spans="1:15" x14ac:dyDescent="0.3">
      <c r="A395" t="s">
        <v>39</v>
      </c>
      <c r="B395">
        <v>2008</v>
      </c>
      <c r="C395" t="str">
        <f>_xlfn.CONCAT(Table1[[#This Row],[STATE]],"-",Table1[[#This Row],[YEAR]])</f>
        <v>Lakshadweep-2008</v>
      </c>
      <c r="D395">
        <v>0</v>
      </c>
      <c r="E395">
        <v>0</v>
      </c>
      <c r="F395">
        <v>0</v>
      </c>
      <c r="G395">
        <v>0</v>
      </c>
      <c r="H395">
        <f>_xlfn.XLOOKUP(Table1[[#This Row],[Key]],policseStrength!C:C,policseStrength!R:R)</f>
        <v>0</v>
      </c>
      <c r="I395">
        <f>IF(ISNA(Table1[[#This Row],[total_ps]]), _xlfn.AGGREGATE(1, 6, Table1[total_ps]), Table1[[#This Row],[total_ps]])</f>
        <v>0</v>
      </c>
      <c r="J395">
        <f>_xlfn.XLOOKUP(Table1[[#This Row],[Key]],Recidivism!C:C,Recidivism!D:D)</f>
        <v>0</v>
      </c>
      <c r="K395">
        <f>IF(ISNA(Table1[[#This Row],[convicts_admitted_raw]]), _xlfn.AGGREGATE(1, 6, Table1[convicts_admitted_raw]), Table1[[#This Row],[convicts_admitted_raw]])</f>
        <v>0</v>
      </c>
      <c r="L395">
        <f>_xlfn.XLOOKUP(Table1[[#This Row],[Key]],Recidivism!C:C,Recidivism!E:E)</f>
        <v>0</v>
      </c>
      <c r="M395">
        <f>IF(ISNA(Table1[[#This Row],[habitual_offenders]]), _xlfn.AGGREGATE(1, 6, Table1[habitual_offenders]), Table1[[#This Row],[habitual_offenders]])</f>
        <v>0</v>
      </c>
      <c r="N395" t="e">
        <f>_xlfn.XLOOKUP(Table1[[#This Row],[Key]],Vocational!C:C,Vocational!E:E)</f>
        <v>#N/A</v>
      </c>
      <c r="O395">
        <f>IF(ISNA(Table1[[#This Row],[vocational_count]]), _xlfn.AGGREGATE(1, 6,Table1[vocational_count]), Table1[[#This Row],[vocational_count]])</f>
        <v>249.28426395939087</v>
      </c>
    </row>
    <row r="396" spans="1:15" x14ac:dyDescent="0.3">
      <c r="A396" t="s">
        <v>39</v>
      </c>
      <c r="B396">
        <v>2009</v>
      </c>
      <c r="C396" t="str">
        <f>_xlfn.CONCAT(Table1[[#This Row],[STATE]],"-",Table1[[#This Row],[YEAR]])</f>
        <v>Lakshadweep-2009</v>
      </c>
      <c r="D396">
        <v>0</v>
      </c>
      <c r="E396">
        <v>0</v>
      </c>
      <c r="F396">
        <v>0</v>
      </c>
      <c r="G396">
        <v>0</v>
      </c>
      <c r="H396">
        <f>_xlfn.XLOOKUP(Table1[[#This Row],[Key]],policseStrength!C:C,policseStrength!R:R)</f>
        <v>0</v>
      </c>
      <c r="I396">
        <f>IF(ISNA(Table1[[#This Row],[total_ps]]), _xlfn.AGGREGATE(1, 6, Table1[total_ps]), Table1[[#This Row],[total_ps]])</f>
        <v>0</v>
      </c>
      <c r="J396">
        <f>_xlfn.XLOOKUP(Table1[[#This Row],[Key]],Recidivism!C:C,Recidivism!D:D)</f>
        <v>1</v>
      </c>
      <c r="K396">
        <f>IF(ISNA(Table1[[#This Row],[convicts_admitted_raw]]), _xlfn.AGGREGATE(1, 6, Table1[convicts_admitted_raw]), Table1[[#This Row],[convicts_admitted_raw]])</f>
        <v>1</v>
      </c>
      <c r="L396">
        <f>_xlfn.XLOOKUP(Table1[[#This Row],[Key]],Recidivism!C:C,Recidivism!E:E)</f>
        <v>0</v>
      </c>
      <c r="M396">
        <f>IF(ISNA(Table1[[#This Row],[habitual_offenders]]), _xlfn.AGGREGATE(1, 6, Table1[habitual_offenders]), Table1[[#This Row],[habitual_offenders]])</f>
        <v>0</v>
      </c>
      <c r="N396">
        <f>_xlfn.XLOOKUP(Table1[[#This Row],[Key]],Vocational!C:C,Vocational!E:E)</f>
        <v>0</v>
      </c>
      <c r="O396">
        <f>IF(ISNA(Table1[[#This Row],[vocational_count]]), _xlfn.AGGREGATE(1, 6,Table1[vocational_count]), Table1[[#This Row],[vocational_count]])</f>
        <v>0</v>
      </c>
    </row>
    <row r="397" spans="1:15" x14ac:dyDescent="0.3">
      <c r="A397" t="s">
        <v>39</v>
      </c>
      <c r="B397">
        <v>2010</v>
      </c>
      <c r="C397" t="str">
        <f>_xlfn.CONCAT(Table1[[#This Row],[STATE]],"-",Table1[[#This Row],[YEAR]])</f>
        <v>Lakshadweep-2010</v>
      </c>
      <c r="D397">
        <v>0</v>
      </c>
      <c r="E397">
        <v>0</v>
      </c>
      <c r="F397">
        <v>0</v>
      </c>
      <c r="G397">
        <v>0</v>
      </c>
      <c r="H397">
        <f>_xlfn.XLOOKUP(Table1[[#This Row],[Key]],policseStrength!C:C,policseStrength!R:R)</f>
        <v>0</v>
      </c>
      <c r="I397">
        <f>IF(ISNA(Table1[[#This Row],[total_ps]]), _xlfn.AGGREGATE(1, 6, Table1[total_ps]), Table1[[#This Row],[total_ps]])</f>
        <v>0</v>
      </c>
      <c r="J397">
        <f>_xlfn.XLOOKUP(Table1[[#This Row],[Key]],Recidivism!C:C,Recidivism!D:D)</f>
        <v>0</v>
      </c>
      <c r="K397">
        <f>IF(ISNA(Table1[[#This Row],[convicts_admitted_raw]]), _xlfn.AGGREGATE(1, 6, Table1[convicts_admitted_raw]), Table1[[#This Row],[convicts_admitted_raw]])</f>
        <v>0</v>
      </c>
      <c r="L397">
        <f>_xlfn.XLOOKUP(Table1[[#This Row],[Key]],Recidivism!C:C,Recidivism!E:E)</f>
        <v>0</v>
      </c>
      <c r="M397">
        <f>IF(ISNA(Table1[[#This Row],[habitual_offenders]]), _xlfn.AGGREGATE(1, 6, Table1[habitual_offenders]), Table1[[#This Row],[habitual_offenders]])</f>
        <v>0</v>
      </c>
      <c r="N397">
        <f>_xlfn.XLOOKUP(Table1[[#This Row],[Key]],Vocational!C:C,Vocational!E:E)</f>
        <v>0</v>
      </c>
      <c r="O397">
        <f>IF(ISNA(Table1[[#This Row],[vocational_count]]), _xlfn.AGGREGATE(1, 6,Table1[vocational_count]), Table1[[#This Row],[vocational_count]])</f>
        <v>0</v>
      </c>
    </row>
    <row r="398" spans="1:15" x14ac:dyDescent="0.3">
      <c r="A398" t="s">
        <v>39</v>
      </c>
      <c r="B398">
        <v>2011</v>
      </c>
      <c r="C398" t="str">
        <f>_xlfn.CONCAT(Table1[[#This Row],[STATE]],"-",Table1[[#This Row],[YEAR]])</f>
        <v>Lakshadweep-2011</v>
      </c>
      <c r="D398">
        <v>0</v>
      </c>
      <c r="E398">
        <v>0</v>
      </c>
      <c r="F398">
        <v>0</v>
      </c>
      <c r="G398">
        <v>0</v>
      </c>
      <c r="H398" t="e">
        <f>_xlfn.XLOOKUP(Table1[[#This Row],[Key]],policseStrength!C:C,policseStrength!R:R)</f>
        <v>#N/A</v>
      </c>
      <c r="I398">
        <f>IF(ISNA(Table1[[#This Row],[total_ps]]), _xlfn.AGGREGATE(1, 6, Table1[total_ps]), Table1[[#This Row],[total_ps]])</f>
        <v>20128.370106761566</v>
      </c>
      <c r="J398">
        <f>_xlfn.XLOOKUP(Table1[[#This Row],[Key]],Recidivism!C:C,Recidivism!D:D)</f>
        <v>0</v>
      </c>
      <c r="K398">
        <f>IF(ISNA(Table1[[#This Row],[convicts_admitted_raw]]), _xlfn.AGGREGATE(1, 6, Table1[convicts_admitted_raw]), Table1[[#This Row],[convicts_admitted_raw]])</f>
        <v>0</v>
      </c>
      <c r="L398">
        <f>_xlfn.XLOOKUP(Table1[[#This Row],[Key]],Recidivism!C:C,Recidivism!E:E)</f>
        <v>0</v>
      </c>
      <c r="M398">
        <f>IF(ISNA(Table1[[#This Row],[habitual_offenders]]), _xlfn.AGGREGATE(1, 6, Table1[habitual_offenders]), Table1[[#This Row],[habitual_offenders]])</f>
        <v>0</v>
      </c>
      <c r="N398" t="e">
        <f>_xlfn.XLOOKUP(Table1[[#This Row],[Key]],Vocational!C:C,Vocational!E:E)</f>
        <v>#N/A</v>
      </c>
      <c r="O398">
        <f>IF(ISNA(Table1[[#This Row],[vocational_count]]), _xlfn.AGGREGATE(1, 6,Table1[vocational_count]), Table1[[#This Row],[vocational_count]])</f>
        <v>249.28426395939087</v>
      </c>
    </row>
    <row r="399" spans="1:15" x14ac:dyDescent="0.3">
      <c r="A399" t="s">
        <v>39</v>
      </c>
      <c r="B399">
        <v>2012</v>
      </c>
      <c r="C399" t="str">
        <f>_xlfn.CONCAT(Table1[[#This Row],[STATE]],"-",Table1[[#This Row],[YEAR]])</f>
        <v>Lakshadweep-2012</v>
      </c>
      <c r="D399">
        <v>0</v>
      </c>
      <c r="E399">
        <v>0</v>
      </c>
      <c r="F399">
        <v>0</v>
      </c>
      <c r="G399">
        <v>0</v>
      </c>
      <c r="H399" t="e">
        <f>_xlfn.XLOOKUP(Table1[[#This Row],[Key]],policseStrength!C:C,policseStrength!R:R)</f>
        <v>#N/A</v>
      </c>
      <c r="I399">
        <f>IF(ISNA(Table1[[#This Row],[total_ps]]), _xlfn.AGGREGATE(1, 6, Table1[total_ps]), Table1[[#This Row],[total_ps]])</f>
        <v>20128.370106761566</v>
      </c>
      <c r="J399">
        <f>_xlfn.XLOOKUP(Table1[[#This Row],[Key]],Recidivism!C:C,Recidivism!D:D)</f>
        <v>0</v>
      </c>
      <c r="K399">
        <f>IF(ISNA(Table1[[#This Row],[convicts_admitted_raw]]), _xlfn.AGGREGATE(1, 6, Table1[convicts_admitted_raw]), Table1[[#This Row],[convicts_admitted_raw]])</f>
        <v>0</v>
      </c>
      <c r="L399">
        <f>_xlfn.XLOOKUP(Table1[[#This Row],[Key]],Recidivism!C:C,Recidivism!E:E)</f>
        <v>0</v>
      </c>
      <c r="M399">
        <f>IF(ISNA(Table1[[#This Row],[habitual_offenders]]), _xlfn.AGGREGATE(1, 6, Table1[habitual_offenders]), Table1[[#This Row],[habitual_offenders]])</f>
        <v>0</v>
      </c>
      <c r="N399">
        <f>_xlfn.XLOOKUP(Table1[[#This Row],[Key]],Vocational!C:C,Vocational!E:E)</f>
        <v>0</v>
      </c>
      <c r="O399">
        <f>IF(ISNA(Table1[[#This Row],[vocational_count]]), _xlfn.AGGREGATE(1, 6,Table1[vocational_count]), Table1[[#This Row],[vocational_count]])</f>
        <v>0</v>
      </c>
    </row>
    <row r="400" spans="1:15" x14ac:dyDescent="0.3">
      <c r="A400" t="s">
        <v>40</v>
      </c>
      <c r="B400">
        <v>2001</v>
      </c>
      <c r="C400" t="str">
        <f>_xlfn.CONCAT(Table1[[#This Row],[STATE]],"-",Table1[[#This Row],[YEAR]])</f>
        <v>Pondicherry-2001</v>
      </c>
      <c r="D400">
        <v>0</v>
      </c>
      <c r="E400">
        <v>10</v>
      </c>
      <c r="F400">
        <v>0</v>
      </c>
      <c r="G400">
        <v>0</v>
      </c>
      <c r="H400" t="e">
        <f>_xlfn.XLOOKUP(Table1[[#This Row],[Key]],policseStrength!C:C,policseStrength!R:R)</f>
        <v>#N/A</v>
      </c>
      <c r="I400">
        <f>IF(ISNA(Table1[[#This Row],[total_ps]]), _xlfn.AGGREGATE(1, 6, Table1[total_ps]), Table1[[#This Row],[total_ps]])</f>
        <v>20128.370106761566</v>
      </c>
      <c r="J400">
        <f>_xlfn.XLOOKUP(Table1[[#This Row],[Key]],Recidivism!C:C,Recidivism!D:D)</f>
        <v>470</v>
      </c>
      <c r="K400">
        <f>IF(ISNA(Table1[[#This Row],[convicts_admitted_raw]]), _xlfn.AGGREGATE(1, 6, Table1[convicts_admitted_raw]), Table1[[#This Row],[convicts_admitted_raw]])</f>
        <v>470</v>
      </c>
      <c r="L400">
        <f>_xlfn.XLOOKUP(Table1[[#This Row],[Key]],Recidivism!C:C,Recidivism!E:E)</f>
        <v>54</v>
      </c>
      <c r="M400">
        <f>IF(ISNA(Table1[[#This Row],[habitual_offenders]]), _xlfn.AGGREGATE(1, 6, Table1[habitual_offenders]), Table1[[#This Row],[habitual_offenders]])</f>
        <v>54</v>
      </c>
      <c r="N400">
        <f>_xlfn.XLOOKUP(Table1[[#This Row],[Key]],Vocational!C:C,Vocational!E:E)</f>
        <v>25</v>
      </c>
      <c r="O400">
        <f>IF(ISNA(Table1[[#This Row],[vocational_count]]), _xlfn.AGGREGATE(1, 6,Table1[vocational_count]), Table1[[#This Row],[vocational_count]])</f>
        <v>25</v>
      </c>
    </row>
    <row r="401" spans="1:15" x14ac:dyDescent="0.3">
      <c r="A401" t="s">
        <v>40</v>
      </c>
      <c r="B401">
        <v>2002</v>
      </c>
      <c r="C401" t="str">
        <f>_xlfn.CONCAT(Table1[[#This Row],[STATE]],"-",Table1[[#This Row],[YEAR]])</f>
        <v>Pondicherry-2002</v>
      </c>
      <c r="D401">
        <v>0</v>
      </c>
      <c r="E401">
        <v>8</v>
      </c>
      <c r="F401">
        <v>0</v>
      </c>
      <c r="G401">
        <v>0</v>
      </c>
      <c r="H401" t="e">
        <f>_xlfn.XLOOKUP(Table1[[#This Row],[Key]],policseStrength!C:C,policseStrength!R:R)</f>
        <v>#N/A</v>
      </c>
      <c r="I401">
        <f>IF(ISNA(Table1[[#This Row],[total_ps]]), _xlfn.AGGREGATE(1, 6, Table1[total_ps]), Table1[[#This Row],[total_ps]])</f>
        <v>20128.370106761566</v>
      </c>
      <c r="J401">
        <f>_xlfn.XLOOKUP(Table1[[#This Row],[Key]],Recidivism!C:C,Recidivism!D:D)</f>
        <v>585</v>
      </c>
      <c r="K401">
        <f>IF(ISNA(Table1[[#This Row],[convicts_admitted_raw]]), _xlfn.AGGREGATE(1, 6, Table1[convicts_admitted_raw]), Table1[[#This Row],[convicts_admitted_raw]])</f>
        <v>585</v>
      </c>
      <c r="L401">
        <f>_xlfn.XLOOKUP(Table1[[#This Row],[Key]],Recidivism!C:C,Recidivism!E:E)</f>
        <v>44</v>
      </c>
      <c r="M401">
        <f>IF(ISNA(Table1[[#This Row],[habitual_offenders]]), _xlfn.AGGREGATE(1, 6, Table1[habitual_offenders]), Table1[[#This Row],[habitual_offenders]])</f>
        <v>44</v>
      </c>
      <c r="N401">
        <f>_xlfn.XLOOKUP(Table1[[#This Row],[Key]],Vocational!C:C,Vocational!E:E)</f>
        <v>30</v>
      </c>
      <c r="O401">
        <f>IF(ISNA(Table1[[#This Row],[vocational_count]]), _xlfn.AGGREGATE(1, 6,Table1[vocational_count]), Table1[[#This Row],[vocational_count]])</f>
        <v>30</v>
      </c>
    </row>
    <row r="402" spans="1:15" x14ac:dyDescent="0.3">
      <c r="A402" t="s">
        <v>40</v>
      </c>
      <c r="B402">
        <v>2003</v>
      </c>
      <c r="C402" t="str">
        <f>_xlfn.CONCAT(Table1[[#This Row],[STATE]],"-",Table1[[#This Row],[YEAR]])</f>
        <v>Pondicherry-2003</v>
      </c>
      <c r="D402">
        <v>0</v>
      </c>
      <c r="E402">
        <v>10</v>
      </c>
      <c r="F402">
        <v>0</v>
      </c>
      <c r="G402">
        <v>0</v>
      </c>
      <c r="H402" t="e">
        <f>_xlfn.XLOOKUP(Table1[[#This Row],[Key]],policseStrength!C:C,policseStrength!R:R)</f>
        <v>#N/A</v>
      </c>
      <c r="I402">
        <f>IF(ISNA(Table1[[#This Row],[total_ps]]), _xlfn.AGGREGATE(1, 6, Table1[total_ps]), Table1[[#This Row],[total_ps]])</f>
        <v>20128.370106761566</v>
      </c>
      <c r="J402">
        <f>_xlfn.XLOOKUP(Table1[[#This Row],[Key]],Recidivism!C:C,Recidivism!D:D)</f>
        <v>620</v>
      </c>
      <c r="K402">
        <f>IF(ISNA(Table1[[#This Row],[convicts_admitted_raw]]), _xlfn.AGGREGATE(1, 6, Table1[convicts_admitted_raw]), Table1[[#This Row],[convicts_admitted_raw]])</f>
        <v>620</v>
      </c>
      <c r="L402">
        <f>_xlfn.XLOOKUP(Table1[[#This Row],[Key]],Recidivism!C:C,Recidivism!E:E)</f>
        <v>58</v>
      </c>
      <c r="M402">
        <f>IF(ISNA(Table1[[#This Row],[habitual_offenders]]), _xlfn.AGGREGATE(1, 6, Table1[habitual_offenders]), Table1[[#This Row],[habitual_offenders]])</f>
        <v>58</v>
      </c>
      <c r="N402">
        <f>_xlfn.XLOOKUP(Table1[[#This Row],[Key]],Vocational!C:C,Vocational!E:E)</f>
        <v>33</v>
      </c>
      <c r="O402">
        <f>IF(ISNA(Table1[[#This Row],[vocational_count]]), _xlfn.AGGREGATE(1, 6,Table1[vocational_count]), Table1[[#This Row],[vocational_count]])</f>
        <v>33</v>
      </c>
    </row>
    <row r="403" spans="1:15" x14ac:dyDescent="0.3">
      <c r="A403" t="s">
        <v>40</v>
      </c>
      <c r="B403">
        <v>2004</v>
      </c>
      <c r="C403" t="str">
        <f>_xlfn.CONCAT(Table1[[#This Row],[STATE]],"-",Table1[[#This Row],[YEAR]])</f>
        <v>Pondicherry-2004</v>
      </c>
      <c r="D403">
        <v>0</v>
      </c>
      <c r="E403">
        <v>10</v>
      </c>
      <c r="F403">
        <v>0</v>
      </c>
      <c r="G403">
        <v>0</v>
      </c>
      <c r="H403" t="e">
        <f>_xlfn.XLOOKUP(Table1[[#This Row],[Key]],policseStrength!C:C,policseStrength!R:R)</f>
        <v>#N/A</v>
      </c>
      <c r="I403">
        <f>IF(ISNA(Table1[[#This Row],[total_ps]]), _xlfn.AGGREGATE(1, 6, Table1[total_ps]), Table1[[#This Row],[total_ps]])</f>
        <v>20128.370106761566</v>
      </c>
      <c r="J403">
        <f>_xlfn.XLOOKUP(Table1[[#This Row],[Key]],Recidivism!C:C,Recidivism!D:D)</f>
        <v>483</v>
      </c>
      <c r="K403">
        <f>IF(ISNA(Table1[[#This Row],[convicts_admitted_raw]]), _xlfn.AGGREGATE(1, 6, Table1[convicts_admitted_raw]), Table1[[#This Row],[convicts_admitted_raw]])</f>
        <v>483</v>
      </c>
      <c r="L403">
        <f>_xlfn.XLOOKUP(Table1[[#This Row],[Key]],Recidivism!C:C,Recidivism!E:E)</f>
        <v>47</v>
      </c>
      <c r="M403">
        <f>IF(ISNA(Table1[[#This Row],[habitual_offenders]]), _xlfn.AGGREGATE(1, 6, Table1[habitual_offenders]), Table1[[#This Row],[habitual_offenders]])</f>
        <v>47</v>
      </c>
      <c r="N403">
        <f>_xlfn.XLOOKUP(Table1[[#This Row],[Key]],Vocational!C:C,Vocational!E:E)</f>
        <v>30</v>
      </c>
      <c r="O403">
        <f>IF(ISNA(Table1[[#This Row],[vocational_count]]), _xlfn.AGGREGATE(1, 6,Table1[vocational_count]), Table1[[#This Row],[vocational_count]])</f>
        <v>30</v>
      </c>
    </row>
    <row r="404" spans="1:15" x14ac:dyDescent="0.3">
      <c r="A404" t="s">
        <v>40</v>
      </c>
      <c r="B404">
        <v>2005</v>
      </c>
      <c r="C404" t="str">
        <f>_xlfn.CONCAT(Table1[[#This Row],[STATE]],"-",Table1[[#This Row],[YEAR]])</f>
        <v>Pondicherry-2005</v>
      </c>
      <c r="D404">
        <v>0</v>
      </c>
      <c r="E404">
        <v>10</v>
      </c>
      <c r="F404">
        <v>0</v>
      </c>
      <c r="G404">
        <v>0</v>
      </c>
      <c r="H404" t="e">
        <f>_xlfn.XLOOKUP(Table1[[#This Row],[Key]],policseStrength!C:C,policseStrength!R:R)</f>
        <v>#N/A</v>
      </c>
      <c r="I404">
        <f>IF(ISNA(Table1[[#This Row],[total_ps]]), _xlfn.AGGREGATE(1, 6, Table1[total_ps]), Table1[[#This Row],[total_ps]])</f>
        <v>20128.370106761566</v>
      </c>
      <c r="J404">
        <f>_xlfn.XLOOKUP(Table1[[#This Row],[Key]],Recidivism!C:C,Recidivism!D:D)</f>
        <v>545</v>
      </c>
      <c r="K404">
        <f>IF(ISNA(Table1[[#This Row],[convicts_admitted_raw]]), _xlfn.AGGREGATE(1, 6, Table1[convicts_admitted_raw]), Table1[[#This Row],[convicts_admitted_raw]])</f>
        <v>545</v>
      </c>
      <c r="L404">
        <f>_xlfn.XLOOKUP(Table1[[#This Row],[Key]],Recidivism!C:C,Recidivism!E:E)</f>
        <v>58</v>
      </c>
      <c r="M404">
        <f>IF(ISNA(Table1[[#This Row],[habitual_offenders]]), _xlfn.AGGREGATE(1, 6, Table1[habitual_offenders]), Table1[[#This Row],[habitual_offenders]])</f>
        <v>58</v>
      </c>
      <c r="N404">
        <f>_xlfn.XLOOKUP(Table1[[#This Row],[Key]],Vocational!C:C,Vocational!E:E)</f>
        <v>12</v>
      </c>
      <c r="O404">
        <f>IF(ISNA(Table1[[#This Row],[vocational_count]]), _xlfn.AGGREGATE(1, 6,Table1[vocational_count]), Table1[[#This Row],[vocational_count]])</f>
        <v>12</v>
      </c>
    </row>
    <row r="405" spans="1:15" x14ac:dyDescent="0.3">
      <c r="A405" t="s">
        <v>40</v>
      </c>
      <c r="B405">
        <v>2006</v>
      </c>
      <c r="C405" t="str">
        <f>_xlfn.CONCAT(Table1[[#This Row],[STATE]],"-",Table1[[#This Row],[YEAR]])</f>
        <v>Pondicherry-2006</v>
      </c>
      <c r="D405">
        <v>0</v>
      </c>
      <c r="E405">
        <v>10</v>
      </c>
      <c r="F405">
        <v>0</v>
      </c>
      <c r="G405">
        <v>0</v>
      </c>
      <c r="H405" t="e">
        <f>_xlfn.XLOOKUP(Table1[[#This Row],[Key]],policseStrength!C:C,policseStrength!R:R)</f>
        <v>#N/A</v>
      </c>
      <c r="I405">
        <f>IF(ISNA(Table1[[#This Row],[total_ps]]), _xlfn.AGGREGATE(1, 6, Table1[total_ps]), Table1[[#This Row],[total_ps]])</f>
        <v>20128.370106761566</v>
      </c>
      <c r="J405">
        <f>_xlfn.XLOOKUP(Table1[[#This Row],[Key]],Recidivism!C:C,Recidivism!D:D)</f>
        <v>337</v>
      </c>
      <c r="K405">
        <f>IF(ISNA(Table1[[#This Row],[convicts_admitted_raw]]), _xlfn.AGGREGATE(1, 6, Table1[convicts_admitted_raw]), Table1[[#This Row],[convicts_admitted_raw]])</f>
        <v>337</v>
      </c>
      <c r="L405">
        <f>_xlfn.XLOOKUP(Table1[[#This Row],[Key]],Recidivism!C:C,Recidivism!E:E)</f>
        <v>46</v>
      </c>
      <c r="M405">
        <f>IF(ISNA(Table1[[#This Row],[habitual_offenders]]), _xlfn.AGGREGATE(1, 6, Table1[habitual_offenders]), Table1[[#This Row],[habitual_offenders]])</f>
        <v>46</v>
      </c>
      <c r="N405">
        <f>_xlfn.XLOOKUP(Table1[[#This Row],[Key]],Vocational!C:C,Vocational!E:E)</f>
        <v>23</v>
      </c>
      <c r="O405">
        <f>IF(ISNA(Table1[[#This Row],[vocational_count]]), _xlfn.AGGREGATE(1, 6,Table1[vocational_count]), Table1[[#This Row],[vocational_count]])</f>
        <v>23</v>
      </c>
    </row>
    <row r="406" spans="1:15" x14ac:dyDescent="0.3">
      <c r="A406" t="s">
        <v>40</v>
      </c>
      <c r="B406">
        <v>2007</v>
      </c>
      <c r="C406" t="str">
        <f>_xlfn.CONCAT(Table1[[#This Row],[STATE]],"-",Table1[[#This Row],[YEAR]])</f>
        <v>Pondicherry-2007</v>
      </c>
      <c r="D406">
        <v>0</v>
      </c>
      <c r="E406">
        <v>0</v>
      </c>
      <c r="F406">
        <v>7</v>
      </c>
      <c r="G406">
        <v>0</v>
      </c>
      <c r="H406" t="e">
        <f>_xlfn.XLOOKUP(Table1[[#This Row],[Key]],policseStrength!C:C,policseStrength!R:R)</f>
        <v>#N/A</v>
      </c>
      <c r="I406">
        <f>IF(ISNA(Table1[[#This Row],[total_ps]]), _xlfn.AGGREGATE(1, 6, Table1[total_ps]), Table1[[#This Row],[total_ps]])</f>
        <v>20128.370106761566</v>
      </c>
      <c r="J406">
        <f>_xlfn.XLOOKUP(Table1[[#This Row],[Key]],Recidivism!C:C,Recidivism!D:D)</f>
        <v>455</v>
      </c>
      <c r="K406">
        <f>IF(ISNA(Table1[[#This Row],[convicts_admitted_raw]]), _xlfn.AGGREGATE(1, 6, Table1[convicts_admitted_raw]), Table1[[#This Row],[convicts_admitted_raw]])</f>
        <v>455</v>
      </c>
      <c r="L406">
        <f>_xlfn.XLOOKUP(Table1[[#This Row],[Key]],Recidivism!C:C,Recidivism!E:E)</f>
        <v>38</v>
      </c>
      <c r="M406">
        <f>IF(ISNA(Table1[[#This Row],[habitual_offenders]]), _xlfn.AGGREGATE(1, 6, Table1[habitual_offenders]), Table1[[#This Row],[habitual_offenders]])</f>
        <v>38</v>
      </c>
      <c r="N406">
        <f>_xlfn.XLOOKUP(Table1[[#This Row],[Key]],Vocational!C:C,Vocational!E:E)</f>
        <v>13</v>
      </c>
      <c r="O406">
        <f>IF(ISNA(Table1[[#This Row],[vocational_count]]), _xlfn.AGGREGATE(1, 6,Table1[vocational_count]), Table1[[#This Row],[vocational_count]])</f>
        <v>13</v>
      </c>
    </row>
    <row r="407" spans="1:15" x14ac:dyDescent="0.3">
      <c r="A407" t="s">
        <v>40</v>
      </c>
      <c r="B407">
        <v>2008</v>
      </c>
      <c r="C407" t="str">
        <f>_xlfn.CONCAT(Table1[[#This Row],[STATE]],"-",Table1[[#This Row],[YEAR]])</f>
        <v>Pondicherry-2008</v>
      </c>
      <c r="D407">
        <v>0</v>
      </c>
      <c r="E407">
        <v>0</v>
      </c>
      <c r="F407">
        <v>2</v>
      </c>
      <c r="G407">
        <v>0</v>
      </c>
      <c r="H407" t="e">
        <f>_xlfn.XLOOKUP(Table1[[#This Row],[Key]],policseStrength!C:C,policseStrength!R:R)</f>
        <v>#N/A</v>
      </c>
      <c r="I407">
        <f>IF(ISNA(Table1[[#This Row],[total_ps]]), _xlfn.AGGREGATE(1, 6, Table1[total_ps]), Table1[[#This Row],[total_ps]])</f>
        <v>20128.370106761566</v>
      </c>
      <c r="J407">
        <f>_xlfn.XLOOKUP(Table1[[#This Row],[Key]],Recidivism!C:C,Recidivism!D:D)</f>
        <v>412</v>
      </c>
      <c r="K407">
        <f>IF(ISNA(Table1[[#This Row],[convicts_admitted_raw]]), _xlfn.AGGREGATE(1, 6, Table1[convicts_admitted_raw]), Table1[[#This Row],[convicts_admitted_raw]])</f>
        <v>412</v>
      </c>
      <c r="L407">
        <f>_xlfn.XLOOKUP(Table1[[#This Row],[Key]],Recidivism!C:C,Recidivism!E:E)</f>
        <v>27</v>
      </c>
      <c r="M407">
        <f>IF(ISNA(Table1[[#This Row],[habitual_offenders]]), _xlfn.AGGREGATE(1, 6, Table1[habitual_offenders]), Table1[[#This Row],[habitual_offenders]])</f>
        <v>27</v>
      </c>
      <c r="N407">
        <f>_xlfn.XLOOKUP(Table1[[#This Row],[Key]],Vocational!C:C,Vocational!E:E)</f>
        <v>1</v>
      </c>
      <c r="O407">
        <f>IF(ISNA(Table1[[#This Row],[vocational_count]]), _xlfn.AGGREGATE(1, 6,Table1[vocational_count]), Table1[[#This Row],[vocational_count]])</f>
        <v>1</v>
      </c>
    </row>
    <row r="408" spans="1:15" x14ac:dyDescent="0.3">
      <c r="A408" t="s">
        <v>40</v>
      </c>
      <c r="B408">
        <v>2009</v>
      </c>
      <c r="C408" t="str">
        <f>_xlfn.CONCAT(Table1[[#This Row],[STATE]],"-",Table1[[#This Row],[YEAR]])</f>
        <v>Pondicherry-2009</v>
      </c>
      <c r="D408">
        <v>0</v>
      </c>
      <c r="E408">
        <v>0</v>
      </c>
      <c r="F408">
        <v>2</v>
      </c>
      <c r="G408">
        <v>0</v>
      </c>
      <c r="H408" t="e">
        <f>_xlfn.XLOOKUP(Table1[[#This Row],[Key]],policseStrength!C:C,policseStrength!R:R)</f>
        <v>#N/A</v>
      </c>
      <c r="I408">
        <f>IF(ISNA(Table1[[#This Row],[total_ps]]), _xlfn.AGGREGATE(1, 6, Table1[total_ps]), Table1[[#This Row],[total_ps]])</f>
        <v>20128.370106761566</v>
      </c>
      <c r="J408">
        <f>_xlfn.XLOOKUP(Table1[[#This Row],[Key]],Recidivism!C:C,Recidivism!D:D)</f>
        <v>240</v>
      </c>
      <c r="K408">
        <f>IF(ISNA(Table1[[#This Row],[convicts_admitted_raw]]), _xlfn.AGGREGATE(1, 6, Table1[convicts_admitted_raw]), Table1[[#This Row],[convicts_admitted_raw]])</f>
        <v>240</v>
      </c>
      <c r="L408">
        <f>_xlfn.XLOOKUP(Table1[[#This Row],[Key]],Recidivism!C:C,Recidivism!E:E)</f>
        <v>35</v>
      </c>
      <c r="M408">
        <f>IF(ISNA(Table1[[#This Row],[habitual_offenders]]), _xlfn.AGGREGATE(1, 6, Table1[habitual_offenders]), Table1[[#This Row],[habitual_offenders]])</f>
        <v>35</v>
      </c>
      <c r="N408">
        <f>_xlfn.XLOOKUP(Table1[[#This Row],[Key]],Vocational!C:C,Vocational!E:E)</f>
        <v>2</v>
      </c>
      <c r="O408">
        <f>IF(ISNA(Table1[[#This Row],[vocational_count]]), _xlfn.AGGREGATE(1, 6,Table1[vocational_count]), Table1[[#This Row],[vocational_count]])</f>
        <v>2</v>
      </c>
    </row>
    <row r="409" spans="1:15" x14ac:dyDescent="0.3">
      <c r="A409" t="s">
        <v>40</v>
      </c>
      <c r="B409">
        <v>2010</v>
      </c>
      <c r="C409" t="str">
        <f>_xlfn.CONCAT(Table1[[#This Row],[STATE]],"-",Table1[[#This Row],[YEAR]])</f>
        <v>Pondicherry-2010</v>
      </c>
      <c r="D409">
        <v>0</v>
      </c>
      <c r="E409">
        <v>0</v>
      </c>
      <c r="F409">
        <v>0</v>
      </c>
      <c r="G409">
        <v>0</v>
      </c>
      <c r="H409" t="e">
        <f>_xlfn.XLOOKUP(Table1[[#This Row],[Key]],policseStrength!C:C,policseStrength!R:R)</f>
        <v>#N/A</v>
      </c>
      <c r="I409">
        <f>IF(ISNA(Table1[[#This Row],[total_ps]]), _xlfn.AGGREGATE(1, 6, Table1[total_ps]), Table1[[#This Row],[total_ps]])</f>
        <v>20128.370106761566</v>
      </c>
      <c r="J409">
        <f>_xlfn.XLOOKUP(Table1[[#This Row],[Key]],Recidivism!C:C,Recidivism!D:D)</f>
        <v>431</v>
      </c>
      <c r="K409">
        <f>IF(ISNA(Table1[[#This Row],[convicts_admitted_raw]]), _xlfn.AGGREGATE(1, 6, Table1[convicts_admitted_raw]), Table1[[#This Row],[convicts_admitted_raw]])</f>
        <v>431</v>
      </c>
      <c r="L409">
        <f>_xlfn.XLOOKUP(Table1[[#This Row],[Key]],Recidivism!C:C,Recidivism!E:E)</f>
        <v>42</v>
      </c>
      <c r="M409">
        <f>IF(ISNA(Table1[[#This Row],[habitual_offenders]]), _xlfn.AGGREGATE(1, 6, Table1[habitual_offenders]), Table1[[#This Row],[habitual_offenders]])</f>
        <v>42</v>
      </c>
      <c r="N409">
        <f>_xlfn.XLOOKUP(Table1[[#This Row],[Key]],Vocational!C:C,Vocational!E:E)</f>
        <v>5</v>
      </c>
      <c r="O409">
        <f>IF(ISNA(Table1[[#This Row],[vocational_count]]), _xlfn.AGGREGATE(1, 6,Table1[vocational_count]), Table1[[#This Row],[vocational_count]])</f>
        <v>5</v>
      </c>
    </row>
    <row r="410" spans="1:15" x14ac:dyDescent="0.3">
      <c r="A410" t="s">
        <v>40</v>
      </c>
      <c r="B410">
        <v>2011</v>
      </c>
      <c r="C410" t="str">
        <f>_xlfn.CONCAT(Table1[[#This Row],[STATE]],"-",Table1[[#This Row],[YEAR]])</f>
        <v>Pondicherry-2011</v>
      </c>
      <c r="D410">
        <v>0</v>
      </c>
      <c r="E410">
        <v>0</v>
      </c>
      <c r="F410">
        <v>2</v>
      </c>
      <c r="G410">
        <v>0</v>
      </c>
      <c r="H410" t="e">
        <f>_xlfn.XLOOKUP(Table1[[#This Row],[Key]],policseStrength!C:C,policseStrength!R:R)</f>
        <v>#N/A</v>
      </c>
      <c r="I410">
        <f>IF(ISNA(Table1[[#This Row],[total_ps]]), _xlfn.AGGREGATE(1, 6, Table1[total_ps]), Table1[[#This Row],[total_ps]])</f>
        <v>20128.370106761566</v>
      </c>
      <c r="J410">
        <f>_xlfn.XLOOKUP(Table1[[#This Row],[Key]],Recidivism!C:C,Recidivism!D:D)</f>
        <v>262</v>
      </c>
      <c r="K410">
        <f>IF(ISNA(Table1[[#This Row],[convicts_admitted_raw]]), _xlfn.AGGREGATE(1, 6, Table1[convicts_admitted_raw]), Table1[[#This Row],[convicts_admitted_raw]])</f>
        <v>262</v>
      </c>
      <c r="L410">
        <f>_xlfn.XLOOKUP(Table1[[#This Row],[Key]],Recidivism!C:C,Recidivism!E:E)</f>
        <v>86</v>
      </c>
      <c r="M410">
        <f>IF(ISNA(Table1[[#This Row],[habitual_offenders]]), _xlfn.AGGREGATE(1, 6, Table1[habitual_offenders]), Table1[[#This Row],[habitual_offenders]])</f>
        <v>86</v>
      </c>
      <c r="N410">
        <f>_xlfn.XLOOKUP(Table1[[#This Row],[Key]],Vocational!C:C,Vocational!E:E)</f>
        <v>3</v>
      </c>
      <c r="O410">
        <f>IF(ISNA(Table1[[#This Row],[vocational_count]]), _xlfn.AGGREGATE(1, 6,Table1[vocational_count]), Table1[[#This Row],[vocational_count]])</f>
        <v>3</v>
      </c>
    </row>
    <row r="411" spans="1:15" x14ac:dyDescent="0.3">
      <c r="A411" t="s">
        <v>40</v>
      </c>
      <c r="B411">
        <v>2012</v>
      </c>
      <c r="C411" t="str">
        <f>_xlfn.CONCAT(Table1[[#This Row],[STATE]],"-",Table1[[#This Row],[YEAR]])</f>
        <v>Pondicherry-2012</v>
      </c>
      <c r="D411">
        <v>0</v>
      </c>
      <c r="E411">
        <v>0</v>
      </c>
      <c r="F411">
        <v>0</v>
      </c>
      <c r="G411">
        <v>0</v>
      </c>
      <c r="H411" t="e">
        <f>_xlfn.XLOOKUP(Table1[[#This Row],[Key]],policseStrength!C:C,policseStrength!R:R)</f>
        <v>#N/A</v>
      </c>
      <c r="I411">
        <f>IF(ISNA(Table1[[#This Row],[total_ps]]), _xlfn.AGGREGATE(1, 6, Table1[total_ps]), Table1[[#This Row],[total_ps]])</f>
        <v>20128.370106761566</v>
      </c>
      <c r="J411">
        <f>_xlfn.XLOOKUP(Table1[[#This Row],[Key]],Recidivism!C:C,Recidivism!D:D)</f>
        <v>252</v>
      </c>
      <c r="K411">
        <f>IF(ISNA(Table1[[#This Row],[convicts_admitted_raw]]), _xlfn.AGGREGATE(1, 6, Table1[convicts_admitted_raw]), Table1[[#This Row],[convicts_admitted_raw]])</f>
        <v>252</v>
      </c>
      <c r="L411">
        <f>_xlfn.XLOOKUP(Table1[[#This Row],[Key]],Recidivism!C:C,Recidivism!E:E)</f>
        <v>39</v>
      </c>
      <c r="M411">
        <f>IF(ISNA(Table1[[#This Row],[habitual_offenders]]), _xlfn.AGGREGATE(1, 6, Table1[habitual_offenders]), Table1[[#This Row],[habitual_offenders]])</f>
        <v>39</v>
      </c>
      <c r="N411">
        <f>_xlfn.XLOOKUP(Table1[[#This Row],[Key]],Vocational!C:C,Vocational!E:E)</f>
        <v>3</v>
      </c>
      <c r="O411">
        <f>IF(ISNA(Table1[[#This Row],[vocational_count]]), _xlfn.AGGREGATE(1, 6,Table1[vocational_count]), Table1[[#This Row],[vocational_count]])</f>
        <v>3</v>
      </c>
    </row>
    <row r="412" spans="1:15" x14ac:dyDescent="0.3">
      <c r="A412" t="s">
        <v>6</v>
      </c>
      <c r="B412">
        <v>2013</v>
      </c>
      <c r="C412" t="str">
        <f>_xlfn.CONCAT(Table1[[#This Row],[STATE]],"-",Table1[[#This Row],[YEAR]])</f>
        <v>Andhra Pradesh-2013</v>
      </c>
      <c r="D412">
        <v>9480</v>
      </c>
      <c r="E412">
        <v>13758</v>
      </c>
      <c r="F412">
        <v>672</v>
      </c>
      <c r="G412">
        <v>170</v>
      </c>
      <c r="H412" t="e">
        <f>_xlfn.XLOOKUP(Table1[[#This Row],[Key]],policseStrength!C:C,policseStrength!R:R)</f>
        <v>#N/A</v>
      </c>
      <c r="I412">
        <f>IF(ISNA(Table1[[#This Row],[total_ps]]), _xlfn.AGGREGATE(1, 6, Table1[total_ps]), Table1[[#This Row],[total_ps]])</f>
        <v>20128.370106761566</v>
      </c>
      <c r="J412">
        <f>_xlfn.XLOOKUP(Table1[[#This Row],[Key]],Recidivism!C:C,Recidivism!D:D)</f>
        <v>12135</v>
      </c>
      <c r="K412">
        <f>IF(ISNA(Table1[[#This Row],[convicts_admitted_raw]]), _xlfn.AGGREGATE(1, 6, Table1[convicts_admitted_raw]), Table1[[#This Row],[convicts_admitted_raw]])</f>
        <v>12135</v>
      </c>
      <c r="L412">
        <f>_xlfn.XLOOKUP(Table1[[#This Row],[Key]],Recidivism!C:C,Recidivism!E:E)</f>
        <v>1023</v>
      </c>
      <c r="M412">
        <f>IF(ISNA(Table1[[#This Row],[habitual_offenders]]), _xlfn.AGGREGATE(1, 6, Table1[habitual_offenders]), Table1[[#This Row],[habitual_offenders]])</f>
        <v>1023</v>
      </c>
      <c r="N412">
        <f>_xlfn.XLOOKUP(Table1[[#This Row],[Key]],Vocational!C:C,Vocational!E:E)</f>
        <v>141</v>
      </c>
      <c r="O412">
        <f>IF(ISNA(Table1[[#This Row],[vocational_count]]), _xlfn.AGGREGATE(1, 6,Table1[vocational_count]), Table1[[#This Row],[vocational_count]])</f>
        <v>141</v>
      </c>
    </row>
    <row r="413" spans="1:15" x14ac:dyDescent="0.3">
      <c r="A413" t="s">
        <v>7</v>
      </c>
      <c r="B413">
        <v>2013</v>
      </c>
      <c r="C413" t="str">
        <f>_xlfn.CONCAT(Table1[[#This Row],[STATE]],"-",Table1[[#This Row],[YEAR]])</f>
        <v>Arunachal Pradesh-2013</v>
      </c>
      <c r="D413">
        <v>0</v>
      </c>
      <c r="E413">
        <v>0</v>
      </c>
      <c r="F413">
        <v>0</v>
      </c>
      <c r="G413">
        <v>0</v>
      </c>
      <c r="H413" t="e">
        <f>_xlfn.XLOOKUP(Table1[[#This Row],[Key]],policseStrength!C:C,policseStrength!R:R)</f>
        <v>#N/A</v>
      </c>
      <c r="I413">
        <f>IF(ISNA(Table1[[#This Row],[total_ps]]), _xlfn.AGGREGATE(1, 6, Table1[total_ps]), Table1[[#This Row],[total_ps]])</f>
        <v>20128.370106761566</v>
      </c>
      <c r="J413">
        <f>_xlfn.XLOOKUP(Table1[[#This Row],[Key]],Recidivism!C:C,Recidivism!D:D)</f>
        <v>21</v>
      </c>
      <c r="K413">
        <f>IF(ISNA(Table1[[#This Row],[convicts_admitted_raw]]), _xlfn.AGGREGATE(1, 6, Table1[convicts_admitted_raw]), Table1[[#This Row],[convicts_admitted_raw]])</f>
        <v>21</v>
      </c>
      <c r="L413">
        <f>_xlfn.XLOOKUP(Table1[[#This Row],[Key]],Recidivism!C:C,Recidivism!E:E)</f>
        <v>0</v>
      </c>
      <c r="M413">
        <f>IF(ISNA(Table1[[#This Row],[habitual_offenders]]), _xlfn.AGGREGATE(1, 6, Table1[habitual_offenders]), Table1[[#This Row],[habitual_offenders]])</f>
        <v>0</v>
      </c>
      <c r="N413">
        <f>_xlfn.XLOOKUP(Table1[[#This Row],[Key]],Vocational!C:C,Vocational!E:E)</f>
        <v>5</v>
      </c>
      <c r="O413">
        <f>IF(ISNA(Table1[[#This Row],[vocational_count]]), _xlfn.AGGREGATE(1, 6,Table1[vocational_count]), Table1[[#This Row],[vocational_count]])</f>
        <v>5</v>
      </c>
    </row>
    <row r="414" spans="1:15" x14ac:dyDescent="0.3">
      <c r="A414" t="s">
        <v>8</v>
      </c>
      <c r="B414">
        <v>2013</v>
      </c>
      <c r="C414" t="str">
        <f>_xlfn.CONCAT(Table1[[#This Row],[STATE]],"-",Table1[[#This Row],[YEAR]])</f>
        <v>Assam-2013</v>
      </c>
      <c r="D414">
        <v>676</v>
      </c>
      <c r="E414">
        <v>750</v>
      </c>
      <c r="F414">
        <v>14</v>
      </c>
      <c r="G414">
        <v>30</v>
      </c>
      <c r="H414" t="e">
        <f>_xlfn.XLOOKUP(Table1[[#This Row],[Key]],policseStrength!C:C,policseStrength!R:R)</f>
        <v>#N/A</v>
      </c>
      <c r="I414">
        <f>IF(ISNA(Table1[[#This Row],[total_ps]]), _xlfn.AGGREGATE(1, 6, Table1[total_ps]), Table1[[#This Row],[total_ps]])</f>
        <v>20128.370106761566</v>
      </c>
      <c r="J414">
        <f>_xlfn.XLOOKUP(Table1[[#This Row],[Key]],Recidivism!C:C,Recidivism!D:D)</f>
        <v>2090</v>
      </c>
      <c r="K414">
        <f>IF(ISNA(Table1[[#This Row],[convicts_admitted_raw]]), _xlfn.AGGREGATE(1, 6, Table1[convicts_admitted_raw]), Table1[[#This Row],[convicts_admitted_raw]])</f>
        <v>2090</v>
      </c>
      <c r="L414">
        <f>_xlfn.XLOOKUP(Table1[[#This Row],[Key]],Recidivism!C:C,Recidivism!E:E)</f>
        <v>11</v>
      </c>
      <c r="M414">
        <f>IF(ISNA(Table1[[#This Row],[habitual_offenders]]), _xlfn.AGGREGATE(1, 6, Table1[habitual_offenders]), Table1[[#This Row],[habitual_offenders]])</f>
        <v>11</v>
      </c>
      <c r="N414">
        <f>_xlfn.XLOOKUP(Table1[[#This Row],[Key]],Vocational!C:C,Vocational!E:E)</f>
        <v>100</v>
      </c>
      <c r="O414">
        <f>IF(ISNA(Table1[[#This Row],[vocational_count]]), _xlfn.AGGREGATE(1, 6,Table1[vocational_count]), Table1[[#This Row],[vocational_count]])</f>
        <v>100</v>
      </c>
    </row>
    <row r="415" spans="1:15" x14ac:dyDescent="0.3">
      <c r="A415" t="s">
        <v>9</v>
      </c>
      <c r="B415">
        <v>2013</v>
      </c>
      <c r="C415" t="str">
        <f>_xlfn.CONCAT(Table1[[#This Row],[STATE]],"-",Table1[[#This Row],[YEAR]])</f>
        <v>Bihar-2013</v>
      </c>
      <c r="D415">
        <v>1693</v>
      </c>
      <c r="E415">
        <v>3013</v>
      </c>
      <c r="F415">
        <v>125</v>
      </c>
      <c r="G415">
        <v>1417</v>
      </c>
      <c r="H415" t="e">
        <f>_xlfn.XLOOKUP(Table1[[#This Row],[Key]],policseStrength!C:C,policseStrength!R:R)</f>
        <v>#N/A</v>
      </c>
      <c r="I415">
        <f>IF(ISNA(Table1[[#This Row],[total_ps]]), _xlfn.AGGREGATE(1, 6, Table1[total_ps]), Table1[[#This Row],[total_ps]])</f>
        <v>20128.370106761566</v>
      </c>
      <c r="J415">
        <f>_xlfn.XLOOKUP(Table1[[#This Row],[Key]],Recidivism!C:C,Recidivism!D:D)</f>
        <v>9264</v>
      </c>
      <c r="K415">
        <f>IF(ISNA(Table1[[#This Row],[convicts_admitted_raw]]), _xlfn.AGGREGATE(1, 6, Table1[convicts_admitted_raw]), Table1[[#This Row],[convicts_admitted_raw]])</f>
        <v>9264</v>
      </c>
      <c r="L415">
        <f>_xlfn.XLOOKUP(Table1[[#This Row],[Key]],Recidivism!C:C,Recidivism!E:E)</f>
        <v>95</v>
      </c>
      <c r="M415">
        <f>IF(ISNA(Table1[[#This Row],[habitual_offenders]]), _xlfn.AGGREGATE(1, 6, Table1[habitual_offenders]), Table1[[#This Row],[habitual_offenders]])</f>
        <v>95</v>
      </c>
      <c r="N415">
        <f>_xlfn.XLOOKUP(Table1[[#This Row],[Key]],Vocational!C:C,Vocational!E:E)</f>
        <v>562</v>
      </c>
      <c r="O415">
        <f>IF(ISNA(Table1[[#This Row],[vocational_count]]), _xlfn.AGGREGATE(1, 6,Table1[vocational_count]), Table1[[#This Row],[vocational_count]])</f>
        <v>562</v>
      </c>
    </row>
    <row r="416" spans="1:15" x14ac:dyDescent="0.3">
      <c r="A416" t="s">
        <v>41</v>
      </c>
      <c r="B416">
        <v>2013</v>
      </c>
      <c r="C416" t="str">
        <f>_xlfn.CONCAT(Table1[[#This Row],[STATE]],"-",Table1[[#This Row],[YEAR]])</f>
        <v>Chhatisgarh-2013</v>
      </c>
      <c r="D416">
        <v>1664</v>
      </c>
      <c r="E416">
        <v>1803</v>
      </c>
      <c r="F416">
        <v>192</v>
      </c>
      <c r="G416">
        <v>103</v>
      </c>
      <c r="H416" t="e">
        <f>_xlfn.XLOOKUP(Table1[[#This Row],[Key]],policseStrength!C:C,policseStrength!R:R)</f>
        <v>#N/A</v>
      </c>
      <c r="I416">
        <f>IF(ISNA(Table1[[#This Row],[total_ps]]), _xlfn.AGGREGATE(1, 6, Table1[total_ps]), Table1[[#This Row],[total_ps]])</f>
        <v>20128.370106761566</v>
      </c>
      <c r="J416" t="e">
        <f>_xlfn.XLOOKUP(Table1[[#This Row],[Key]],Recidivism!C:C,Recidivism!D:D)</f>
        <v>#N/A</v>
      </c>
      <c r="K416">
        <f>IF(ISNA(Table1[[#This Row],[convicts_admitted_raw]]), _xlfn.AGGREGATE(1, 6, Table1[convicts_admitted_raw]), Table1[[#This Row],[convicts_admitted_raw]])</f>
        <v>6702.8672768878714</v>
      </c>
      <c r="L416" t="e">
        <f>_xlfn.XLOOKUP(Table1[[#This Row],[Key]],Recidivism!C:C,Recidivism!E:E)</f>
        <v>#N/A</v>
      </c>
      <c r="M416">
        <f>IF(ISNA(Table1[[#This Row],[habitual_offenders]]), _xlfn.AGGREGATE(1, 6, Table1[habitual_offenders]), Table1[[#This Row],[habitual_offenders]])</f>
        <v>349.79176201372997</v>
      </c>
      <c r="N416" t="e">
        <f>_xlfn.XLOOKUP(Table1[[#This Row],[Key]],Vocational!C:C,Vocational!E:E)</f>
        <v>#N/A</v>
      </c>
      <c r="O416">
        <f>IF(ISNA(Table1[[#This Row],[vocational_count]]), _xlfn.AGGREGATE(1, 6,Table1[vocational_count]), Table1[[#This Row],[vocational_count]])</f>
        <v>249.28426395939087</v>
      </c>
    </row>
    <row r="417" spans="1:15" x14ac:dyDescent="0.3">
      <c r="A417" t="s">
        <v>11</v>
      </c>
      <c r="B417">
        <v>2013</v>
      </c>
      <c r="C417" t="str">
        <f>_xlfn.CONCAT(Table1[[#This Row],[STATE]],"-",Table1[[#This Row],[YEAR]])</f>
        <v>Goa-2013</v>
      </c>
      <c r="D417">
        <v>7</v>
      </c>
      <c r="E417">
        <v>0</v>
      </c>
      <c r="F417">
        <v>6</v>
      </c>
      <c r="G417">
        <v>88</v>
      </c>
      <c r="H417" t="e">
        <f>_xlfn.XLOOKUP(Table1[[#This Row],[Key]],policseStrength!C:C,policseStrength!R:R)</f>
        <v>#N/A</v>
      </c>
      <c r="I417">
        <f>IF(ISNA(Table1[[#This Row],[total_ps]]), _xlfn.AGGREGATE(1, 6, Table1[total_ps]), Table1[[#This Row],[total_ps]])</f>
        <v>20128.370106761566</v>
      </c>
      <c r="J417">
        <f>_xlfn.XLOOKUP(Table1[[#This Row],[Key]],Recidivism!C:C,Recidivism!D:D)</f>
        <v>116</v>
      </c>
      <c r="K417">
        <f>IF(ISNA(Table1[[#This Row],[convicts_admitted_raw]]), _xlfn.AGGREGATE(1, 6, Table1[convicts_admitted_raw]), Table1[[#This Row],[convicts_admitted_raw]])</f>
        <v>116</v>
      </c>
      <c r="L417">
        <f>_xlfn.XLOOKUP(Table1[[#This Row],[Key]],Recidivism!C:C,Recidivism!E:E)</f>
        <v>6</v>
      </c>
      <c r="M417">
        <f>IF(ISNA(Table1[[#This Row],[habitual_offenders]]), _xlfn.AGGREGATE(1, 6, Table1[habitual_offenders]), Table1[[#This Row],[habitual_offenders]])</f>
        <v>6</v>
      </c>
      <c r="N417">
        <f>_xlfn.XLOOKUP(Table1[[#This Row],[Key]],Vocational!C:C,Vocational!E:E)</f>
        <v>25</v>
      </c>
      <c r="O417">
        <f>IF(ISNA(Table1[[#This Row],[vocational_count]]), _xlfn.AGGREGATE(1, 6,Table1[vocational_count]), Table1[[#This Row],[vocational_count]])</f>
        <v>25</v>
      </c>
    </row>
    <row r="418" spans="1:15" x14ac:dyDescent="0.3">
      <c r="A418" t="s">
        <v>12</v>
      </c>
      <c r="B418">
        <v>2013</v>
      </c>
      <c r="C418" t="str">
        <f>_xlfn.CONCAT(Table1[[#This Row],[STATE]],"-",Table1[[#This Row],[YEAR]])</f>
        <v>Gujarat-2013</v>
      </c>
      <c r="D418">
        <v>2310</v>
      </c>
      <c r="E418">
        <v>3133</v>
      </c>
      <c r="F418">
        <v>875</v>
      </c>
      <c r="G418">
        <v>966</v>
      </c>
      <c r="H418" t="e">
        <f>_xlfn.XLOOKUP(Table1[[#This Row],[Key]],policseStrength!C:C,policseStrength!R:R)</f>
        <v>#N/A</v>
      </c>
      <c r="I418">
        <f>IF(ISNA(Table1[[#This Row],[total_ps]]), _xlfn.AGGREGATE(1, 6, Table1[total_ps]), Table1[[#This Row],[total_ps]])</f>
        <v>20128.370106761566</v>
      </c>
      <c r="J418">
        <f>_xlfn.XLOOKUP(Table1[[#This Row],[Key]],Recidivism!C:C,Recidivism!D:D)</f>
        <v>7096</v>
      </c>
      <c r="K418">
        <f>IF(ISNA(Table1[[#This Row],[convicts_admitted_raw]]), _xlfn.AGGREGATE(1, 6, Table1[convicts_admitted_raw]), Table1[[#This Row],[convicts_admitted_raw]])</f>
        <v>7096</v>
      </c>
      <c r="L418">
        <f>_xlfn.XLOOKUP(Table1[[#This Row],[Key]],Recidivism!C:C,Recidivism!E:E)</f>
        <v>3</v>
      </c>
      <c r="M418">
        <f>IF(ISNA(Table1[[#This Row],[habitual_offenders]]), _xlfn.AGGREGATE(1, 6, Table1[habitual_offenders]), Table1[[#This Row],[habitual_offenders]])</f>
        <v>3</v>
      </c>
      <c r="N418">
        <f>_xlfn.XLOOKUP(Table1[[#This Row],[Key]],Vocational!C:C,Vocational!E:E)</f>
        <v>22</v>
      </c>
      <c r="O418">
        <f>IF(ISNA(Table1[[#This Row],[vocational_count]]), _xlfn.AGGREGATE(1, 6,Table1[vocational_count]), Table1[[#This Row],[vocational_count]])</f>
        <v>22</v>
      </c>
    </row>
    <row r="419" spans="1:15" x14ac:dyDescent="0.3">
      <c r="A419" t="s">
        <v>13</v>
      </c>
      <c r="B419">
        <v>2013</v>
      </c>
      <c r="C419" t="str">
        <f>_xlfn.CONCAT(Table1[[#This Row],[STATE]],"-",Table1[[#This Row],[YEAR]])</f>
        <v>Haryana-2013</v>
      </c>
      <c r="D419">
        <v>1131</v>
      </c>
      <c r="E419">
        <v>774</v>
      </c>
      <c r="F419">
        <v>1112</v>
      </c>
      <c r="G419">
        <v>243</v>
      </c>
      <c r="H419" t="e">
        <f>_xlfn.XLOOKUP(Table1[[#This Row],[Key]],policseStrength!C:C,policseStrength!R:R)</f>
        <v>#N/A</v>
      </c>
      <c r="I419">
        <f>IF(ISNA(Table1[[#This Row],[total_ps]]), _xlfn.AGGREGATE(1, 6, Table1[total_ps]), Table1[[#This Row],[total_ps]])</f>
        <v>20128.370106761566</v>
      </c>
      <c r="J419">
        <f>_xlfn.XLOOKUP(Table1[[#This Row],[Key]],Recidivism!C:C,Recidivism!D:D)</f>
        <v>4527</v>
      </c>
      <c r="K419">
        <f>IF(ISNA(Table1[[#This Row],[convicts_admitted_raw]]), _xlfn.AGGREGATE(1, 6, Table1[convicts_admitted_raw]), Table1[[#This Row],[convicts_admitted_raw]])</f>
        <v>4527</v>
      </c>
      <c r="L419">
        <f>_xlfn.XLOOKUP(Table1[[#This Row],[Key]],Recidivism!C:C,Recidivism!E:E)</f>
        <v>58</v>
      </c>
      <c r="M419">
        <f>IF(ISNA(Table1[[#This Row],[habitual_offenders]]), _xlfn.AGGREGATE(1, 6, Table1[habitual_offenders]), Table1[[#This Row],[habitual_offenders]])</f>
        <v>58</v>
      </c>
      <c r="N419">
        <f>_xlfn.XLOOKUP(Table1[[#This Row],[Key]],Vocational!C:C,Vocational!E:E)</f>
        <v>12</v>
      </c>
      <c r="O419">
        <f>IF(ISNA(Table1[[#This Row],[vocational_count]]), _xlfn.AGGREGATE(1, 6,Table1[vocational_count]), Table1[[#This Row],[vocational_count]])</f>
        <v>12</v>
      </c>
    </row>
    <row r="420" spans="1:15" x14ac:dyDescent="0.3">
      <c r="A420" t="s">
        <v>14</v>
      </c>
      <c r="B420">
        <v>2013</v>
      </c>
      <c r="C420" t="str">
        <f>_xlfn.CONCAT(Table1[[#This Row],[STATE]],"-",Table1[[#This Row],[YEAR]])</f>
        <v>Himachal Pradesh-2013</v>
      </c>
      <c r="D420">
        <v>33</v>
      </c>
      <c r="E420">
        <v>80</v>
      </c>
      <c r="F420">
        <v>26</v>
      </c>
      <c r="G420">
        <v>0</v>
      </c>
      <c r="H420" t="e">
        <f>_xlfn.XLOOKUP(Table1[[#This Row],[Key]],policseStrength!C:C,policseStrength!R:R)</f>
        <v>#N/A</v>
      </c>
      <c r="I420">
        <f>IF(ISNA(Table1[[#This Row],[total_ps]]), _xlfn.AGGREGATE(1, 6, Table1[total_ps]), Table1[[#This Row],[total_ps]])</f>
        <v>20128.370106761566</v>
      </c>
      <c r="J420">
        <f>_xlfn.XLOOKUP(Table1[[#This Row],[Key]],Recidivism!C:C,Recidivism!D:D)</f>
        <v>650</v>
      </c>
      <c r="K420">
        <f>IF(ISNA(Table1[[#This Row],[convicts_admitted_raw]]), _xlfn.AGGREGATE(1, 6, Table1[convicts_admitted_raw]), Table1[[#This Row],[convicts_admitted_raw]])</f>
        <v>650</v>
      </c>
      <c r="L420">
        <f>_xlfn.XLOOKUP(Table1[[#This Row],[Key]],Recidivism!C:C,Recidivism!E:E)</f>
        <v>4</v>
      </c>
      <c r="M420">
        <f>IF(ISNA(Table1[[#This Row],[habitual_offenders]]), _xlfn.AGGREGATE(1, 6, Table1[habitual_offenders]), Table1[[#This Row],[habitual_offenders]])</f>
        <v>4</v>
      </c>
      <c r="N420">
        <f>_xlfn.XLOOKUP(Table1[[#This Row],[Key]],Vocational!C:C,Vocational!E:E)</f>
        <v>54</v>
      </c>
      <c r="O420">
        <f>IF(ISNA(Table1[[#This Row],[vocational_count]]), _xlfn.AGGREGATE(1, 6,Table1[vocational_count]), Table1[[#This Row],[vocational_count]])</f>
        <v>54</v>
      </c>
    </row>
    <row r="421" spans="1:15" x14ac:dyDescent="0.3">
      <c r="A421" t="s">
        <v>15</v>
      </c>
      <c r="B421">
        <v>2013</v>
      </c>
      <c r="C421" t="str">
        <f>_xlfn.CONCAT(Table1[[#This Row],[STATE]],"-",Table1[[#This Row],[YEAR]])</f>
        <v>Jammu &amp; Kashmir-2013</v>
      </c>
      <c r="D421">
        <v>102</v>
      </c>
      <c r="E421">
        <v>124</v>
      </c>
      <c r="F421">
        <v>33</v>
      </c>
      <c r="G421">
        <v>34</v>
      </c>
      <c r="H421" t="e">
        <f>_xlfn.XLOOKUP(Table1[[#This Row],[Key]],policseStrength!C:C,policseStrength!R:R)</f>
        <v>#N/A</v>
      </c>
      <c r="I421">
        <f>IF(ISNA(Table1[[#This Row],[total_ps]]), _xlfn.AGGREGATE(1, 6, Table1[total_ps]), Table1[[#This Row],[total_ps]])</f>
        <v>20128.370106761566</v>
      </c>
      <c r="J421" t="e">
        <f>_xlfn.XLOOKUP(Table1[[#This Row],[Key]],Recidivism!C:C,Recidivism!D:D)</f>
        <v>#N/A</v>
      </c>
      <c r="K421">
        <f>IF(ISNA(Table1[[#This Row],[convicts_admitted_raw]]), _xlfn.AGGREGATE(1, 6, Table1[convicts_admitted_raw]), Table1[[#This Row],[convicts_admitted_raw]])</f>
        <v>6702.8672768878714</v>
      </c>
      <c r="L421" t="e">
        <f>_xlfn.XLOOKUP(Table1[[#This Row],[Key]],Recidivism!C:C,Recidivism!E:E)</f>
        <v>#N/A</v>
      </c>
      <c r="M421">
        <f>IF(ISNA(Table1[[#This Row],[habitual_offenders]]), _xlfn.AGGREGATE(1, 6, Table1[habitual_offenders]), Table1[[#This Row],[habitual_offenders]])</f>
        <v>349.79176201372997</v>
      </c>
      <c r="N421">
        <f>_xlfn.XLOOKUP(Table1[[#This Row],[Key]],Vocational!C:C,Vocational!E:E)</f>
        <v>59</v>
      </c>
      <c r="O421">
        <f>IF(ISNA(Table1[[#This Row],[vocational_count]]), _xlfn.AGGREGATE(1, 6,Table1[vocational_count]), Table1[[#This Row],[vocational_count]])</f>
        <v>59</v>
      </c>
    </row>
    <row r="422" spans="1:15" x14ac:dyDescent="0.3">
      <c r="A422" t="s">
        <v>16</v>
      </c>
      <c r="B422">
        <v>2013</v>
      </c>
      <c r="C422" t="str">
        <f>_xlfn.CONCAT(Table1[[#This Row],[STATE]],"-",Table1[[#This Row],[YEAR]])</f>
        <v>Jharkhand-2013</v>
      </c>
      <c r="D422">
        <v>3008</v>
      </c>
      <c r="E422">
        <v>2595</v>
      </c>
      <c r="F422">
        <v>138</v>
      </c>
      <c r="G422">
        <v>574</v>
      </c>
      <c r="H422" t="e">
        <f>_xlfn.XLOOKUP(Table1[[#This Row],[Key]],policseStrength!C:C,policseStrength!R:R)</f>
        <v>#N/A</v>
      </c>
      <c r="I422">
        <f>IF(ISNA(Table1[[#This Row],[total_ps]]), _xlfn.AGGREGATE(1, 6, Table1[total_ps]), Table1[[#This Row],[total_ps]])</f>
        <v>20128.370106761566</v>
      </c>
      <c r="J422">
        <f>_xlfn.XLOOKUP(Table1[[#This Row],[Key]],Recidivism!C:C,Recidivism!D:D)</f>
        <v>2863</v>
      </c>
      <c r="K422">
        <f>IF(ISNA(Table1[[#This Row],[convicts_admitted_raw]]), _xlfn.AGGREGATE(1, 6, Table1[convicts_admitted_raw]), Table1[[#This Row],[convicts_admitted_raw]])</f>
        <v>2863</v>
      </c>
      <c r="L422">
        <f>_xlfn.XLOOKUP(Table1[[#This Row],[Key]],Recidivism!C:C,Recidivism!E:E)</f>
        <v>499</v>
      </c>
      <c r="M422">
        <f>IF(ISNA(Table1[[#This Row],[habitual_offenders]]), _xlfn.AGGREGATE(1, 6, Table1[habitual_offenders]), Table1[[#This Row],[habitual_offenders]])</f>
        <v>499</v>
      </c>
      <c r="N422">
        <f>_xlfn.XLOOKUP(Table1[[#This Row],[Key]],Vocational!C:C,Vocational!E:E)</f>
        <v>182</v>
      </c>
      <c r="O422">
        <f>IF(ISNA(Table1[[#This Row],[vocational_count]]), _xlfn.AGGREGATE(1, 6,Table1[vocational_count]), Table1[[#This Row],[vocational_count]])</f>
        <v>182</v>
      </c>
    </row>
    <row r="423" spans="1:15" x14ac:dyDescent="0.3">
      <c r="A423" t="s">
        <v>17</v>
      </c>
      <c r="B423">
        <v>2013</v>
      </c>
      <c r="C423" t="str">
        <f>_xlfn.CONCAT(Table1[[#This Row],[STATE]],"-",Table1[[#This Row],[YEAR]])</f>
        <v>Karnataka-2013</v>
      </c>
      <c r="D423">
        <v>633</v>
      </c>
      <c r="E423">
        <v>568</v>
      </c>
      <c r="F423">
        <v>170</v>
      </c>
      <c r="G423">
        <v>12</v>
      </c>
      <c r="H423" t="e">
        <f>_xlfn.XLOOKUP(Table1[[#This Row],[Key]],policseStrength!C:C,policseStrength!R:R)</f>
        <v>#N/A</v>
      </c>
      <c r="I423">
        <f>IF(ISNA(Table1[[#This Row],[total_ps]]), _xlfn.AGGREGATE(1, 6, Table1[total_ps]), Table1[[#This Row],[total_ps]])</f>
        <v>20128.370106761566</v>
      </c>
      <c r="J423">
        <f>_xlfn.XLOOKUP(Table1[[#This Row],[Key]],Recidivism!C:C,Recidivism!D:D)</f>
        <v>31573</v>
      </c>
      <c r="K423">
        <f>IF(ISNA(Table1[[#This Row],[convicts_admitted_raw]]), _xlfn.AGGREGATE(1, 6, Table1[convicts_admitted_raw]), Table1[[#This Row],[convicts_admitted_raw]])</f>
        <v>31573</v>
      </c>
      <c r="L423">
        <f>_xlfn.XLOOKUP(Table1[[#This Row],[Key]],Recidivism!C:C,Recidivism!E:E)</f>
        <v>13</v>
      </c>
      <c r="M423">
        <f>IF(ISNA(Table1[[#This Row],[habitual_offenders]]), _xlfn.AGGREGATE(1, 6, Table1[habitual_offenders]), Table1[[#This Row],[habitual_offenders]])</f>
        <v>13</v>
      </c>
      <c r="N423">
        <f>_xlfn.XLOOKUP(Table1[[#This Row],[Key]],Vocational!C:C,Vocational!E:E)</f>
        <v>3</v>
      </c>
      <c r="O423">
        <f>IF(ISNA(Table1[[#This Row],[vocational_count]]), _xlfn.AGGREGATE(1, 6,Table1[vocational_count]), Table1[[#This Row],[vocational_count]])</f>
        <v>3</v>
      </c>
    </row>
    <row r="424" spans="1:15" x14ac:dyDescent="0.3">
      <c r="A424" t="s">
        <v>18</v>
      </c>
      <c r="B424">
        <v>2013</v>
      </c>
      <c r="C424" t="str">
        <f>_xlfn.CONCAT(Table1[[#This Row],[STATE]],"-",Table1[[#This Row],[YEAR]])</f>
        <v>Kerala-2013</v>
      </c>
      <c r="D424">
        <v>156</v>
      </c>
      <c r="E424">
        <v>96</v>
      </c>
      <c r="F424">
        <v>24</v>
      </c>
      <c r="G424">
        <v>250</v>
      </c>
      <c r="H424" t="e">
        <f>_xlfn.XLOOKUP(Table1[[#This Row],[Key]],policseStrength!C:C,policseStrength!R:R)</f>
        <v>#N/A</v>
      </c>
      <c r="I424">
        <f>IF(ISNA(Table1[[#This Row],[total_ps]]), _xlfn.AGGREGATE(1, 6, Table1[total_ps]), Table1[[#This Row],[total_ps]])</f>
        <v>20128.370106761566</v>
      </c>
      <c r="J424">
        <f>_xlfn.XLOOKUP(Table1[[#This Row],[Key]],Recidivism!C:C,Recidivism!D:D)</f>
        <v>6861</v>
      </c>
      <c r="K424">
        <f>IF(ISNA(Table1[[#This Row],[convicts_admitted_raw]]), _xlfn.AGGREGATE(1, 6, Table1[convicts_admitted_raw]), Table1[[#This Row],[convicts_admitted_raw]])</f>
        <v>6861</v>
      </c>
      <c r="L424">
        <f>_xlfn.XLOOKUP(Table1[[#This Row],[Key]],Recidivism!C:C,Recidivism!E:E)</f>
        <v>220</v>
      </c>
      <c r="M424">
        <f>IF(ISNA(Table1[[#This Row],[habitual_offenders]]), _xlfn.AGGREGATE(1, 6, Table1[habitual_offenders]), Table1[[#This Row],[habitual_offenders]])</f>
        <v>220</v>
      </c>
      <c r="N424">
        <f>_xlfn.XLOOKUP(Table1[[#This Row],[Key]],Vocational!C:C,Vocational!E:E)</f>
        <v>56</v>
      </c>
      <c r="O424">
        <f>IF(ISNA(Table1[[#This Row],[vocational_count]]), _xlfn.AGGREGATE(1, 6,Table1[vocational_count]), Table1[[#This Row],[vocational_count]])</f>
        <v>56</v>
      </c>
    </row>
    <row r="425" spans="1:15" x14ac:dyDescent="0.3">
      <c r="A425" t="s">
        <v>19</v>
      </c>
      <c r="B425">
        <v>2013</v>
      </c>
      <c r="C425" t="str">
        <f>_xlfn.CONCAT(Table1[[#This Row],[STATE]],"-",Table1[[#This Row],[YEAR]])</f>
        <v>Madhya Pradesh-2013</v>
      </c>
      <c r="D425">
        <v>1978</v>
      </c>
      <c r="E425">
        <v>9574</v>
      </c>
      <c r="F425">
        <v>301</v>
      </c>
      <c r="G425">
        <v>151</v>
      </c>
      <c r="H425" t="e">
        <f>_xlfn.XLOOKUP(Table1[[#This Row],[Key]],policseStrength!C:C,policseStrength!R:R)</f>
        <v>#N/A</v>
      </c>
      <c r="I425">
        <f>IF(ISNA(Table1[[#This Row],[total_ps]]), _xlfn.AGGREGATE(1, 6, Table1[total_ps]), Table1[[#This Row],[total_ps]])</f>
        <v>20128.370106761566</v>
      </c>
      <c r="J425">
        <f>_xlfn.XLOOKUP(Table1[[#This Row],[Key]],Recidivism!C:C,Recidivism!D:D)</f>
        <v>14602</v>
      </c>
      <c r="K425">
        <f>IF(ISNA(Table1[[#This Row],[convicts_admitted_raw]]), _xlfn.AGGREGATE(1, 6, Table1[convicts_admitted_raw]), Table1[[#This Row],[convicts_admitted_raw]])</f>
        <v>14602</v>
      </c>
      <c r="L425">
        <f>_xlfn.XLOOKUP(Table1[[#This Row],[Key]],Recidivism!C:C,Recidivism!E:E)</f>
        <v>117</v>
      </c>
      <c r="M425">
        <f>IF(ISNA(Table1[[#This Row],[habitual_offenders]]), _xlfn.AGGREGATE(1, 6, Table1[habitual_offenders]), Table1[[#This Row],[habitual_offenders]])</f>
        <v>117</v>
      </c>
      <c r="N425">
        <f>_xlfn.XLOOKUP(Table1[[#This Row],[Key]],Vocational!C:C,Vocational!E:E)</f>
        <v>1773</v>
      </c>
      <c r="O425">
        <f>IF(ISNA(Table1[[#This Row],[vocational_count]]), _xlfn.AGGREGATE(1, 6,Table1[vocational_count]), Table1[[#This Row],[vocational_count]])</f>
        <v>1773</v>
      </c>
    </row>
    <row r="426" spans="1:15" x14ac:dyDescent="0.3">
      <c r="A426" t="s">
        <v>20</v>
      </c>
      <c r="B426">
        <v>2013</v>
      </c>
      <c r="C426" t="str">
        <f>_xlfn.CONCAT(Table1[[#This Row],[STATE]],"-",Table1[[#This Row],[YEAR]])</f>
        <v>Maharashtra-2013</v>
      </c>
      <c r="D426">
        <v>346</v>
      </c>
      <c r="E426">
        <v>2743</v>
      </c>
      <c r="F426">
        <v>882</v>
      </c>
      <c r="G426">
        <v>1330</v>
      </c>
      <c r="H426" t="e">
        <f>_xlfn.XLOOKUP(Table1[[#This Row],[Key]],policseStrength!C:C,policseStrength!R:R)</f>
        <v>#N/A</v>
      </c>
      <c r="I426">
        <f>IF(ISNA(Table1[[#This Row],[total_ps]]), _xlfn.AGGREGATE(1, 6, Table1[total_ps]), Table1[[#This Row],[total_ps]])</f>
        <v>20128.370106761566</v>
      </c>
      <c r="J426">
        <f>_xlfn.XLOOKUP(Table1[[#This Row],[Key]],Recidivism!C:C,Recidivism!D:D)</f>
        <v>21270</v>
      </c>
      <c r="K426">
        <f>IF(ISNA(Table1[[#This Row],[convicts_admitted_raw]]), _xlfn.AGGREGATE(1, 6, Table1[convicts_admitted_raw]), Table1[[#This Row],[convicts_admitted_raw]])</f>
        <v>21270</v>
      </c>
      <c r="L426">
        <f>_xlfn.XLOOKUP(Table1[[#This Row],[Key]],Recidivism!C:C,Recidivism!E:E)</f>
        <v>0</v>
      </c>
      <c r="M426">
        <f>IF(ISNA(Table1[[#This Row],[habitual_offenders]]), _xlfn.AGGREGATE(1, 6, Table1[habitual_offenders]), Table1[[#This Row],[habitual_offenders]])</f>
        <v>0</v>
      </c>
      <c r="N426">
        <f>_xlfn.XLOOKUP(Table1[[#This Row],[Key]],Vocational!C:C,Vocational!E:E)</f>
        <v>633</v>
      </c>
      <c r="O426">
        <f>IF(ISNA(Table1[[#This Row],[vocational_count]]), _xlfn.AGGREGATE(1, 6,Table1[vocational_count]), Table1[[#This Row],[vocational_count]])</f>
        <v>633</v>
      </c>
    </row>
    <row r="427" spans="1:15" x14ac:dyDescent="0.3">
      <c r="A427" t="s">
        <v>21</v>
      </c>
      <c r="B427">
        <v>2013</v>
      </c>
      <c r="C427" t="str">
        <f>_xlfn.CONCAT(Table1[[#This Row],[STATE]],"-",Table1[[#This Row],[YEAR]])</f>
        <v>Manipur-2013</v>
      </c>
      <c r="D427">
        <v>0</v>
      </c>
      <c r="E427">
        <v>0</v>
      </c>
      <c r="F427">
        <v>0</v>
      </c>
      <c r="G427">
        <v>0</v>
      </c>
      <c r="H427" t="e">
        <f>_xlfn.XLOOKUP(Table1[[#This Row],[Key]],policseStrength!C:C,policseStrength!R:R)</f>
        <v>#N/A</v>
      </c>
      <c r="I427">
        <f>IF(ISNA(Table1[[#This Row],[total_ps]]), _xlfn.AGGREGATE(1, 6, Table1[total_ps]), Table1[[#This Row],[total_ps]])</f>
        <v>20128.370106761566</v>
      </c>
      <c r="J427">
        <f>_xlfn.XLOOKUP(Table1[[#This Row],[Key]],Recidivism!C:C,Recidivism!D:D)</f>
        <v>52</v>
      </c>
      <c r="K427">
        <f>IF(ISNA(Table1[[#This Row],[convicts_admitted_raw]]), _xlfn.AGGREGATE(1, 6, Table1[convicts_admitted_raw]), Table1[[#This Row],[convicts_admitted_raw]])</f>
        <v>52</v>
      </c>
      <c r="L427">
        <f>_xlfn.XLOOKUP(Table1[[#This Row],[Key]],Recidivism!C:C,Recidivism!E:E)</f>
        <v>0</v>
      </c>
      <c r="M427">
        <f>IF(ISNA(Table1[[#This Row],[habitual_offenders]]), _xlfn.AGGREGATE(1, 6, Table1[habitual_offenders]), Table1[[#This Row],[habitual_offenders]])</f>
        <v>0</v>
      </c>
      <c r="N427">
        <f>_xlfn.XLOOKUP(Table1[[#This Row],[Key]],Vocational!C:C,Vocational!E:E)</f>
        <v>15</v>
      </c>
      <c r="O427">
        <f>IF(ISNA(Table1[[#This Row],[vocational_count]]), _xlfn.AGGREGATE(1, 6,Table1[vocational_count]), Table1[[#This Row],[vocational_count]])</f>
        <v>15</v>
      </c>
    </row>
    <row r="428" spans="1:15" x14ac:dyDescent="0.3">
      <c r="A428" t="s">
        <v>22</v>
      </c>
      <c r="B428">
        <v>2013</v>
      </c>
      <c r="C428" t="str">
        <f>_xlfn.CONCAT(Table1[[#This Row],[STATE]],"-",Table1[[#This Row],[YEAR]])</f>
        <v>Meghalaya-2013</v>
      </c>
      <c r="D428">
        <v>1</v>
      </c>
      <c r="E428">
        <v>30</v>
      </c>
      <c r="F428">
        <v>0</v>
      </c>
      <c r="G428">
        <v>0</v>
      </c>
      <c r="H428" t="e">
        <f>_xlfn.XLOOKUP(Table1[[#This Row],[Key]],policseStrength!C:C,policseStrength!R:R)</f>
        <v>#N/A</v>
      </c>
      <c r="I428">
        <f>IF(ISNA(Table1[[#This Row],[total_ps]]), _xlfn.AGGREGATE(1, 6, Table1[total_ps]), Table1[[#This Row],[total_ps]])</f>
        <v>20128.370106761566</v>
      </c>
      <c r="J428">
        <f>_xlfn.XLOOKUP(Table1[[#This Row],[Key]],Recidivism!C:C,Recidivism!D:D)</f>
        <v>87</v>
      </c>
      <c r="K428">
        <f>IF(ISNA(Table1[[#This Row],[convicts_admitted_raw]]), _xlfn.AGGREGATE(1, 6, Table1[convicts_admitted_raw]), Table1[[#This Row],[convicts_admitted_raw]])</f>
        <v>87</v>
      </c>
      <c r="L428">
        <f>_xlfn.XLOOKUP(Table1[[#This Row],[Key]],Recidivism!C:C,Recidivism!E:E)</f>
        <v>3</v>
      </c>
      <c r="M428">
        <f>IF(ISNA(Table1[[#This Row],[habitual_offenders]]), _xlfn.AGGREGATE(1, 6, Table1[habitual_offenders]), Table1[[#This Row],[habitual_offenders]])</f>
        <v>3</v>
      </c>
      <c r="N428">
        <f>_xlfn.XLOOKUP(Table1[[#This Row],[Key]],Vocational!C:C,Vocational!E:E)</f>
        <v>62</v>
      </c>
      <c r="O428">
        <f>IF(ISNA(Table1[[#This Row],[vocational_count]]), _xlfn.AGGREGATE(1, 6,Table1[vocational_count]), Table1[[#This Row],[vocational_count]])</f>
        <v>62</v>
      </c>
    </row>
    <row r="429" spans="1:15" x14ac:dyDescent="0.3">
      <c r="A429" t="s">
        <v>23</v>
      </c>
      <c r="B429">
        <v>2013</v>
      </c>
      <c r="C429" t="str">
        <f>_xlfn.CONCAT(Table1[[#This Row],[STATE]],"-",Table1[[#This Row],[YEAR]])</f>
        <v>Mizoram-2013</v>
      </c>
      <c r="D429">
        <v>0</v>
      </c>
      <c r="E429">
        <v>25</v>
      </c>
      <c r="F429">
        <v>18</v>
      </c>
      <c r="G429">
        <v>0</v>
      </c>
      <c r="H429" t="e">
        <f>_xlfn.XLOOKUP(Table1[[#This Row],[Key]],policseStrength!C:C,policseStrength!R:R)</f>
        <v>#N/A</v>
      </c>
      <c r="I429">
        <f>IF(ISNA(Table1[[#This Row],[total_ps]]), _xlfn.AGGREGATE(1, 6, Table1[total_ps]), Table1[[#This Row],[total_ps]])</f>
        <v>20128.370106761566</v>
      </c>
      <c r="J429">
        <f>_xlfn.XLOOKUP(Table1[[#This Row],[Key]],Recidivism!C:C,Recidivism!D:D)</f>
        <v>2540</v>
      </c>
      <c r="K429">
        <f>IF(ISNA(Table1[[#This Row],[convicts_admitted_raw]]), _xlfn.AGGREGATE(1, 6, Table1[convicts_admitted_raw]), Table1[[#This Row],[convicts_admitted_raw]])</f>
        <v>2540</v>
      </c>
      <c r="L429">
        <f>_xlfn.XLOOKUP(Table1[[#This Row],[Key]],Recidivism!C:C,Recidivism!E:E)</f>
        <v>491</v>
      </c>
      <c r="M429">
        <f>IF(ISNA(Table1[[#This Row],[habitual_offenders]]), _xlfn.AGGREGATE(1, 6, Table1[habitual_offenders]), Table1[[#This Row],[habitual_offenders]])</f>
        <v>491</v>
      </c>
      <c r="N429">
        <f>_xlfn.XLOOKUP(Table1[[#This Row],[Key]],Vocational!C:C,Vocational!E:E)</f>
        <v>35</v>
      </c>
      <c r="O429">
        <f>IF(ISNA(Table1[[#This Row],[vocational_count]]), _xlfn.AGGREGATE(1, 6,Table1[vocational_count]), Table1[[#This Row],[vocational_count]])</f>
        <v>35</v>
      </c>
    </row>
    <row r="430" spans="1:15" x14ac:dyDescent="0.3">
      <c r="A430" t="s">
        <v>24</v>
      </c>
      <c r="B430">
        <v>2013</v>
      </c>
      <c r="C430" t="str">
        <f>_xlfn.CONCAT(Table1[[#This Row],[STATE]],"-",Table1[[#This Row],[YEAR]])</f>
        <v>Nagaland-2013</v>
      </c>
      <c r="D430">
        <v>0</v>
      </c>
      <c r="E430">
        <v>0</v>
      </c>
      <c r="F430">
        <v>0</v>
      </c>
      <c r="G430">
        <v>0</v>
      </c>
      <c r="H430" t="e">
        <f>_xlfn.XLOOKUP(Table1[[#This Row],[Key]],policseStrength!C:C,policseStrength!R:R)</f>
        <v>#N/A</v>
      </c>
      <c r="I430">
        <f>IF(ISNA(Table1[[#This Row],[total_ps]]), _xlfn.AGGREGATE(1, 6, Table1[total_ps]), Table1[[#This Row],[total_ps]])</f>
        <v>20128.370106761566</v>
      </c>
      <c r="J430">
        <f>_xlfn.XLOOKUP(Table1[[#This Row],[Key]],Recidivism!C:C,Recidivism!D:D)</f>
        <v>119</v>
      </c>
      <c r="K430">
        <f>IF(ISNA(Table1[[#This Row],[convicts_admitted_raw]]), _xlfn.AGGREGATE(1, 6, Table1[convicts_admitted_raw]), Table1[[#This Row],[convicts_admitted_raw]])</f>
        <v>119</v>
      </c>
      <c r="L430">
        <f>_xlfn.XLOOKUP(Table1[[#This Row],[Key]],Recidivism!C:C,Recidivism!E:E)</f>
        <v>5</v>
      </c>
      <c r="M430">
        <f>IF(ISNA(Table1[[#This Row],[habitual_offenders]]), _xlfn.AGGREGATE(1, 6, Table1[habitual_offenders]), Table1[[#This Row],[habitual_offenders]])</f>
        <v>5</v>
      </c>
      <c r="N430">
        <f>_xlfn.XLOOKUP(Table1[[#This Row],[Key]],Vocational!C:C,Vocational!E:E)</f>
        <v>9</v>
      </c>
      <c r="O430">
        <f>IF(ISNA(Table1[[#This Row],[vocational_count]]), _xlfn.AGGREGATE(1, 6,Table1[vocational_count]), Table1[[#This Row],[vocational_count]])</f>
        <v>9</v>
      </c>
    </row>
    <row r="431" spans="1:15" x14ac:dyDescent="0.3">
      <c r="A431" t="s">
        <v>25</v>
      </c>
      <c r="B431">
        <v>2013</v>
      </c>
      <c r="C431" t="str">
        <f>_xlfn.CONCAT(Table1[[#This Row],[STATE]],"-",Table1[[#This Row],[YEAR]])</f>
        <v>Orissa-2013</v>
      </c>
      <c r="D431">
        <v>622</v>
      </c>
      <c r="E431">
        <v>613</v>
      </c>
      <c r="F431">
        <v>277</v>
      </c>
      <c r="G431">
        <v>384</v>
      </c>
      <c r="H431" t="e">
        <f>_xlfn.XLOOKUP(Table1[[#This Row],[Key]],policseStrength!C:C,policseStrength!R:R)</f>
        <v>#N/A</v>
      </c>
      <c r="I431">
        <f>IF(ISNA(Table1[[#This Row],[total_ps]]), _xlfn.AGGREGATE(1, 6, Table1[total_ps]), Table1[[#This Row],[total_ps]])</f>
        <v>20128.370106761566</v>
      </c>
      <c r="J431" t="e">
        <f>_xlfn.XLOOKUP(Table1[[#This Row],[Key]],Recidivism!C:C,Recidivism!D:D)</f>
        <v>#N/A</v>
      </c>
      <c r="K431">
        <f>IF(ISNA(Table1[[#This Row],[convicts_admitted_raw]]), _xlfn.AGGREGATE(1, 6, Table1[convicts_admitted_raw]), Table1[[#This Row],[convicts_admitted_raw]])</f>
        <v>6702.8672768878714</v>
      </c>
      <c r="L431" t="e">
        <f>_xlfn.XLOOKUP(Table1[[#This Row],[Key]],Recidivism!C:C,Recidivism!E:E)</f>
        <v>#N/A</v>
      </c>
      <c r="M431">
        <f>IF(ISNA(Table1[[#This Row],[habitual_offenders]]), _xlfn.AGGREGATE(1, 6, Table1[habitual_offenders]), Table1[[#This Row],[habitual_offenders]])</f>
        <v>349.79176201372997</v>
      </c>
      <c r="N431">
        <f>_xlfn.XLOOKUP(Table1[[#This Row],[Key]],Vocational!C:C,Vocational!E:E)</f>
        <v>349</v>
      </c>
      <c r="O431">
        <f>IF(ISNA(Table1[[#This Row],[vocational_count]]), _xlfn.AGGREGATE(1, 6,Table1[vocational_count]), Table1[[#This Row],[vocational_count]])</f>
        <v>349</v>
      </c>
    </row>
    <row r="432" spans="1:15" x14ac:dyDescent="0.3">
      <c r="A432" t="s">
        <v>26</v>
      </c>
      <c r="B432">
        <v>2013</v>
      </c>
      <c r="C432" t="str">
        <f>_xlfn.CONCAT(Table1[[#This Row],[STATE]],"-",Table1[[#This Row],[YEAR]])</f>
        <v>Punjab-2013</v>
      </c>
      <c r="D432">
        <v>325</v>
      </c>
      <c r="E432">
        <v>606</v>
      </c>
      <c r="F432">
        <v>112</v>
      </c>
      <c r="G432">
        <v>168</v>
      </c>
      <c r="H432" t="e">
        <f>_xlfn.XLOOKUP(Table1[[#This Row],[Key]],policseStrength!C:C,policseStrength!R:R)</f>
        <v>#N/A</v>
      </c>
      <c r="I432">
        <f>IF(ISNA(Table1[[#This Row],[total_ps]]), _xlfn.AGGREGATE(1, 6, Table1[total_ps]), Table1[[#This Row],[total_ps]])</f>
        <v>20128.370106761566</v>
      </c>
      <c r="J432">
        <f>_xlfn.XLOOKUP(Table1[[#This Row],[Key]],Recidivism!C:C,Recidivism!D:D)</f>
        <v>7863</v>
      </c>
      <c r="K432">
        <f>IF(ISNA(Table1[[#This Row],[convicts_admitted_raw]]), _xlfn.AGGREGATE(1, 6, Table1[convicts_admitted_raw]), Table1[[#This Row],[convicts_admitted_raw]])</f>
        <v>7863</v>
      </c>
      <c r="L432">
        <f>_xlfn.XLOOKUP(Table1[[#This Row],[Key]],Recidivism!C:C,Recidivism!E:E)</f>
        <v>340</v>
      </c>
      <c r="M432">
        <f>IF(ISNA(Table1[[#This Row],[habitual_offenders]]), _xlfn.AGGREGATE(1, 6, Table1[habitual_offenders]), Table1[[#This Row],[habitual_offenders]])</f>
        <v>340</v>
      </c>
      <c r="N432">
        <f>_xlfn.XLOOKUP(Table1[[#This Row],[Key]],Vocational!C:C,Vocational!E:E)</f>
        <v>710</v>
      </c>
      <c r="O432">
        <f>IF(ISNA(Table1[[#This Row],[vocational_count]]), _xlfn.AGGREGATE(1, 6,Table1[vocational_count]), Table1[[#This Row],[vocational_count]])</f>
        <v>710</v>
      </c>
    </row>
    <row r="433" spans="1:15" x14ac:dyDescent="0.3">
      <c r="A433" t="s">
        <v>27</v>
      </c>
      <c r="B433">
        <v>2013</v>
      </c>
      <c r="C433" t="str">
        <f>_xlfn.CONCAT(Table1[[#This Row],[STATE]],"-",Table1[[#This Row],[YEAR]])</f>
        <v>Rajasthan-2013</v>
      </c>
      <c r="D433">
        <v>1050</v>
      </c>
      <c r="E433">
        <v>237</v>
      </c>
      <c r="F433">
        <v>64</v>
      </c>
      <c r="G433">
        <v>38</v>
      </c>
      <c r="H433" t="e">
        <f>_xlfn.XLOOKUP(Table1[[#This Row],[Key]],policseStrength!C:C,policseStrength!R:R)</f>
        <v>#N/A</v>
      </c>
      <c r="I433">
        <f>IF(ISNA(Table1[[#This Row],[total_ps]]), _xlfn.AGGREGATE(1, 6, Table1[total_ps]), Table1[[#This Row],[total_ps]])</f>
        <v>20128.370106761566</v>
      </c>
      <c r="J433">
        <f>_xlfn.XLOOKUP(Table1[[#This Row],[Key]],Recidivism!C:C,Recidivism!D:D)</f>
        <v>5995</v>
      </c>
      <c r="K433">
        <f>IF(ISNA(Table1[[#This Row],[convicts_admitted_raw]]), _xlfn.AGGREGATE(1, 6, Table1[convicts_admitted_raw]), Table1[[#This Row],[convicts_admitted_raw]])</f>
        <v>5995</v>
      </c>
      <c r="L433">
        <f>_xlfn.XLOOKUP(Table1[[#This Row],[Key]],Recidivism!C:C,Recidivism!E:E)</f>
        <v>297</v>
      </c>
      <c r="M433">
        <f>IF(ISNA(Table1[[#This Row],[habitual_offenders]]), _xlfn.AGGREGATE(1, 6, Table1[habitual_offenders]), Table1[[#This Row],[habitual_offenders]])</f>
        <v>297</v>
      </c>
      <c r="N433">
        <f>_xlfn.XLOOKUP(Table1[[#This Row],[Key]],Vocational!C:C,Vocational!E:E)</f>
        <v>1527</v>
      </c>
      <c r="O433">
        <f>IF(ISNA(Table1[[#This Row],[vocational_count]]), _xlfn.AGGREGATE(1, 6,Table1[vocational_count]), Table1[[#This Row],[vocational_count]])</f>
        <v>1527</v>
      </c>
    </row>
    <row r="434" spans="1:15" x14ac:dyDescent="0.3">
      <c r="A434" t="s">
        <v>28</v>
      </c>
      <c r="B434">
        <v>2013</v>
      </c>
      <c r="C434" t="str">
        <f>_xlfn.CONCAT(Table1[[#This Row],[STATE]],"-",Table1[[#This Row],[YEAR]])</f>
        <v>Sikkim-2013</v>
      </c>
      <c r="D434">
        <v>0</v>
      </c>
      <c r="E434">
        <v>0</v>
      </c>
      <c r="F434">
        <v>0</v>
      </c>
      <c r="G434">
        <v>0</v>
      </c>
      <c r="H434" t="e">
        <f>_xlfn.XLOOKUP(Table1[[#This Row],[Key]],policseStrength!C:C,policseStrength!R:R)</f>
        <v>#N/A</v>
      </c>
      <c r="I434">
        <f>IF(ISNA(Table1[[#This Row],[total_ps]]), _xlfn.AGGREGATE(1, 6, Table1[total_ps]), Table1[[#This Row],[total_ps]])</f>
        <v>20128.370106761566</v>
      </c>
      <c r="J434">
        <f>_xlfn.XLOOKUP(Table1[[#This Row],[Key]],Recidivism!C:C,Recidivism!D:D)</f>
        <v>125</v>
      </c>
      <c r="K434">
        <f>IF(ISNA(Table1[[#This Row],[convicts_admitted_raw]]), _xlfn.AGGREGATE(1, 6, Table1[convicts_admitted_raw]), Table1[[#This Row],[convicts_admitted_raw]])</f>
        <v>125</v>
      </c>
      <c r="L434">
        <f>_xlfn.XLOOKUP(Table1[[#This Row],[Key]],Recidivism!C:C,Recidivism!E:E)</f>
        <v>5</v>
      </c>
      <c r="M434">
        <f>IF(ISNA(Table1[[#This Row],[habitual_offenders]]), _xlfn.AGGREGATE(1, 6, Table1[habitual_offenders]), Table1[[#This Row],[habitual_offenders]])</f>
        <v>5</v>
      </c>
      <c r="N434">
        <f>_xlfn.XLOOKUP(Table1[[#This Row],[Key]],Vocational!C:C,Vocational!E:E)</f>
        <v>18</v>
      </c>
      <c r="O434">
        <f>IF(ISNA(Table1[[#This Row],[vocational_count]]), _xlfn.AGGREGATE(1, 6,Table1[vocational_count]), Table1[[#This Row],[vocational_count]])</f>
        <v>18</v>
      </c>
    </row>
    <row r="435" spans="1:15" x14ac:dyDescent="0.3">
      <c r="A435" t="s">
        <v>42</v>
      </c>
      <c r="B435">
        <v>2013</v>
      </c>
      <c r="C435" t="str">
        <f>_xlfn.CONCAT(Table1[[#This Row],[STATE]],"-",Table1[[#This Row],[YEAR]])</f>
        <v>Tamil Nadu-2013</v>
      </c>
      <c r="D435">
        <v>68</v>
      </c>
      <c r="E435">
        <v>1664</v>
      </c>
      <c r="F435">
        <v>757</v>
      </c>
      <c r="G435">
        <v>478</v>
      </c>
      <c r="H435" t="e">
        <f>_xlfn.XLOOKUP(Table1[[#This Row],[Key]],policseStrength!C:C,policseStrength!R:R)</f>
        <v>#N/A</v>
      </c>
      <c r="I435">
        <f>IF(ISNA(Table1[[#This Row],[total_ps]]), _xlfn.AGGREGATE(1, 6, Table1[total_ps]), Table1[[#This Row],[total_ps]])</f>
        <v>20128.370106761566</v>
      </c>
      <c r="J435">
        <f>_xlfn.XLOOKUP(Table1[[#This Row],[Key]],Recidivism!C:C,Recidivism!D:D)</f>
        <v>3905</v>
      </c>
      <c r="K435">
        <f>IF(ISNA(Table1[[#This Row],[convicts_admitted_raw]]), _xlfn.AGGREGATE(1, 6, Table1[convicts_admitted_raw]), Table1[[#This Row],[convicts_admitted_raw]])</f>
        <v>3905</v>
      </c>
      <c r="L435">
        <f>_xlfn.XLOOKUP(Table1[[#This Row],[Key]],Recidivism!C:C,Recidivism!E:E)</f>
        <v>29</v>
      </c>
      <c r="M435">
        <f>IF(ISNA(Table1[[#This Row],[habitual_offenders]]), _xlfn.AGGREGATE(1, 6, Table1[habitual_offenders]), Table1[[#This Row],[habitual_offenders]])</f>
        <v>29</v>
      </c>
      <c r="N435" t="e">
        <f>_xlfn.XLOOKUP(Table1[[#This Row],[Key]],Vocational!C:C,Vocational!E:E)</f>
        <v>#N/A</v>
      </c>
      <c r="O435">
        <f>IF(ISNA(Table1[[#This Row],[vocational_count]]), _xlfn.AGGREGATE(1, 6,Table1[vocational_count]), Table1[[#This Row],[vocational_count]])</f>
        <v>249.28426395939087</v>
      </c>
    </row>
    <row r="436" spans="1:15" x14ac:dyDescent="0.3">
      <c r="A436" t="s">
        <v>30</v>
      </c>
      <c r="B436">
        <v>2013</v>
      </c>
      <c r="C436" t="str">
        <f>_xlfn.CONCAT(Table1[[#This Row],[STATE]],"-",Table1[[#This Row],[YEAR]])</f>
        <v>Tripura-2013</v>
      </c>
      <c r="D436">
        <v>15</v>
      </c>
      <c r="E436">
        <v>13</v>
      </c>
      <c r="F436">
        <v>4</v>
      </c>
      <c r="G436">
        <v>2</v>
      </c>
      <c r="H436" t="e">
        <f>_xlfn.XLOOKUP(Table1[[#This Row],[Key]],policseStrength!C:C,policseStrength!R:R)</f>
        <v>#N/A</v>
      </c>
      <c r="I436">
        <f>IF(ISNA(Table1[[#This Row],[total_ps]]), _xlfn.AGGREGATE(1, 6, Table1[total_ps]), Table1[[#This Row],[total_ps]])</f>
        <v>20128.370106761566</v>
      </c>
      <c r="J436">
        <f>_xlfn.XLOOKUP(Table1[[#This Row],[Key]],Recidivism!C:C,Recidivism!D:D)</f>
        <v>1485</v>
      </c>
      <c r="K436">
        <f>IF(ISNA(Table1[[#This Row],[convicts_admitted_raw]]), _xlfn.AGGREGATE(1, 6, Table1[convicts_admitted_raw]), Table1[[#This Row],[convicts_admitted_raw]])</f>
        <v>1485</v>
      </c>
      <c r="L436">
        <f>_xlfn.XLOOKUP(Table1[[#This Row],[Key]],Recidivism!C:C,Recidivism!E:E)</f>
        <v>28</v>
      </c>
      <c r="M436">
        <f>IF(ISNA(Table1[[#This Row],[habitual_offenders]]), _xlfn.AGGREGATE(1, 6, Table1[habitual_offenders]), Table1[[#This Row],[habitual_offenders]])</f>
        <v>28</v>
      </c>
      <c r="N436">
        <f>_xlfn.XLOOKUP(Table1[[#This Row],[Key]],Vocational!C:C,Vocational!E:E)</f>
        <v>20</v>
      </c>
      <c r="O436">
        <f>IF(ISNA(Table1[[#This Row],[vocational_count]]), _xlfn.AGGREGATE(1, 6,Table1[vocational_count]), Table1[[#This Row],[vocational_count]])</f>
        <v>20</v>
      </c>
    </row>
    <row r="437" spans="1:15" x14ac:dyDescent="0.3">
      <c r="A437" t="s">
        <v>31</v>
      </c>
      <c r="B437">
        <v>2013</v>
      </c>
      <c r="C437" t="str">
        <f>_xlfn.CONCAT(Table1[[#This Row],[STATE]],"-",Table1[[#This Row],[YEAR]])</f>
        <v>Uttar Pradesh-2013</v>
      </c>
      <c r="D437">
        <v>7876</v>
      </c>
      <c r="E437">
        <v>8093</v>
      </c>
      <c r="F437">
        <v>1353</v>
      </c>
      <c r="G437">
        <v>212</v>
      </c>
      <c r="H437" t="e">
        <f>_xlfn.XLOOKUP(Table1[[#This Row],[Key]],policseStrength!C:C,policseStrength!R:R)</f>
        <v>#N/A</v>
      </c>
      <c r="I437">
        <f>IF(ISNA(Table1[[#This Row],[total_ps]]), _xlfn.AGGREGATE(1, 6, Table1[total_ps]), Table1[[#This Row],[total_ps]])</f>
        <v>20128.370106761566</v>
      </c>
      <c r="J437">
        <f>_xlfn.XLOOKUP(Table1[[#This Row],[Key]],Recidivism!C:C,Recidivism!D:D)</f>
        <v>30159</v>
      </c>
      <c r="K437">
        <f>IF(ISNA(Table1[[#This Row],[convicts_admitted_raw]]), _xlfn.AGGREGATE(1, 6, Table1[convicts_admitted_raw]), Table1[[#This Row],[convicts_admitted_raw]])</f>
        <v>30159</v>
      </c>
      <c r="L437">
        <f>_xlfn.XLOOKUP(Table1[[#This Row],[Key]],Recidivism!C:C,Recidivism!E:E)</f>
        <v>1081</v>
      </c>
      <c r="M437">
        <f>IF(ISNA(Table1[[#This Row],[habitual_offenders]]), _xlfn.AGGREGATE(1, 6, Table1[habitual_offenders]), Table1[[#This Row],[habitual_offenders]])</f>
        <v>1081</v>
      </c>
      <c r="N437">
        <f>_xlfn.XLOOKUP(Table1[[#This Row],[Key]],Vocational!C:C,Vocational!E:E)</f>
        <v>133</v>
      </c>
      <c r="O437">
        <f>IF(ISNA(Table1[[#This Row],[vocational_count]]), _xlfn.AGGREGATE(1, 6,Table1[vocational_count]), Table1[[#This Row],[vocational_count]])</f>
        <v>133</v>
      </c>
    </row>
    <row r="438" spans="1:15" x14ac:dyDescent="0.3">
      <c r="A438" t="s">
        <v>32</v>
      </c>
      <c r="B438">
        <v>2013</v>
      </c>
      <c r="C438" t="str">
        <f>_xlfn.CONCAT(Table1[[#This Row],[STATE]],"-",Table1[[#This Row],[YEAR]])</f>
        <v>Uttaranchal-2013</v>
      </c>
      <c r="D438">
        <v>205</v>
      </c>
      <c r="E438">
        <v>42</v>
      </c>
      <c r="F438">
        <v>29</v>
      </c>
      <c r="G438">
        <v>72</v>
      </c>
      <c r="H438" t="e">
        <f>_xlfn.XLOOKUP(Table1[[#This Row],[Key]],policseStrength!C:C,policseStrength!R:R)</f>
        <v>#N/A</v>
      </c>
      <c r="I438">
        <f>IF(ISNA(Table1[[#This Row],[total_ps]]), _xlfn.AGGREGATE(1, 6, Table1[total_ps]), Table1[[#This Row],[total_ps]])</f>
        <v>20128.370106761566</v>
      </c>
      <c r="J438" t="e">
        <f>_xlfn.XLOOKUP(Table1[[#This Row],[Key]],Recidivism!C:C,Recidivism!D:D)</f>
        <v>#N/A</v>
      </c>
      <c r="K438">
        <f>IF(ISNA(Table1[[#This Row],[convicts_admitted_raw]]), _xlfn.AGGREGATE(1, 6, Table1[convicts_admitted_raw]), Table1[[#This Row],[convicts_admitted_raw]])</f>
        <v>6702.8672768878714</v>
      </c>
      <c r="L438" t="e">
        <f>_xlfn.XLOOKUP(Table1[[#This Row],[Key]],Recidivism!C:C,Recidivism!E:E)</f>
        <v>#N/A</v>
      </c>
      <c r="M438">
        <f>IF(ISNA(Table1[[#This Row],[habitual_offenders]]), _xlfn.AGGREGATE(1, 6, Table1[habitual_offenders]), Table1[[#This Row],[habitual_offenders]])</f>
        <v>349.79176201372997</v>
      </c>
      <c r="N438">
        <f>_xlfn.XLOOKUP(Table1[[#This Row],[Key]],Vocational!C:C,Vocational!E:E)</f>
        <v>150</v>
      </c>
      <c r="O438">
        <f>IF(ISNA(Table1[[#This Row],[vocational_count]]), _xlfn.AGGREGATE(1, 6,Table1[vocational_count]), Table1[[#This Row],[vocational_count]])</f>
        <v>150</v>
      </c>
    </row>
    <row r="439" spans="1:15" x14ac:dyDescent="0.3">
      <c r="A439" t="s">
        <v>33</v>
      </c>
      <c r="B439">
        <v>2013</v>
      </c>
      <c r="C439" t="str">
        <f>_xlfn.CONCAT(Table1[[#This Row],[STATE]],"-",Table1[[#This Row],[YEAR]])</f>
        <v>West Bengal-2013</v>
      </c>
      <c r="D439">
        <v>2023</v>
      </c>
      <c r="E439">
        <v>1889</v>
      </c>
      <c r="F439">
        <v>123</v>
      </c>
      <c r="G439">
        <v>460</v>
      </c>
      <c r="H439" t="e">
        <f>_xlfn.XLOOKUP(Table1[[#This Row],[Key]],policseStrength!C:C,policseStrength!R:R)</f>
        <v>#N/A</v>
      </c>
      <c r="I439">
        <f>IF(ISNA(Table1[[#This Row],[total_ps]]), _xlfn.AGGREGATE(1, 6, Table1[total_ps]), Table1[[#This Row],[total_ps]])</f>
        <v>20128.370106761566</v>
      </c>
      <c r="J439">
        <f>_xlfn.XLOOKUP(Table1[[#This Row],[Key]],Recidivism!C:C,Recidivism!D:D)</f>
        <v>9152</v>
      </c>
      <c r="K439">
        <f>IF(ISNA(Table1[[#This Row],[convicts_admitted_raw]]), _xlfn.AGGREGATE(1, 6, Table1[convicts_admitted_raw]), Table1[[#This Row],[convicts_admitted_raw]])</f>
        <v>9152</v>
      </c>
      <c r="L439">
        <f>_xlfn.XLOOKUP(Table1[[#This Row],[Key]],Recidivism!C:C,Recidivism!E:E)</f>
        <v>982</v>
      </c>
      <c r="M439">
        <f>IF(ISNA(Table1[[#This Row],[habitual_offenders]]), _xlfn.AGGREGATE(1, 6, Table1[habitual_offenders]), Table1[[#This Row],[habitual_offenders]])</f>
        <v>982</v>
      </c>
      <c r="N439">
        <f>_xlfn.XLOOKUP(Table1[[#This Row],[Key]],Vocational!C:C,Vocational!E:E)</f>
        <v>10</v>
      </c>
      <c r="O439">
        <f>IF(ISNA(Table1[[#This Row],[vocational_count]]), _xlfn.AGGREGATE(1, 6,Table1[vocational_count]), Table1[[#This Row],[vocational_count]])</f>
        <v>10</v>
      </c>
    </row>
    <row r="440" spans="1:15" x14ac:dyDescent="0.3">
      <c r="A440" t="s">
        <v>34</v>
      </c>
      <c r="B440">
        <v>2013</v>
      </c>
      <c r="C440" t="str">
        <f>_xlfn.CONCAT(Table1[[#This Row],[STATE]],"-",Table1[[#This Row],[YEAR]])</f>
        <v>A &amp; N Islands-2013</v>
      </c>
      <c r="D440">
        <v>167</v>
      </c>
      <c r="E440">
        <v>45</v>
      </c>
      <c r="F440">
        <v>11</v>
      </c>
      <c r="G440">
        <v>0</v>
      </c>
      <c r="H440" t="e">
        <f>_xlfn.XLOOKUP(Table1[[#This Row],[Key]],policseStrength!C:C,policseStrength!R:R)</f>
        <v>#N/A</v>
      </c>
      <c r="I440">
        <f>IF(ISNA(Table1[[#This Row],[total_ps]]), _xlfn.AGGREGATE(1, 6, Table1[total_ps]), Table1[[#This Row],[total_ps]])</f>
        <v>20128.370106761566</v>
      </c>
      <c r="J440" t="e">
        <f>_xlfn.XLOOKUP(Table1[[#This Row],[Key]],Recidivism!C:C,Recidivism!D:D)</f>
        <v>#N/A</v>
      </c>
      <c r="K440">
        <f>IF(ISNA(Table1[[#This Row],[convicts_admitted_raw]]), _xlfn.AGGREGATE(1, 6, Table1[convicts_admitted_raw]), Table1[[#This Row],[convicts_admitted_raw]])</f>
        <v>6702.8672768878714</v>
      </c>
      <c r="L440" t="e">
        <f>_xlfn.XLOOKUP(Table1[[#This Row],[Key]],Recidivism!C:C,Recidivism!E:E)</f>
        <v>#N/A</v>
      </c>
      <c r="M440">
        <f>IF(ISNA(Table1[[#This Row],[habitual_offenders]]), _xlfn.AGGREGATE(1, 6, Table1[habitual_offenders]), Table1[[#This Row],[habitual_offenders]])</f>
        <v>349.79176201372997</v>
      </c>
      <c r="N440">
        <f>_xlfn.XLOOKUP(Table1[[#This Row],[Key]],Vocational!C:C,Vocational!E:E)</f>
        <v>26</v>
      </c>
      <c r="O440">
        <f>IF(ISNA(Table1[[#This Row],[vocational_count]]), _xlfn.AGGREGATE(1, 6,Table1[vocational_count]), Table1[[#This Row],[vocational_count]])</f>
        <v>26</v>
      </c>
    </row>
    <row r="441" spans="1:15" x14ac:dyDescent="0.3">
      <c r="A441" t="s">
        <v>35</v>
      </c>
      <c r="B441">
        <v>2013</v>
      </c>
      <c r="C441" t="str">
        <f>_xlfn.CONCAT(Table1[[#This Row],[STATE]],"-",Table1[[#This Row],[YEAR]])</f>
        <v>Chandigarh-2013</v>
      </c>
      <c r="D441">
        <v>0</v>
      </c>
      <c r="E441">
        <v>265</v>
      </c>
      <c r="F441">
        <v>85</v>
      </c>
      <c r="G441">
        <v>0</v>
      </c>
      <c r="H441" t="e">
        <f>_xlfn.XLOOKUP(Table1[[#This Row],[Key]],policseStrength!C:C,policseStrength!R:R)</f>
        <v>#N/A</v>
      </c>
      <c r="I441">
        <f>IF(ISNA(Table1[[#This Row],[total_ps]]), _xlfn.AGGREGATE(1, 6, Table1[total_ps]), Table1[[#This Row],[total_ps]])</f>
        <v>20128.370106761566</v>
      </c>
      <c r="J441">
        <f>_xlfn.XLOOKUP(Table1[[#This Row],[Key]],Recidivism!C:C,Recidivism!D:D)</f>
        <v>329</v>
      </c>
      <c r="K441">
        <f>IF(ISNA(Table1[[#This Row],[convicts_admitted_raw]]), _xlfn.AGGREGATE(1, 6, Table1[convicts_admitted_raw]), Table1[[#This Row],[convicts_admitted_raw]])</f>
        <v>329</v>
      </c>
      <c r="L441">
        <f>_xlfn.XLOOKUP(Table1[[#This Row],[Key]],Recidivism!C:C,Recidivism!E:E)</f>
        <v>23</v>
      </c>
      <c r="M441">
        <f>IF(ISNA(Table1[[#This Row],[habitual_offenders]]), _xlfn.AGGREGATE(1, 6, Table1[habitual_offenders]), Table1[[#This Row],[habitual_offenders]])</f>
        <v>23</v>
      </c>
      <c r="N441">
        <f>_xlfn.XLOOKUP(Table1[[#This Row],[Key]],Vocational!C:C,Vocational!E:E)</f>
        <v>17</v>
      </c>
      <c r="O441">
        <f>IF(ISNA(Table1[[#This Row],[vocational_count]]), _xlfn.AGGREGATE(1, 6,Table1[vocational_count]), Table1[[#This Row],[vocational_count]])</f>
        <v>17</v>
      </c>
    </row>
    <row r="442" spans="1:15" x14ac:dyDescent="0.3">
      <c r="A442" t="s">
        <v>36</v>
      </c>
      <c r="B442">
        <v>2013</v>
      </c>
      <c r="C442" t="str">
        <f>_xlfn.CONCAT(Table1[[#This Row],[STATE]],"-",Table1[[#This Row],[YEAR]])</f>
        <v>D &amp; N Haveli-2013</v>
      </c>
      <c r="D442">
        <v>0</v>
      </c>
      <c r="E442">
        <v>0</v>
      </c>
      <c r="F442">
        <v>0</v>
      </c>
      <c r="G442">
        <v>0</v>
      </c>
      <c r="H442" t="e">
        <f>_xlfn.XLOOKUP(Table1[[#This Row],[Key]],policseStrength!C:C,policseStrength!R:R)</f>
        <v>#N/A</v>
      </c>
      <c r="I442">
        <f>IF(ISNA(Table1[[#This Row],[total_ps]]), _xlfn.AGGREGATE(1, 6, Table1[total_ps]), Table1[[#This Row],[total_ps]])</f>
        <v>20128.370106761566</v>
      </c>
      <c r="J442" t="e">
        <f>_xlfn.XLOOKUP(Table1[[#This Row],[Key]],Recidivism!C:C,Recidivism!D:D)</f>
        <v>#N/A</v>
      </c>
      <c r="K442">
        <f>IF(ISNA(Table1[[#This Row],[convicts_admitted_raw]]), _xlfn.AGGREGATE(1, 6, Table1[convicts_admitted_raw]), Table1[[#This Row],[convicts_admitted_raw]])</f>
        <v>6702.8672768878714</v>
      </c>
      <c r="L442" t="e">
        <f>_xlfn.XLOOKUP(Table1[[#This Row],[Key]],Recidivism!C:C,Recidivism!E:E)</f>
        <v>#N/A</v>
      </c>
      <c r="M442">
        <f>IF(ISNA(Table1[[#This Row],[habitual_offenders]]), _xlfn.AGGREGATE(1, 6, Table1[habitual_offenders]), Table1[[#This Row],[habitual_offenders]])</f>
        <v>349.79176201372997</v>
      </c>
      <c r="N442">
        <f>_xlfn.XLOOKUP(Table1[[#This Row],[Key]],Vocational!C:C,Vocational!E:E)</f>
        <v>0</v>
      </c>
      <c r="O442">
        <f>IF(ISNA(Table1[[#This Row],[vocational_count]]), _xlfn.AGGREGATE(1, 6,Table1[vocational_count]), Table1[[#This Row],[vocational_count]])</f>
        <v>0</v>
      </c>
    </row>
    <row r="443" spans="1:15" x14ac:dyDescent="0.3">
      <c r="A443" t="s">
        <v>37</v>
      </c>
      <c r="B443">
        <v>2013</v>
      </c>
      <c r="C443" t="str">
        <f>_xlfn.CONCAT(Table1[[#This Row],[STATE]],"-",Table1[[#This Row],[YEAR]])</f>
        <v>Daman &amp; Diu-2013</v>
      </c>
      <c r="D443">
        <v>0</v>
      </c>
      <c r="E443">
        <v>0</v>
      </c>
      <c r="F443">
        <v>0</v>
      </c>
      <c r="G443">
        <v>0</v>
      </c>
      <c r="H443" t="e">
        <f>_xlfn.XLOOKUP(Table1[[#This Row],[Key]],policseStrength!C:C,policseStrength!R:R)</f>
        <v>#N/A</v>
      </c>
      <c r="I443">
        <f>IF(ISNA(Table1[[#This Row],[total_ps]]), _xlfn.AGGREGATE(1, 6, Table1[total_ps]), Table1[[#This Row],[total_ps]])</f>
        <v>20128.370106761566</v>
      </c>
      <c r="J443" t="e">
        <f>_xlfn.XLOOKUP(Table1[[#This Row],[Key]],Recidivism!C:C,Recidivism!D:D)</f>
        <v>#N/A</v>
      </c>
      <c r="K443">
        <f>IF(ISNA(Table1[[#This Row],[convicts_admitted_raw]]), _xlfn.AGGREGATE(1, 6, Table1[convicts_admitted_raw]), Table1[[#This Row],[convicts_admitted_raw]])</f>
        <v>6702.8672768878714</v>
      </c>
      <c r="L443" t="e">
        <f>_xlfn.XLOOKUP(Table1[[#This Row],[Key]],Recidivism!C:C,Recidivism!E:E)</f>
        <v>#N/A</v>
      </c>
      <c r="M443">
        <f>IF(ISNA(Table1[[#This Row],[habitual_offenders]]), _xlfn.AGGREGATE(1, 6, Table1[habitual_offenders]), Table1[[#This Row],[habitual_offenders]])</f>
        <v>349.79176201372997</v>
      </c>
      <c r="N443" t="str">
        <f>_xlfn.XLOOKUP(Table1[[#This Row],[Key]],Vocational!C:C,Vocational!E:E)</f>
        <v>NA</v>
      </c>
      <c r="O443" t="str">
        <f>IF(ISNA(Table1[[#This Row],[vocational_count]]), _xlfn.AGGREGATE(1, 6,Table1[vocational_count]), Table1[[#This Row],[vocational_count]])</f>
        <v>NA</v>
      </c>
    </row>
    <row r="444" spans="1:15" x14ac:dyDescent="0.3">
      <c r="A444" t="s">
        <v>38</v>
      </c>
      <c r="B444">
        <v>2013</v>
      </c>
      <c r="C444" t="str">
        <f>_xlfn.CONCAT(Table1[[#This Row],[STATE]],"-",Table1[[#This Row],[YEAR]])</f>
        <v>Delhi-2013</v>
      </c>
      <c r="D444">
        <v>1458</v>
      </c>
      <c r="E444">
        <v>1187</v>
      </c>
      <c r="F444">
        <v>908</v>
      </c>
      <c r="G444">
        <v>174</v>
      </c>
      <c r="H444" t="e">
        <f>_xlfn.XLOOKUP(Table1[[#This Row],[Key]],policseStrength!C:C,policseStrength!R:R)</f>
        <v>#N/A</v>
      </c>
      <c r="I444">
        <f>IF(ISNA(Table1[[#This Row],[total_ps]]), _xlfn.AGGREGATE(1, 6, Table1[total_ps]), Table1[[#This Row],[total_ps]])</f>
        <v>20128.370106761566</v>
      </c>
      <c r="J444">
        <f>_xlfn.XLOOKUP(Table1[[#This Row],[Key]],Recidivism!C:C,Recidivism!D:D)</f>
        <v>7015</v>
      </c>
      <c r="K444">
        <f>IF(ISNA(Table1[[#This Row],[convicts_admitted_raw]]), _xlfn.AGGREGATE(1, 6, Table1[convicts_admitted_raw]), Table1[[#This Row],[convicts_admitted_raw]])</f>
        <v>7015</v>
      </c>
      <c r="L444">
        <f>_xlfn.XLOOKUP(Table1[[#This Row],[Key]],Recidivism!C:C,Recidivism!E:E)</f>
        <v>1103</v>
      </c>
      <c r="M444">
        <f>IF(ISNA(Table1[[#This Row],[habitual_offenders]]), _xlfn.AGGREGATE(1, 6, Table1[habitual_offenders]), Table1[[#This Row],[habitual_offenders]])</f>
        <v>1103</v>
      </c>
      <c r="N444">
        <f>_xlfn.XLOOKUP(Table1[[#This Row],[Key]],Vocational!C:C,Vocational!E:E)</f>
        <v>258</v>
      </c>
      <c r="O444">
        <f>IF(ISNA(Table1[[#This Row],[vocational_count]]), _xlfn.AGGREGATE(1, 6,Table1[vocational_count]), Table1[[#This Row],[vocational_count]])</f>
        <v>258</v>
      </c>
    </row>
    <row r="445" spans="1:15" x14ac:dyDescent="0.3">
      <c r="A445" t="s">
        <v>39</v>
      </c>
      <c r="B445">
        <v>2013</v>
      </c>
      <c r="C445" t="str">
        <f>_xlfn.CONCAT(Table1[[#This Row],[STATE]],"-",Table1[[#This Row],[YEAR]])</f>
        <v>Lakshadweep-2013</v>
      </c>
      <c r="D445">
        <v>0</v>
      </c>
      <c r="E445">
        <v>0</v>
      </c>
      <c r="F445">
        <v>0</v>
      </c>
      <c r="G445">
        <v>0</v>
      </c>
      <c r="H445" t="e">
        <f>_xlfn.XLOOKUP(Table1[[#This Row],[Key]],policseStrength!C:C,policseStrength!R:R)</f>
        <v>#N/A</v>
      </c>
      <c r="I445">
        <f>IF(ISNA(Table1[[#This Row],[total_ps]]), _xlfn.AGGREGATE(1, 6, Table1[total_ps]), Table1[[#This Row],[total_ps]])</f>
        <v>20128.370106761566</v>
      </c>
      <c r="J445">
        <f>_xlfn.XLOOKUP(Table1[[#This Row],[Key]],Recidivism!C:C,Recidivism!D:D)</f>
        <v>0</v>
      </c>
      <c r="K445">
        <f>IF(ISNA(Table1[[#This Row],[convicts_admitted_raw]]), _xlfn.AGGREGATE(1, 6, Table1[convicts_admitted_raw]), Table1[[#This Row],[convicts_admitted_raw]])</f>
        <v>0</v>
      </c>
      <c r="L445">
        <f>_xlfn.XLOOKUP(Table1[[#This Row],[Key]],Recidivism!C:C,Recidivism!E:E)</f>
        <v>0</v>
      </c>
      <c r="M445">
        <f>IF(ISNA(Table1[[#This Row],[habitual_offenders]]), _xlfn.AGGREGATE(1, 6, Table1[habitual_offenders]), Table1[[#This Row],[habitual_offenders]])</f>
        <v>0</v>
      </c>
      <c r="N445" t="str">
        <f>_xlfn.XLOOKUP(Table1[[#This Row],[Key]],Vocational!C:C,Vocational!E:E)</f>
        <v>NA</v>
      </c>
      <c r="O445" t="str">
        <f>IF(ISNA(Table1[[#This Row],[vocational_count]]), _xlfn.AGGREGATE(1, 6,Table1[vocational_count]), Table1[[#This Row],[vocational_count]])</f>
        <v>NA</v>
      </c>
    </row>
    <row r="446" spans="1:15" x14ac:dyDescent="0.3">
      <c r="A446" t="s">
        <v>40</v>
      </c>
      <c r="B446">
        <v>2013</v>
      </c>
      <c r="C446" t="str">
        <f>_xlfn.CONCAT(Table1[[#This Row],[STATE]],"-",Table1[[#This Row],[YEAR]])</f>
        <v>Pondicherry-2013</v>
      </c>
      <c r="D446">
        <v>0</v>
      </c>
      <c r="E446">
        <v>0</v>
      </c>
      <c r="F446">
        <v>0</v>
      </c>
      <c r="G446">
        <v>0</v>
      </c>
      <c r="H446" t="e">
        <f>_xlfn.XLOOKUP(Table1[[#This Row],[Key]],policseStrength!C:C,policseStrength!R:R)</f>
        <v>#N/A</v>
      </c>
      <c r="I446">
        <f>IF(ISNA(Table1[[#This Row],[total_ps]]), _xlfn.AGGREGATE(1, 6, Table1[total_ps]), Table1[[#This Row],[total_ps]])</f>
        <v>20128.370106761566</v>
      </c>
      <c r="J446" t="e">
        <f>_xlfn.XLOOKUP(Table1[[#This Row],[Key]],Recidivism!C:C,Recidivism!D:D)</f>
        <v>#N/A</v>
      </c>
      <c r="K446">
        <f>IF(ISNA(Table1[[#This Row],[convicts_admitted_raw]]), _xlfn.AGGREGATE(1, 6, Table1[convicts_admitted_raw]), Table1[[#This Row],[convicts_admitted_raw]])</f>
        <v>6702.8672768878714</v>
      </c>
      <c r="L446" t="e">
        <f>_xlfn.XLOOKUP(Table1[[#This Row],[Key]],Recidivism!C:C,Recidivism!E:E)</f>
        <v>#N/A</v>
      </c>
      <c r="M446">
        <f>IF(ISNA(Table1[[#This Row],[habitual_offenders]]), _xlfn.AGGREGATE(1, 6, Table1[habitual_offenders]), Table1[[#This Row],[habitual_offenders]])</f>
        <v>349.79176201372997</v>
      </c>
      <c r="N446">
        <f>_xlfn.XLOOKUP(Table1[[#This Row],[Key]],Vocational!C:C,Vocational!E:E)</f>
        <v>3</v>
      </c>
      <c r="O446">
        <f>IF(ISNA(Table1[[#This Row],[vocational_count]]), _xlfn.AGGREGATE(1, 6,Table1[vocational_count]), Table1[[#This Row],[vocational_count]])</f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CE1C5-40E7-4ADB-AF43-607B0F5C7119}">
  <dimension ref="A1:E4123"/>
  <sheetViews>
    <sheetView workbookViewId="0">
      <selection activeCell="D2" sqref="D2"/>
    </sheetView>
  </sheetViews>
  <sheetFormatPr defaultRowHeight="14.4" x14ac:dyDescent="0.3"/>
  <cols>
    <col min="1" max="1" width="28.21875" customWidth="1"/>
    <col min="2" max="3" width="13.88671875" customWidth="1"/>
    <col min="4" max="4" width="28.109375" customWidth="1"/>
    <col min="5" max="5" width="24.5546875" customWidth="1"/>
  </cols>
  <sheetData>
    <row r="1" spans="1:5" x14ac:dyDescent="0.3">
      <c r="A1" t="s">
        <v>0</v>
      </c>
      <c r="B1" t="s">
        <v>1</v>
      </c>
      <c r="C1" t="s">
        <v>1362</v>
      </c>
      <c r="D1" t="s">
        <v>1359</v>
      </c>
      <c r="E1" t="s">
        <v>1360</v>
      </c>
    </row>
    <row r="2" spans="1:5" x14ac:dyDescent="0.3">
      <c r="A2" t="s">
        <v>6</v>
      </c>
      <c r="B2">
        <v>2001</v>
      </c>
      <c r="C2" t="str">
        <f>_xlfn.CONCAT(Table16[[#This Row],[STATE]],"-",Table16[[#This Row],[YEAR]])</f>
        <v>Andhra Pradesh-2001</v>
      </c>
      <c r="D2" t="s">
        <v>87</v>
      </c>
      <c r="E2">
        <v>270</v>
      </c>
    </row>
    <row r="3" spans="1:5" x14ac:dyDescent="0.3">
      <c r="A3" t="s">
        <v>6</v>
      </c>
      <c r="B3">
        <v>2001</v>
      </c>
      <c r="C3" t="str">
        <f>_xlfn.CONCAT(Table16[[#This Row],[STATE]],"-",Table16[[#This Row],[YEAR]])</f>
        <v>Andhra Pradesh-2001</v>
      </c>
      <c r="D3" t="s">
        <v>88</v>
      </c>
      <c r="E3">
        <v>9</v>
      </c>
    </row>
    <row r="4" spans="1:5" x14ac:dyDescent="0.3">
      <c r="A4" t="s">
        <v>6</v>
      </c>
      <c r="B4">
        <v>2001</v>
      </c>
      <c r="C4" t="str">
        <f>_xlfn.CONCAT(Table16[[#This Row],[STATE]],"-",Table16[[#This Row],[YEAR]])</f>
        <v>Andhra Pradesh-2001</v>
      </c>
      <c r="D4" t="s">
        <v>89</v>
      </c>
      <c r="E4">
        <v>115</v>
      </c>
    </row>
    <row r="5" spans="1:5" x14ac:dyDescent="0.3">
      <c r="A5" t="s">
        <v>6</v>
      </c>
      <c r="B5">
        <v>2001</v>
      </c>
      <c r="C5" t="str">
        <f>_xlfn.CONCAT(Table16[[#This Row],[STATE]],"-",Table16[[#This Row],[YEAR]])</f>
        <v>Andhra Pradesh-2001</v>
      </c>
      <c r="D5" t="s">
        <v>90</v>
      </c>
      <c r="E5">
        <v>328</v>
      </c>
    </row>
    <row r="6" spans="1:5" x14ac:dyDescent="0.3">
      <c r="A6" t="s">
        <v>6</v>
      </c>
      <c r="B6">
        <v>2001</v>
      </c>
      <c r="C6" t="str">
        <f>_xlfn.CONCAT(Table16[[#This Row],[STATE]],"-",Table16[[#This Row],[YEAR]])</f>
        <v>Andhra Pradesh-2001</v>
      </c>
      <c r="D6" t="s">
        <v>91</v>
      </c>
      <c r="E6">
        <v>122</v>
      </c>
    </row>
    <row r="7" spans="1:5" x14ac:dyDescent="0.3">
      <c r="A7" t="s">
        <v>6</v>
      </c>
      <c r="B7">
        <v>2001</v>
      </c>
      <c r="C7" t="str">
        <f>_xlfn.CONCAT(Table16[[#This Row],[STATE]],"-",Table16[[#This Row],[YEAR]])</f>
        <v>Andhra Pradesh-2001</v>
      </c>
      <c r="D7" t="s">
        <v>92</v>
      </c>
      <c r="E7">
        <v>337</v>
      </c>
    </row>
    <row r="8" spans="1:5" x14ac:dyDescent="0.3">
      <c r="A8" t="s">
        <v>6</v>
      </c>
      <c r="B8">
        <v>2001</v>
      </c>
      <c r="C8" t="str">
        <f>_xlfn.CONCAT(Table16[[#This Row],[STATE]],"-",Table16[[#This Row],[YEAR]])</f>
        <v>Andhra Pradesh-2001</v>
      </c>
      <c r="D8" t="s">
        <v>93</v>
      </c>
      <c r="E8">
        <v>73</v>
      </c>
    </row>
    <row r="9" spans="1:5" x14ac:dyDescent="0.3">
      <c r="A9" t="s">
        <v>6</v>
      </c>
      <c r="B9">
        <v>2001</v>
      </c>
      <c r="C9" t="str">
        <f>_xlfn.CONCAT(Table16[[#This Row],[STATE]],"-",Table16[[#This Row],[YEAR]])</f>
        <v>Andhra Pradesh-2001</v>
      </c>
      <c r="D9" t="s">
        <v>94</v>
      </c>
      <c r="E9">
        <v>143</v>
      </c>
    </row>
    <row r="10" spans="1:5" x14ac:dyDescent="0.3">
      <c r="A10" t="s">
        <v>6</v>
      </c>
      <c r="B10">
        <v>2001</v>
      </c>
      <c r="C10" t="str">
        <f>_xlfn.CONCAT(Table16[[#This Row],[STATE]],"-",Table16[[#This Row],[YEAR]])</f>
        <v>Andhra Pradesh-2001</v>
      </c>
      <c r="D10" t="s">
        <v>95</v>
      </c>
      <c r="E10">
        <v>65</v>
      </c>
    </row>
    <row r="11" spans="1:5" x14ac:dyDescent="0.3">
      <c r="A11" t="s">
        <v>6</v>
      </c>
      <c r="B11">
        <v>2001</v>
      </c>
      <c r="C11" t="str">
        <f>_xlfn.CONCAT(Table16[[#This Row],[STATE]],"-",Table16[[#This Row],[YEAR]])</f>
        <v>Andhra Pradesh-2001</v>
      </c>
      <c r="D11" t="s">
        <v>96</v>
      </c>
      <c r="E11">
        <v>4</v>
      </c>
    </row>
    <row r="12" spans="1:5" x14ac:dyDescent="0.3">
      <c r="A12" t="s">
        <v>6</v>
      </c>
      <c r="B12">
        <v>2001</v>
      </c>
      <c r="C12" t="str">
        <f>_xlfn.CONCAT(Table16[[#This Row],[STATE]],"-",Table16[[#This Row],[YEAR]])</f>
        <v>Andhra Pradesh-2001</v>
      </c>
      <c r="D12" t="s">
        <v>97</v>
      </c>
      <c r="E12">
        <v>6</v>
      </c>
    </row>
    <row r="13" spans="1:5" x14ac:dyDescent="0.3">
      <c r="A13" t="s">
        <v>6</v>
      </c>
      <c r="B13">
        <v>2001</v>
      </c>
      <c r="C13" t="str">
        <f>_xlfn.CONCAT(Table16[[#This Row],[STATE]],"-",Table16[[#This Row],[YEAR]])</f>
        <v>Andhra Pradesh-2001</v>
      </c>
      <c r="D13" t="s">
        <v>98</v>
      </c>
      <c r="E13">
        <v>3</v>
      </c>
    </row>
    <row r="14" spans="1:5" x14ac:dyDescent="0.3">
      <c r="A14" t="s">
        <v>6</v>
      </c>
      <c r="B14">
        <v>2001</v>
      </c>
      <c r="C14" t="str">
        <f>_xlfn.CONCAT(Table16[[#This Row],[STATE]],"-",Table16[[#This Row],[YEAR]])</f>
        <v>Andhra Pradesh-2001</v>
      </c>
      <c r="D14" t="s">
        <v>99</v>
      </c>
      <c r="E14">
        <v>23</v>
      </c>
    </row>
    <row r="15" spans="1:5" x14ac:dyDescent="0.3">
      <c r="A15" t="s">
        <v>6</v>
      </c>
      <c r="B15">
        <v>2002</v>
      </c>
      <c r="C15" t="str">
        <f>_xlfn.CONCAT(Table16[[#This Row],[STATE]],"-",Table16[[#This Row],[YEAR]])</f>
        <v>Andhra Pradesh-2002</v>
      </c>
      <c r="D15" t="s">
        <v>100</v>
      </c>
      <c r="E15">
        <v>530</v>
      </c>
    </row>
    <row r="16" spans="1:5" x14ac:dyDescent="0.3">
      <c r="A16" t="s">
        <v>6</v>
      </c>
      <c r="B16">
        <v>2002</v>
      </c>
      <c r="C16" t="str">
        <f>_xlfn.CONCAT(Table16[[#This Row],[STATE]],"-",Table16[[#This Row],[YEAR]])</f>
        <v>Andhra Pradesh-2002</v>
      </c>
      <c r="D16" t="s">
        <v>101</v>
      </c>
      <c r="E16">
        <v>16</v>
      </c>
    </row>
    <row r="17" spans="1:5" x14ac:dyDescent="0.3">
      <c r="A17" t="s">
        <v>6</v>
      </c>
      <c r="B17">
        <v>2002</v>
      </c>
      <c r="C17" t="str">
        <f>_xlfn.CONCAT(Table16[[#This Row],[STATE]],"-",Table16[[#This Row],[YEAR]])</f>
        <v>Andhra Pradesh-2002</v>
      </c>
      <c r="D17" t="s">
        <v>102</v>
      </c>
      <c r="E17">
        <v>9</v>
      </c>
    </row>
    <row r="18" spans="1:5" x14ac:dyDescent="0.3">
      <c r="A18" t="s">
        <v>6</v>
      </c>
      <c r="B18">
        <v>2002</v>
      </c>
      <c r="C18" t="str">
        <f>_xlfn.CONCAT(Table16[[#This Row],[STATE]],"-",Table16[[#This Row],[YEAR]])</f>
        <v>Andhra Pradesh-2002</v>
      </c>
      <c r="D18" t="s">
        <v>90</v>
      </c>
      <c r="E18">
        <v>126</v>
      </c>
    </row>
    <row r="19" spans="1:5" x14ac:dyDescent="0.3">
      <c r="A19" t="s">
        <v>6</v>
      </c>
      <c r="B19">
        <v>2002</v>
      </c>
      <c r="C19" t="str">
        <f>_xlfn.CONCAT(Table16[[#This Row],[STATE]],"-",Table16[[#This Row],[YEAR]])</f>
        <v>Andhra Pradesh-2002</v>
      </c>
      <c r="D19" t="s">
        <v>103</v>
      </c>
      <c r="E19">
        <v>90</v>
      </c>
    </row>
    <row r="20" spans="1:5" x14ac:dyDescent="0.3">
      <c r="A20" t="s">
        <v>6</v>
      </c>
      <c r="B20">
        <v>2002</v>
      </c>
      <c r="C20" t="str">
        <f>_xlfn.CONCAT(Table16[[#This Row],[STATE]],"-",Table16[[#This Row],[YEAR]])</f>
        <v>Andhra Pradesh-2002</v>
      </c>
      <c r="D20" t="s">
        <v>104</v>
      </c>
      <c r="E20">
        <v>23</v>
      </c>
    </row>
    <row r="21" spans="1:5" x14ac:dyDescent="0.3">
      <c r="A21" t="s">
        <v>6</v>
      </c>
      <c r="B21">
        <v>2002</v>
      </c>
      <c r="C21" t="str">
        <f>_xlfn.CONCAT(Table16[[#This Row],[STATE]],"-",Table16[[#This Row],[YEAR]])</f>
        <v>Andhra Pradesh-2002</v>
      </c>
      <c r="D21" t="s">
        <v>95</v>
      </c>
      <c r="E21">
        <v>92</v>
      </c>
    </row>
    <row r="22" spans="1:5" x14ac:dyDescent="0.3">
      <c r="A22" t="s">
        <v>6</v>
      </c>
      <c r="B22">
        <v>2002</v>
      </c>
      <c r="C22" t="str">
        <f>_xlfn.CONCAT(Table16[[#This Row],[STATE]],"-",Table16[[#This Row],[YEAR]])</f>
        <v>Andhra Pradesh-2002</v>
      </c>
      <c r="D22" t="s">
        <v>96</v>
      </c>
      <c r="E22">
        <v>22</v>
      </c>
    </row>
    <row r="23" spans="1:5" x14ac:dyDescent="0.3">
      <c r="A23" t="s">
        <v>6</v>
      </c>
      <c r="B23">
        <v>2002</v>
      </c>
      <c r="C23" t="str">
        <f>_xlfn.CONCAT(Table16[[#This Row],[STATE]],"-",Table16[[#This Row],[YEAR]])</f>
        <v>Andhra Pradesh-2002</v>
      </c>
      <c r="D23" t="s">
        <v>105</v>
      </c>
      <c r="E23">
        <v>16</v>
      </c>
    </row>
    <row r="24" spans="1:5" x14ac:dyDescent="0.3">
      <c r="A24" t="s">
        <v>6</v>
      </c>
      <c r="B24">
        <v>2002</v>
      </c>
      <c r="C24" t="str">
        <f>_xlfn.CONCAT(Table16[[#This Row],[STATE]],"-",Table16[[#This Row],[YEAR]])</f>
        <v>Andhra Pradesh-2002</v>
      </c>
      <c r="D24" t="s">
        <v>106</v>
      </c>
      <c r="E24">
        <v>160</v>
      </c>
    </row>
    <row r="25" spans="1:5" x14ac:dyDescent="0.3">
      <c r="A25" t="s">
        <v>6</v>
      </c>
      <c r="B25">
        <v>2002</v>
      </c>
      <c r="C25" t="str">
        <f>_xlfn.CONCAT(Table16[[#This Row],[STATE]],"-",Table16[[#This Row],[YEAR]])</f>
        <v>Andhra Pradesh-2002</v>
      </c>
      <c r="D25" t="s">
        <v>107</v>
      </c>
      <c r="E25">
        <v>116</v>
      </c>
    </row>
    <row r="26" spans="1:5" x14ac:dyDescent="0.3">
      <c r="A26" t="s">
        <v>6</v>
      </c>
      <c r="B26">
        <v>2002</v>
      </c>
      <c r="C26" t="str">
        <f>_xlfn.CONCAT(Table16[[#This Row],[STATE]],"-",Table16[[#This Row],[YEAR]])</f>
        <v>Andhra Pradesh-2002</v>
      </c>
      <c r="D26" t="s">
        <v>99</v>
      </c>
      <c r="E26">
        <v>35</v>
      </c>
    </row>
    <row r="27" spans="1:5" x14ac:dyDescent="0.3">
      <c r="A27" t="s">
        <v>6</v>
      </c>
      <c r="B27">
        <v>2003</v>
      </c>
      <c r="C27" t="str">
        <f>_xlfn.CONCAT(Table16[[#This Row],[STATE]],"-",Table16[[#This Row],[YEAR]])</f>
        <v>Andhra Pradesh-2003</v>
      </c>
      <c r="D27" t="s">
        <v>108</v>
      </c>
      <c r="E27">
        <v>56</v>
      </c>
    </row>
    <row r="28" spans="1:5" x14ac:dyDescent="0.3">
      <c r="A28" t="s">
        <v>6</v>
      </c>
      <c r="B28">
        <v>2003</v>
      </c>
      <c r="C28" t="str">
        <f>_xlfn.CONCAT(Table16[[#This Row],[STATE]],"-",Table16[[#This Row],[YEAR]])</f>
        <v>Andhra Pradesh-2003</v>
      </c>
      <c r="D28" t="s">
        <v>109</v>
      </c>
      <c r="E28">
        <v>25</v>
      </c>
    </row>
    <row r="29" spans="1:5" x14ac:dyDescent="0.3">
      <c r="A29" t="s">
        <v>6</v>
      </c>
      <c r="B29">
        <v>2003</v>
      </c>
      <c r="C29" t="str">
        <f>_xlfn.CONCAT(Table16[[#This Row],[STATE]],"-",Table16[[#This Row],[YEAR]])</f>
        <v>Andhra Pradesh-2003</v>
      </c>
      <c r="D29" t="s">
        <v>110</v>
      </c>
      <c r="E29">
        <v>31</v>
      </c>
    </row>
    <row r="30" spans="1:5" x14ac:dyDescent="0.3">
      <c r="A30" t="s">
        <v>6</v>
      </c>
      <c r="B30">
        <v>2004</v>
      </c>
      <c r="C30" t="str">
        <f>_xlfn.CONCAT(Table16[[#This Row],[STATE]],"-",Table16[[#This Row],[YEAR]])</f>
        <v>Andhra Pradesh-2004</v>
      </c>
      <c r="D30" t="s">
        <v>87</v>
      </c>
      <c r="E30">
        <v>405</v>
      </c>
    </row>
    <row r="31" spans="1:5" x14ac:dyDescent="0.3">
      <c r="A31" t="s">
        <v>6</v>
      </c>
      <c r="B31">
        <v>2004</v>
      </c>
      <c r="C31" t="str">
        <f>_xlfn.CONCAT(Table16[[#This Row],[STATE]],"-",Table16[[#This Row],[YEAR]])</f>
        <v>Andhra Pradesh-2004</v>
      </c>
      <c r="D31" t="s">
        <v>87</v>
      </c>
      <c r="E31">
        <v>405</v>
      </c>
    </row>
    <row r="32" spans="1:5" x14ac:dyDescent="0.3">
      <c r="A32" t="s">
        <v>6</v>
      </c>
      <c r="B32">
        <v>2004</v>
      </c>
      <c r="C32" t="str">
        <f>_xlfn.CONCAT(Table16[[#This Row],[STATE]],"-",Table16[[#This Row],[YEAR]])</f>
        <v>Andhra Pradesh-2004</v>
      </c>
      <c r="D32" t="s">
        <v>111</v>
      </c>
      <c r="E32">
        <v>8</v>
      </c>
    </row>
    <row r="33" spans="1:5" x14ac:dyDescent="0.3">
      <c r="A33" t="s">
        <v>6</v>
      </c>
      <c r="B33">
        <v>2004</v>
      </c>
      <c r="C33" t="str">
        <f>_xlfn.CONCAT(Table16[[#This Row],[STATE]],"-",Table16[[#This Row],[YEAR]])</f>
        <v>Andhra Pradesh-2004</v>
      </c>
      <c r="D33" t="s">
        <v>92</v>
      </c>
      <c r="E33">
        <v>70</v>
      </c>
    </row>
    <row r="34" spans="1:5" x14ac:dyDescent="0.3">
      <c r="A34" t="s">
        <v>6</v>
      </c>
      <c r="B34">
        <v>2004</v>
      </c>
      <c r="C34" t="str">
        <f>_xlfn.CONCAT(Table16[[#This Row],[STATE]],"-",Table16[[#This Row],[YEAR]])</f>
        <v>Andhra Pradesh-2004</v>
      </c>
      <c r="D34" t="s">
        <v>89</v>
      </c>
      <c r="E34">
        <v>8</v>
      </c>
    </row>
    <row r="35" spans="1:5" x14ac:dyDescent="0.3">
      <c r="A35" t="s">
        <v>6</v>
      </c>
      <c r="B35">
        <v>2004</v>
      </c>
      <c r="C35" t="str">
        <f>_xlfn.CONCAT(Table16[[#This Row],[STATE]],"-",Table16[[#This Row],[YEAR]])</f>
        <v>Andhra Pradesh-2004</v>
      </c>
      <c r="D35" t="s">
        <v>90</v>
      </c>
      <c r="E35">
        <v>141</v>
      </c>
    </row>
    <row r="36" spans="1:5" x14ac:dyDescent="0.3">
      <c r="A36" t="s">
        <v>6</v>
      </c>
      <c r="B36">
        <v>2004</v>
      </c>
      <c r="C36" t="str">
        <f>_xlfn.CONCAT(Table16[[#This Row],[STATE]],"-",Table16[[#This Row],[YEAR]])</f>
        <v>Andhra Pradesh-2004</v>
      </c>
      <c r="D36" t="s">
        <v>93</v>
      </c>
      <c r="E36">
        <v>6</v>
      </c>
    </row>
    <row r="37" spans="1:5" x14ac:dyDescent="0.3">
      <c r="A37" t="s">
        <v>6</v>
      </c>
      <c r="B37">
        <v>2004</v>
      </c>
      <c r="C37" t="str">
        <f>_xlfn.CONCAT(Table16[[#This Row],[STATE]],"-",Table16[[#This Row],[YEAR]])</f>
        <v>Andhra Pradesh-2004</v>
      </c>
      <c r="D37" t="s">
        <v>112</v>
      </c>
      <c r="E37">
        <v>2</v>
      </c>
    </row>
    <row r="38" spans="1:5" x14ac:dyDescent="0.3">
      <c r="A38" t="s">
        <v>6</v>
      </c>
      <c r="B38">
        <v>2004</v>
      </c>
      <c r="C38" t="str">
        <f>_xlfn.CONCAT(Table16[[#This Row],[STATE]],"-",Table16[[#This Row],[YEAR]])</f>
        <v>Andhra Pradesh-2004</v>
      </c>
      <c r="D38" t="s">
        <v>96</v>
      </c>
      <c r="E38">
        <v>10</v>
      </c>
    </row>
    <row r="39" spans="1:5" x14ac:dyDescent="0.3">
      <c r="A39" t="s">
        <v>6</v>
      </c>
      <c r="B39">
        <v>2004</v>
      </c>
      <c r="C39" t="str">
        <f>_xlfn.CONCAT(Table16[[#This Row],[STATE]],"-",Table16[[#This Row],[YEAR]])</f>
        <v>Andhra Pradesh-2004</v>
      </c>
      <c r="D39" t="s">
        <v>113</v>
      </c>
      <c r="E39">
        <v>5</v>
      </c>
    </row>
    <row r="40" spans="1:5" x14ac:dyDescent="0.3">
      <c r="A40" t="s">
        <v>6</v>
      </c>
      <c r="B40">
        <v>2004</v>
      </c>
      <c r="C40" t="str">
        <f>_xlfn.CONCAT(Table16[[#This Row],[STATE]],"-",Table16[[#This Row],[YEAR]])</f>
        <v>Andhra Pradesh-2004</v>
      </c>
      <c r="D40" t="s">
        <v>114</v>
      </c>
      <c r="E40">
        <v>10</v>
      </c>
    </row>
    <row r="41" spans="1:5" x14ac:dyDescent="0.3">
      <c r="A41" t="s">
        <v>6</v>
      </c>
      <c r="B41">
        <v>2004</v>
      </c>
      <c r="C41" t="str">
        <f>_xlfn.CONCAT(Table16[[#This Row],[STATE]],"-",Table16[[#This Row],[YEAR]])</f>
        <v>Andhra Pradesh-2004</v>
      </c>
      <c r="D41" t="s">
        <v>115</v>
      </c>
      <c r="E41">
        <v>10</v>
      </c>
    </row>
    <row r="42" spans="1:5" x14ac:dyDescent="0.3">
      <c r="A42" t="s">
        <v>6</v>
      </c>
      <c r="B42">
        <v>2004</v>
      </c>
      <c r="C42" t="str">
        <f>_xlfn.CONCAT(Table16[[#This Row],[STATE]],"-",Table16[[#This Row],[YEAR]])</f>
        <v>Andhra Pradesh-2004</v>
      </c>
      <c r="D42" t="s">
        <v>116</v>
      </c>
      <c r="E42">
        <v>5</v>
      </c>
    </row>
    <row r="43" spans="1:5" x14ac:dyDescent="0.3">
      <c r="A43" t="s">
        <v>6</v>
      </c>
      <c r="B43">
        <v>2004</v>
      </c>
      <c r="C43" t="str">
        <f>_xlfn.CONCAT(Table16[[#This Row],[STATE]],"-",Table16[[#This Row],[YEAR]])</f>
        <v>Andhra Pradesh-2004</v>
      </c>
      <c r="D43" t="s">
        <v>117</v>
      </c>
      <c r="E43">
        <v>19</v>
      </c>
    </row>
    <row r="44" spans="1:5" x14ac:dyDescent="0.3">
      <c r="A44" t="s">
        <v>6</v>
      </c>
      <c r="B44">
        <v>2004</v>
      </c>
      <c r="C44" t="str">
        <f>_xlfn.CONCAT(Table16[[#This Row],[STATE]],"-",Table16[[#This Row],[YEAR]])</f>
        <v>Andhra Pradesh-2004</v>
      </c>
      <c r="D44" t="s">
        <v>118</v>
      </c>
      <c r="E44">
        <v>11</v>
      </c>
    </row>
    <row r="45" spans="1:5" x14ac:dyDescent="0.3">
      <c r="A45" t="s">
        <v>6</v>
      </c>
      <c r="B45">
        <v>2004</v>
      </c>
      <c r="C45" t="str">
        <f>_xlfn.CONCAT(Table16[[#This Row],[STATE]],"-",Table16[[#This Row],[YEAR]])</f>
        <v>Andhra Pradesh-2004</v>
      </c>
      <c r="D45" t="s">
        <v>119</v>
      </c>
      <c r="E45">
        <v>10</v>
      </c>
    </row>
    <row r="46" spans="1:5" x14ac:dyDescent="0.3">
      <c r="A46" t="s">
        <v>6</v>
      </c>
      <c r="B46">
        <v>2004</v>
      </c>
      <c r="C46" t="str">
        <f>_xlfn.CONCAT(Table16[[#This Row],[STATE]],"-",Table16[[#This Row],[YEAR]])</f>
        <v>Andhra Pradesh-2004</v>
      </c>
      <c r="D46" t="s">
        <v>120</v>
      </c>
      <c r="E46">
        <v>6</v>
      </c>
    </row>
    <row r="47" spans="1:5" x14ac:dyDescent="0.3">
      <c r="A47" t="s">
        <v>6</v>
      </c>
      <c r="B47">
        <v>2005</v>
      </c>
      <c r="C47" t="str">
        <f>_xlfn.CONCAT(Table16[[#This Row],[STATE]],"-",Table16[[#This Row],[YEAR]])</f>
        <v>Andhra Pradesh-2005</v>
      </c>
      <c r="D47" t="s">
        <v>87</v>
      </c>
      <c r="E47">
        <v>808</v>
      </c>
    </row>
    <row r="48" spans="1:5" x14ac:dyDescent="0.3">
      <c r="A48" t="s">
        <v>6</v>
      </c>
      <c r="B48">
        <v>2005</v>
      </c>
      <c r="C48" t="str">
        <f>_xlfn.CONCAT(Table16[[#This Row],[STATE]],"-",Table16[[#This Row],[YEAR]])</f>
        <v>Andhra Pradesh-2005</v>
      </c>
      <c r="D48" t="s">
        <v>101</v>
      </c>
      <c r="E48">
        <v>7</v>
      </c>
    </row>
    <row r="49" spans="1:5" x14ac:dyDescent="0.3">
      <c r="A49" t="s">
        <v>6</v>
      </c>
      <c r="B49">
        <v>2005</v>
      </c>
      <c r="C49" t="str">
        <f>_xlfn.CONCAT(Table16[[#This Row],[STATE]],"-",Table16[[#This Row],[YEAR]])</f>
        <v>Andhra Pradesh-2005</v>
      </c>
      <c r="D49" t="s">
        <v>92</v>
      </c>
      <c r="E49">
        <v>370</v>
      </c>
    </row>
    <row r="50" spans="1:5" x14ac:dyDescent="0.3">
      <c r="A50" t="s">
        <v>6</v>
      </c>
      <c r="B50">
        <v>2005</v>
      </c>
      <c r="C50" t="str">
        <f>_xlfn.CONCAT(Table16[[#This Row],[STATE]],"-",Table16[[#This Row],[YEAR]])</f>
        <v>Andhra Pradesh-2005</v>
      </c>
      <c r="D50" t="s">
        <v>102</v>
      </c>
      <c r="E50">
        <v>11</v>
      </c>
    </row>
    <row r="51" spans="1:5" x14ac:dyDescent="0.3">
      <c r="A51" t="s">
        <v>6</v>
      </c>
      <c r="B51">
        <v>2005</v>
      </c>
      <c r="C51" t="str">
        <f>_xlfn.CONCAT(Table16[[#This Row],[STATE]],"-",Table16[[#This Row],[YEAR]])</f>
        <v>Andhra Pradesh-2005</v>
      </c>
      <c r="D51" t="s">
        <v>90</v>
      </c>
      <c r="E51">
        <v>320</v>
      </c>
    </row>
    <row r="52" spans="1:5" x14ac:dyDescent="0.3">
      <c r="A52" t="s">
        <v>6</v>
      </c>
      <c r="B52">
        <v>2005</v>
      </c>
      <c r="C52" t="str">
        <f>_xlfn.CONCAT(Table16[[#This Row],[STATE]],"-",Table16[[#This Row],[YEAR]])</f>
        <v>Andhra Pradesh-2005</v>
      </c>
      <c r="D52" t="s">
        <v>103</v>
      </c>
      <c r="E52">
        <v>116</v>
      </c>
    </row>
    <row r="53" spans="1:5" x14ac:dyDescent="0.3">
      <c r="A53" t="s">
        <v>6</v>
      </c>
      <c r="B53">
        <v>2005</v>
      </c>
      <c r="C53" t="str">
        <f>_xlfn.CONCAT(Table16[[#This Row],[STATE]],"-",Table16[[#This Row],[YEAR]])</f>
        <v>Andhra Pradesh-2005</v>
      </c>
      <c r="D53" t="s">
        <v>121</v>
      </c>
      <c r="E53">
        <v>7</v>
      </c>
    </row>
    <row r="54" spans="1:5" x14ac:dyDescent="0.3">
      <c r="A54" t="s">
        <v>6</v>
      </c>
      <c r="B54">
        <v>2005</v>
      </c>
      <c r="C54" t="str">
        <f>_xlfn.CONCAT(Table16[[#This Row],[STATE]],"-",Table16[[#This Row],[YEAR]])</f>
        <v>Andhra Pradesh-2005</v>
      </c>
      <c r="D54" t="s">
        <v>122</v>
      </c>
      <c r="E54">
        <v>66</v>
      </c>
    </row>
    <row r="55" spans="1:5" x14ac:dyDescent="0.3">
      <c r="A55" t="s">
        <v>6</v>
      </c>
      <c r="B55">
        <v>2005</v>
      </c>
      <c r="C55" t="str">
        <f>_xlfn.CONCAT(Table16[[#This Row],[STATE]],"-",Table16[[#This Row],[YEAR]])</f>
        <v>Andhra Pradesh-2005</v>
      </c>
      <c r="D55" t="s">
        <v>112</v>
      </c>
      <c r="E55">
        <v>12</v>
      </c>
    </row>
    <row r="56" spans="1:5" x14ac:dyDescent="0.3">
      <c r="A56" t="s">
        <v>6</v>
      </c>
      <c r="B56">
        <v>2005</v>
      </c>
      <c r="C56" t="str">
        <f>_xlfn.CONCAT(Table16[[#This Row],[STATE]],"-",Table16[[#This Row],[YEAR]])</f>
        <v>Andhra Pradesh-2005</v>
      </c>
      <c r="D56" t="s">
        <v>96</v>
      </c>
      <c r="E56">
        <v>11</v>
      </c>
    </row>
    <row r="57" spans="1:5" x14ac:dyDescent="0.3">
      <c r="A57" t="s">
        <v>6</v>
      </c>
      <c r="B57">
        <v>2005</v>
      </c>
      <c r="C57" t="str">
        <f>_xlfn.CONCAT(Table16[[#This Row],[STATE]],"-",Table16[[#This Row],[YEAR]])</f>
        <v>Andhra Pradesh-2005</v>
      </c>
      <c r="D57" t="s">
        <v>123</v>
      </c>
      <c r="E57">
        <v>26</v>
      </c>
    </row>
    <row r="58" spans="1:5" x14ac:dyDescent="0.3">
      <c r="A58" t="s">
        <v>6</v>
      </c>
      <c r="B58">
        <v>2005</v>
      </c>
      <c r="C58" t="str">
        <f>_xlfn.CONCAT(Table16[[#This Row],[STATE]],"-",Table16[[#This Row],[YEAR]])</f>
        <v>Andhra Pradesh-2005</v>
      </c>
      <c r="D58" t="s">
        <v>124</v>
      </c>
      <c r="E58">
        <v>7</v>
      </c>
    </row>
    <row r="59" spans="1:5" x14ac:dyDescent="0.3">
      <c r="A59" t="s">
        <v>6</v>
      </c>
      <c r="B59">
        <v>2005</v>
      </c>
      <c r="C59" t="str">
        <f>_xlfn.CONCAT(Table16[[#This Row],[STATE]],"-",Table16[[#This Row],[YEAR]])</f>
        <v>Andhra Pradesh-2005</v>
      </c>
      <c r="D59" t="s">
        <v>106</v>
      </c>
      <c r="E59">
        <v>10</v>
      </c>
    </row>
    <row r="60" spans="1:5" x14ac:dyDescent="0.3">
      <c r="A60" t="s">
        <v>6</v>
      </c>
      <c r="B60">
        <v>2005</v>
      </c>
      <c r="C60" t="str">
        <f>_xlfn.CONCAT(Table16[[#This Row],[STATE]],"-",Table16[[#This Row],[YEAR]])</f>
        <v>Andhra Pradesh-2005</v>
      </c>
      <c r="D60" t="s">
        <v>125</v>
      </c>
      <c r="E60">
        <v>5</v>
      </c>
    </row>
    <row r="61" spans="1:5" x14ac:dyDescent="0.3">
      <c r="A61" t="s">
        <v>6</v>
      </c>
      <c r="B61">
        <v>2005</v>
      </c>
      <c r="C61" t="str">
        <f>_xlfn.CONCAT(Table16[[#This Row],[STATE]],"-",Table16[[#This Row],[YEAR]])</f>
        <v>Andhra Pradesh-2005</v>
      </c>
      <c r="D61" t="s">
        <v>126</v>
      </c>
      <c r="E61">
        <v>5</v>
      </c>
    </row>
    <row r="62" spans="1:5" x14ac:dyDescent="0.3">
      <c r="A62" t="s">
        <v>6</v>
      </c>
      <c r="B62">
        <v>2005</v>
      </c>
      <c r="C62" t="str">
        <f>_xlfn.CONCAT(Table16[[#This Row],[STATE]],"-",Table16[[#This Row],[YEAR]])</f>
        <v>Andhra Pradesh-2005</v>
      </c>
      <c r="D62" t="s">
        <v>127</v>
      </c>
      <c r="E62">
        <v>10</v>
      </c>
    </row>
    <row r="63" spans="1:5" x14ac:dyDescent="0.3">
      <c r="A63" t="s">
        <v>6</v>
      </c>
      <c r="B63">
        <v>2005</v>
      </c>
      <c r="C63" t="str">
        <f>_xlfn.CONCAT(Table16[[#This Row],[STATE]],"-",Table16[[#This Row],[YEAR]])</f>
        <v>Andhra Pradesh-2005</v>
      </c>
      <c r="D63" t="s">
        <v>119</v>
      </c>
      <c r="E63">
        <v>17</v>
      </c>
    </row>
    <row r="64" spans="1:5" x14ac:dyDescent="0.3">
      <c r="A64" t="s">
        <v>6</v>
      </c>
      <c r="B64">
        <v>2005</v>
      </c>
      <c r="C64" t="str">
        <f>_xlfn.CONCAT(Table16[[#This Row],[STATE]],"-",Table16[[#This Row],[YEAR]])</f>
        <v>Andhra Pradesh-2005</v>
      </c>
      <c r="D64" t="s">
        <v>117</v>
      </c>
      <c r="E64">
        <v>17</v>
      </c>
    </row>
    <row r="65" spans="1:5" x14ac:dyDescent="0.3">
      <c r="A65" t="s">
        <v>6</v>
      </c>
      <c r="B65">
        <v>2005</v>
      </c>
      <c r="C65" t="str">
        <f>_xlfn.CONCAT(Table16[[#This Row],[STATE]],"-",Table16[[#This Row],[YEAR]])</f>
        <v>Andhra Pradesh-2005</v>
      </c>
      <c r="D65" t="s">
        <v>128</v>
      </c>
      <c r="E65">
        <v>30</v>
      </c>
    </row>
    <row r="66" spans="1:5" x14ac:dyDescent="0.3">
      <c r="A66" t="s">
        <v>6</v>
      </c>
      <c r="B66">
        <v>2005</v>
      </c>
      <c r="C66" t="str">
        <f>_xlfn.CONCAT(Table16[[#This Row],[STATE]],"-",Table16[[#This Row],[YEAR]])</f>
        <v>Andhra Pradesh-2005</v>
      </c>
      <c r="D66" t="s">
        <v>109</v>
      </c>
      <c r="E66">
        <v>30</v>
      </c>
    </row>
    <row r="67" spans="1:5" x14ac:dyDescent="0.3">
      <c r="A67" t="s">
        <v>6</v>
      </c>
      <c r="B67">
        <v>2005</v>
      </c>
      <c r="C67" t="str">
        <f>_xlfn.CONCAT(Table16[[#This Row],[STATE]],"-",Table16[[#This Row],[YEAR]])</f>
        <v>Andhra Pradesh-2005</v>
      </c>
      <c r="D67" t="s">
        <v>110</v>
      </c>
      <c r="E67">
        <v>30</v>
      </c>
    </row>
    <row r="68" spans="1:5" x14ac:dyDescent="0.3">
      <c r="A68" t="s">
        <v>6</v>
      </c>
      <c r="B68">
        <v>2006</v>
      </c>
      <c r="C68" t="str">
        <f>_xlfn.CONCAT(Table16[[#This Row],[STATE]],"-",Table16[[#This Row],[YEAR]])</f>
        <v>Andhra Pradesh-2006</v>
      </c>
      <c r="D68" t="s">
        <v>117</v>
      </c>
      <c r="E68">
        <v>17</v>
      </c>
    </row>
    <row r="69" spans="1:5" x14ac:dyDescent="0.3">
      <c r="A69" t="s">
        <v>6</v>
      </c>
      <c r="B69">
        <v>2006</v>
      </c>
      <c r="C69" t="str">
        <f>_xlfn.CONCAT(Table16[[#This Row],[STATE]],"-",Table16[[#This Row],[YEAR]])</f>
        <v>Andhra Pradesh-2006</v>
      </c>
      <c r="D69" t="s">
        <v>96</v>
      </c>
      <c r="E69">
        <v>6</v>
      </c>
    </row>
    <row r="70" spans="1:5" x14ac:dyDescent="0.3">
      <c r="A70" t="s">
        <v>6</v>
      </c>
      <c r="B70">
        <v>2006</v>
      </c>
      <c r="C70" t="str">
        <f>_xlfn.CONCAT(Table16[[#This Row],[STATE]],"-",Table16[[#This Row],[YEAR]])</f>
        <v>Andhra Pradesh-2006</v>
      </c>
      <c r="D70" t="s">
        <v>129</v>
      </c>
      <c r="E70">
        <v>10</v>
      </c>
    </row>
    <row r="71" spans="1:5" x14ac:dyDescent="0.3">
      <c r="A71" t="s">
        <v>6</v>
      </c>
      <c r="B71">
        <v>2006</v>
      </c>
      <c r="C71" t="str">
        <f>_xlfn.CONCAT(Table16[[#This Row],[STATE]],"-",Table16[[#This Row],[YEAR]])</f>
        <v>Andhra Pradesh-2006</v>
      </c>
      <c r="D71" t="s">
        <v>123</v>
      </c>
      <c r="E71">
        <v>12</v>
      </c>
    </row>
    <row r="72" spans="1:5" x14ac:dyDescent="0.3">
      <c r="A72" t="s">
        <v>6</v>
      </c>
      <c r="B72">
        <v>2006</v>
      </c>
      <c r="C72" t="str">
        <f>_xlfn.CONCAT(Table16[[#This Row],[STATE]],"-",Table16[[#This Row],[YEAR]])</f>
        <v>Andhra Pradesh-2006</v>
      </c>
      <c r="D72" t="s">
        <v>130</v>
      </c>
      <c r="E72">
        <v>10</v>
      </c>
    </row>
    <row r="73" spans="1:5" x14ac:dyDescent="0.3">
      <c r="A73" t="s">
        <v>6</v>
      </c>
      <c r="B73">
        <v>2006</v>
      </c>
      <c r="C73" t="str">
        <f>_xlfn.CONCAT(Table16[[#This Row],[STATE]],"-",Table16[[#This Row],[YEAR]])</f>
        <v>Andhra Pradesh-2006</v>
      </c>
      <c r="D73" t="s">
        <v>118</v>
      </c>
      <c r="E73">
        <v>97</v>
      </c>
    </row>
    <row r="74" spans="1:5" x14ac:dyDescent="0.3">
      <c r="A74" t="s">
        <v>6</v>
      </c>
      <c r="B74">
        <v>2006</v>
      </c>
      <c r="C74" t="str">
        <f>_xlfn.CONCAT(Table16[[#This Row],[STATE]],"-",Table16[[#This Row],[YEAR]])</f>
        <v>Andhra Pradesh-2006</v>
      </c>
      <c r="D74" t="s">
        <v>119</v>
      </c>
      <c r="E74">
        <v>17</v>
      </c>
    </row>
    <row r="75" spans="1:5" x14ac:dyDescent="0.3">
      <c r="A75" t="s">
        <v>6</v>
      </c>
      <c r="B75">
        <v>2006</v>
      </c>
      <c r="C75" t="str">
        <f>_xlfn.CONCAT(Table16[[#This Row],[STATE]],"-",Table16[[#This Row],[YEAR]])</f>
        <v>Andhra Pradesh-2006</v>
      </c>
      <c r="D75" t="s">
        <v>131</v>
      </c>
      <c r="E75">
        <v>7</v>
      </c>
    </row>
    <row r="76" spans="1:5" x14ac:dyDescent="0.3">
      <c r="A76" t="s">
        <v>6</v>
      </c>
      <c r="B76">
        <v>2006</v>
      </c>
      <c r="C76" t="str">
        <f>_xlfn.CONCAT(Table16[[#This Row],[STATE]],"-",Table16[[#This Row],[YEAR]])</f>
        <v>Andhra Pradesh-2006</v>
      </c>
      <c r="D76" t="s">
        <v>92</v>
      </c>
      <c r="E76">
        <v>38</v>
      </c>
    </row>
    <row r="77" spans="1:5" x14ac:dyDescent="0.3">
      <c r="A77" t="s">
        <v>6</v>
      </c>
      <c r="B77">
        <v>2006</v>
      </c>
      <c r="C77" t="str">
        <f>_xlfn.CONCAT(Table16[[#This Row],[STATE]],"-",Table16[[#This Row],[YEAR]])</f>
        <v>Andhra Pradesh-2006</v>
      </c>
      <c r="D77" t="s">
        <v>132</v>
      </c>
      <c r="E77">
        <v>18</v>
      </c>
    </row>
    <row r="78" spans="1:5" x14ac:dyDescent="0.3">
      <c r="A78" t="s">
        <v>6</v>
      </c>
      <c r="B78">
        <v>2006</v>
      </c>
      <c r="C78" t="str">
        <f>_xlfn.CONCAT(Table16[[#This Row],[STATE]],"-",Table16[[#This Row],[YEAR]])</f>
        <v>Andhra Pradesh-2006</v>
      </c>
      <c r="D78" t="s">
        <v>133</v>
      </c>
      <c r="E78">
        <v>18</v>
      </c>
    </row>
    <row r="79" spans="1:5" x14ac:dyDescent="0.3">
      <c r="A79" t="s">
        <v>6</v>
      </c>
      <c r="B79">
        <v>2006</v>
      </c>
      <c r="C79" t="str">
        <f>_xlfn.CONCAT(Table16[[#This Row],[STATE]],"-",Table16[[#This Row],[YEAR]])</f>
        <v>Andhra Pradesh-2006</v>
      </c>
      <c r="D79" t="s">
        <v>134</v>
      </c>
      <c r="E79">
        <v>20</v>
      </c>
    </row>
    <row r="80" spans="1:5" x14ac:dyDescent="0.3">
      <c r="A80" t="s">
        <v>6</v>
      </c>
      <c r="B80">
        <v>2006</v>
      </c>
      <c r="C80" t="str">
        <f>_xlfn.CONCAT(Table16[[#This Row],[STATE]],"-",Table16[[#This Row],[YEAR]])</f>
        <v>Andhra Pradesh-2006</v>
      </c>
      <c r="D80" t="s">
        <v>87</v>
      </c>
      <c r="E80">
        <v>154</v>
      </c>
    </row>
    <row r="81" spans="1:5" x14ac:dyDescent="0.3">
      <c r="A81" t="s">
        <v>6</v>
      </c>
      <c r="B81">
        <v>2006</v>
      </c>
      <c r="C81" t="str">
        <f>_xlfn.CONCAT(Table16[[#This Row],[STATE]],"-",Table16[[#This Row],[YEAR]])</f>
        <v>Andhra Pradesh-2006</v>
      </c>
      <c r="D81" t="s">
        <v>103</v>
      </c>
      <c r="E81">
        <v>57</v>
      </c>
    </row>
    <row r="82" spans="1:5" x14ac:dyDescent="0.3">
      <c r="A82" t="s">
        <v>6</v>
      </c>
      <c r="B82">
        <v>2006</v>
      </c>
      <c r="C82" t="str">
        <f>_xlfn.CONCAT(Table16[[#This Row],[STATE]],"-",Table16[[#This Row],[YEAR]])</f>
        <v>Andhra Pradesh-2006</v>
      </c>
      <c r="D82" t="s">
        <v>106</v>
      </c>
      <c r="E82">
        <v>10</v>
      </c>
    </row>
    <row r="83" spans="1:5" x14ac:dyDescent="0.3">
      <c r="A83" t="s">
        <v>6</v>
      </c>
      <c r="B83">
        <v>2006</v>
      </c>
      <c r="C83" t="str">
        <f>_xlfn.CONCAT(Table16[[#This Row],[STATE]],"-",Table16[[#This Row],[YEAR]])</f>
        <v>Andhra Pradesh-2006</v>
      </c>
      <c r="D83" t="s">
        <v>135</v>
      </c>
      <c r="E83">
        <v>152</v>
      </c>
    </row>
    <row r="84" spans="1:5" x14ac:dyDescent="0.3">
      <c r="A84" t="s">
        <v>6</v>
      </c>
      <c r="B84">
        <v>2006</v>
      </c>
      <c r="C84" t="str">
        <f>_xlfn.CONCAT(Table16[[#This Row],[STATE]],"-",Table16[[#This Row],[YEAR]])</f>
        <v>Andhra Pradesh-2006</v>
      </c>
      <c r="D84" t="s">
        <v>136</v>
      </c>
      <c r="E84">
        <v>10</v>
      </c>
    </row>
    <row r="85" spans="1:5" x14ac:dyDescent="0.3">
      <c r="A85" t="s">
        <v>6</v>
      </c>
      <c r="B85">
        <v>2006</v>
      </c>
      <c r="C85" t="str">
        <f>_xlfn.CONCAT(Table16[[#This Row],[STATE]],"-",Table16[[#This Row],[YEAR]])</f>
        <v>Andhra Pradesh-2006</v>
      </c>
      <c r="D85" t="s">
        <v>137</v>
      </c>
      <c r="E85">
        <v>30</v>
      </c>
    </row>
    <row r="86" spans="1:5" x14ac:dyDescent="0.3">
      <c r="A86" t="s">
        <v>6</v>
      </c>
      <c r="B86">
        <v>2006</v>
      </c>
      <c r="C86" t="str">
        <f>_xlfn.CONCAT(Table16[[#This Row],[STATE]],"-",Table16[[#This Row],[YEAR]])</f>
        <v>Andhra Pradesh-2006</v>
      </c>
      <c r="D86" t="s">
        <v>109</v>
      </c>
      <c r="E86">
        <v>30</v>
      </c>
    </row>
    <row r="87" spans="1:5" x14ac:dyDescent="0.3">
      <c r="A87" t="s">
        <v>6</v>
      </c>
      <c r="B87">
        <v>2006</v>
      </c>
      <c r="C87" t="str">
        <f>_xlfn.CONCAT(Table16[[#This Row],[STATE]],"-",Table16[[#This Row],[YEAR]])</f>
        <v>Andhra Pradesh-2006</v>
      </c>
      <c r="D87" t="s">
        <v>110</v>
      </c>
      <c r="E87">
        <v>30</v>
      </c>
    </row>
    <row r="88" spans="1:5" x14ac:dyDescent="0.3">
      <c r="A88" t="s">
        <v>6</v>
      </c>
      <c r="B88">
        <v>2007</v>
      </c>
      <c r="C88" t="str">
        <f>_xlfn.CONCAT(Table16[[#This Row],[STATE]],"-",Table16[[#This Row],[YEAR]])</f>
        <v>Andhra Pradesh-2007</v>
      </c>
      <c r="D88" t="s">
        <v>117</v>
      </c>
      <c r="E88">
        <v>20</v>
      </c>
    </row>
    <row r="89" spans="1:5" x14ac:dyDescent="0.3">
      <c r="A89" t="s">
        <v>6</v>
      </c>
      <c r="B89">
        <v>2007</v>
      </c>
      <c r="C89" t="str">
        <f>_xlfn.CONCAT(Table16[[#This Row],[STATE]],"-",Table16[[#This Row],[YEAR]])</f>
        <v>Andhra Pradesh-2007</v>
      </c>
      <c r="D89" t="s">
        <v>96</v>
      </c>
      <c r="E89">
        <v>12</v>
      </c>
    </row>
    <row r="90" spans="1:5" x14ac:dyDescent="0.3">
      <c r="A90" t="s">
        <v>6</v>
      </c>
      <c r="B90">
        <v>2007</v>
      </c>
      <c r="C90" t="str">
        <f>_xlfn.CONCAT(Table16[[#This Row],[STATE]],"-",Table16[[#This Row],[YEAR]])</f>
        <v>Andhra Pradesh-2007</v>
      </c>
      <c r="D90" t="s">
        <v>138</v>
      </c>
      <c r="E90">
        <v>10</v>
      </c>
    </row>
    <row r="91" spans="1:5" x14ac:dyDescent="0.3">
      <c r="A91" t="s">
        <v>6</v>
      </c>
      <c r="B91">
        <v>2007</v>
      </c>
      <c r="C91" t="str">
        <f>_xlfn.CONCAT(Table16[[#This Row],[STATE]],"-",Table16[[#This Row],[YEAR]])</f>
        <v>Andhra Pradesh-2007</v>
      </c>
      <c r="D91" t="s">
        <v>123</v>
      </c>
      <c r="E91">
        <v>10</v>
      </c>
    </row>
    <row r="92" spans="1:5" x14ac:dyDescent="0.3">
      <c r="A92" t="s">
        <v>6</v>
      </c>
      <c r="B92">
        <v>2007</v>
      </c>
      <c r="C92" t="str">
        <f>_xlfn.CONCAT(Table16[[#This Row],[STATE]],"-",Table16[[#This Row],[YEAR]])</f>
        <v>Andhra Pradesh-2007</v>
      </c>
      <c r="D92" t="s">
        <v>118</v>
      </c>
      <c r="E92">
        <v>45</v>
      </c>
    </row>
    <row r="93" spans="1:5" x14ac:dyDescent="0.3">
      <c r="A93" t="s">
        <v>6</v>
      </c>
      <c r="B93">
        <v>2007</v>
      </c>
      <c r="C93" t="str">
        <f>_xlfn.CONCAT(Table16[[#This Row],[STATE]],"-",Table16[[#This Row],[YEAR]])</f>
        <v>Andhra Pradesh-2007</v>
      </c>
      <c r="D93" t="s">
        <v>119</v>
      </c>
      <c r="E93">
        <v>10</v>
      </c>
    </row>
    <row r="94" spans="1:5" x14ac:dyDescent="0.3">
      <c r="A94" t="s">
        <v>6</v>
      </c>
      <c r="B94">
        <v>2007</v>
      </c>
      <c r="C94" t="str">
        <f>_xlfn.CONCAT(Table16[[#This Row],[STATE]],"-",Table16[[#This Row],[YEAR]])</f>
        <v>Andhra Pradesh-2007</v>
      </c>
      <c r="D94" t="s">
        <v>131</v>
      </c>
      <c r="E94">
        <v>5</v>
      </c>
    </row>
    <row r="95" spans="1:5" x14ac:dyDescent="0.3">
      <c r="A95" t="s">
        <v>6</v>
      </c>
      <c r="B95">
        <v>2007</v>
      </c>
      <c r="C95" t="str">
        <f>_xlfn.CONCAT(Table16[[#This Row],[STATE]],"-",Table16[[#This Row],[YEAR]])</f>
        <v>Andhra Pradesh-2007</v>
      </c>
      <c r="D95" t="s">
        <v>139</v>
      </c>
      <c r="E95">
        <v>297</v>
      </c>
    </row>
    <row r="96" spans="1:5" x14ac:dyDescent="0.3">
      <c r="A96" t="s">
        <v>6</v>
      </c>
      <c r="B96">
        <v>2007</v>
      </c>
      <c r="C96" t="str">
        <f>_xlfn.CONCAT(Table16[[#This Row],[STATE]],"-",Table16[[#This Row],[YEAR]])</f>
        <v>Andhra Pradesh-2007</v>
      </c>
      <c r="D96" t="s">
        <v>121</v>
      </c>
      <c r="E96">
        <v>73</v>
      </c>
    </row>
    <row r="97" spans="1:5" x14ac:dyDescent="0.3">
      <c r="A97" t="s">
        <v>6</v>
      </c>
      <c r="B97">
        <v>2007</v>
      </c>
      <c r="C97" t="str">
        <f>_xlfn.CONCAT(Table16[[#This Row],[STATE]],"-",Table16[[#This Row],[YEAR]])</f>
        <v>Andhra Pradesh-2007</v>
      </c>
      <c r="D97" t="s">
        <v>120</v>
      </c>
      <c r="E97">
        <v>60</v>
      </c>
    </row>
    <row r="98" spans="1:5" x14ac:dyDescent="0.3">
      <c r="A98" t="s">
        <v>6</v>
      </c>
      <c r="B98">
        <v>2007</v>
      </c>
      <c r="C98" t="str">
        <f>_xlfn.CONCAT(Table16[[#This Row],[STATE]],"-",Table16[[#This Row],[YEAR]])</f>
        <v>Andhra Pradesh-2007</v>
      </c>
      <c r="D98" t="s">
        <v>124</v>
      </c>
      <c r="E98">
        <v>7</v>
      </c>
    </row>
    <row r="99" spans="1:5" x14ac:dyDescent="0.3">
      <c r="A99" t="s">
        <v>6</v>
      </c>
      <c r="B99">
        <v>2007</v>
      </c>
      <c r="C99" t="str">
        <f>_xlfn.CONCAT(Table16[[#This Row],[STATE]],"-",Table16[[#This Row],[YEAR]])</f>
        <v>Andhra Pradesh-2007</v>
      </c>
      <c r="D99" t="s">
        <v>140</v>
      </c>
      <c r="E99">
        <v>30</v>
      </c>
    </row>
    <row r="100" spans="1:5" x14ac:dyDescent="0.3">
      <c r="A100" t="s">
        <v>6</v>
      </c>
      <c r="B100">
        <v>2007</v>
      </c>
      <c r="C100" t="str">
        <f>_xlfn.CONCAT(Table16[[#This Row],[STATE]],"-",Table16[[#This Row],[YEAR]])</f>
        <v>Andhra Pradesh-2007</v>
      </c>
      <c r="D100" t="s">
        <v>137</v>
      </c>
      <c r="E100">
        <v>60</v>
      </c>
    </row>
    <row r="101" spans="1:5" x14ac:dyDescent="0.3">
      <c r="A101" t="s">
        <v>6</v>
      </c>
      <c r="B101">
        <v>2007</v>
      </c>
      <c r="C101" t="str">
        <f>_xlfn.CONCAT(Table16[[#This Row],[STATE]],"-",Table16[[#This Row],[YEAR]])</f>
        <v>Andhra Pradesh-2007</v>
      </c>
      <c r="D101" t="s">
        <v>101</v>
      </c>
      <c r="E101">
        <v>45</v>
      </c>
    </row>
    <row r="102" spans="1:5" x14ac:dyDescent="0.3">
      <c r="A102" t="s">
        <v>6</v>
      </c>
      <c r="B102">
        <v>2007</v>
      </c>
      <c r="C102" t="str">
        <f>_xlfn.CONCAT(Table16[[#This Row],[STATE]],"-",Table16[[#This Row],[YEAR]])</f>
        <v>Andhra Pradesh-2007</v>
      </c>
      <c r="D102" t="s">
        <v>98</v>
      </c>
      <c r="E102">
        <v>60</v>
      </c>
    </row>
    <row r="103" spans="1:5" x14ac:dyDescent="0.3">
      <c r="A103" t="s">
        <v>6</v>
      </c>
      <c r="B103">
        <v>2007</v>
      </c>
      <c r="C103" t="str">
        <f>_xlfn.CONCAT(Table16[[#This Row],[STATE]],"-",Table16[[#This Row],[YEAR]])</f>
        <v>Andhra Pradesh-2007</v>
      </c>
      <c r="D103" t="s">
        <v>141</v>
      </c>
      <c r="E103">
        <v>9</v>
      </c>
    </row>
    <row r="104" spans="1:5" x14ac:dyDescent="0.3">
      <c r="A104" t="s">
        <v>6</v>
      </c>
      <c r="B104">
        <v>2007</v>
      </c>
      <c r="C104" t="str">
        <f>_xlfn.CONCAT(Table16[[#This Row],[STATE]],"-",Table16[[#This Row],[YEAR]])</f>
        <v>Andhra Pradesh-2007</v>
      </c>
      <c r="D104" t="s">
        <v>102</v>
      </c>
      <c r="E104">
        <v>128</v>
      </c>
    </row>
    <row r="105" spans="1:5" x14ac:dyDescent="0.3">
      <c r="A105" t="s">
        <v>6</v>
      </c>
      <c r="B105">
        <v>2007</v>
      </c>
      <c r="C105" t="str">
        <f>_xlfn.CONCAT(Table16[[#This Row],[STATE]],"-",Table16[[#This Row],[YEAR]])</f>
        <v>Andhra Pradesh-2007</v>
      </c>
      <c r="D105" t="s">
        <v>87</v>
      </c>
      <c r="E105">
        <v>488</v>
      </c>
    </row>
    <row r="106" spans="1:5" x14ac:dyDescent="0.3">
      <c r="A106" t="s">
        <v>6</v>
      </c>
      <c r="B106">
        <v>2007</v>
      </c>
      <c r="C106" t="str">
        <f>_xlfn.CONCAT(Table16[[#This Row],[STATE]],"-",Table16[[#This Row],[YEAR]])</f>
        <v>Andhra Pradesh-2007</v>
      </c>
      <c r="D106" t="s">
        <v>103</v>
      </c>
      <c r="E106">
        <v>172</v>
      </c>
    </row>
    <row r="107" spans="1:5" x14ac:dyDescent="0.3">
      <c r="A107" t="s">
        <v>6</v>
      </c>
      <c r="B107">
        <v>2007</v>
      </c>
      <c r="C107" t="str">
        <f>_xlfn.CONCAT(Table16[[#This Row],[STATE]],"-",Table16[[#This Row],[YEAR]])</f>
        <v>Andhra Pradesh-2007</v>
      </c>
      <c r="D107" t="s">
        <v>106</v>
      </c>
      <c r="E107">
        <v>10</v>
      </c>
    </row>
    <row r="108" spans="1:5" x14ac:dyDescent="0.3">
      <c r="A108" t="s">
        <v>6</v>
      </c>
      <c r="B108">
        <v>2007</v>
      </c>
      <c r="C108" t="str">
        <f>_xlfn.CONCAT(Table16[[#This Row],[STATE]],"-",Table16[[#This Row],[YEAR]])</f>
        <v>Andhra Pradesh-2007</v>
      </c>
      <c r="D108" t="s">
        <v>90</v>
      </c>
      <c r="E108">
        <v>463</v>
      </c>
    </row>
    <row r="109" spans="1:5" x14ac:dyDescent="0.3">
      <c r="A109" t="s">
        <v>6</v>
      </c>
      <c r="B109">
        <v>2007</v>
      </c>
      <c r="C109" t="str">
        <f>_xlfn.CONCAT(Table16[[#This Row],[STATE]],"-",Table16[[#This Row],[YEAR]])</f>
        <v>Andhra Pradesh-2007</v>
      </c>
      <c r="D109" t="s">
        <v>142</v>
      </c>
      <c r="E109">
        <v>10</v>
      </c>
    </row>
    <row r="110" spans="1:5" x14ac:dyDescent="0.3">
      <c r="A110" t="s">
        <v>6</v>
      </c>
      <c r="B110">
        <v>2008</v>
      </c>
      <c r="C110" t="str">
        <f>_xlfn.CONCAT(Table16[[#This Row],[STATE]],"-",Table16[[#This Row],[YEAR]])</f>
        <v>Andhra Pradesh-2008</v>
      </c>
      <c r="D110" t="s">
        <v>117</v>
      </c>
      <c r="E110">
        <v>10</v>
      </c>
    </row>
    <row r="111" spans="1:5" x14ac:dyDescent="0.3">
      <c r="A111" t="s">
        <v>6</v>
      </c>
      <c r="B111">
        <v>2008</v>
      </c>
      <c r="C111" t="str">
        <f>_xlfn.CONCAT(Table16[[#This Row],[STATE]],"-",Table16[[#This Row],[YEAR]])</f>
        <v>Andhra Pradesh-2008</v>
      </c>
      <c r="D111" t="s">
        <v>96</v>
      </c>
      <c r="E111">
        <v>37</v>
      </c>
    </row>
    <row r="112" spans="1:5" x14ac:dyDescent="0.3">
      <c r="A112" t="s">
        <v>6</v>
      </c>
      <c r="B112">
        <v>2008</v>
      </c>
      <c r="C112" t="str">
        <f>_xlfn.CONCAT(Table16[[#This Row],[STATE]],"-",Table16[[#This Row],[YEAR]])</f>
        <v>Andhra Pradesh-2008</v>
      </c>
      <c r="D112" t="s">
        <v>143</v>
      </c>
      <c r="E112">
        <v>10</v>
      </c>
    </row>
    <row r="113" spans="1:5" x14ac:dyDescent="0.3">
      <c r="A113" t="s">
        <v>6</v>
      </c>
      <c r="B113">
        <v>2008</v>
      </c>
      <c r="C113" t="str">
        <f>_xlfn.CONCAT(Table16[[#This Row],[STATE]],"-",Table16[[#This Row],[YEAR]])</f>
        <v>Andhra Pradesh-2008</v>
      </c>
      <c r="D113" t="s">
        <v>123</v>
      </c>
      <c r="E113">
        <v>13</v>
      </c>
    </row>
    <row r="114" spans="1:5" x14ac:dyDescent="0.3">
      <c r="A114" t="s">
        <v>6</v>
      </c>
      <c r="B114">
        <v>2008</v>
      </c>
      <c r="C114" t="str">
        <f>_xlfn.CONCAT(Table16[[#This Row],[STATE]],"-",Table16[[#This Row],[YEAR]])</f>
        <v>Andhra Pradesh-2008</v>
      </c>
      <c r="D114" t="s">
        <v>118</v>
      </c>
      <c r="E114">
        <v>85</v>
      </c>
    </row>
    <row r="115" spans="1:5" x14ac:dyDescent="0.3">
      <c r="A115" t="s">
        <v>6</v>
      </c>
      <c r="B115">
        <v>2008</v>
      </c>
      <c r="C115" t="str">
        <f>_xlfn.CONCAT(Table16[[#This Row],[STATE]],"-",Table16[[#This Row],[YEAR]])</f>
        <v>Andhra Pradesh-2008</v>
      </c>
      <c r="D115" t="s">
        <v>119</v>
      </c>
      <c r="E115">
        <v>10</v>
      </c>
    </row>
    <row r="116" spans="1:5" x14ac:dyDescent="0.3">
      <c r="A116" t="s">
        <v>6</v>
      </c>
      <c r="B116">
        <v>2008</v>
      </c>
      <c r="C116" t="str">
        <f>_xlfn.CONCAT(Table16[[#This Row],[STATE]],"-",Table16[[#This Row],[YEAR]])</f>
        <v>Andhra Pradesh-2008</v>
      </c>
      <c r="D116" t="s">
        <v>112</v>
      </c>
      <c r="E116">
        <v>10</v>
      </c>
    </row>
    <row r="117" spans="1:5" x14ac:dyDescent="0.3">
      <c r="A117" t="s">
        <v>6</v>
      </c>
      <c r="B117">
        <v>2008</v>
      </c>
      <c r="C117" t="str">
        <f>_xlfn.CONCAT(Table16[[#This Row],[STATE]],"-",Table16[[#This Row],[YEAR]])</f>
        <v>Andhra Pradesh-2008</v>
      </c>
      <c r="D117" t="s">
        <v>144</v>
      </c>
      <c r="E117">
        <v>156</v>
      </c>
    </row>
    <row r="118" spans="1:5" x14ac:dyDescent="0.3">
      <c r="A118" t="s">
        <v>6</v>
      </c>
      <c r="B118">
        <v>2008</v>
      </c>
      <c r="C118" t="str">
        <f>_xlfn.CONCAT(Table16[[#This Row],[STATE]],"-",Table16[[#This Row],[YEAR]])</f>
        <v>Andhra Pradesh-2008</v>
      </c>
      <c r="D118" t="s">
        <v>121</v>
      </c>
      <c r="E118">
        <v>29</v>
      </c>
    </row>
    <row r="119" spans="1:5" x14ac:dyDescent="0.3">
      <c r="A119" t="s">
        <v>6</v>
      </c>
      <c r="B119">
        <v>2008</v>
      </c>
      <c r="C119" t="str">
        <f>_xlfn.CONCAT(Table16[[#This Row],[STATE]],"-",Table16[[#This Row],[YEAR]])</f>
        <v>Andhra Pradesh-2008</v>
      </c>
      <c r="D119" t="s">
        <v>145</v>
      </c>
      <c r="E119">
        <v>10</v>
      </c>
    </row>
    <row r="120" spans="1:5" x14ac:dyDescent="0.3">
      <c r="A120" t="s">
        <v>6</v>
      </c>
      <c r="B120">
        <v>2008</v>
      </c>
      <c r="C120" t="str">
        <f>_xlfn.CONCAT(Table16[[#This Row],[STATE]],"-",Table16[[#This Row],[YEAR]])</f>
        <v>Andhra Pradesh-2008</v>
      </c>
      <c r="D120" t="s">
        <v>140</v>
      </c>
      <c r="E120">
        <v>25</v>
      </c>
    </row>
    <row r="121" spans="1:5" x14ac:dyDescent="0.3">
      <c r="A121" t="s">
        <v>6</v>
      </c>
      <c r="B121">
        <v>2008</v>
      </c>
      <c r="C121" t="str">
        <f>_xlfn.CONCAT(Table16[[#This Row],[STATE]],"-",Table16[[#This Row],[YEAR]])</f>
        <v>Andhra Pradesh-2008</v>
      </c>
      <c r="D121" t="s">
        <v>137</v>
      </c>
      <c r="E121">
        <v>43</v>
      </c>
    </row>
    <row r="122" spans="1:5" x14ac:dyDescent="0.3">
      <c r="A122" t="s">
        <v>6</v>
      </c>
      <c r="B122">
        <v>2008</v>
      </c>
      <c r="C122" t="str">
        <f>_xlfn.CONCAT(Table16[[#This Row],[STATE]],"-",Table16[[#This Row],[YEAR]])</f>
        <v>Andhra Pradesh-2008</v>
      </c>
      <c r="D122" t="s">
        <v>98</v>
      </c>
      <c r="E122">
        <v>30</v>
      </c>
    </row>
    <row r="123" spans="1:5" x14ac:dyDescent="0.3">
      <c r="A123" t="s">
        <v>6</v>
      </c>
      <c r="B123">
        <v>2008</v>
      </c>
      <c r="C123" t="str">
        <f>_xlfn.CONCAT(Table16[[#This Row],[STATE]],"-",Table16[[#This Row],[YEAR]])</f>
        <v>Andhra Pradesh-2008</v>
      </c>
      <c r="D123" t="s">
        <v>141</v>
      </c>
      <c r="E123">
        <v>10</v>
      </c>
    </row>
    <row r="124" spans="1:5" x14ac:dyDescent="0.3">
      <c r="A124" t="s">
        <v>6</v>
      </c>
      <c r="B124">
        <v>2008</v>
      </c>
      <c r="C124" t="str">
        <f>_xlfn.CONCAT(Table16[[#This Row],[STATE]],"-",Table16[[#This Row],[YEAR]])</f>
        <v>Andhra Pradesh-2008</v>
      </c>
      <c r="D124" t="s">
        <v>87</v>
      </c>
      <c r="E124">
        <v>914</v>
      </c>
    </row>
    <row r="125" spans="1:5" x14ac:dyDescent="0.3">
      <c r="A125" t="s">
        <v>6</v>
      </c>
      <c r="B125">
        <v>2008</v>
      </c>
      <c r="C125" t="str">
        <f>_xlfn.CONCAT(Table16[[#This Row],[STATE]],"-",Table16[[#This Row],[YEAR]])</f>
        <v>Andhra Pradesh-2008</v>
      </c>
      <c r="D125" t="s">
        <v>89</v>
      </c>
      <c r="E125">
        <v>16</v>
      </c>
    </row>
    <row r="126" spans="1:5" x14ac:dyDescent="0.3">
      <c r="A126" t="s">
        <v>6</v>
      </c>
      <c r="B126">
        <v>2008</v>
      </c>
      <c r="C126" t="str">
        <f>_xlfn.CONCAT(Table16[[#This Row],[STATE]],"-",Table16[[#This Row],[YEAR]])</f>
        <v>Andhra Pradesh-2008</v>
      </c>
      <c r="D126" t="s">
        <v>103</v>
      </c>
      <c r="E126">
        <v>107</v>
      </c>
    </row>
    <row r="127" spans="1:5" x14ac:dyDescent="0.3">
      <c r="A127" t="s">
        <v>6</v>
      </c>
      <c r="B127">
        <v>2008</v>
      </c>
      <c r="C127" t="str">
        <f>_xlfn.CONCAT(Table16[[#This Row],[STATE]],"-",Table16[[#This Row],[YEAR]])</f>
        <v>Andhra Pradesh-2008</v>
      </c>
      <c r="D127" t="s">
        <v>106</v>
      </c>
      <c r="E127">
        <v>10</v>
      </c>
    </row>
    <row r="128" spans="1:5" x14ac:dyDescent="0.3">
      <c r="A128" t="s">
        <v>6</v>
      </c>
      <c r="B128">
        <v>2008</v>
      </c>
      <c r="C128" t="str">
        <f>_xlfn.CONCAT(Table16[[#This Row],[STATE]],"-",Table16[[#This Row],[YEAR]])</f>
        <v>Andhra Pradesh-2008</v>
      </c>
      <c r="D128" t="s">
        <v>135</v>
      </c>
      <c r="E128">
        <v>271</v>
      </c>
    </row>
    <row r="129" spans="1:5" x14ac:dyDescent="0.3">
      <c r="A129" t="s">
        <v>6</v>
      </c>
      <c r="B129">
        <v>2008</v>
      </c>
      <c r="C129" t="str">
        <f>_xlfn.CONCAT(Table16[[#This Row],[STATE]],"-",Table16[[#This Row],[YEAR]])</f>
        <v>Andhra Pradesh-2008</v>
      </c>
      <c r="D129" t="s">
        <v>146</v>
      </c>
      <c r="E129">
        <v>31</v>
      </c>
    </row>
    <row r="130" spans="1:5" x14ac:dyDescent="0.3">
      <c r="A130" t="s">
        <v>6</v>
      </c>
      <c r="B130">
        <v>2008</v>
      </c>
      <c r="C130" t="str">
        <f>_xlfn.CONCAT(Table16[[#This Row],[STATE]],"-",Table16[[#This Row],[YEAR]])</f>
        <v>Andhra Pradesh-2008</v>
      </c>
      <c r="D130" t="s">
        <v>136</v>
      </c>
      <c r="E130">
        <v>10</v>
      </c>
    </row>
    <row r="131" spans="1:5" x14ac:dyDescent="0.3">
      <c r="A131" t="s">
        <v>6</v>
      </c>
      <c r="B131">
        <v>2009</v>
      </c>
      <c r="C131" t="str">
        <f>_xlfn.CONCAT(Table16[[#This Row],[STATE]],"-",Table16[[#This Row],[YEAR]])</f>
        <v>Andhra Pradesh-2009</v>
      </c>
      <c r="D131" t="s">
        <v>96</v>
      </c>
      <c r="E131">
        <v>86</v>
      </c>
    </row>
    <row r="132" spans="1:5" x14ac:dyDescent="0.3">
      <c r="A132" t="s">
        <v>6</v>
      </c>
      <c r="B132">
        <v>2009</v>
      </c>
      <c r="C132" t="str">
        <f>_xlfn.CONCAT(Table16[[#This Row],[STATE]],"-",Table16[[#This Row],[YEAR]])</f>
        <v>Andhra Pradesh-2009</v>
      </c>
      <c r="D132" t="s">
        <v>147</v>
      </c>
      <c r="E132">
        <v>10</v>
      </c>
    </row>
    <row r="133" spans="1:5" x14ac:dyDescent="0.3">
      <c r="A133" t="s">
        <v>6</v>
      </c>
      <c r="B133">
        <v>2009</v>
      </c>
      <c r="C133" t="str">
        <f>_xlfn.CONCAT(Table16[[#This Row],[STATE]],"-",Table16[[#This Row],[YEAR]])</f>
        <v>Andhra Pradesh-2009</v>
      </c>
      <c r="D133" t="s">
        <v>118</v>
      </c>
      <c r="E133">
        <v>83</v>
      </c>
    </row>
    <row r="134" spans="1:5" x14ac:dyDescent="0.3">
      <c r="A134" t="s">
        <v>6</v>
      </c>
      <c r="B134">
        <v>2009</v>
      </c>
      <c r="C134" t="str">
        <f>_xlfn.CONCAT(Table16[[#This Row],[STATE]],"-",Table16[[#This Row],[YEAR]])</f>
        <v>Andhra Pradesh-2009</v>
      </c>
      <c r="D134" t="s">
        <v>137</v>
      </c>
      <c r="E134">
        <v>756</v>
      </c>
    </row>
    <row r="135" spans="1:5" x14ac:dyDescent="0.3">
      <c r="A135" t="s">
        <v>6</v>
      </c>
      <c r="B135">
        <v>2009</v>
      </c>
      <c r="C135" t="str">
        <f>_xlfn.CONCAT(Table16[[#This Row],[STATE]],"-",Table16[[#This Row],[YEAR]])</f>
        <v>Andhra Pradesh-2009</v>
      </c>
      <c r="D135" t="s">
        <v>148</v>
      </c>
      <c r="E135">
        <v>145</v>
      </c>
    </row>
    <row r="136" spans="1:5" x14ac:dyDescent="0.3">
      <c r="A136" t="s">
        <v>6</v>
      </c>
      <c r="B136">
        <v>2009</v>
      </c>
      <c r="C136" t="str">
        <f>_xlfn.CONCAT(Table16[[#This Row],[STATE]],"-",Table16[[#This Row],[YEAR]])</f>
        <v>Andhra Pradesh-2009</v>
      </c>
      <c r="D136" t="s">
        <v>149</v>
      </c>
      <c r="E136">
        <v>131</v>
      </c>
    </row>
    <row r="137" spans="1:5" x14ac:dyDescent="0.3">
      <c r="A137" t="s">
        <v>6</v>
      </c>
      <c r="B137">
        <v>2009</v>
      </c>
      <c r="C137" t="str">
        <f>_xlfn.CONCAT(Table16[[#This Row],[STATE]],"-",Table16[[#This Row],[YEAR]])</f>
        <v>Andhra Pradesh-2009</v>
      </c>
      <c r="D137" t="s">
        <v>100</v>
      </c>
      <c r="E137">
        <v>1169</v>
      </c>
    </row>
    <row r="138" spans="1:5" x14ac:dyDescent="0.3">
      <c r="A138" t="s">
        <v>6</v>
      </c>
      <c r="B138">
        <v>2009</v>
      </c>
      <c r="C138" t="str">
        <f>_xlfn.CONCAT(Table16[[#This Row],[STATE]],"-",Table16[[#This Row],[YEAR]])</f>
        <v>Andhra Pradesh-2009</v>
      </c>
      <c r="D138" t="s">
        <v>103</v>
      </c>
      <c r="E138">
        <v>140</v>
      </c>
    </row>
    <row r="139" spans="1:5" x14ac:dyDescent="0.3">
      <c r="A139" t="s">
        <v>6</v>
      </c>
      <c r="B139">
        <v>2009</v>
      </c>
      <c r="C139" t="str">
        <f>_xlfn.CONCAT(Table16[[#This Row],[STATE]],"-",Table16[[#This Row],[YEAR]])</f>
        <v>Andhra Pradesh-2009</v>
      </c>
      <c r="D139" t="s">
        <v>106</v>
      </c>
      <c r="E139">
        <v>15</v>
      </c>
    </row>
    <row r="140" spans="1:5" x14ac:dyDescent="0.3">
      <c r="A140" t="s">
        <v>6</v>
      </c>
      <c r="B140">
        <v>2009</v>
      </c>
      <c r="C140" t="str">
        <f>_xlfn.CONCAT(Table16[[#This Row],[STATE]],"-",Table16[[#This Row],[YEAR]])</f>
        <v>Andhra Pradesh-2009</v>
      </c>
      <c r="D140" t="s">
        <v>90</v>
      </c>
      <c r="E140">
        <v>351</v>
      </c>
    </row>
    <row r="141" spans="1:5" x14ac:dyDescent="0.3">
      <c r="A141" t="s">
        <v>6</v>
      </c>
      <c r="B141">
        <v>2009</v>
      </c>
      <c r="C141" t="str">
        <f>_xlfn.CONCAT(Table16[[#This Row],[STATE]],"-",Table16[[#This Row],[YEAR]])</f>
        <v>Andhra Pradesh-2009</v>
      </c>
      <c r="D141" t="s">
        <v>146</v>
      </c>
      <c r="E141">
        <v>51</v>
      </c>
    </row>
    <row r="142" spans="1:5" x14ac:dyDescent="0.3">
      <c r="A142" t="s">
        <v>6</v>
      </c>
      <c r="B142">
        <v>2009</v>
      </c>
      <c r="C142" t="str">
        <f>_xlfn.CONCAT(Table16[[#This Row],[STATE]],"-",Table16[[#This Row],[YEAR]])</f>
        <v>Andhra Pradesh-2009</v>
      </c>
      <c r="D142" t="s">
        <v>150</v>
      </c>
      <c r="E142">
        <v>117</v>
      </c>
    </row>
    <row r="143" spans="1:5" x14ac:dyDescent="0.3">
      <c r="A143" t="s">
        <v>6</v>
      </c>
      <c r="B143">
        <v>2009</v>
      </c>
      <c r="C143" t="str">
        <f>_xlfn.CONCAT(Table16[[#This Row],[STATE]],"-",Table16[[#This Row],[YEAR]])</f>
        <v>Andhra Pradesh-2009</v>
      </c>
      <c r="D143" t="s">
        <v>151</v>
      </c>
      <c r="E143">
        <v>8</v>
      </c>
    </row>
    <row r="144" spans="1:5" x14ac:dyDescent="0.3">
      <c r="A144" t="s">
        <v>6</v>
      </c>
      <c r="B144">
        <v>2009</v>
      </c>
      <c r="C144" t="str">
        <f>_xlfn.CONCAT(Table16[[#This Row],[STATE]],"-",Table16[[#This Row],[YEAR]])</f>
        <v>Andhra Pradesh-2009</v>
      </c>
      <c r="D144" t="s">
        <v>152</v>
      </c>
      <c r="E144">
        <v>68</v>
      </c>
    </row>
    <row r="145" spans="1:5" x14ac:dyDescent="0.3">
      <c r="A145" t="s">
        <v>6</v>
      </c>
      <c r="B145">
        <v>2009</v>
      </c>
      <c r="C145" t="str">
        <f>_xlfn.CONCAT(Table16[[#This Row],[STATE]],"-",Table16[[#This Row],[YEAR]])</f>
        <v>Andhra Pradesh-2009</v>
      </c>
      <c r="D145" t="s">
        <v>107</v>
      </c>
      <c r="E145">
        <v>10</v>
      </c>
    </row>
    <row r="146" spans="1:5" x14ac:dyDescent="0.3">
      <c r="A146" t="s">
        <v>6</v>
      </c>
      <c r="B146">
        <v>2009</v>
      </c>
      <c r="C146" t="str">
        <f>_xlfn.CONCAT(Table16[[#This Row],[STATE]],"-",Table16[[#This Row],[YEAR]])</f>
        <v>Andhra Pradesh-2009</v>
      </c>
      <c r="D146" t="s">
        <v>153</v>
      </c>
      <c r="E146">
        <v>10</v>
      </c>
    </row>
    <row r="147" spans="1:5" x14ac:dyDescent="0.3">
      <c r="A147" t="s">
        <v>6</v>
      </c>
      <c r="B147">
        <v>2009</v>
      </c>
      <c r="C147" t="str">
        <f>_xlfn.CONCAT(Table16[[#This Row],[STATE]],"-",Table16[[#This Row],[YEAR]])</f>
        <v>Andhra Pradesh-2009</v>
      </c>
      <c r="D147" t="s">
        <v>154</v>
      </c>
      <c r="E147">
        <v>65</v>
      </c>
    </row>
    <row r="148" spans="1:5" x14ac:dyDescent="0.3">
      <c r="A148" t="s">
        <v>6</v>
      </c>
      <c r="B148">
        <v>2009</v>
      </c>
      <c r="C148" t="str">
        <f>_xlfn.CONCAT(Table16[[#This Row],[STATE]],"-",Table16[[#This Row],[YEAR]])</f>
        <v>Andhra Pradesh-2009</v>
      </c>
      <c r="D148" t="s">
        <v>155</v>
      </c>
      <c r="E148">
        <v>416</v>
      </c>
    </row>
    <row r="149" spans="1:5" x14ac:dyDescent="0.3">
      <c r="A149" t="s">
        <v>6</v>
      </c>
      <c r="B149">
        <v>2009</v>
      </c>
      <c r="C149" t="str">
        <f>_xlfn.CONCAT(Table16[[#This Row],[STATE]],"-",Table16[[#This Row],[YEAR]])</f>
        <v>Andhra Pradesh-2009</v>
      </c>
      <c r="D149" t="s">
        <v>156</v>
      </c>
      <c r="E149">
        <v>22</v>
      </c>
    </row>
    <row r="150" spans="1:5" x14ac:dyDescent="0.3">
      <c r="A150" t="s">
        <v>6</v>
      </c>
      <c r="B150">
        <v>2009</v>
      </c>
      <c r="C150" t="str">
        <f>_xlfn.CONCAT(Table16[[#This Row],[STATE]],"-",Table16[[#This Row],[YEAR]])</f>
        <v>Andhra Pradesh-2009</v>
      </c>
      <c r="D150" t="s">
        <v>157</v>
      </c>
      <c r="E150">
        <v>18</v>
      </c>
    </row>
    <row r="151" spans="1:5" x14ac:dyDescent="0.3">
      <c r="A151" t="s">
        <v>6</v>
      </c>
      <c r="B151">
        <v>2009</v>
      </c>
      <c r="C151" t="str">
        <f>_xlfn.CONCAT(Table16[[#This Row],[STATE]],"-",Table16[[#This Row],[YEAR]])</f>
        <v>Andhra Pradesh-2009</v>
      </c>
      <c r="D151" t="s">
        <v>158</v>
      </c>
      <c r="E151">
        <v>137</v>
      </c>
    </row>
    <row r="152" spans="1:5" x14ac:dyDescent="0.3">
      <c r="A152" t="s">
        <v>6</v>
      </c>
      <c r="B152">
        <v>2009</v>
      </c>
      <c r="C152" t="str">
        <f>_xlfn.CONCAT(Table16[[#This Row],[STATE]],"-",Table16[[#This Row],[YEAR]])</f>
        <v>Andhra Pradesh-2009</v>
      </c>
      <c r="D152" t="s">
        <v>159</v>
      </c>
      <c r="E152">
        <v>95</v>
      </c>
    </row>
    <row r="153" spans="1:5" x14ac:dyDescent="0.3">
      <c r="A153" t="s">
        <v>6</v>
      </c>
      <c r="B153">
        <v>2010</v>
      </c>
      <c r="C153" t="str">
        <f>_xlfn.CONCAT(Table16[[#This Row],[STATE]],"-",Table16[[#This Row],[YEAR]])</f>
        <v>Andhra Pradesh-2010</v>
      </c>
      <c r="D153" t="s">
        <v>117</v>
      </c>
      <c r="E153">
        <v>102</v>
      </c>
    </row>
    <row r="154" spans="1:5" x14ac:dyDescent="0.3">
      <c r="A154" t="s">
        <v>6</v>
      </c>
      <c r="B154">
        <v>2010</v>
      </c>
      <c r="C154" t="str">
        <f>_xlfn.CONCAT(Table16[[#This Row],[STATE]],"-",Table16[[#This Row],[YEAR]])</f>
        <v>Andhra Pradesh-2010</v>
      </c>
      <c r="D154" t="s">
        <v>96</v>
      </c>
      <c r="E154">
        <v>33</v>
      </c>
    </row>
    <row r="155" spans="1:5" x14ac:dyDescent="0.3">
      <c r="A155" t="s">
        <v>6</v>
      </c>
      <c r="B155">
        <v>2010</v>
      </c>
      <c r="C155" t="str">
        <f>_xlfn.CONCAT(Table16[[#This Row],[STATE]],"-",Table16[[#This Row],[YEAR]])</f>
        <v>Andhra Pradesh-2010</v>
      </c>
      <c r="D155" t="s">
        <v>119</v>
      </c>
      <c r="E155">
        <v>220</v>
      </c>
    </row>
    <row r="156" spans="1:5" x14ac:dyDescent="0.3">
      <c r="A156" t="s">
        <v>6</v>
      </c>
      <c r="B156">
        <v>2010</v>
      </c>
      <c r="C156" t="str">
        <f>_xlfn.CONCAT(Table16[[#This Row],[STATE]],"-",Table16[[#This Row],[YEAR]])</f>
        <v>Andhra Pradesh-2010</v>
      </c>
      <c r="D156" t="s">
        <v>112</v>
      </c>
      <c r="E156">
        <v>5</v>
      </c>
    </row>
    <row r="157" spans="1:5" x14ac:dyDescent="0.3">
      <c r="A157" t="s">
        <v>6</v>
      </c>
      <c r="B157">
        <v>2010</v>
      </c>
      <c r="C157" t="str">
        <f>_xlfn.CONCAT(Table16[[#This Row],[STATE]],"-",Table16[[#This Row],[YEAR]])</f>
        <v>Andhra Pradesh-2010</v>
      </c>
      <c r="D157" t="s">
        <v>160</v>
      </c>
      <c r="E157">
        <v>1181</v>
      </c>
    </row>
    <row r="158" spans="1:5" x14ac:dyDescent="0.3">
      <c r="A158" t="s">
        <v>6</v>
      </c>
      <c r="B158">
        <v>2010</v>
      </c>
      <c r="C158" t="str">
        <f>_xlfn.CONCAT(Table16[[#This Row],[STATE]],"-",Table16[[#This Row],[YEAR]])</f>
        <v>Andhra Pradesh-2010</v>
      </c>
      <c r="D158" t="s">
        <v>161</v>
      </c>
      <c r="E158">
        <v>225</v>
      </c>
    </row>
    <row r="159" spans="1:5" x14ac:dyDescent="0.3">
      <c r="A159" t="s">
        <v>6</v>
      </c>
      <c r="B159">
        <v>2010</v>
      </c>
      <c r="C159" t="str">
        <f>_xlfn.CONCAT(Table16[[#This Row],[STATE]],"-",Table16[[#This Row],[YEAR]])</f>
        <v>Andhra Pradesh-2010</v>
      </c>
      <c r="D159" t="s">
        <v>103</v>
      </c>
      <c r="E159">
        <v>619</v>
      </c>
    </row>
    <row r="160" spans="1:5" x14ac:dyDescent="0.3">
      <c r="A160" t="s">
        <v>6</v>
      </c>
      <c r="B160">
        <v>2010</v>
      </c>
      <c r="C160" t="str">
        <f>_xlfn.CONCAT(Table16[[#This Row],[STATE]],"-",Table16[[#This Row],[YEAR]])</f>
        <v>Andhra Pradesh-2010</v>
      </c>
      <c r="D160" t="s">
        <v>106</v>
      </c>
      <c r="E160">
        <v>45</v>
      </c>
    </row>
    <row r="161" spans="1:5" x14ac:dyDescent="0.3">
      <c r="A161" t="s">
        <v>6</v>
      </c>
      <c r="B161">
        <v>2010</v>
      </c>
      <c r="C161" t="str">
        <f>_xlfn.CONCAT(Table16[[#This Row],[STATE]],"-",Table16[[#This Row],[YEAR]])</f>
        <v>Andhra Pradesh-2010</v>
      </c>
      <c r="D161" t="s">
        <v>152</v>
      </c>
      <c r="E161">
        <v>60</v>
      </c>
    </row>
    <row r="162" spans="1:5" x14ac:dyDescent="0.3">
      <c r="A162" t="s">
        <v>6</v>
      </c>
      <c r="B162">
        <v>2010</v>
      </c>
      <c r="C162" t="str">
        <f>_xlfn.CONCAT(Table16[[#This Row],[STATE]],"-",Table16[[#This Row],[YEAR]])</f>
        <v>Andhra Pradesh-2010</v>
      </c>
      <c r="D162" t="s">
        <v>90</v>
      </c>
      <c r="E162">
        <v>1487</v>
      </c>
    </row>
    <row r="163" spans="1:5" x14ac:dyDescent="0.3">
      <c r="A163" t="s">
        <v>6</v>
      </c>
      <c r="B163">
        <v>2011</v>
      </c>
      <c r="C163" t="str">
        <f>_xlfn.CONCAT(Table16[[#This Row],[STATE]],"-",Table16[[#This Row],[YEAR]])</f>
        <v>Andhra Pradesh-2011</v>
      </c>
      <c r="D163" t="s">
        <v>148</v>
      </c>
      <c r="E163">
        <v>537</v>
      </c>
    </row>
    <row r="164" spans="1:5" x14ac:dyDescent="0.3">
      <c r="A164" t="s">
        <v>6</v>
      </c>
      <c r="B164">
        <v>2011</v>
      </c>
      <c r="C164" t="str">
        <f>_xlfn.CONCAT(Table16[[#This Row],[STATE]],"-",Table16[[#This Row],[YEAR]])</f>
        <v>Andhra Pradesh-2011</v>
      </c>
      <c r="D164" t="s">
        <v>137</v>
      </c>
      <c r="E164">
        <v>973</v>
      </c>
    </row>
    <row r="165" spans="1:5" x14ac:dyDescent="0.3">
      <c r="A165" t="s">
        <v>6</v>
      </c>
      <c r="B165">
        <v>2011</v>
      </c>
      <c r="C165" t="str">
        <f>_xlfn.CONCAT(Table16[[#This Row],[STATE]],"-",Table16[[#This Row],[YEAR]])</f>
        <v>Andhra Pradesh-2011</v>
      </c>
      <c r="D165" t="s">
        <v>96</v>
      </c>
      <c r="E165">
        <v>16</v>
      </c>
    </row>
    <row r="166" spans="1:5" x14ac:dyDescent="0.3">
      <c r="A166" t="s">
        <v>6</v>
      </c>
      <c r="B166">
        <v>2011</v>
      </c>
      <c r="C166" t="str">
        <f>_xlfn.CONCAT(Table16[[#This Row],[STATE]],"-",Table16[[#This Row],[YEAR]])</f>
        <v>Andhra Pradesh-2011</v>
      </c>
      <c r="D166" t="s">
        <v>162</v>
      </c>
      <c r="E166">
        <v>62</v>
      </c>
    </row>
    <row r="167" spans="1:5" x14ac:dyDescent="0.3">
      <c r="A167" t="s">
        <v>6</v>
      </c>
      <c r="B167">
        <v>2011</v>
      </c>
      <c r="C167" t="str">
        <f>_xlfn.CONCAT(Table16[[#This Row],[STATE]],"-",Table16[[#This Row],[YEAR]])</f>
        <v>Andhra Pradesh-2011</v>
      </c>
      <c r="D167" t="s">
        <v>161</v>
      </c>
      <c r="E167">
        <v>22</v>
      </c>
    </row>
    <row r="168" spans="1:5" x14ac:dyDescent="0.3">
      <c r="A168" t="s">
        <v>6</v>
      </c>
      <c r="B168">
        <v>2011</v>
      </c>
      <c r="C168" t="str">
        <f>_xlfn.CONCAT(Table16[[#This Row],[STATE]],"-",Table16[[#This Row],[YEAR]])</f>
        <v>Andhra Pradesh-2011</v>
      </c>
      <c r="D168" t="s">
        <v>163</v>
      </c>
      <c r="E168">
        <v>13</v>
      </c>
    </row>
    <row r="169" spans="1:5" x14ac:dyDescent="0.3">
      <c r="A169" t="s">
        <v>6</v>
      </c>
      <c r="B169">
        <v>2011</v>
      </c>
      <c r="C169" t="str">
        <f>_xlfn.CONCAT(Table16[[#This Row],[STATE]],"-",Table16[[#This Row],[YEAR]])</f>
        <v>Andhra Pradesh-2011</v>
      </c>
      <c r="D169" t="s">
        <v>164</v>
      </c>
      <c r="E169">
        <v>231</v>
      </c>
    </row>
    <row r="170" spans="1:5" x14ac:dyDescent="0.3">
      <c r="A170" t="s">
        <v>6</v>
      </c>
      <c r="B170">
        <v>2011</v>
      </c>
      <c r="C170" t="str">
        <f>_xlfn.CONCAT(Table16[[#This Row],[STATE]],"-",Table16[[#This Row],[YEAR]])</f>
        <v>Andhra Pradesh-2011</v>
      </c>
      <c r="D170" t="s">
        <v>165</v>
      </c>
      <c r="E170">
        <v>133</v>
      </c>
    </row>
    <row r="171" spans="1:5" x14ac:dyDescent="0.3">
      <c r="A171" t="s">
        <v>6</v>
      </c>
      <c r="B171">
        <v>2011</v>
      </c>
      <c r="C171" t="str">
        <f>_xlfn.CONCAT(Table16[[#This Row],[STATE]],"-",Table16[[#This Row],[YEAR]])</f>
        <v>Andhra Pradesh-2011</v>
      </c>
      <c r="D171" t="s">
        <v>90</v>
      </c>
      <c r="E171">
        <v>134</v>
      </c>
    </row>
    <row r="172" spans="1:5" x14ac:dyDescent="0.3">
      <c r="A172" t="s">
        <v>6</v>
      </c>
      <c r="B172">
        <v>2011</v>
      </c>
      <c r="C172" t="str">
        <f>_xlfn.CONCAT(Table16[[#This Row],[STATE]],"-",Table16[[#This Row],[YEAR]])</f>
        <v>Andhra Pradesh-2011</v>
      </c>
      <c r="D172" t="s">
        <v>166</v>
      </c>
      <c r="E172">
        <v>20</v>
      </c>
    </row>
    <row r="173" spans="1:5" x14ac:dyDescent="0.3">
      <c r="A173" t="s">
        <v>6</v>
      </c>
      <c r="B173">
        <v>2011</v>
      </c>
      <c r="C173" t="str">
        <f>_xlfn.CONCAT(Table16[[#This Row],[STATE]],"-",Table16[[#This Row],[YEAR]])</f>
        <v>Andhra Pradesh-2011</v>
      </c>
      <c r="D173" t="s">
        <v>167</v>
      </c>
      <c r="E173">
        <v>254</v>
      </c>
    </row>
    <row r="174" spans="1:5" x14ac:dyDescent="0.3">
      <c r="A174" t="s">
        <v>6</v>
      </c>
      <c r="B174">
        <v>2011</v>
      </c>
      <c r="C174" t="str">
        <f>_xlfn.CONCAT(Table16[[#This Row],[STATE]],"-",Table16[[#This Row],[YEAR]])</f>
        <v>Andhra Pradesh-2011</v>
      </c>
      <c r="D174" t="s">
        <v>168</v>
      </c>
      <c r="E174">
        <v>308</v>
      </c>
    </row>
    <row r="175" spans="1:5" x14ac:dyDescent="0.3">
      <c r="A175" t="s">
        <v>6</v>
      </c>
      <c r="B175">
        <v>2011</v>
      </c>
      <c r="C175" t="str">
        <f>_xlfn.CONCAT(Table16[[#This Row],[STATE]],"-",Table16[[#This Row],[YEAR]])</f>
        <v>Andhra Pradesh-2011</v>
      </c>
      <c r="D175" t="s">
        <v>118</v>
      </c>
      <c r="E175">
        <v>70</v>
      </c>
    </row>
    <row r="176" spans="1:5" x14ac:dyDescent="0.3">
      <c r="A176" t="s">
        <v>6</v>
      </c>
      <c r="B176">
        <v>2011</v>
      </c>
      <c r="C176" t="str">
        <f>_xlfn.CONCAT(Table16[[#This Row],[STATE]],"-",Table16[[#This Row],[YEAR]])</f>
        <v>Andhra Pradesh-2011</v>
      </c>
      <c r="D176" t="s">
        <v>119</v>
      </c>
      <c r="E176">
        <v>10</v>
      </c>
    </row>
    <row r="177" spans="1:5" x14ac:dyDescent="0.3">
      <c r="A177" t="s">
        <v>6</v>
      </c>
      <c r="B177">
        <v>2011</v>
      </c>
      <c r="C177" t="str">
        <f>_xlfn.CONCAT(Table16[[#This Row],[STATE]],"-",Table16[[#This Row],[YEAR]])</f>
        <v>Andhra Pradesh-2011</v>
      </c>
      <c r="D177" t="s">
        <v>169</v>
      </c>
      <c r="E177">
        <v>33</v>
      </c>
    </row>
    <row r="178" spans="1:5" x14ac:dyDescent="0.3">
      <c r="A178" t="s">
        <v>6</v>
      </c>
      <c r="B178">
        <v>2011</v>
      </c>
      <c r="C178" t="str">
        <f>_xlfn.CONCAT(Table16[[#This Row],[STATE]],"-",Table16[[#This Row],[YEAR]])</f>
        <v>Andhra Pradesh-2011</v>
      </c>
      <c r="D178" t="s">
        <v>170</v>
      </c>
      <c r="E178">
        <v>75</v>
      </c>
    </row>
    <row r="179" spans="1:5" x14ac:dyDescent="0.3">
      <c r="A179" t="s">
        <v>6</v>
      </c>
      <c r="B179">
        <v>2011</v>
      </c>
      <c r="C179" t="str">
        <f>_xlfn.CONCAT(Table16[[#This Row],[STATE]],"-",Table16[[#This Row],[YEAR]])</f>
        <v>Andhra Pradesh-2011</v>
      </c>
      <c r="D179" t="s">
        <v>171</v>
      </c>
      <c r="E179">
        <v>20</v>
      </c>
    </row>
    <row r="180" spans="1:5" x14ac:dyDescent="0.3">
      <c r="A180" t="s">
        <v>6</v>
      </c>
      <c r="B180">
        <v>2011</v>
      </c>
      <c r="C180" t="str">
        <f>_xlfn.CONCAT(Table16[[#This Row],[STATE]],"-",Table16[[#This Row],[YEAR]])</f>
        <v>Andhra Pradesh-2011</v>
      </c>
      <c r="D180" t="s">
        <v>123</v>
      </c>
      <c r="E180">
        <v>2</v>
      </c>
    </row>
    <row r="181" spans="1:5" x14ac:dyDescent="0.3">
      <c r="A181" t="s">
        <v>6</v>
      </c>
      <c r="B181">
        <v>2011</v>
      </c>
      <c r="C181" t="str">
        <f>_xlfn.CONCAT(Table16[[#This Row],[STATE]],"-",Table16[[#This Row],[YEAR]])</f>
        <v>Andhra Pradesh-2011</v>
      </c>
      <c r="D181" t="s">
        <v>172</v>
      </c>
      <c r="E181">
        <v>20</v>
      </c>
    </row>
    <row r="182" spans="1:5" x14ac:dyDescent="0.3">
      <c r="A182" t="s">
        <v>6</v>
      </c>
      <c r="B182">
        <v>2011</v>
      </c>
      <c r="C182" t="str">
        <f>_xlfn.CONCAT(Table16[[#This Row],[STATE]],"-",Table16[[#This Row],[YEAR]])</f>
        <v>Andhra Pradesh-2011</v>
      </c>
      <c r="D182" t="s">
        <v>173</v>
      </c>
      <c r="E182">
        <v>10</v>
      </c>
    </row>
    <row r="183" spans="1:5" x14ac:dyDescent="0.3">
      <c r="A183" t="s">
        <v>6</v>
      </c>
      <c r="B183">
        <v>2011</v>
      </c>
      <c r="C183" t="str">
        <f>_xlfn.CONCAT(Table16[[#This Row],[STATE]],"-",Table16[[#This Row],[YEAR]])</f>
        <v>Andhra Pradesh-2011</v>
      </c>
      <c r="D183" t="s">
        <v>174</v>
      </c>
      <c r="E183">
        <v>20</v>
      </c>
    </row>
    <row r="184" spans="1:5" x14ac:dyDescent="0.3">
      <c r="A184" t="s">
        <v>6</v>
      </c>
      <c r="B184">
        <v>2012</v>
      </c>
      <c r="C184" t="str">
        <f>_xlfn.CONCAT(Table16[[#This Row],[STATE]],"-",Table16[[#This Row],[YEAR]])</f>
        <v>Andhra Pradesh-2012</v>
      </c>
      <c r="D184" t="s">
        <v>175</v>
      </c>
      <c r="E184">
        <v>219</v>
      </c>
    </row>
    <row r="185" spans="1:5" x14ac:dyDescent="0.3">
      <c r="A185" t="s">
        <v>6</v>
      </c>
      <c r="B185">
        <v>2012</v>
      </c>
      <c r="C185" t="str">
        <f>_xlfn.CONCAT(Table16[[#This Row],[STATE]],"-",Table16[[#This Row],[YEAR]])</f>
        <v>Andhra Pradesh-2012</v>
      </c>
      <c r="D185" t="s">
        <v>137</v>
      </c>
      <c r="E185">
        <v>419</v>
      </c>
    </row>
    <row r="186" spans="1:5" x14ac:dyDescent="0.3">
      <c r="A186" t="s">
        <v>6</v>
      </c>
      <c r="B186">
        <v>2012</v>
      </c>
      <c r="C186" t="str">
        <f>_xlfn.CONCAT(Table16[[#This Row],[STATE]],"-",Table16[[#This Row],[YEAR]])</f>
        <v>Andhra Pradesh-2012</v>
      </c>
      <c r="D186" t="s">
        <v>96</v>
      </c>
      <c r="E186">
        <v>3</v>
      </c>
    </row>
    <row r="187" spans="1:5" x14ac:dyDescent="0.3">
      <c r="A187" t="s">
        <v>6</v>
      </c>
      <c r="B187">
        <v>2012</v>
      </c>
      <c r="C187" t="str">
        <f>_xlfn.CONCAT(Table16[[#This Row],[STATE]],"-",Table16[[#This Row],[YEAR]])</f>
        <v>Andhra Pradesh-2012</v>
      </c>
      <c r="D187" t="s">
        <v>162</v>
      </c>
      <c r="E187">
        <v>74</v>
      </c>
    </row>
    <row r="188" spans="1:5" x14ac:dyDescent="0.3">
      <c r="A188" t="s">
        <v>6</v>
      </c>
      <c r="B188">
        <v>2012</v>
      </c>
      <c r="C188" t="str">
        <f>_xlfn.CONCAT(Table16[[#This Row],[STATE]],"-",Table16[[#This Row],[YEAR]])</f>
        <v>Andhra Pradesh-2012</v>
      </c>
      <c r="D188" t="s">
        <v>161</v>
      </c>
      <c r="E188">
        <v>24</v>
      </c>
    </row>
    <row r="189" spans="1:5" x14ac:dyDescent="0.3">
      <c r="A189" t="s">
        <v>6</v>
      </c>
      <c r="B189">
        <v>2012</v>
      </c>
      <c r="C189" t="str">
        <f>_xlfn.CONCAT(Table16[[#This Row],[STATE]],"-",Table16[[#This Row],[YEAR]])</f>
        <v>Andhra Pradesh-2012</v>
      </c>
      <c r="D189" t="s">
        <v>163</v>
      </c>
      <c r="E189">
        <v>6</v>
      </c>
    </row>
    <row r="190" spans="1:5" x14ac:dyDescent="0.3">
      <c r="A190" t="s">
        <v>6</v>
      </c>
      <c r="B190">
        <v>2012</v>
      </c>
      <c r="C190" t="str">
        <f>_xlfn.CONCAT(Table16[[#This Row],[STATE]],"-",Table16[[#This Row],[YEAR]])</f>
        <v>Andhra Pradesh-2012</v>
      </c>
      <c r="D190" t="s">
        <v>164</v>
      </c>
      <c r="E190">
        <v>349</v>
      </c>
    </row>
    <row r="191" spans="1:5" x14ac:dyDescent="0.3">
      <c r="A191" t="s">
        <v>6</v>
      </c>
      <c r="B191">
        <v>2012</v>
      </c>
      <c r="C191" t="str">
        <f>_xlfn.CONCAT(Table16[[#This Row],[STATE]],"-",Table16[[#This Row],[YEAR]])</f>
        <v>Andhra Pradesh-2012</v>
      </c>
      <c r="D191" t="s">
        <v>176</v>
      </c>
      <c r="E191">
        <v>141</v>
      </c>
    </row>
    <row r="192" spans="1:5" x14ac:dyDescent="0.3">
      <c r="A192" t="s">
        <v>6</v>
      </c>
      <c r="B192">
        <v>2012</v>
      </c>
      <c r="C192" t="str">
        <f>_xlfn.CONCAT(Table16[[#This Row],[STATE]],"-",Table16[[#This Row],[YEAR]])</f>
        <v>Andhra Pradesh-2012</v>
      </c>
      <c r="D192" t="s">
        <v>90</v>
      </c>
      <c r="E192">
        <v>125</v>
      </c>
    </row>
    <row r="193" spans="1:5" x14ac:dyDescent="0.3">
      <c r="A193" t="s">
        <v>6</v>
      </c>
      <c r="B193">
        <v>2012</v>
      </c>
      <c r="C193" t="str">
        <f>_xlfn.CONCAT(Table16[[#This Row],[STATE]],"-",Table16[[#This Row],[YEAR]])</f>
        <v>Andhra Pradesh-2012</v>
      </c>
      <c r="D193" t="s">
        <v>166</v>
      </c>
      <c r="E193">
        <v>20</v>
      </c>
    </row>
    <row r="194" spans="1:5" x14ac:dyDescent="0.3">
      <c r="A194" t="s">
        <v>6</v>
      </c>
      <c r="B194">
        <v>2012</v>
      </c>
      <c r="C194" t="str">
        <f>_xlfn.CONCAT(Table16[[#This Row],[STATE]],"-",Table16[[#This Row],[YEAR]])</f>
        <v>Andhra Pradesh-2012</v>
      </c>
      <c r="D194" t="s">
        <v>177</v>
      </c>
      <c r="E194">
        <v>211</v>
      </c>
    </row>
    <row r="195" spans="1:5" x14ac:dyDescent="0.3">
      <c r="A195" t="s">
        <v>6</v>
      </c>
      <c r="B195">
        <v>2012</v>
      </c>
      <c r="C195" t="str">
        <f>_xlfn.CONCAT(Table16[[#This Row],[STATE]],"-",Table16[[#This Row],[YEAR]])</f>
        <v>Andhra Pradesh-2012</v>
      </c>
      <c r="D195" t="s">
        <v>178</v>
      </c>
      <c r="E195">
        <v>67</v>
      </c>
    </row>
    <row r="196" spans="1:5" x14ac:dyDescent="0.3">
      <c r="A196" t="s">
        <v>6</v>
      </c>
      <c r="B196">
        <v>2012</v>
      </c>
      <c r="C196" t="str">
        <f>_xlfn.CONCAT(Table16[[#This Row],[STATE]],"-",Table16[[#This Row],[YEAR]])</f>
        <v>Andhra Pradesh-2012</v>
      </c>
      <c r="D196" t="s">
        <v>118</v>
      </c>
      <c r="E196">
        <v>85</v>
      </c>
    </row>
    <row r="197" spans="1:5" x14ac:dyDescent="0.3">
      <c r="A197" t="s">
        <v>6</v>
      </c>
      <c r="B197">
        <v>2012</v>
      </c>
      <c r="C197" t="str">
        <f>_xlfn.CONCAT(Table16[[#This Row],[STATE]],"-",Table16[[#This Row],[YEAR]])</f>
        <v>Andhra Pradesh-2012</v>
      </c>
      <c r="D197" t="s">
        <v>119</v>
      </c>
      <c r="E197">
        <v>10</v>
      </c>
    </row>
    <row r="198" spans="1:5" x14ac:dyDescent="0.3">
      <c r="A198" t="s">
        <v>6</v>
      </c>
      <c r="B198">
        <v>2012</v>
      </c>
      <c r="C198" t="str">
        <f>_xlfn.CONCAT(Table16[[#This Row],[STATE]],"-",Table16[[#This Row],[YEAR]])</f>
        <v>Andhra Pradesh-2012</v>
      </c>
      <c r="D198" t="s">
        <v>169</v>
      </c>
      <c r="E198">
        <v>23</v>
      </c>
    </row>
    <row r="199" spans="1:5" x14ac:dyDescent="0.3">
      <c r="A199" t="s">
        <v>6</v>
      </c>
      <c r="B199">
        <v>2012</v>
      </c>
      <c r="C199" t="str">
        <f>_xlfn.CONCAT(Table16[[#This Row],[STATE]],"-",Table16[[#This Row],[YEAR]])</f>
        <v>Andhra Pradesh-2012</v>
      </c>
      <c r="D199" t="s">
        <v>179</v>
      </c>
      <c r="E199">
        <v>58</v>
      </c>
    </row>
    <row r="200" spans="1:5" x14ac:dyDescent="0.3">
      <c r="A200" t="s">
        <v>6</v>
      </c>
      <c r="B200">
        <v>2012</v>
      </c>
      <c r="C200" t="str">
        <f>_xlfn.CONCAT(Table16[[#This Row],[STATE]],"-",Table16[[#This Row],[YEAR]])</f>
        <v>Andhra Pradesh-2012</v>
      </c>
      <c r="D200" t="s">
        <v>170</v>
      </c>
      <c r="E200">
        <v>18</v>
      </c>
    </row>
    <row r="201" spans="1:5" x14ac:dyDescent="0.3">
      <c r="A201" t="s">
        <v>6</v>
      </c>
      <c r="B201">
        <v>2012</v>
      </c>
      <c r="C201" t="str">
        <f>_xlfn.CONCAT(Table16[[#This Row],[STATE]],"-",Table16[[#This Row],[YEAR]])</f>
        <v>Andhra Pradesh-2012</v>
      </c>
      <c r="D201" t="s">
        <v>171</v>
      </c>
      <c r="E201">
        <v>20</v>
      </c>
    </row>
    <row r="202" spans="1:5" x14ac:dyDescent="0.3">
      <c r="A202" t="s">
        <v>6</v>
      </c>
      <c r="B202">
        <v>2012</v>
      </c>
      <c r="C202" t="str">
        <f>_xlfn.CONCAT(Table16[[#This Row],[STATE]],"-",Table16[[#This Row],[YEAR]])</f>
        <v>Andhra Pradesh-2012</v>
      </c>
      <c r="D202" t="s">
        <v>123</v>
      </c>
      <c r="E202">
        <v>101</v>
      </c>
    </row>
    <row r="203" spans="1:5" x14ac:dyDescent="0.3">
      <c r="A203" t="s">
        <v>6</v>
      </c>
      <c r="B203">
        <v>2012</v>
      </c>
      <c r="C203" t="str">
        <f>_xlfn.CONCAT(Table16[[#This Row],[STATE]],"-",Table16[[#This Row],[YEAR]])</f>
        <v>Andhra Pradesh-2012</v>
      </c>
      <c r="D203" t="s">
        <v>172</v>
      </c>
      <c r="E203">
        <v>5</v>
      </c>
    </row>
    <row r="204" spans="1:5" x14ac:dyDescent="0.3">
      <c r="A204" t="s">
        <v>6</v>
      </c>
      <c r="B204">
        <v>2012</v>
      </c>
      <c r="C204" t="str">
        <f>_xlfn.CONCAT(Table16[[#This Row],[STATE]],"-",Table16[[#This Row],[YEAR]])</f>
        <v>Andhra Pradesh-2012</v>
      </c>
      <c r="D204" t="s">
        <v>180</v>
      </c>
      <c r="E204">
        <v>5</v>
      </c>
    </row>
    <row r="205" spans="1:5" x14ac:dyDescent="0.3">
      <c r="A205" t="s">
        <v>6</v>
      </c>
      <c r="B205">
        <v>2012</v>
      </c>
      <c r="C205" t="str">
        <f>_xlfn.CONCAT(Table16[[#This Row],[STATE]],"-",Table16[[#This Row],[YEAR]])</f>
        <v>Andhra Pradesh-2012</v>
      </c>
      <c r="D205" t="s">
        <v>174</v>
      </c>
      <c r="E205">
        <v>10</v>
      </c>
    </row>
    <row r="206" spans="1:5" x14ac:dyDescent="0.3">
      <c r="A206" t="s">
        <v>7</v>
      </c>
      <c r="B206">
        <v>2009</v>
      </c>
      <c r="C206" t="str">
        <f>_xlfn.CONCAT(Table16[[#This Row],[STATE]],"-",Table16[[#This Row],[YEAR]])</f>
        <v>Arunachal Pradesh-2009</v>
      </c>
      <c r="D206" t="s">
        <v>181</v>
      </c>
      <c r="E206">
        <v>0</v>
      </c>
    </row>
    <row r="207" spans="1:5" x14ac:dyDescent="0.3">
      <c r="A207" t="s">
        <v>7</v>
      </c>
      <c r="B207">
        <v>2010</v>
      </c>
      <c r="C207" t="str">
        <f>_xlfn.CONCAT(Table16[[#This Row],[STATE]],"-",Table16[[#This Row],[YEAR]])</f>
        <v>Arunachal Pradesh-2010</v>
      </c>
      <c r="D207" t="s">
        <v>181</v>
      </c>
      <c r="E207">
        <v>0</v>
      </c>
    </row>
    <row r="208" spans="1:5" x14ac:dyDescent="0.3">
      <c r="A208" t="s">
        <v>7</v>
      </c>
      <c r="B208">
        <v>2012</v>
      </c>
      <c r="C208" t="str">
        <f>_xlfn.CONCAT(Table16[[#This Row],[STATE]],"-",Table16[[#This Row],[YEAR]])</f>
        <v>Arunachal Pradesh-2012</v>
      </c>
      <c r="D208" t="s">
        <v>182</v>
      </c>
      <c r="E208">
        <v>3</v>
      </c>
    </row>
    <row r="209" spans="1:5" x14ac:dyDescent="0.3">
      <c r="A209" t="s">
        <v>7</v>
      </c>
      <c r="B209">
        <v>2012</v>
      </c>
      <c r="C209" t="str">
        <f>_xlfn.CONCAT(Table16[[#This Row],[STATE]],"-",Table16[[#This Row],[YEAR]])</f>
        <v>Arunachal Pradesh-2012</v>
      </c>
      <c r="D209" t="s">
        <v>183</v>
      </c>
      <c r="E209">
        <v>4</v>
      </c>
    </row>
    <row r="210" spans="1:5" x14ac:dyDescent="0.3">
      <c r="A210" t="s">
        <v>8</v>
      </c>
      <c r="B210">
        <v>2001</v>
      </c>
      <c r="C210" t="str">
        <f>_xlfn.CONCAT(Table16[[#This Row],[STATE]],"-",Table16[[#This Row],[YEAR]])</f>
        <v>Assam-2001</v>
      </c>
      <c r="D210" t="s">
        <v>90</v>
      </c>
      <c r="E210">
        <v>55</v>
      </c>
    </row>
    <row r="211" spans="1:5" x14ac:dyDescent="0.3">
      <c r="A211" t="s">
        <v>8</v>
      </c>
      <c r="B211">
        <v>2001</v>
      </c>
      <c r="C211" t="str">
        <f>_xlfn.CONCAT(Table16[[#This Row],[STATE]],"-",Table16[[#This Row],[YEAR]])</f>
        <v>Assam-2001</v>
      </c>
      <c r="D211" t="s">
        <v>123</v>
      </c>
      <c r="E211">
        <v>9</v>
      </c>
    </row>
    <row r="212" spans="1:5" x14ac:dyDescent="0.3">
      <c r="A212" t="s">
        <v>8</v>
      </c>
      <c r="B212">
        <v>2001</v>
      </c>
      <c r="C212" t="str">
        <f>_xlfn.CONCAT(Table16[[#This Row],[STATE]],"-",Table16[[#This Row],[YEAR]])</f>
        <v>Assam-2001</v>
      </c>
      <c r="D212" t="s">
        <v>103</v>
      </c>
      <c r="E212">
        <v>21</v>
      </c>
    </row>
    <row r="213" spans="1:5" x14ac:dyDescent="0.3">
      <c r="A213" t="s">
        <v>8</v>
      </c>
      <c r="B213">
        <v>2001</v>
      </c>
      <c r="C213" t="str">
        <f>_xlfn.CONCAT(Table16[[#This Row],[STATE]],"-",Table16[[#This Row],[YEAR]])</f>
        <v>Assam-2001</v>
      </c>
      <c r="D213" t="s">
        <v>184</v>
      </c>
      <c r="E213">
        <v>74</v>
      </c>
    </row>
    <row r="214" spans="1:5" x14ac:dyDescent="0.3">
      <c r="A214" t="s">
        <v>8</v>
      </c>
      <c r="B214">
        <v>2001</v>
      </c>
      <c r="C214" t="str">
        <f>_xlfn.CONCAT(Table16[[#This Row],[STATE]],"-",Table16[[#This Row],[YEAR]])</f>
        <v>Assam-2001</v>
      </c>
      <c r="D214" t="s">
        <v>122</v>
      </c>
      <c r="E214">
        <v>15</v>
      </c>
    </row>
    <row r="215" spans="1:5" x14ac:dyDescent="0.3">
      <c r="A215" t="s">
        <v>8</v>
      </c>
      <c r="B215">
        <v>2001</v>
      </c>
      <c r="C215" t="str">
        <f>_xlfn.CONCAT(Table16[[#This Row],[STATE]],"-",Table16[[#This Row],[YEAR]])</f>
        <v>Assam-2001</v>
      </c>
      <c r="D215" t="s">
        <v>185</v>
      </c>
      <c r="E215">
        <v>8</v>
      </c>
    </row>
    <row r="216" spans="1:5" x14ac:dyDescent="0.3">
      <c r="A216" t="s">
        <v>8</v>
      </c>
      <c r="B216">
        <v>2002</v>
      </c>
      <c r="C216" t="str">
        <f>_xlfn.CONCAT(Table16[[#This Row],[STATE]],"-",Table16[[#This Row],[YEAR]])</f>
        <v>Assam-2002</v>
      </c>
      <c r="D216" t="s">
        <v>90</v>
      </c>
      <c r="E216">
        <v>56</v>
      </c>
    </row>
    <row r="217" spans="1:5" x14ac:dyDescent="0.3">
      <c r="A217" t="s">
        <v>8</v>
      </c>
      <c r="B217">
        <v>2002</v>
      </c>
      <c r="C217" t="str">
        <f>_xlfn.CONCAT(Table16[[#This Row],[STATE]],"-",Table16[[#This Row],[YEAR]])</f>
        <v>Assam-2002</v>
      </c>
      <c r="D217" t="s">
        <v>123</v>
      </c>
      <c r="E217">
        <v>2</v>
      </c>
    </row>
    <row r="218" spans="1:5" x14ac:dyDescent="0.3">
      <c r="A218" t="s">
        <v>8</v>
      </c>
      <c r="B218">
        <v>2002</v>
      </c>
      <c r="C218" t="str">
        <f>_xlfn.CONCAT(Table16[[#This Row],[STATE]],"-",Table16[[#This Row],[YEAR]])</f>
        <v>Assam-2002</v>
      </c>
      <c r="D218" t="s">
        <v>103</v>
      </c>
      <c r="E218">
        <v>31</v>
      </c>
    </row>
    <row r="219" spans="1:5" x14ac:dyDescent="0.3">
      <c r="A219" t="s">
        <v>8</v>
      </c>
      <c r="B219">
        <v>2002</v>
      </c>
      <c r="C219" t="str">
        <f>_xlfn.CONCAT(Table16[[#This Row],[STATE]],"-",Table16[[#This Row],[YEAR]])</f>
        <v>Assam-2002</v>
      </c>
      <c r="D219" t="s">
        <v>184</v>
      </c>
      <c r="E219">
        <v>82</v>
      </c>
    </row>
    <row r="220" spans="1:5" x14ac:dyDescent="0.3">
      <c r="A220" t="s">
        <v>8</v>
      </c>
      <c r="B220">
        <v>2002</v>
      </c>
      <c r="C220" t="str">
        <f>_xlfn.CONCAT(Table16[[#This Row],[STATE]],"-",Table16[[#This Row],[YEAR]])</f>
        <v>Assam-2002</v>
      </c>
      <c r="D220" t="s">
        <v>186</v>
      </c>
      <c r="E220">
        <v>7</v>
      </c>
    </row>
    <row r="221" spans="1:5" x14ac:dyDescent="0.3">
      <c r="A221" t="s">
        <v>8</v>
      </c>
      <c r="B221">
        <v>2002</v>
      </c>
      <c r="C221" t="str">
        <f>_xlfn.CONCAT(Table16[[#This Row],[STATE]],"-",Table16[[#This Row],[YEAR]])</f>
        <v>Assam-2002</v>
      </c>
      <c r="D221" t="s">
        <v>187</v>
      </c>
      <c r="E221">
        <v>16</v>
      </c>
    </row>
    <row r="222" spans="1:5" x14ac:dyDescent="0.3">
      <c r="A222" t="s">
        <v>8</v>
      </c>
      <c r="B222">
        <v>2002</v>
      </c>
      <c r="C222" t="str">
        <f>_xlfn.CONCAT(Table16[[#This Row],[STATE]],"-",Table16[[#This Row],[YEAR]])</f>
        <v>Assam-2002</v>
      </c>
      <c r="D222" t="s">
        <v>163</v>
      </c>
      <c r="E222">
        <v>3</v>
      </c>
    </row>
    <row r="223" spans="1:5" x14ac:dyDescent="0.3">
      <c r="A223" t="s">
        <v>8</v>
      </c>
      <c r="B223">
        <v>2002</v>
      </c>
      <c r="C223" t="str">
        <f>_xlfn.CONCAT(Table16[[#This Row],[STATE]],"-",Table16[[#This Row],[YEAR]])</f>
        <v>Assam-2002</v>
      </c>
      <c r="D223" t="s">
        <v>185</v>
      </c>
      <c r="E223">
        <v>6</v>
      </c>
    </row>
    <row r="224" spans="1:5" x14ac:dyDescent="0.3">
      <c r="A224" t="s">
        <v>8</v>
      </c>
      <c r="B224">
        <v>2002</v>
      </c>
      <c r="C224" t="str">
        <f>_xlfn.CONCAT(Table16[[#This Row],[STATE]],"-",Table16[[#This Row],[YEAR]])</f>
        <v>Assam-2002</v>
      </c>
      <c r="D224" t="s">
        <v>188</v>
      </c>
      <c r="E224">
        <v>7</v>
      </c>
    </row>
    <row r="225" spans="1:5" x14ac:dyDescent="0.3">
      <c r="A225" t="s">
        <v>8</v>
      </c>
      <c r="B225">
        <v>2003</v>
      </c>
      <c r="C225" t="str">
        <f>_xlfn.CONCAT(Table16[[#This Row],[STATE]],"-",Table16[[#This Row],[YEAR]])</f>
        <v>Assam-2003</v>
      </c>
      <c r="D225" t="s">
        <v>90</v>
      </c>
      <c r="E225">
        <v>79</v>
      </c>
    </row>
    <row r="226" spans="1:5" x14ac:dyDescent="0.3">
      <c r="A226" t="s">
        <v>8</v>
      </c>
      <c r="B226">
        <v>2003</v>
      </c>
      <c r="C226" t="str">
        <f>_xlfn.CONCAT(Table16[[#This Row],[STATE]],"-",Table16[[#This Row],[YEAR]])</f>
        <v>Assam-2003</v>
      </c>
      <c r="D226" t="s">
        <v>123</v>
      </c>
      <c r="E226">
        <v>7</v>
      </c>
    </row>
    <row r="227" spans="1:5" x14ac:dyDescent="0.3">
      <c r="A227" t="s">
        <v>8</v>
      </c>
      <c r="B227">
        <v>2003</v>
      </c>
      <c r="C227" t="str">
        <f>_xlfn.CONCAT(Table16[[#This Row],[STATE]],"-",Table16[[#This Row],[YEAR]])</f>
        <v>Assam-2003</v>
      </c>
      <c r="D227" t="s">
        <v>103</v>
      </c>
      <c r="E227">
        <v>48</v>
      </c>
    </row>
    <row r="228" spans="1:5" x14ac:dyDescent="0.3">
      <c r="A228" t="s">
        <v>8</v>
      </c>
      <c r="B228">
        <v>2003</v>
      </c>
      <c r="C228" t="str">
        <f>_xlfn.CONCAT(Table16[[#This Row],[STATE]],"-",Table16[[#This Row],[YEAR]])</f>
        <v>Assam-2003</v>
      </c>
      <c r="D228" t="s">
        <v>184</v>
      </c>
      <c r="E228">
        <v>55</v>
      </c>
    </row>
    <row r="229" spans="1:5" x14ac:dyDescent="0.3">
      <c r="A229" t="s">
        <v>8</v>
      </c>
      <c r="B229">
        <v>2003</v>
      </c>
      <c r="C229" t="str">
        <f>_xlfn.CONCAT(Table16[[#This Row],[STATE]],"-",Table16[[#This Row],[YEAR]])</f>
        <v>Assam-2003</v>
      </c>
      <c r="D229" t="s">
        <v>122</v>
      </c>
      <c r="E229">
        <v>12</v>
      </c>
    </row>
    <row r="230" spans="1:5" x14ac:dyDescent="0.3">
      <c r="A230" t="s">
        <v>8</v>
      </c>
      <c r="B230">
        <v>2003</v>
      </c>
      <c r="C230" t="str">
        <f>_xlfn.CONCAT(Table16[[#This Row],[STATE]],"-",Table16[[#This Row],[YEAR]])</f>
        <v>Assam-2003</v>
      </c>
      <c r="D230" t="s">
        <v>185</v>
      </c>
      <c r="E230">
        <v>6</v>
      </c>
    </row>
    <row r="231" spans="1:5" x14ac:dyDescent="0.3">
      <c r="A231" t="s">
        <v>8</v>
      </c>
      <c r="B231">
        <v>2003</v>
      </c>
      <c r="C231" t="str">
        <f>_xlfn.CONCAT(Table16[[#This Row],[STATE]],"-",Table16[[#This Row],[YEAR]])</f>
        <v>Assam-2003</v>
      </c>
      <c r="D231" t="s">
        <v>188</v>
      </c>
      <c r="E231">
        <v>11</v>
      </c>
    </row>
    <row r="232" spans="1:5" x14ac:dyDescent="0.3">
      <c r="A232" t="s">
        <v>8</v>
      </c>
      <c r="B232">
        <v>2004</v>
      </c>
      <c r="C232" t="str">
        <f>_xlfn.CONCAT(Table16[[#This Row],[STATE]],"-",Table16[[#This Row],[YEAR]])</f>
        <v>Assam-2004</v>
      </c>
      <c r="D232" t="s">
        <v>90</v>
      </c>
      <c r="E232">
        <v>82</v>
      </c>
    </row>
    <row r="233" spans="1:5" x14ac:dyDescent="0.3">
      <c r="A233" t="s">
        <v>8</v>
      </c>
      <c r="B233">
        <v>2004</v>
      </c>
      <c r="C233" t="str">
        <f>_xlfn.CONCAT(Table16[[#This Row],[STATE]],"-",Table16[[#This Row],[YEAR]])</f>
        <v>Assam-2004</v>
      </c>
      <c r="D233" t="s">
        <v>123</v>
      </c>
      <c r="E233">
        <v>7</v>
      </c>
    </row>
    <row r="234" spans="1:5" x14ac:dyDescent="0.3">
      <c r="A234" t="s">
        <v>8</v>
      </c>
      <c r="B234">
        <v>2004</v>
      </c>
      <c r="C234" t="str">
        <f>_xlfn.CONCAT(Table16[[#This Row],[STATE]],"-",Table16[[#This Row],[YEAR]])</f>
        <v>Assam-2004</v>
      </c>
      <c r="D234" t="s">
        <v>103</v>
      </c>
      <c r="E234">
        <v>43</v>
      </c>
    </row>
    <row r="235" spans="1:5" x14ac:dyDescent="0.3">
      <c r="A235" t="s">
        <v>8</v>
      </c>
      <c r="B235">
        <v>2004</v>
      </c>
      <c r="C235" t="str">
        <f>_xlfn.CONCAT(Table16[[#This Row],[STATE]],"-",Table16[[#This Row],[YEAR]])</f>
        <v>Assam-2004</v>
      </c>
      <c r="D235" t="s">
        <v>184</v>
      </c>
      <c r="E235">
        <v>67</v>
      </c>
    </row>
    <row r="236" spans="1:5" x14ac:dyDescent="0.3">
      <c r="A236" t="s">
        <v>8</v>
      </c>
      <c r="B236">
        <v>2004</v>
      </c>
      <c r="C236" t="str">
        <f>_xlfn.CONCAT(Table16[[#This Row],[STATE]],"-",Table16[[#This Row],[YEAR]])</f>
        <v>Assam-2004</v>
      </c>
      <c r="D236" t="s">
        <v>122</v>
      </c>
      <c r="E236">
        <v>12</v>
      </c>
    </row>
    <row r="237" spans="1:5" x14ac:dyDescent="0.3">
      <c r="A237" t="s">
        <v>8</v>
      </c>
      <c r="B237">
        <v>2004</v>
      </c>
      <c r="C237" t="str">
        <f>_xlfn.CONCAT(Table16[[#This Row],[STATE]],"-",Table16[[#This Row],[YEAR]])</f>
        <v>Assam-2004</v>
      </c>
      <c r="D237" t="s">
        <v>185</v>
      </c>
      <c r="E237">
        <v>9</v>
      </c>
    </row>
    <row r="238" spans="1:5" x14ac:dyDescent="0.3">
      <c r="A238" t="s">
        <v>8</v>
      </c>
      <c r="B238">
        <v>2004</v>
      </c>
      <c r="C238" t="str">
        <f>_xlfn.CONCAT(Table16[[#This Row],[STATE]],"-",Table16[[#This Row],[YEAR]])</f>
        <v>Assam-2004</v>
      </c>
      <c r="D238" t="s">
        <v>188</v>
      </c>
      <c r="E238">
        <v>6</v>
      </c>
    </row>
    <row r="239" spans="1:5" x14ac:dyDescent="0.3">
      <c r="A239" t="s">
        <v>8</v>
      </c>
      <c r="B239">
        <v>2005</v>
      </c>
      <c r="C239" t="str">
        <f>_xlfn.CONCAT(Table16[[#This Row],[STATE]],"-",Table16[[#This Row],[YEAR]])</f>
        <v>Assam-2005</v>
      </c>
      <c r="D239" t="s">
        <v>90</v>
      </c>
      <c r="E239">
        <v>61</v>
      </c>
    </row>
    <row r="240" spans="1:5" x14ac:dyDescent="0.3">
      <c r="A240" t="s">
        <v>8</v>
      </c>
      <c r="B240">
        <v>2005</v>
      </c>
      <c r="C240" t="str">
        <f>_xlfn.CONCAT(Table16[[#This Row],[STATE]],"-",Table16[[#This Row],[YEAR]])</f>
        <v>Assam-2005</v>
      </c>
      <c r="D240" t="s">
        <v>123</v>
      </c>
      <c r="E240">
        <v>7</v>
      </c>
    </row>
    <row r="241" spans="1:5" x14ac:dyDescent="0.3">
      <c r="A241" t="s">
        <v>8</v>
      </c>
      <c r="B241">
        <v>2005</v>
      </c>
      <c r="C241" t="str">
        <f>_xlfn.CONCAT(Table16[[#This Row],[STATE]],"-",Table16[[#This Row],[YEAR]])</f>
        <v>Assam-2005</v>
      </c>
      <c r="D241" t="s">
        <v>103</v>
      </c>
      <c r="E241">
        <v>46</v>
      </c>
    </row>
    <row r="242" spans="1:5" x14ac:dyDescent="0.3">
      <c r="A242" t="s">
        <v>8</v>
      </c>
      <c r="B242">
        <v>2005</v>
      </c>
      <c r="C242" t="str">
        <f>_xlfn.CONCAT(Table16[[#This Row],[STATE]],"-",Table16[[#This Row],[YEAR]])</f>
        <v>Assam-2005</v>
      </c>
      <c r="D242" t="s">
        <v>184</v>
      </c>
      <c r="E242">
        <v>140</v>
      </c>
    </row>
    <row r="243" spans="1:5" x14ac:dyDescent="0.3">
      <c r="A243" t="s">
        <v>8</v>
      </c>
      <c r="B243">
        <v>2005</v>
      </c>
      <c r="C243" t="str">
        <f>_xlfn.CONCAT(Table16[[#This Row],[STATE]],"-",Table16[[#This Row],[YEAR]])</f>
        <v>Assam-2005</v>
      </c>
      <c r="D243" t="s">
        <v>122</v>
      </c>
      <c r="E243">
        <v>11</v>
      </c>
    </row>
    <row r="244" spans="1:5" x14ac:dyDescent="0.3">
      <c r="A244" t="s">
        <v>8</v>
      </c>
      <c r="B244">
        <v>2005</v>
      </c>
      <c r="C244" t="str">
        <f>_xlfn.CONCAT(Table16[[#This Row],[STATE]],"-",Table16[[#This Row],[YEAR]])</f>
        <v>Assam-2005</v>
      </c>
      <c r="D244" t="s">
        <v>185</v>
      </c>
      <c r="E244">
        <v>7</v>
      </c>
    </row>
    <row r="245" spans="1:5" x14ac:dyDescent="0.3">
      <c r="A245" t="s">
        <v>8</v>
      </c>
      <c r="B245">
        <v>2005</v>
      </c>
      <c r="C245" t="str">
        <f>_xlfn.CONCAT(Table16[[#This Row],[STATE]],"-",Table16[[#This Row],[YEAR]])</f>
        <v>Assam-2005</v>
      </c>
      <c r="D245" t="s">
        <v>188</v>
      </c>
      <c r="E245">
        <v>4</v>
      </c>
    </row>
    <row r="246" spans="1:5" x14ac:dyDescent="0.3">
      <c r="A246" t="s">
        <v>8</v>
      </c>
      <c r="B246">
        <v>2006</v>
      </c>
      <c r="C246" t="str">
        <f>_xlfn.CONCAT(Table16[[#This Row],[STATE]],"-",Table16[[#This Row],[YEAR]])</f>
        <v>Assam-2006</v>
      </c>
      <c r="D246" t="s">
        <v>90</v>
      </c>
      <c r="E246">
        <v>61</v>
      </c>
    </row>
    <row r="247" spans="1:5" x14ac:dyDescent="0.3">
      <c r="A247" t="s">
        <v>8</v>
      </c>
      <c r="B247">
        <v>2006</v>
      </c>
      <c r="C247" t="str">
        <f>_xlfn.CONCAT(Table16[[#This Row],[STATE]],"-",Table16[[#This Row],[YEAR]])</f>
        <v>Assam-2006</v>
      </c>
      <c r="D247" t="s">
        <v>123</v>
      </c>
      <c r="E247">
        <v>7</v>
      </c>
    </row>
    <row r="248" spans="1:5" x14ac:dyDescent="0.3">
      <c r="A248" t="s">
        <v>8</v>
      </c>
      <c r="B248">
        <v>2006</v>
      </c>
      <c r="C248" t="str">
        <f>_xlfn.CONCAT(Table16[[#This Row],[STATE]],"-",Table16[[#This Row],[YEAR]])</f>
        <v>Assam-2006</v>
      </c>
      <c r="D248" t="s">
        <v>103</v>
      </c>
      <c r="E248">
        <v>25</v>
      </c>
    </row>
    <row r="249" spans="1:5" x14ac:dyDescent="0.3">
      <c r="A249" t="s">
        <v>8</v>
      </c>
      <c r="B249">
        <v>2006</v>
      </c>
      <c r="C249" t="str">
        <f>_xlfn.CONCAT(Table16[[#This Row],[STATE]],"-",Table16[[#This Row],[YEAR]])</f>
        <v>Assam-2006</v>
      </c>
      <c r="D249" t="s">
        <v>184</v>
      </c>
      <c r="E249">
        <v>86</v>
      </c>
    </row>
    <row r="250" spans="1:5" x14ac:dyDescent="0.3">
      <c r="A250" t="s">
        <v>8</v>
      </c>
      <c r="B250">
        <v>2006</v>
      </c>
      <c r="C250" t="str">
        <f>_xlfn.CONCAT(Table16[[#This Row],[STATE]],"-",Table16[[#This Row],[YEAR]])</f>
        <v>Assam-2006</v>
      </c>
      <c r="D250" t="s">
        <v>189</v>
      </c>
      <c r="E250">
        <v>12</v>
      </c>
    </row>
    <row r="251" spans="1:5" x14ac:dyDescent="0.3">
      <c r="A251" t="s">
        <v>8</v>
      </c>
      <c r="B251">
        <v>2006</v>
      </c>
      <c r="C251" t="str">
        <f>_xlfn.CONCAT(Table16[[#This Row],[STATE]],"-",Table16[[#This Row],[YEAR]])</f>
        <v>Assam-2006</v>
      </c>
      <c r="D251" t="s">
        <v>185</v>
      </c>
      <c r="E251">
        <v>7</v>
      </c>
    </row>
    <row r="252" spans="1:5" x14ac:dyDescent="0.3">
      <c r="A252" t="s">
        <v>8</v>
      </c>
      <c r="B252">
        <v>2006</v>
      </c>
      <c r="C252" t="str">
        <f>_xlfn.CONCAT(Table16[[#This Row],[STATE]],"-",Table16[[#This Row],[YEAR]])</f>
        <v>Assam-2006</v>
      </c>
      <c r="D252" t="s">
        <v>99</v>
      </c>
      <c r="E252">
        <v>164</v>
      </c>
    </row>
    <row r="253" spans="1:5" x14ac:dyDescent="0.3">
      <c r="A253" t="s">
        <v>8</v>
      </c>
      <c r="B253">
        <v>2007</v>
      </c>
      <c r="C253" t="str">
        <f>_xlfn.CONCAT(Table16[[#This Row],[STATE]],"-",Table16[[#This Row],[YEAR]])</f>
        <v>Assam-2007</v>
      </c>
      <c r="D253" t="s">
        <v>90</v>
      </c>
      <c r="E253">
        <v>78</v>
      </c>
    </row>
    <row r="254" spans="1:5" x14ac:dyDescent="0.3">
      <c r="A254" t="s">
        <v>8</v>
      </c>
      <c r="B254">
        <v>2007</v>
      </c>
      <c r="C254" t="str">
        <f>_xlfn.CONCAT(Table16[[#This Row],[STATE]],"-",Table16[[#This Row],[YEAR]])</f>
        <v>Assam-2007</v>
      </c>
      <c r="D254" t="s">
        <v>123</v>
      </c>
      <c r="E254">
        <v>19</v>
      </c>
    </row>
    <row r="255" spans="1:5" x14ac:dyDescent="0.3">
      <c r="A255" t="s">
        <v>8</v>
      </c>
      <c r="B255">
        <v>2007</v>
      </c>
      <c r="C255" t="str">
        <f>_xlfn.CONCAT(Table16[[#This Row],[STATE]],"-",Table16[[#This Row],[YEAR]])</f>
        <v>Assam-2007</v>
      </c>
      <c r="D255" t="s">
        <v>103</v>
      </c>
      <c r="E255">
        <v>37</v>
      </c>
    </row>
    <row r="256" spans="1:5" x14ac:dyDescent="0.3">
      <c r="A256" t="s">
        <v>8</v>
      </c>
      <c r="B256">
        <v>2007</v>
      </c>
      <c r="C256" t="str">
        <f>_xlfn.CONCAT(Table16[[#This Row],[STATE]],"-",Table16[[#This Row],[YEAR]])</f>
        <v>Assam-2007</v>
      </c>
      <c r="D256" t="s">
        <v>189</v>
      </c>
      <c r="E256">
        <v>28</v>
      </c>
    </row>
    <row r="257" spans="1:5" x14ac:dyDescent="0.3">
      <c r="A257" t="s">
        <v>8</v>
      </c>
      <c r="B257">
        <v>2007</v>
      </c>
      <c r="C257" t="str">
        <f>_xlfn.CONCAT(Table16[[#This Row],[STATE]],"-",Table16[[#This Row],[YEAR]])</f>
        <v>Assam-2007</v>
      </c>
      <c r="D257" t="s">
        <v>185</v>
      </c>
      <c r="E257">
        <v>3</v>
      </c>
    </row>
    <row r="258" spans="1:5" x14ac:dyDescent="0.3">
      <c r="A258" t="s">
        <v>8</v>
      </c>
      <c r="B258">
        <v>2007</v>
      </c>
      <c r="C258" t="str">
        <f>_xlfn.CONCAT(Table16[[#This Row],[STATE]],"-",Table16[[#This Row],[YEAR]])</f>
        <v>Assam-2007</v>
      </c>
      <c r="D258" t="s">
        <v>190</v>
      </c>
      <c r="E258">
        <v>137</v>
      </c>
    </row>
    <row r="259" spans="1:5" x14ac:dyDescent="0.3">
      <c r="A259" t="s">
        <v>8</v>
      </c>
      <c r="B259">
        <v>2007</v>
      </c>
      <c r="C259" t="str">
        <f>_xlfn.CONCAT(Table16[[#This Row],[STATE]],"-",Table16[[#This Row],[YEAR]])</f>
        <v>Assam-2007</v>
      </c>
      <c r="D259" t="s">
        <v>99</v>
      </c>
      <c r="E259">
        <v>29</v>
      </c>
    </row>
    <row r="260" spans="1:5" x14ac:dyDescent="0.3">
      <c r="A260" t="s">
        <v>8</v>
      </c>
      <c r="B260">
        <v>2008</v>
      </c>
      <c r="C260" t="str">
        <f>_xlfn.CONCAT(Table16[[#This Row],[STATE]],"-",Table16[[#This Row],[YEAR]])</f>
        <v>Assam-2008</v>
      </c>
      <c r="D260" t="s">
        <v>90</v>
      </c>
      <c r="E260">
        <v>82</v>
      </c>
    </row>
    <row r="261" spans="1:5" x14ac:dyDescent="0.3">
      <c r="A261" t="s">
        <v>8</v>
      </c>
      <c r="B261">
        <v>2008</v>
      </c>
      <c r="C261" t="str">
        <f>_xlfn.CONCAT(Table16[[#This Row],[STATE]],"-",Table16[[#This Row],[YEAR]])</f>
        <v>Assam-2008</v>
      </c>
      <c r="D261" t="s">
        <v>123</v>
      </c>
      <c r="E261">
        <v>21</v>
      </c>
    </row>
    <row r="262" spans="1:5" x14ac:dyDescent="0.3">
      <c r="A262" t="s">
        <v>8</v>
      </c>
      <c r="B262">
        <v>2008</v>
      </c>
      <c r="C262" t="str">
        <f>_xlfn.CONCAT(Table16[[#This Row],[STATE]],"-",Table16[[#This Row],[YEAR]])</f>
        <v>Assam-2008</v>
      </c>
      <c r="D262" t="s">
        <v>103</v>
      </c>
      <c r="E262">
        <v>45</v>
      </c>
    </row>
    <row r="263" spans="1:5" x14ac:dyDescent="0.3">
      <c r="A263" t="s">
        <v>8</v>
      </c>
      <c r="B263">
        <v>2008</v>
      </c>
      <c r="C263" t="str">
        <f>_xlfn.CONCAT(Table16[[#This Row],[STATE]],"-",Table16[[#This Row],[YEAR]])</f>
        <v>Assam-2008</v>
      </c>
      <c r="D263" t="s">
        <v>122</v>
      </c>
      <c r="E263">
        <v>35</v>
      </c>
    </row>
    <row r="264" spans="1:5" x14ac:dyDescent="0.3">
      <c r="A264" t="s">
        <v>8</v>
      </c>
      <c r="B264">
        <v>2008</v>
      </c>
      <c r="C264" t="str">
        <f>_xlfn.CONCAT(Table16[[#This Row],[STATE]],"-",Table16[[#This Row],[YEAR]])</f>
        <v>Assam-2008</v>
      </c>
      <c r="D264" t="s">
        <v>185</v>
      </c>
      <c r="E264">
        <v>15</v>
      </c>
    </row>
    <row r="265" spans="1:5" x14ac:dyDescent="0.3">
      <c r="A265" t="s">
        <v>8</v>
      </c>
      <c r="B265">
        <v>2008</v>
      </c>
      <c r="C265" t="str">
        <f>_xlfn.CONCAT(Table16[[#This Row],[STATE]],"-",Table16[[#This Row],[YEAR]])</f>
        <v>Assam-2008</v>
      </c>
      <c r="D265" t="s">
        <v>191</v>
      </c>
      <c r="E265">
        <v>146</v>
      </c>
    </row>
    <row r="266" spans="1:5" x14ac:dyDescent="0.3">
      <c r="A266" t="s">
        <v>8</v>
      </c>
      <c r="B266">
        <v>2008</v>
      </c>
      <c r="C266" t="str">
        <f>_xlfn.CONCAT(Table16[[#This Row],[STATE]],"-",Table16[[#This Row],[YEAR]])</f>
        <v>Assam-2008</v>
      </c>
      <c r="D266" t="s">
        <v>99</v>
      </c>
      <c r="E266">
        <v>41</v>
      </c>
    </row>
    <row r="267" spans="1:5" x14ac:dyDescent="0.3">
      <c r="A267" t="s">
        <v>8</v>
      </c>
      <c r="B267">
        <v>2009</v>
      </c>
      <c r="C267" t="str">
        <f>_xlfn.CONCAT(Table16[[#This Row],[STATE]],"-",Table16[[#This Row],[YEAR]])</f>
        <v>Assam-2009</v>
      </c>
      <c r="D267" t="s">
        <v>90</v>
      </c>
      <c r="E267">
        <v>52</v>
      </c>
    </row>
    <row r="268" spans="1:5" x14ac:dyDescent="0.3">
      <c r="A268" t="s">
        <v>8</v>
      </c>
      <c r="B268">
        <v>2009</v>
      </c>
      <c r="C268" t="str">
        <f>_xlfn.CONCAT(Table16[[#This Row],[STATE]],"-",Table16[[#This Row],[YEAR]])</f>
        <v>Assam-2009</v>
      </c>
      <c r="D268" t="s">
        <v>123</v>
      </c>
      <c r="E268">
        <v>18</v>
      </c>
    </row>
    <row r="269" spans="1:5" x14ac:dyDescent="0.3">
      <c r="A269" t="s">
        <v>8</v>
      </c>
      <c r="B269">
        <v>2009</v>
      </c>
      <c r="C269" t="str">
        <f>_xlfn.CONCAT(Table16[[#This Row],[STATE]],"-",Table16[[#This Row],[YEAR]])</f>
        <v>Assam-2009</v>
      </c>
      <c r="D269" t="s">
        <v>103</v>
      </c>
      <c r="E269">
        <v>25</v>
      </c>
    </row>
    <row r="270" spans="1:5" x14ac:dyDescent="0.3">
      <c r="A270" t="s">
        <v>8</v>
      </c>
      <c r="B270">
        <v>2009</v>
      </c>
      <c r="C270" t="str">
        <f>_xlfn.CONCAT(Table16[[#This Row],[STATE]],"-",Table16[[#This Row],[YEAR]])</f>
        <v>Assam-2009</v>
      </c>
      <c r="D270" t="s">
        <v>192</v>
      </c>
      <c r="E270">
        <v>15</v>
      </c>
    </row>
    <row r="271" spans="1:5" x14ac:dyDescent="0.3">
      <c r="A271" t="s">
        <v>8</v>
      </c>
      <c r="B271">
        <v>2009</v>
      </c>
      <c r="C271" t="str">
        <f>_xlfn.CONCAT(Table16[[#This Row],[STATE]],"-",Table16[[#This Row],[YEAR]])</f>
        <v>Assam-2009</v>
      </c>
      <c r="D271" t="s">
        <v>185</v>
      </c>
      <c r="E271">
        <v>10</v>
      </c>
    </row>
    <row r="272" spans="1:5" x14ac:dyDescent="0.3">
      <c r="A272" t="s">
        <v>8</v>
      </c>
      <c r="B272">
        <v>2009</v>
      </c>
      <c r="C272" t="str">
        <f>_xlfn.CONCAT(Table16[[#This Row],[STATE]],"-",Table16[[#This Row],[YEAR]])</f>
        <v>Assam-2009</v>
      </c>
      <c r="D272" t="s">
        <v>191</v>
      </c>
      <c r="E272">
        <v>156</v>
      </c>
    </row>
    <row r="273" spans="1:5" x14ac:dyDescent="0.3">
      <c r="A273" t="s">
        <v>8</v>
      </c>
      <c r="B273">
        <v>2009</v>
      </c>
      <c r="C273" t="str">
        <f>_xlfn.CONCAT(Table16[[#This Row],[STATE]],"-",Table16[[#This Row],[YEAR]])</f>
        <v>Assam-2009</v>
      </c>
      <c r="D273" t="s">
        <v>193</v>
      </c>
      <c r="E273">
        <v>34</v>
      </c>
    </row>
    <row r="274" spans="1:5" x14ac:dyDescent="0.3">
      <c r="A274" t="s">
        <v>8</v>
      </c>
      <c r="B274">
        <v>2010</v>
      </c>
      <c r="C274" t="str">
        <f>_xlfn.CONCAT(Table16[[#This Row],[STATE]],"-",Table16[[#This Row],[YEAR]])</f>
        <v>Assam-2010</v>
      </c>
      <c r="D274" t="s">
        <v>90</v>
      </c>
      <c r="E274">
        <v>35</v>
      </c>
    </row>
    <row r="275" spans="1:5" x14ac:dyDescent="0.3">
      <c r="A275" t="s">
        <v>8</v>
      </c>
      <c r="B275">
        <v>2010</v>
      </c>
      <c r="C275" t="str">
        <f>_xlfn.CONCAT(Table16[[#This Row],[STATE]],"-",Table16[[#This Row],[YEAR]])</f>
        <v>Assam-2010</v>
      </c>
      <c r="D275" t="s">
        <v>123</v>
      </c>
      <c r="E275">
        <v>16</v>
      </c>
    </row>
    <row r="276" spans="1:5" x14ac:dyDescent="0.3">
      <c r="A276" t="s">
        <v>8</v>
      </c>
      <c r="B276">
        <v>2010</v>
      </c>
      <c r="C276" t="str">
        <f>_xlfn.CONCAT(Table16[[#This Row],[STATE]],"-",Table16[[#This Row],[YEAR]])</f>
        <v>Assam-2010</v>
      </c>
      <c r="D276" t="s">
        <v>103</v>
      </c>
      <c r="E276">
        <v>26</v>
      </c>
    </row>
    <row r="277" spans="1:5" x14ac:dyDescent="0.3">
      <c r="A277" t="s">
        <v>8</v>
      </c>
      <c r="B277">
        <v>2010</v>
      </c>
      <c r="C277" t="str">
        <f>_xlfn.CONCAT(Table16[[#This Row],[STATE]],"-",Table16[[#This Row],[YEAR]])</f>
        <v>Assam-2010</v>
      </c>
      <c r="D277" t="s">
        <v>192</v>
      </c>
      <c r="E277">
        <v>14</v>
      </c>
    </row>
    <row r="278" spans="1:5" x14ac:dyDescent="0.3">
      <c r="A278" t="s">
        <v>8</v>
      </c>
      <c r="B278">
        <v>2010</v>
      </c>
      <c r="C278" t="str">
        <f>_xlfn.CONCAT(Table16[[#This Row],[STATE]],"-",Table16[[#This Row],[YEAR]])</f>
        <v>Assam-2010</v>
      </c>
      <c r="D278" t="s">
        <v>185</v>
      </c>
      <c r="E278">
        <v>10</v>
      </c>
    </row>
    <row r="279" spans="1:5" x14ac:dyDescent="0.3">
      <c r="A279" t="s">
        <v>8</v>
      </c>
      <c r="B279">
        <v>2010</v>
      </c>
      <c r="C279" t="str">
        <f>_xlfn.CONCAT(Table16[[#This Row],[STATE]],"-",Table16[[#This Row],[YEAR]])</f>
        <v>Assam-2010</v>
      </c>
      <c r="D279" t="s">
        <v>191</v>
      </c>
      <c r="E279">
        <v>146</v>
      </c>
    </row>
    <row r="280" spans="1:5" x14ac:dyDescent="0.3">
      <c r="A280" t="s">
        <v>8</v>
      </c>
      <c r="B280">
        <v>2010</v>
      </c>
      <c r="C280" t="str">
        <f>_xlfn.CONCAT(Table16[[#This Row],[STATE]],"-",Table16[[#This Row],[YEAR]])</f>
        <v>Assam-2010</v>
      </c>
      <c r="D280" t="s">
        <v>193</v>
      </c>
      <c r="E280">
        <v>30</v>
      </c>
    </row>
    <row r="281" spans="1:5" x14ac:dyDescent="0.3">
      <c r="A281" t="s">
        <v>8</v>
      </c>
      <c r="B281">
        <v>2011</v>
      </c>
      <c r="C281" t="str">
        <f>_xlfn.CONCAT(Table16[[#This Row],[STATE]],"-",Table16[[#This Row],[YEAR]])</f>
        <v>Assam-2011</v>
      </c>
      <c r="D281" t="s">
        <v>90</v>
      </c>
      <c r="E281">
        <v>38</v>
      </c>
    </row>
    <row r="282" spans="1:5" x14ac:dyDescent="0.3">
      <c r="A282" t="s">
        <v>8</v>
      </c>
      <c r="B282">
        <v>2011</v>
      </c>
      <c r="C282" t="str">
        <f>_xlfn.CONCAT(Table16[[#This Row],[STATE]],"-",Table16[[#This Row],[YEAR]])</f>
        <v>Assam-2011</v>
      </c>
      <c r="D282" t="s">
        <v>123</v>
      </c>
      <c r="E282">
        <v>17</v>
      </c>
    </row>
    <row r="283" spans="1:5" x14ac:dyDescent="0.3">
      <c r="A283" t="s">
        <v>8</v>
      </c>
      <c r="B283">
        <v>2011</v>
      </c>
      <c r="C283" t="str">
        <f>_xlfn.CONCAT(Table16[[#This Row],[STATE]],"-",Table16[[#This Row],[YEAR]])</f>
        <v>Assam-2011</v>
      </c>
      <c r="D283" t="s">
        <v>103</v>
      </c>
      <c r="E283">
        <v>21</v>
      </c>
    </row>
    <row r="284" spans="1:5" x14ac:dyDescent="0.3">
      <c r="A284" t="s">
        <v>8</v>
      </c>
      <c r="B284">
        <v>2011</v>
      </c>
      <c r="C284" t="str">
        <f>_xlfn.CONCAT(Table16[[#This Row],[STATE]],"-",Table16[[#This Row],[YEAR]])</f>
        <v>Assam-2011</v>
      </c>
      <c r="D284" t="s">
        <v>192</v>
      </c>
      <c r="E284">
        <v>12</v>
      </c>
    </row>
    <row r="285" spans="1:5" x14ac:dyDescent="0.3">
      <c r="A285" t="s">
        <v>8</v>
      </c>
      <c r="B285">
        <v>2011</v>
      </c>
      <c r="C285" t="str">
        <f>_xlfn.CONCAT(Table16[[#This Row],[STATE]],"-",Table16[[#This Row],[YEAR]])</f>
        <v>Assam-2011</v>
      </c>
      <c r="D285" t="s">
        <v>185</v>
      </c>
      <c r="E285">
        <v>8</v>
      </c>
    </row>
    <row r="286" spans="1:5" x14ac:dyDescent="0.3">
      <c r="A286" t="s">
        <v>8</v>
      </c>
      <c r="B286">
        <v>2011</v>
      </c>
      <c r="C286" t="str">
        <f>_xlfn.CONCAT(Table16[[#This Row],[STATE]],"-",Table16[[#This Row],[YEAR]])</f>
        <v>Assam-2011</v>
      </c>
      <c r="D286" t="s">
        <v>194</v>
      </c>
      <c r="E286">
        <v>136</v>
      </c>
    </row>
    <row r="287" spans="1:5" x14ac:dyDescent="0.3">
      <c r="A287" t="s">
        <v>8</v>
      </c>
      <c r="B287">
        <v>2011</v>
      </c>
      <c r="C287" t="str">
        <f>_xlfn.CONCAT(Table16[[#This Row],[STATE]],"-",Table16[[#This Row],[YEAR]])</f>
        <v>Assam-2011</v>
      </c>
      <c r="D287" t="s">
        <v>193</v>
      </c>
      <c r="E287">
        <v>40</v>
      </c>
    </row>
    <row r="288" spans="1:5" x14ac:dyDescent="0.3">
      <c r="A288" t="s">
        <v>8</v>
      </c>
      <c r="B288">
        <v>2012</v>
      </c>
      <c r="C288" t="str">
        <f>_xlfn.CONCAT(Table16[[#This Row],[STATE]],"-",Table16[[#This Row],[YEAR]])</f>
        <v>Assam-2012</v>
      </c>
      <c r="D288" t="s">
        <v>90</v>
      </c>
      <c r="E288">
        <v>54</v>
      </c>
    </row>
    <row r="289" spans="1:5" x14ac:dyDescent="0.3">
      <c r="A289" t="s">
        <v>8</v>
      </c>
      <c r="B289">
        <v>2012</v>
      </c>
      <c r="C289" t="str">
        <f>_xlfn.CONCAT(Table16[[#This Row],[STATE]],"-",Table16[[#This Row],[YEAR]])</f>
        <v>Assam-2012</v>
      </c>
      <c r="D289" t="s">
        <v>195</v>
      </c>
      <c r="E289">
        <v>129</v>
      </c>
    </row>
    <row r="290" spans="1:5" x14ac:dyDescent="0.3">
      <c r="A290" t="s">
        <v>8</v>
      </c>
      <c r="B290">
        <v>2012</v>
      </c>
      <c r="C290" t="str">
        <f>_xlfn.CONCAT(Table16[[#This Row],[STATE]],"-",Table16[[#This Row],[YEAR]])</f>
        <v>Assam-2012</v>
      </c>
      <c r="D290" t="s">
        <v>103</v>
      </c>
      <c r="E290">
        <v>23</v>
      </c>
    </row>
    <row r="291" spans="1:5" x14ac:dyDescent="0.3">
      <c r="A291" t="s">
        <v>8</v>
      </c>
      <c r="B291">
        <v>2012</v>
      </c>
      <c r="C291" t="str">
        <f>_xlfn.CONCAT(Table16[[#This Row],[STATE]],"-",Table16[[#This Row],[YEAR]])</f>
        <v>Assam-2012</v>
      </c>
      <c r="D291" t="s">
        <v>192</v>
      </c>
      <c r="E291">
        <v>5</v>
      </c>
    </row>
    <row r="292" spans="1:5" x14ac:dyDescent="0.3">
      <c r="A292" t="s">
        <v>8</v>
      </c>
      <c r="B292">
        <v>2012</v>
      </c>
      <c r="C292" t="str">
        <f>_xlfn.CONCAT(Table16[[#This Row],[STATE]],"-",Table16[[#This Row],[YEAR]])</f>
        <v>Assam-2012</v>
      </c>
      <c r="D292" t="s">
        <v>196</v>
      </c>
      <c r="E292">
        <v>27</v>
      </c>
    </row>
    <row r="293" spans="1:5" x14ac:dyDescent="0.3">
      <c r="A293" t="s">
        <v>8</v>
      </c>
      <c r="B293">
        <v>2012</v>
      </c>
      <c r="C293" t="str">
        <f>_xlfn.CONCAT(Table16[[#This Row],[STATE]],"-",Table16[[#This Row],[YEAR]])</f>
        <v>Assam-2012</v>
      </c>
      <c r="D293" t="s">
        <v>102</v>
      </c>
      <c r="E293">
        <v>29</v>
      </c>
    </row>
    <row r="294" spans="1:5" x14ac:dyDescent="0.3">
      <c r="A294" t="s">
        <v>9</v>
      </c>
      <c r="B294">
        <v>2001</v>
      </c>
      <c r="C294" t="str">
        <f>_xlfn.CONCAT(Table16[[#This Row],[STATE]],"-",Table16[[#This Row],[YEAR]])</f>
        <v>Bihar-2001</v>
      </c>
      <c r="D294" t="s">
        <v>197</v>
      </c>
      <c r="E294">
        <v>216</v>
      </c>
    </row>
    <row r="295" spans="1:5" x14ac:dyDescent="0.3">
      <c r="A295" t="s">
        <v>9</v>
      </c>
      <c r="B295">
        <v>2001</v>
      </c>
      <c r="C295" t="str">
        <f>_xlfn.CONCAT(Table16[[#This Row],[STATE]],"-",Table16[[#This Row],[YEAR]])</f>
        <v>Bihar-2001</v>
      </c>
      <c r="D295" t="s">
        <v>198</v>
      </c>
      <c r="E295">
        <v>1791</v>
      </c>
    </row>
    <row r="296" spans="1:5" x14ac:dyDescent="0.3">
      <c r="A296" t="s">
        <v>9</v>
      </c>
      <c r="B296">
        <v>2001</v>
      </c>
      <c r="C296" t="str">
        <f>_xlfn.CONCAT(Table16[[#This Row],[STATE]],"-",Table16[[#This Row],[YEAR]])</f>
        <v>Bihar-2001</v>
      </c>
      <c r="D296" t="s">
        <v>199</v>
      </c>
      <c r="E296">
        <v>522</v>
      </c>
    </row>
    <row r="297" spans="1:5" x14ac:dyDescent="0.3">
      <c r="A297" t="s">
        <v>9</v>
      </c>
      <c r="B297">
        <v>2001</v>
      </c>
      <c r="C297" t="str">
        <f>_xlfn.CONCAT(Table16[[#This Row],[STATE]],"-",Table16[[#This Row],[YEAR]])</f>
        <v>Bihar-2001</v>
      </c>
      <c r="D297" t="s">
        <v>200</v>
      </c>
      <c r="E297">
        <v>175</v>
      </c>
    </row>
    <row r="298" spans="1:5" x14ac:dyDescent="0.3">
      <c r="A298" t="s">
        <v>9</v>
      </c>
      <c r="B298">
        <v>2001</v>
      </c>
      <c r="C298" t="str">
        <f>_xlfn.CONCAT(Table16[[#This Row],[STATE]],"-",Table16[[#This Row],[YEAR]])</f>
        <v>Bihar-2001</v>
      </c>
      <c r="D298" t="s">
        <v>201</v>
      </c>
      <c r="E298">
        <v>717</v>
      </c>
    </row>
    <row r="299" spans="1:5" x14ac:dyDescent="0.3">
      <c r="A299" t="s">
        <v>9</v>
      </c>
      <c r="B299">
        <v>2001</v>
      </c>
      <c r="C299" t="str">
        <f>_xlfn.CONCAT(Table16[[#This Row],[STATE]],"-",Table16[[#This Row],[YEAR]])</f>
        <v>Bihar-2001</v>
      </c>
      <c r="D299" t="s">
        <v>170</v>
      </c>
      <c r="E299">
        <v>197</v>
      </c>
    </row>
    <row r="300" spans="1:5" x14ac:dyDescent="0.3">
      <c r="A300" t="s">
        <v>9</v>
      </c>
      <c r="B300">
        <v>2002</v>
      </c>
      <c r="C300" t="str">
        <f>_xlfn.CONCAT(Table16[[#This Row],[STATE]],"-",Table16[[#This Row],[YEAR]])</f>
        <v>Bihar-2002</v>
      </c>
      <c r="D300" t="s">
        <v>202</v>
      </c>
      <c r="E300">
        <v>405</v>
      </c>
    </row>
    <row r="301" spans="1:5" x14ac:dyDescent="0.3">
      <c r="A301" t="s">
        <v>9</v>
      </c>
      <c r="B301">
        <v>2002</v>
      </c>
      <c r="C301" t="str">
        <f>_xlfn.CONCAT(Table16[[#This Row],[STATE]],"-",Table16[[#This Row],[YEAR]])</f>
        <v>Bihar-2002</v>
      </c>
      <c r="D301" t="s">
        <v>170</v>
      </c>
      <c r="E301">
        <v>111</v>
      </c>
    </row>
    <row r="302" spans="1:5" x14ac:dyDescent="0.3">
      <c r="A302" t="s">
        <v>9</v>
      </c>
      <c r="B302">
        <v>2002</v>
      </c>
      <c r="C302" t="str">
        <f>_xlfn.CONCAT(Table16[[#This Row],[STATE]],"-",Table16[[#This Row],[YEAR]])</f>
        <v>Bihar-2002</v>
      </c>
      <c r="D302" t="s">
        <v>203</v>
      </c>
      <c r="E302">
        <v>112</v>
      </c>
    </row>
    <row r="303" spans="1:5" x14ac:dyDescent="0.3">
      <c r="A303" t="s">
        <v>9</v>
      </c>
      <c r="B303">
        <v>2002</v>
      </c>
      <c r="C303" t="str">
        <f>_xlfn.CONCAT(Table16[[#This Row],[STATE]],"-",Table16[[#This Row],[YEAR]])</f>
        <v>Bihar-2002</v>
      </c>
      <c r="D303" t="s">
        <v>197</v>
      </c>
      <c r="E303">
        <v>70</v>
      </c>
    </row>
    <row r="304" spans="1:5" x14ac:dyDescent="0.3">
      <c r="A304" t="s">
        <v>9</v>
      </c>
      <c r="B304">
        <v>2002</v>
      </c>
      <c r="C304" t="str">
        <f>_xlfn.CONCAT(Table16[[#This Row],[STATE]],"-",Table16[[#This Row],[YEAR]])</f>
        <v>Bihar-2002</v>
      </c>
      <c r="D304" t="s">
        <v>204</v>
      </c>
      <c r="E304">
        <v>1289</v>
      </c>
    </row>
    <row r="305" spans="1:5" x14ac:dyDescent="0.3">
      <c r="A305" t="s">
        <v>9</v>
      </c>
      <c r="B305">
        <v>2003</v>
      </c>
      <c r="C305" t="str">
        <f>_xlfn.CONCAT(Table16[[#This Row],[STATE]],"-",Table16[[#This Row],[YEAR]])</f>
        <v>Bihar-2003</v>
      </c>
      <c r="D305" t="s">
        <v>197</v>
      </c>
      <c r="E305">
        <v>107</v>
      </c>
    </row>
    <row r="306" spans="1:5" x14ac:dyDescent="0.3">
      <c r="A306" t="s">
        <v>9</v>
      </c>
      <c r="B306">
        <v>2003</v>
      </c>
      <c r="C306" t="str">
        <f>_xlfn.CONCAT(Table16[[#This Row],[STATE]],"-",Table16[[#This Row],[YEAR]])</f>
        <v>Bihar-2003</v>
      </c>
      <c r="D306" t="s">
        <v>202</v>
      </c>
      <c r="E306">
        <v>379</v>
      </c>
    </row>
    <row r="307" spans="1:5" x14ac:dyDescent="0.3">
      <c r="A307" t="s">
        <v>9</v>
      </c>
      <c r="B307">
        <v>2003</v>
      </c>
      <c r="C307" t="str">
        <f>_xlfn.CONCAT(Table16[[#This Row],[STATE]],"-",Table16[[#This Row],[YEAR]])</f>
        <v>Bihar-2003</v>
      </c>
      <c r="D307" t="s">
        <v>199</v>
      </c>
      <c r="E307">
        <v>197</v>
      </c>
    </row>
    <row r="308" spans="1:5" x14ac:dyDescent="0.3">
      <c r="A308" t="s">
        <v>9</v>
      </c>
      <c r="B308">
        <v>2003</v>
      </c>
      <c r="C308" t="str">
        <f>_xlfn.CONCAT(Table16[[#This Row],[STATE]],"-",Table16[[#This Row],[YEAR]])</f>
        <v>Bihar-2003</v>
      </c>
      <c r="D308" t="s">
        <v>205</v>
      </c>
      <c r="E308">
        <v>1161</v>
      </c>
    </row>
    <row r="309" spans="1:5" x14ac:dyDescent="0.3">
      <c r="A309" t="s">
        <v>9</v>
      </c>
      <c r="B309">
        <v>2003</v>
      </c>
      <c r="C309" t="str">
        <f>_xlfn.CONCAT(Table16[[#This Row],[STATE]],"-",Table16[[#This Row],[YEAR]])</f>
        <v>Bihar-2003</v>
      </c>
      <c r="D309" t="s">
        <v>206</v>
      </c>
      <c r="E309">
        <v>526</v>
      </c>
    </row>
    <row r="310" spans="1:5" x14ac:dyDescent="0.3">
      <c r="A310" t="s">
        <v>9</v>
      </c>
      <c r="B310">
        <v>2003</v>
      </c>
      <c r="C310" t="str">
        <f>_xlfn.CONCAT(Table16[[#This Row],[STATE]],"-",Table16[[#This Row],[YEAR]])</f>
        <v>Bihar-2003</v>
      </c>
      <c r="D310" t="s">
        <v>207</v>
      </c>
      <c r="E310">
        <v>937</v>
      </c>
    </row>
    <row r="311" spans="1:5" x14ac:dyDescent="0.3">
      <c r="A311" t="s">
        <v>9</v>
      </c>
      <c r="B311">
        <v>2003</v>
      </c>
      <c r="C311" t="str">
        <f>_xlfn.CONCAT(Table16[[#This Row],[STATE]],"-",Table16[[#This Row],[YEAR]])</f>
        <v>Bihar-2003</v>
      </c>
      <c r="D311" t="s">
        <v>170</v>
      </c>
      <c r="E311">
        <v>15</v>
      </c>
    </row>
    <row r="312" spans="1:5" x14ac:dyDescent="0.3">
      <c r="A312" t="s">
        <v>9</v>
      </c>
      <c r="B312">
        <v>2003</v>
      </c>
      <c r="C312" t="str">
        <f>_xlfn.CONCAT(Table16[[#This Row],[STATE]],"-",Table16[[#This Row],[YEAR]])</f>
        <v>Bihar-2003</v>
      </c>
      <c r="D312" t="s">
        <v>208</v>
      </c>
      <c r="E312">
        <v>12</v>
      </c>
    </row>
    <row r="313" spans="1:5" x14ac:dyDescent="0.3">
      <c r="A313" t="s">
        <v>9</v>
      </c>
      <c r="B313">
        <v>2003</v>
      </c>
      <c r="C313" t="str">
        <f>_xlfn.CONCAT(Table16[[#This Row],[STATE]],"-",Table16[[#This Row],[YEAR]])</f>
        <v>Bihar-2003</v>
      </c>
      <c r="D313" t="s">
        <v>209</v>
      </c>
      <c r="E313">
        <v>14</v>
      </c>
    </row>
    <row r="314" spans="1:5" x14ac:dyDescent="0.3">
      <c r="A314" t="s">
        <v>9</v>
      </c>
      <c r="B314">
        <v>2004</v>
      </c>
      <c r="C314" t="str">
        <f>_xlfn.CONCAT(Table16[[#This Row],[STATE]],"-",Table16[[#This Row],[YEAR]])</f>
        <v>Bihar-2004</v>
      </c>
      <c r="D314" t="s">
        <v>210</v>
      </c>
      <c r="E314">
        <v>326</v>
      </c>
    </row>
    <row r="315" spans="1:5" x14ac:dyDescent="0.3">
      <c r="A315" t="s">
        <v>9</v>
      </c>
      <c r="B315">
        <v>2004</v>
      </c>
      <c r="C315" t="str">
        <f>_xlfn.CONCAT(Table16[[#This Row],[STATE]],"-",Table16[[#This Row],[YEAR]])</f>
        <v>Bihar-2004</v>
      </c>
      <c r="D315" t="s">
        <v>211</v>
      </c>
      <c r="E315">
        <v>992</v>
      </c>
    </row>
    <row r="316" spans="1:5" x14ac:dyDescent="0.3">
      <c r="A316" t="s">
        <v>9</v>
      </c>
      <c r="B316">
        <v>2004</v>
      </c>
      <c r="C316" t="str">
        <f>_xlfn.CONCAT(Table16[[#This Row],[STATE]],"-",Table16[[#This Row],[YEAR]])</f>
        <v>Bihar-2004</v>
      </c>
      <c r="D316" t="s">
        <v>212</v>
      </c>
      <c r="E316">
        <v>585</v>
      </c>
    </row>
    <row r="317" spans="1:5" x14ac:dyDescent="0.3">
      <c r="A317" t="s">
        <v>9</v>
      </c>
      <c r="B317">
        <v>2004</v>
      </c>
      <c r="C317" t="str">
        <f>_xlfn.CONCAT(Table16[[#This Row],[STATE]],"-",Table16[[#This Row],[YEAR]])</f>
        <v>Bihar-2004</v>
      </c>
      <c r="D317" t="s">
        <v>197</v>
      </c>
      <c r="E317">
        <v>117</v>
      </c>
    </row>
    <row r="318" spans="1:5" x14ac:dyDescent="0.3">
      <c r="A318" t="s">
        <v>9</v>
      </c>
      <c r="B318">
        <v>2004</v>
      </c>
      <c r="C318" t="str">
        <f>_xlfn.CONCAT(Table16[[#This Row],[STATE]],"-",Table16[[#This Row],[YEAR]])</f>
        <v>Bihar-2004</v>
      </c>
      <c r="D318" t="s">
        <v>213</v>
      </c>
      <c r="E318">
        <v>35</v>
      </c>
    </row>
    <row r="319" spans="1:5" x14ac:dyDescent="0.3">
      <c r="A319" t="s">
        <v>9</v>
      </c>
      <c r="B319">
        <v>2004</v>
      </c>
      <c r="C319" t="str">
        <f>_xlfn.CONCAT(Table16[[#This Row],[STATE]],"-",Table16[[#This Row],[YEAR]])</f>
        <v>Bihar-2004</v>
      </c>
      <c r="D319" t="s">
        <v>90</v>
      </c>
      <c r="E319">
        <v>13</v>
      </c>
    </row>
    <row r="320" spans="1:5" x14ac:dyDescent="0.3">
      <c r="A320" t="s">
        <v>9</v>
      </c>
      <c r="B320">
        <v>2004</v>
      </c>
      <c r="C320" t="str">
        <f>_xlfn.CONCAT(Table16[[#This Row],[STATE]],"-",Table16[[#This Row],[YEAR]])</f>
        <v>Bihar-2004</v>
      </c>
      <c r="D320" t="s">
        <v>214</v>
      </c>
      <c r="E320">
        <v>15</v>
      </c>
    </row>
    <row r="321" spans="1:5" x14ac:dyDescent="0.3">
      <c r="A321" t="s">
        <v>9</v>
      </c>
      <c r="B321">
        <v>2004</v>
      </c>
      <c r="C321" t="str">
        <f>_xlfn.CONCAT(Table16[[#This Row],[STATE]],"-",Table16[[#This Row],[YEAR]])</f>
        <v>Bihar-2004</v>
      </c>
      <c r="D321" t="s">
        <v>215</v>
      </c>
      <c r="E321">
        <v>40</v>
      </c>
    </row>
    <row r="322" spans="1:5" x14ac:dyDescent="0.3">
      <c r="A322" t="s">
        <v>9</v>
      </c>
      <c r="B322">
        <v>2005</v>
      </c>
      <c r="C322" t="str">
        <f>_xlfn.CONCAT(Table16[[#This Row],[STATE]],"-",Table16[[#This Row],[YEAR]])</f>
        <v>Bihar-2005</v>
      </c>
      <c r="D322" t="s">
        <v>210</v>
      </c>
      <c r="E322">
        <v>4063</v>
      </c>
    </row>
    <row r="323" spans="1:5" x14ac:dyDescent="0.3">
      <c r="A323" t="s">
        <v>9</v>
      </c>
      <c r="B323">
        <v>2005</v>
      </c>
      <c r="C323" t="str">
        <f>_xlfn.CONCAT(Table16[[#This Row],[STATE]],"-",Table16[[#This Row],[YEAR]])</f>
        <v>Bihar-2005</v>
      </c>
      <c r="D323" t="s">
        <v>216</v>
      </c>
      <c r="E323">
        <v>550</v>
      </c>
    </row>
    <row r="324" spans="1:5" x14ac:dyDescent="0.3">
      <c r="A324" t="s">
        <v>9</v>
      </c>
      <c r="B324">
        <v>2005</v>
      </c>
      <c r="C324" t="str">
        <f>_xlfn.CONCAT(Table16[[#This Row],[STATE]],"-",Table16[[#This Row],[YEAR]])</f>
        <v>Bihar-2005</v>
      </c>
      <c r="D324" t="s">
        <v>217</v>
      </c>
      <c r="E324">
        <v>1008</v>
      </c>
    </row>
    <row r="325" spans="1:5" x14ac:dyDescent="0.3">
      <c r="A325" t="s">
        <v>9</v>
      </c>
      <c r="B325">
        <v>2005</v>
      </c>
      <c r="C325" t="str">
        <f>_xlfn.CONCAT(Table16[[#This Row],[STATE]],"-",Table16[[#This Row],[YEAR]])</f>
        <v>Bihar-2005</v>
      </c>
      <c r="D325" t="s">
        <v>212</v>
      </c>
      <c r="E325">
        <v>345</v>
      </c>
    </row>
    <row r="326" spans="1:5" x14ac:dyDescent="0.3">
      <c r="A326" t="s">
        <v>9</v>
      </c>
      <c r="B326">
        <v>2005</v>
      </c>
      <c r="C326" t="str">
        <f>_xlfn.CONCAT(Table16[[#This Row],[STATE]],"-",Table16[[#This Row],[YEAR]])</f>
        <v>Bihar-2005</v>
      </c>
      <c r="D326" t="s">
        <v>215</v>
      </c>
      <c r="E326">
        <v>418</v>
      </c>
    </row>
    <row r="327" spans="1:5" x14ac:dyDescent="0.3">
      <c r="A327" t="s">
        <v>9</v>
      </c>
      <c r="B327">
        <v>2005</v>
      </c>
      <c r="C327" t="str">
        <f>_xlfn.CONCAT(Table16[[#This Row],[STATE]],"-",Table16[[#This Row],[YEAR]])</f>
        <v>Bihar-2005</v>
      </c>
      <c r="D327" t="s">
        <v>99</v>
      </c>
      <c r="E327">
        <v>72</v>
      </c>
    </row>
    <row r="328" spans="1:5" x14ac:dyDescent="0.3">
      <c r="A328" t="s">
        <v>9</v>
      </c>
      <c r="B328">
        <v>2006</v>
      </c>
      <c r="C328" t="str">
        <f>_xlfn.CONCAT(Table16[[#This Row],[STATE]],"-",Table16[[#This Row],[YEAR]])</f>
        <v>Bihar-2006</v>
      </c>
      <c r="D328" t="s">
        <v>210</v>
      </c>
      <c r="E328">
        <v>4142</v>
      </c>
    </row>
    <row r="329" spans="1:5" x14ac:dyDescent="0.3">
      <c r="A329" t="s">
        <v>9</v>
      </c>
      <c r="B329">
        <v>2006</v>
      </c>
      <c r="C329" t="str">
        <f>_xlfn.CONCAT(Table16[[#This Row],[STATE]],"-",Table16[[#This Row],[YEAR]])</f>
        <v>Bihar-2006</v>
      </c>
      <c r="D329" t="s">
        <v>201</v>
      </c>
      <c r="E329">
        <v>1138</v>
      </c>
    </row>
    <row r="330" spans="1:5" x14ac:dyDescent="0.3">
      <c r="A330" t="s">
        <v>9</v>
      </c>
      <c r="B330">
        <v>2006</v>
      </c>
      <c r="C330" t="str">
        <f>_xlfn.CONCAT(Table16[[#This Row],[STATE]],"-",Table16[[#This Row],[YEAR]])</f>
        <v>Bihar-2006</v>
      </c>
      <c r="D330" t="s">
        <v>212</v>
      </c>
      <c r="E330">
        <v>242</v>
      </c>
    </row>
    <row r="331" spans="1:5" x14ac:dyDescent="0.3">
      <c r="A331" t="s">
        <v>9</v>
      </c>
      <c r="B331">
        <v>2006</v>
      </c>
      <c r="C331" t="str">
        <f>_xlfn.CONCAT(Table16[[#This Row],[STATE]],"-",Table16[[#This Row],[YEAR]])</f>
        <v>Bihar-2006</v>
      </c>
      <c r="D331" t="s">
        <v>217</v>
      </c>
      <c r="E331">
        <v>180</v>
      </c>
    </row>
    <row r="332" spans="1:5" x14ac:dyDescent="0.3">
      <c r="A332" t="s">
        <v>9</v>
      </c>
      <c r="B332">
        <v>2006</v>
      </c>
      <c r="C332" t="str">
        <f>_xlfn.CONCAT(Table16[[#This Row],[STATE]],"-",Table16[[#This Row],[YEAR]])</f>
        <v>Bihar-2006</v>
      </c>
      <c r="D332" t="s">
        <v>218</v>
      </c>
      <c r="E332">
        <v>134</v>
      </c>
    </row>
    <row r="333" spans="1:5" x14ac:dyDescent="0.3">
      <c r="A333" t="s">
        <v>9</v>
      </c>
      <c r="B333">
        <v>2007</v>
      </c>
      <c r="C333" t="str">
        <f>_xlfn.CONCAT(Table16[[#This Row],[STATE]],"-",Table16[[#This Row],[YEAR]])</f>
        <v>Bihar-2007</v>
      </c>
      <c r="D333" t="s">
        <v>210</v>
      </c>
      <c r="E333">
        <v>3973</v>
      </c>
    </row>
    <row r="334" spans="1:5" x14ac:dyDescent="0.3">
      <c r="A334" t="s">
        <v>9</v>
      </c>
      <c r="B334">
        <v>2007</v>
      </c>
      <c r="C334" t="str">
        <f>_xlfn.CONCAT(Table16[[#This Row],[STATE]],"-",Table16[[#This Row],[YEAR]])</f>
        <v>Bihar-2007</v>
      </c>
      <c r="D334" t="s">
        <v>219</v>
      </c>
      <c r="E334">
        <v>912</v>
      </c>
    </row>
    <row r="335" spans="1:5" x14ac:dyDescent="0.3">
      <c r="A335" t="s">
        <v>9</v>
      </c>
      <c r="B335">
        <v>2007</v>
      </c>
      <c r="C335" t="str">
        <f>_xlfn.CONCAT(Table16[[#This Row],[STATE]],"-",Table16[[#This Row],[YEAR]])</f>
        <v>Bihar-2007</v>
      </c>
      <c r="D335" t="s">
        <v>212</v>
      </c>
      <c r="E335">
        <v>158</v>
      </c>
    </row>
    <row r="336" spans="1:5" x14ac:dyDescent="0.3">
      <c r="A336" t="s">
        <v>9</v>
      </c>
      <c r="B336">
        <v>2007</v>
      </c>
      <c r="C336" t="str">
        <f>_xlfn.CONCAT(Table16[[#This Row],[STATE]],"-",Table16[[#This Row],[YEAR]])</f>
        <v>Bihar-2007</v>
      </c>
      <c r="D336" t="s">
        <v>217</v>
      </c>
      <c r="E336">
        <v>223</v>
      </c>
    </row>
    <row r="337" spans="1:5" x14ac:dyDescent="0.3">
      <c r="A337" t="s">
        <v>9</v>
      </c>
      <c r="B337">
        <v>2007</v>
      </c>
      <c r="C337" t="str">
        <f>_xlfn.CONCAT(Table16[[#This Row],[STATE]],"-",Table16[[#This Row],[YEAR]])</f>
        <v>Bihar-2007</v>
      </c>
      <c r="D337" t="s">
        <v>140</v>
      </c>
      <c r="E337">
        <v>108</v>
      </c>
    </row>
    <row r="338" spans="1:5" x14ac:dyDescent="0.3">
      <c r="A338" t="s">
        <v>9</v>
      </c>
      <c r="B338">
        <v>2008</v>
      </c>
      <c r="C338" t="str">
        <f>_xlfn.CONCAT(Table16[[#This Row],[STATE]],"-",Table16[[#This Row],[YEAR]])</f>
        <v>Bihar-2008</v>
      </c>
      <c r="D338" t="s">
        <v>210</v>
      </c>
      <c r="E338">
        <v>2672</v>
      </c>
    </row>
    <row r="339" spans="1:5" x14ac:dyDescent="0.3">
      <c r="A339" t="s">
        <v>9</v>
      </c>
      <c r="B339">
        <v>2008</v>
      </c>
      <c r="C339" t="str">
        <f>_xlfn.CONCAT(Table16[[#This Row],[STATE]],"-",Table16[[#This Row],[YEAR]])</f>
        <v>Bihar-2008</v>
      </c>
      <c r="D339" t="s">
        <v>220</v>
      </c>
      <c r="E339">
        <v>178</v>
      </c>
    </row>
    <row r="340" spans="1:5" x14ac:dyDescent="0.3">
      <c r="A340" t="s">
        <v>9</v>
      </c>
      <c r="B340">
        <v>2009</v>
      </c>
      <c r="C340" t="str">
        <f>_xlfn.CONCAT(Table16[[#This Row],[STATE]],"-",Table16[[#This Row],[YEAR]])</f>
        <v>Bihar-2009</v>
      </c>
      <c r="D340" t="s">
        <v>123</v>
      </c>
      <c r="E340">
        <v>55</v>
      </c>
    </row>
    <row r="341" spans="1:5" x14ac:dyDescent="0.3">
      <c r="A341" t="s">
        <v>9</v>
      </c>
      <c r="B341">
        <v>2009</v>
      </c>
      <c r="C341" t="str">
        <f>_xlfn.CONCAT(Table16[[#This Row],[STATE]],"-",Table16[[#This Row],[YEAR]])</f>
        <v>Bihar-2009</v>
      </c>
      <c r="D341" t="s">
        <v>103</v>
      </c>
      <c r="E341">
        <v>984</v>
      </c>
    </row>
    <row r="342" spans="1:5" x14ac:dyDescent="0.3">
      <c r="A342" t="s">
        <v>9</v>
      </c>
      <c r="B342">
        <v>2009</v>
      </c>
      <c r="C342" t="str">
        <f>_xlfn.CONCAT(Table16[[#This Row],[STATE]],"-",Table16[[#This Row],[YEAR]])</f>
        <v>Bihar-2009</v>
      </c>
      <c r="D342" t="s">
        <v>185</v>
      </c>
      <c r="E342">
        <v>530</v>
      </c>
    </row>
    <row r="343" spans="1:5" x14ac:dyDescent="0.3">
      <c r="A343" t="s">
        <v>9</v>
      </c>
      <c r="B343">
        <v>2009</v>
      </c>
      <c r="C343" t="str">
        <f>_xlfn.CONCAT(Table16[[#This Row],[STATE]],"-",Table16[[#This Row],[YEAR]])</f>
        <v>Bihar-2009</v>
      </c>
      <c r="D343" t="s">
        <v>221</v>
      </c>
      <c r="E343">
        <v>413</v>
      </c>
    </row>
    <row r="344" spans="1:5" x14ac:dyDescent="0.3">
      <c r="A344" t="s">
        <v>9</v>
      </c>
      <c r="B344">
        <v>2009</v>
      </c>
      <c r="C344" t="str">
        <f>_xlfn.CONCAT(Table16[[#This Row],[STATE]],"-",Table16[[#This Row],[YEAR]])</f>
        <v>Bihar-2009</v>
      </c>
      <c r="D344" t="s">
        <v>222</v>
      </c>
      <c r="E344">
        <v>317</v>
      </c>
    </row>
    <row r="345" spans="1:5" x14ac:dyDescent="0.3">
      <c r="A345" t="s">
        <v>9</v>
      </c>
      <c r="B345">
        <v>2009</v>
      </c>
      <c r="C345" t="str">
        <f>_xlfn.CONCAT(Table16[[#This Row],[STATE]],"-",Table16[[#This Row],[YEAR]])</f>
        <v>Bihar-2009</v>
      </c>
      <c r="D345" t="s">
        <v>151</v>
      </c>
      <c r="E345">
        <v>42</v>
      </c>
    </row>
    <row r="346" spans="1:5" x14ac:dyDescent="0.3">
      <c r="A346" t="s">
        <v>9</v>
      </c>
      <c r="B346">
        <v>2009</v>
      </c>
      <c r="C346" t="str">
        <f>_xlfn.CONCAT(Table16[[#This Row],[STATE]],"-",Table16[[#This Row],[YEAR]])</f>
        <v>Bihar-2009</v>
      </c>
      <c r="D346" t="s">
        <v>223</v>
      </c>
      <c r="E346">
        <v>110</v>
      </c>
    </row>
    <row r="347" spans="1:5" x14ac:dyDescent="0.3">
      <c r="A347" t="s">
        <v>9</v>
      </c>
      <c r="B347">
        <v>2009</v>
      </c>
      <c r="C347" t="str">
        <f>_xlfn.CONCAT(Table16[[#This Row],[STATE]],"-",Table16[[#This Row],[YEAR]])</f>
        <v>Bihar-2009</v>
      </c>
      <c r="D347" t="s">
        <v>224</v>
      </c>
      <c r="E347">
        <v>16</v>
      </c>
    </row>
    <row r="348" spans="1:5" x14ac:dyDescent="0.3">
      <c r="A348" t="s">
        <v>9</v>
      </c>
      <c r="B348">
        <v>2009</v>
      </c>
      <c r="C348" t="str">
        <f>_xlfn.CONCAT(Table16[[#This Row],[STATE]],"-",Table16[[#This Row],[YEAR]])</f>
        <v>Bihar-2009</v>
      </c>
      <c r="D348" t="s">
        <v>192</v>
      </c>
      <c r="E348">
        <v>68</v>
      </c>
    </row>
    <row r="349" spans="1:5" x14ac:dyDescent="0.3">
      <c r="A349" t="s">
        <v>9</v>
      </c>
      <c r="B349">
        <v>2010</v>
      </c>
      <c r="C349" t="str">
        <f>_xlfn.CONCAT(Table16[[#This Row],[STATE]],"-",Table16[[#This Row],[YEAR]])</f>
        <v>Bihar-2010</v>
      </c>
      <c r="D349" t="s">
        <v>123</v>
      </c>
      <c r="E349">
        <v>51</v>
      </c>
    </row>
    <row r="350" spans="1:5" x14ac:dyDescent="0.3">
      <c r="A350" t="s">
        <v>9</v>
      </c>
      <c r="B350">
        <v>2010</v>
      </c>
      <c r="C350" t="str">
        <f>_xlfn.CONCAT(Table16[[#This Row],[STATE]],"-",Table16[[#This Row],[YEAR]])</f>
        <v>Bihar-2010</v>
      </c>
      <c r="D350" t="s">
        <v>103</v>
      </c>
      <c r="E350">
        <v>936</v>
      </c>
    </row>
    <row r="351" spans="1:5" x14ac:dyDescent="0.3">
      <c r="A351" t="s">
        <v>9</v>
      </c>
      <c r="B351">
        <v>2010</v>
      </c>
      <c r="C351" t="str">
        <f>_xlfn.CONCAT(Table16[[#This Row],[STATE]],"-",Table16[[#This Row],[YEAR]])</f>
        <v>Bihar-2010</v>
      </c>
      <c r="D351" t="s">
        <v>185</v>
      </c>
      <c r="E351">
        <v>541</v>
      </c>
    </row>
    <row r="352" spans="1:5" x14ac:dyDescent="0.3">
      <c r="A352" t="s">
        <v>9</v>
      </c>
      <c r="B352">
        <v>2010</v>
      </c>
      <c r="C352" t="str">
        <f>_xlfn.CONCAT(Table16[[#This Row],[STATE]],"-",Table16[[#This Row],[YEAR]])</f>
        <v>Bihar-2010</v>
      </c>
      <c r="D352" t="s">
        <v>221</v>
      </c>
      <c r="E352">
        <v>401</v>
      </c>
    </row>
    <row r="353" spans="1:5" x14ac:dyDescent="0.3">
      <c r="A353" t="s">
        <v>9</v>
      </c>
      <c r="B353">
        <v>2010</v>
      </c>
      <c r="C353" t="str">
        <f>_xlfn.CONCAT(Table16[[#This Row],[STATE]],"-",Table16[[#This Row],[YEAR]])</f>
        <v>Bihar-2010</v>
      </c>
      <c r="D353" t="s">
        <v>153</v>
      </c>
      <c r="E353">
        <v>415</v>
      </c>
    </row>
    <row r="354" spans="1:5" x14ac:dyDescent="0.3">
      <c r="A354" t="s">
        <v>9</v>
      </c>
      <c r="B354">
        <v>2010</v>
      </c>
      <c r="C354" t="str">
        <f>_xlfn.CONCAT(Table16[[#This Row],[STATE]],"-",Table16[[#This Row],[YEAR]])</f>
        <v>Bihar-2010</v>
      </c>
      <c r="D354" t="s">
        <v>225</v>
      </c>
      <c r="E354">
        <v>40</v>
      </c>
    </row>
    <row r="355" spans="1:5" x14ac:dyDescent="0.3">
      <c r="A355" t="s">
        <v>9</v>
      </c>
      <c r="B355">
        <v>2010</v>
      </c>
      <c r="C355" t="str">
        <f>_xlfn.CONCAT(Table16[[#This Row],[STATE]],"-",Table16[[#This Row],[YEAR]])</f>
        <v>Bihar-2010</v>
      </c>
      <c r="D355" t="s">
        <v>223</v>
      </c>
      <c r="E355">
        <v>125</v>
      </c>
    </row>
    <row r="356" spans="1:5" x14ac:dyDescent="0.3">
      <c r="A356" t="s">
        <v>9</v>
      </c>
      <c r="B356">
        <v>2010</v>
      </c>
      <c r="C356" t="str">
        <f>_xlfn.CONCAT(Table16[[#This Row],[STATE]],"-",Table16[[#This Row],[YEAR]])</f>
        <v>Bihar-2010</v>
      </c>
      <c r="D356" t="s">
        <v>226</v>
      </c>
      <c r="E356">
        <v>12</v>
      </c>
    </row>
    <row r="357" spans="1:5" x14ac:dyDescent="0.3">
      <c r="A357" t="s">
        <v>9</v>
      </c>
      <c r="B357">
        <v>2010</v>
      </c>
      <c r="C357" t="str">
        <f>_xlfn.CONCAT(Table16[[#This Row],[STATE]],"-",Table16[[#This Row],[YEAR]])</f>
        <v>Bihar-2010</v>
      </c>
      <c r="D357" t="s">
        <v>192</v>
      </c>
      <c r="E357">
        <v>70</v>
      </c>
    </row>
    <row r="358" spans="1:5" x14ac:dyDescent="0.3">
      <c r="A358" t="s">
        <v>9</v>
      </c>
      <c r="B358">
        <v>2010</v>
      </c>
      <c r="C358" t="str">
        <f>_xlfn.CONCAT(Table16[[#This Row],[STATE]],"-",Table16[[#This Row],[YEAR]])</f>
        <v>Bihar-2010</v>
      </c>
      <c r="D358" t="s">
        <v>227</v>
      </c>
      <c r="E358">
        <v>270</v>
      </c>
    </row>
    <row r="359" spans="1:5" x14ac:dyDescent="0.3">
      <c r="A359" t="s">
        <v>9</v>
      </c>
      <c r="B359">
        <v>2011</v>
      </c>
      <c r="C359" t="str">
        <f>_xlfn.CONCAT(Table16[[#This Row],[STATE]],"-",Table16[[#This Row],[YEAR]])</f>
        <v>Bihar-2011</v>
      </c>
      <c r="D359" t="s">
        <v>197</v>
      </c>
      <c r="E359">
        <v>40</v>
      </c>
    </row>
    <row r="360" spans="1:5" x14ac:dyDescent="0.3">
      <c r="A360" t="s">
        <v>9</v>
      </c>
      <c r="B360">
        <v>2011</v>
      </c>
      <c r="C360" t="str">
        <f>_xlfn.CONCAT(Table16[[#This Row],[STATE]],"-",Table16[[#This Row],[YEAR]])</f>
        <v>Bihar-2011</v>
      </c>
      <c r="D360" t="s">
        <v>228</v>
      </c>
      <c r="E360">
        <v>10</v>
      </c>
    </row>
    <row r="361" spans="1:5" x14ac:dyDescent="0.3">
      <c r="A361" t="s">
        <v>9</v>
      </c>
      <c r="B361">
        <v>2011</v>
      </c>
      <c r="C361" t="str">
        <f>_xlfn.CONCAT(Table16[[#This Row],[STATE]],"-",Table16[[#This Row],[YEAR]])</f>
        <v>Bihar-2011</v>
      </c>
      <c r="D361" t="s">
        <v>123</v>
      </c>
      <c r="E361">
        <v>7</v>
      </c>
    </row>
    <row r="362" spans="1:5" x14ac:dyDescent="0.3">
      <c r="A362" t="s">
        <v>9</v>
      </c>
      <c r="B362">
        <v>2011</v>
      </c>
      <c r="C362" t="str">
        <f>_xlfn.CONCAT(Table16[[#This Row],[STATE]],"-",Table16[[#This Row],[YEAR]])</f>
        <v>Bihar-2011</v>
      </c>
      <c r="D362" t="s">
        <v>229</v>
      </c>
      <c r="E362">
        <v>25</v>
      </c>
    </row>
    <row r="363" spans="1:5" x14ac:dyDescent="0.3">
      <c r="A363" t="s">
        <v>9</v>
      </c>
      <c r="B363">
        <v>2011</v>
      </c>
      <c r="C363" t="str">
        <f>_xlfn.CONCAT(Table16[[#This Row],[STATE]],"-",Table16[[#This Row],[YEAR]])</f>
        <v>Bihar-2011</v>
      </c>
      <c r="D363" t="s">
        <v>230</v>
      </c>
      <c r="E363">
        <v>240</v>
      </c>
    </row>
    <row r="364" spans="1:5" x14ac:dyDescent="0.3">
      <c r="A364" t="s">
        <v>9</v>
      </c>
      <c r="B364">
        <v>2011</v>
      </c>
      <c r="C364" t="str">
        <f>_xlfn.CONCAT(Table16[[#This Row],[STATE]],"-",Table16[[#This Row],[YEAR]])</f>
        <v>Bihar-2011</v>
      </c>
      <c r="D364" t="s">
        <v>231</v>
      </c>
      <c r="E364">
        <v>65</v>
      </c>
    </row>
    <row r="365" spans="1:5" x14ac:dyDescent="0.3">
      <c r="A365" t="s">
        <v>9</v>
      </c>
      <c r="B365">
        <v>2011</v>
      </c>
      <c r="C365" t="str">
        <f>_xlfn.CONCAT(Table16[[#This Row],[STATE]],"-",Table16[[#This Row],[YEAR]])</f>
        <v>Bihar-2011</v>
      </c>
      <c r="D365" t="s">
        <v>232</v>
      </c>
      <c r="E365">
        <v>57</v>
      </c>
    </row>
    <row r="366" spans="1:5" x14ac:dyDescent="0.3">
      <c r="A366" t="s">
        <v>9</v>
      </c>
      <c r="B366">
        <v>2011</v>
      </c>
      <c r="C366" t="str">
        <f>_xlfn.CONCAT(Table16[[#This Row],[STATE]],"-",Table16[[#This Row],[YEAR]])</f>
        <v>Bihar-2011</v>
      </c>
      <c r="D366" t="s">
        <v>198</v>
      </c>
      <c r="E366">
        <v>25</v>
      </c>
    </row>
    <row r="367" spans="1:5" x14ac:dyDescent="0.3">
      <c r="A367" t="s">
        <v>9</v>
      </c>
      <c r="B367">
        <v>2011</v>
      </c>
      <c r="C367" t="str">
        <f>_xlfn.CONCAT(Table16[[#This Row],[STATE]],"-",Table16[[#This Row],[YEAR]])</f>
        <v>Bihar-2011</v>
      </c>
      <c r="D367" t="s">
        <v>233</v>
      </c>
      <c r="E367">
        <v>37</v>
      </c>
    </row>
    <row r="368" spans="1:5" x14ac:dyDescent="0.3">
      <c r="A368" t="s">
        <v>9</v>
      </c>
      <c r="B368">
        <v>2011</v>
      </c>
      <c r="C368" t="str">
        <f>_xlfn.CONCAT(Table16[[#This Row],[STATE]],"-",Table16[[#This Row],[YEAR]])</f>
        <v>Bihar-2011</v>
      </c>
      <c r="D368" t="s">
        <v>192</v>
      </c>
      <c r="E368">
        <v>3</v>
      </c>
    </row>
    <row r="369" spans="1:5" x14ac:dyDescent="0.3">
      <c r="A369" t="s">
        <v>9</v>
      </c>
      <c r="B369">
        <v>2011</v>
      </c>
      <c r="C369" t="str">
        <f>_xlfn.CONCAT(Table16[[#This Row],[STATE]],"-",Table16[[#This Row],[YEAR]])</f>
        <v>Bihar-2011</v>
      </c>
      <c r="D369" t="s">
        <v>234</v>
      </c>
      <c r="E369">
        <v>189</v>
      </c>
    </row>
    <row r="370" spans="1:5" x14ac:dyDescent="0.3">
      <c r="A370" t="s">
        <v>9</v>
      </c>
      <c r="B370">
        <v>2011</v>
      </c>
      <c r="C370" t="str">
        <f>_xlfn.CONCAT(Table16[[#This Row],[STATE]],"-",Table16[[#This Row],[YEAR]])</f>
        <v>Bihar-2011</v>
      </c>
      <c r="D370" t="s">
        <v>235</v>
      </c>
      <c r="E370">
        <v>200</v>
      </c>
    </row>
    <row r="371" spans="1:5" x14ac:dyDescent="0.3">
      <c r="A371" t="s">
        <v>9</v>
      </c>
      <c r="B371">
        <v>2011</v>
      </c>
      <c r="C371" t="str">
        <f>_xlfn.CONCAT(Table16[[#This Row],[STATE]],"-",Table16[[#This Row],[YEAR]])</f>
        <v>Bihar-2011</v>
      </c>
      <c r="D371" t="s">
        <v>236</v>
      </c>
      <c r="E371">
        <v>75</v>
      </c>
    </row>
    <row r="372" spans="1:5" x14ac:dyDescent="0.3">
      <c r="A372" t="s">
        <v>9</v>
      </c>
      <c r="B372">
        <v>2011</v>
      </c>
      <c r="C372" t="str">
        <f>_xlfn.CONCAT(Table16[[#This Row],[STATE]],"-",Table16[[#This Row],[YEAR]])</f>
        <v>Bihar-2011</v>
      </c>
      <c r="D372" t="s">
        <v>237</v>
      </c>
      <c r="E372">
        <v>53</v>
      </c>
    </row>
    <row r="373" spans="1:5" x14ac:dyDescent="0.3">
      <c r="A373" t="s">
        <v>9</v>
      </c>
      <c r="B373">
        <v>2011</v>
      </c>
      <c r="C373" t="str">
        <f>_xlfn.CONCAT(Table16[[#This Row],[STATE]],"-",Table16[[#This Row],[YEAR]])</f>
        <v>Bihar-2011</v>
      </c>
      <c r="D373" t="s">
        <v>151</v>
      </c>
      <c r="E373">
        <v>21</v>
      </c>
    </row>
    <row r="374" spans="1:5" x14ac:dyDescent="0.3">
      <c r="A374" t="s">
        <v>9</v>
      </c>
      <c r="B374">
        <v>2011</v>
      </c>
      <c r="C374" t="str">
        <f>_xlfn.CONCAT(Table16[[#This Row],[STATE]],"-",Table16[[#This Row],[YEAR]])</f>
        <v>Bihar-2011</v>
      </c>
      <c r="D374" t="s">
        <v>103</v>
      </c>
      <c r="E374">
        <v>85</v>
      </c>
    </row>
    <row r="375" spans="1:5" x14ac:dyDescent="0.3">
      <c r="A375" t="s">
        <v>9</v>
      </c>
      <c r="B375">
        <v>2011</v>
      </c>
      <c r="C375" t="str">
        <f>_xlfn.CONCAT(Table16[[#This Row],[STATE]],"-",Table16[[#This Row],[YEAR]])</f>
        <v>Bihar-2011</v>
      </c>
      <c r="D375" t="s">
        <v>238</v>
      </c>
      <c r="E375">
        <v>55</v>
      </c>
    </row>
    <row r="376" spans="1:5" x14ac:dyDescent="0.3">
      <c r="A376" t="s">
        <v>9</v>
      </c>
      <c r="B376">
        <v>2011</v>
      </c>
      <c r="C376" t="str">
        <f>_xlfn.CONCAT(Table16[[#This Row],[STATE]],"-",Table16[[#This Row],[YEAR]])</f>
        <v>Bihar-2011</v>
      </c>
      <c r="D376" t="s">
        <v>186</v>
      </c>
      <c r="E376">
        <v>87</v>
      </c>
    </row>
    <row r="377" spans="1:5" x14ac:dyDescent="0.3">
      <c r="A377" t="s">
        <v>9</v>
      </c>
      <c r="B377">
        <v>2011</v>
      </c>
      <c r="C377" t="str">
        <f>_xlfn.CONCAT(Table16[[#This Row],[STATE]],"-",Table16[[#This Row],[YEAR]])</f>
        <v>Bihar-2011</v>
      </c>
      <c r="D377" t="s">
        <v>239</v>
      </c>
      <c r="E377">
        <v>21</v>
      </c>
    </row>
    <row r="378" spans="1:5" x14ac:dyDescent="0.3">
      <c r="A378" t="s">
        <v>9</v>
      </c>
      <c r="B378">
        <v>2011</v>
      </c>
      <c r="C378" t="str">
        <f>_xlfn.CONCAT(Table16[[#This Row],[STATE]],"-",Table16[[#This Row],[YEAR]])</f>
        <v>Bihar-2011</v>
      </c>
      <c r="D378" t="s">
        <v>240</v>
      </c>
      <c r="E378">
        <v>12</v>
      </c>
    </row>
    <row r="379" spans="1:5" x14ac:dyDescent="0.3">
      <c r="A379" t="s">
        <v>9</v>
      </c>
      <c r="B379">
        <v>2011</v>
      </c>
      <c r="C379" t="str">
        <f>_xlfn.CONCAT(Table16[[#This Row],[STATE]],"-",Table16[[#This Row],[YEAR]])</f>
        <v>Bihar-2011</v>
      </c>
      <c r="D379" t="s">
        <v>241</v>
      </c>
      <c r="E379">
        <v>30</v>
      </c>
    </row>
    <row r="380" spans="1:5" x14ac:dyDescent="0.3">
      <c r="A380" t="s">
        <v>9</v>
      </c>
      <c r="B380">
        <v>2012</v>
      </c>
      <c r="C380" t="str">
        <f>_xlfn.CONCAT(Table16[[#This Row],[STATE]],"-",Table16[[#This Row],[YEAR]])</f>
        <v>Bihar-2012</v>
      </c>
      <c r="D380" t="s">
        <v>170</v>
      </c>
      <c r="E380">
        <v>238</v>
      </c>
    </row>
    <row r="381" spans="1:5" x14ac:dyDescent="0.3">
      <c r="A381" t="s">
        <v>9</v>
      </c>
      <c r="B381">
        <v>2012</v>
      </c>
      <c r="C381" t="str">
        <f>_xlfn.CONCAT(Table16[[#This Row],[STATE]],"-",Table16[[#This Row],[YEAR]])</f>
        <v>Bihar-2012</v>
      </c>
      <c r="D381" t="s">
        <v>242</v>
      </c>
      <c r="E381">
        <v>23</v>
      </c>
    </row>
    <row r="382" spans="1:5" x14ac:dyDescent="0.3">
      <c r="A382" t="s">
        <v>9</v>
      </c>
      <c r="B382">
        <v>2012</v>
      </c>
      <c r="C382" t="str">
        <f>_xlfn.CONCAT(Table16[[#This Row],[STATE]],"-",Table16[[#This Row],[YEAR]])</f>
        <v>Bihar-2012</v>
      </c>
      <c r="D382" t="s">
        <v>243</v>
      </c>
      <c r="E382">
        <v>44</v>
      </c>
    </row>
    <row r="383" spans="1:5" x14ac:dyDescent="0.3">
      <c r="A383" t="s">
        <v>9</v>
      </c>
      <c r="B383">
        <v>2012</v>
      </c>
      <c r="C383" t="str">
        <f>_xlfn.CONCAT(Table16[[#This Row],[STATE]],"-",Table16[[#This Row],[YEAR]])</f>
        <v>Bihar-2012</v>
      </c>
      <c r="D383" t="s">
        <v>103</v>
      </c>
      <c r="E383">
        <v>19</v>
      </c>
    </row>
    <row r="384" spans="1:5" x14ac:dyDescent="0.3">
      <c r="A384" t="s">
        <v>9</v>
      </c>
      <c r="B384">
        <v>2012</v>
      </c>
      <c r="C384" t="str">
        <f>_xlfn.CONCAT(Table16[[#This Row],[STATE]],"-",Table16[[#This Row],[YEAR]])</f>
        <v>Bihar-2012</v>
      </c>
      <c r="D384" t="s">
        <v>244</v>
      </c>
      <c r="E384">
        <v>19</v>
      </c>
    </row>
    <row r="385" spans="1:5" x14ac:dyDescent="0.3">
      <c r="A385" t="s">
        <v>9</v>
      </c>
      <c r="B385">
        <v>2012</v>
      </c>
      <c r="C385" t="str">
        <f>_xlfn.CONCAT(Table16[[#This Row],[STATE]],"-",Table16[[#This Row],[YEAR]])</f>
        <v>Bihar-2012</v>
      </c>
      <c r="D385" t="s">
        <v>123</v>
      </c>
      <c r="E385">
        <v>8</v>
      </c>
    </row>
    <row r="386" spans="1:5" x14ac:dyDescent="0.3">
      <c r="A386" t="s">
        <v>9</v>
      </c>
      <c r="B386">
        <v>2012</v>
      </c>
      <c r="C386" t="str">
        <f>_xlfn.CONCAT(Table16[[#This Row],[STATE]],"-",Table16[[#This Row],[YEAR]])</f>
        <v>Bihar-2012</v>
      </c>
      <c r="D386" t="s">
        <v>192</v>
      </c>
      <c r="E386">
        <v>4</v>
      </c>
    </row>
    <row r="387" spans="1:5" x14ac:dyDescent="0.3">
      <c r="A387" t="s">
        <v>9</v>
      </c>
      <c r="B387">
        <v>2012</v>
      </c>
      <c r="C387" t="str">
        <f>_xlfn.CONCAT(Table16[[#This Row],[STATE]],"-",Table16[[#This Row],[YEAR]])</f>
        <v>Bihar-2012</v>
      </c>
      <c r="D387" t="s">
        <v>245</v>
      </c>
      <c r="E387">
        <v>8</v>
      </c>
    </row>
    <row r="388" spans="1:5" x14ac:dyDescent="0.3">
      <c r="A388" t="s">
        <v>9</v>
      </c>
      <c r="B388">
        <v>2012</v>
      </c>
      <c r="C388" t="str">
        <f>_xlfn.CONCAT(Table16[[#This Row],[STATE]],"-",Table16[[#This Row],[YEAR]])</f>
        <v>Bihar-2012</v>
      </c>
      <c r="D388" t="s">
        <v>246</v>
      </c>
      <c r="E388">
        <v>9</v>
      </c>
    </row>
    <row r="389" spans="1:5" x14ac:dyDescent="0.3">
      <c r="A389" t="s">
        <v>9</v>
      </c>
      <c r="B389">
        <v>2012</v>
      </c>
      <c r="C389" t="str">
        <f>_xlfn.CONCAT(Table16[[#This Row],[STATE]],"-",Table16[[#This Row],[YEAR]])</f>
        <v>Bihar-2012</v>
      </c>
      <c r="D389" t="s">
        <v>247</v>
      </c>
      <c r="E389">
        <v>15</v>
      </c>
    </row>
    <row r="390" spans="1:5" x14ac:dyDescent="0.3">
      <c r="A390" t="s">
        <v>9</v>
      </c>
      <c r="B390">
        <v>2012</v>
      </c>
      <c r="C390" t="str">
        <f>_xlfn.CONCAT(Table16[[#This Row],[STATE]],"-",Table16[[#This Row],[YEAR]])</f>
        <v>Bihar-2012</v>
      </c>
      <c r="D390" t="s">
        <v>248</v>
      </c>
      <c r="E390">
        <v>9</v>
      </c>
    </row>
    <row r="391" spans="1:5" x14ac:dyDescent="0.3">
      <c r="A391" t="s">
        <v>9</v>
      </c>
      <c r="B391">
        <v>2012</v>
      </c>
      <c r="C391" t="str">
        <f>_xlfn.CONCAT(Table16[[#This Row],[STATE]],"-",Table16[[#This Row],[YEAR]])</f>
        <v>Bihar-2012</v>
      </c>
      <c r="D391" t="s">
        <v>241</v>
      </c>
      <c r="E391">
        <v>45</v>
      </c>
    </row>
    <row r="392" spans="1:5" x14ac:dyDescent="0.3">
      <c r="A392" t="s">
        <v>9</v>
      </c>
      <c r="B392">
        <v>2012</v>
      </c>
      <c r="C392" t="str">
        <f>_xlfn.CONCAT(Table16[[#This Row],[STATE]],"-",Table16[[#This Row],[YEAR]])</f>
        <v>Bihar-2012</v>
      </c>
      <c r="D392" t="s">
        <v>229</v>
      </c>
      <c r="E392">
        <v>26</v>
      </c>
    </row>
    <row r="393" spans="1:5" x14ac:dyDescent="0.3">
      <c r="A393" t="s">
        <v>9</v>
      </c>
      <c r="B393">
        <v>2012</v>
      </c>
      <c r="C393" t="str">
        <f>_xlfn.CONCAT(Table16[[#This Row],[STATE]],"-",Table16[[#This Row],[YEAR]])</f>
        <v>Bihar-2012</v>
      </c>
      <c r="D393" t="s">
        <v>249</v>
      </c>
      <c r="E393">
        <v>15</v>
      </c>
    </row>
    <row r="394" spans="1:5" x14ac:dyDescent="0.3">
      <c r="A394" t="s">
        <v>9</v>
      </c>
      <c r="B394">
        <v>2012</v>
      </c>
      <c r="C394" t="str">
        <f>_xlfn.CONCAT(Table16[[#This Row],[STATE]],"-",Table16[[#This Row],[YEAR]])</f>
        <v>Bihar-2012</v>
      </c>
      <c r="D394" t="s">
        <v>228</v>
      </c>
      <c r="E394">
        <v>8</v>
      </c>
    </row>
    <row r="395" spans="1:5" x14ac:dyDescent="0.3">
      <c r="A395" t="s">
        <v>9</v>
      </c>
      <c r="B395">
        <v>2012</v>
      </c>
      <c r="C395" t="str">
        <f>_xlfn.CONCAT(Table16[[#This Row],[STATE]],"-",Table16[[#This Row],[YEAR]])</f>
        <v>Bihar-2012</v>
      </c>
      <c r="D395" t="s">
        <v>232</v>
      </c>
      <c r="E395">
        <v>22</v>
      </c>
    </row>
    <row r="396" spans="1:5" x14ac:dyDescent="0.3">
      <c r="A396" t="s">
        <v>9</v>
      </c>
      <c r="B396">
        <v>2012</v>
      </c>
      <c r="C396" t="str">
        <f>_xlfn.CONCAT(Table16[[#This Row],[STATE]],"-",Table16[[#This Row],[YEAR]])</f>
        <v>Bihar-2012</v>
      </c>
      <c r="D396" t="s">
        <v>233</v>
      </c>
      <c r="E396">
        <v>25</v>
      </c>
    </row>
    <row r="397" spans="1:5" x14ac:dyDescent="0.3">
      <c r="A397" t="s">
        <v>9</v>
      </c>
      <c r="B397">
        <v>2012</v>
      </c>
      <c r="C397" t="str">
        <f>_xlfn.CONCAT(Table16[[#This Row],[STATE]],"-",Table16[[#This Row],[YEAR]])</f>
        <v>Bihar-2012</v>
      </c>
      <c r="D397" t="s">
        <v>250</v>
      </c>
      <c r="E397">
        <v>35</v>
      </c>
    </row>
    <row r="398" spans="1:5" x14ac:dyDescent="0.3">
      <c r="A398" t="s">
        <v>9</v>
      </c>
      <c r="B398">
        <v>2012</v>
      </c>
      <c r="C398" t="str">
        <f>_xlfn.CONCAT(Table16[[#This Row],[STATE]],"-",Table16[[#This Row],[YEAR]])</f>
        <v>Bihar-2012</v>
      </c>
      <c r="D398" t="s">
        <v>230</v>
      </c>
      <c r="E398">
        <v>65</v>
      </c>
    </row>
    <row r="399" spans="1:5" x14ac:dyDescent="0.3">
      <c r="A399" t="s">
        <v>9</v>
      </c>
      <c r="B399">
        <v>2012</v>
      </c>
      <c r="C399" t="str">
        <f>_xlfn.CONCAT(Table16[[#This Row],[STATE]],"-",Table16[[#This Row],[YEAR]])</f>
        <v>Bihar-2012</v>
      </c>
      <c r="D399" t="s">
        <v>140</v>
      </c>
      <c r="E399">
        <v>22</v>
      </c>
    </row>
    <row r="400" spans="1:5" x14ac:dyDescent="0.3">
      <c r="A400" t="s">
        <v>9</v>
      </c>
      <c r="B400">
        <v>2012</v>
      </c>
      <c r="C400" t="str">
        <f>_xlfn.CONCAT(Table16[[#This Row],[STATE]],"-",Table16[[#This Row],[YEAR]])</f>
        <v>Bihar-2012</v>
      </c>
      <c r="D400" t="s">
        <v>251</v>
      </c>
      <c r="E400">
        <v>25</v>
      </c>
    </row>
    <row r="401" spans="1:5" x14ac:dyDescent="0.3">
      <c r="A401" t="s">
        <v>9</v>
      </c>
      <c r="B401">
        <v>2012</v>
      </c>
      <c r="C401" t="str">
        <f>_xlfn.CONCAT(Table16[[#This Row],[STATE]],"-",Table16[[#This Row],[YEAR]])</f>
        <v>Bihar-2012</v>
      </c>
      <c r="D401" t="s">
        <v>252</v>
      </c>
      <c r="E401">
        <v>5</v>
      </c>
    </row>
    <row r="402" spans="1:5" x14ac:dyDescent="0.3">
      <c r="A402" t="s">
        <v>9</v>
      </c>
      <c r="B402">
        <v>2012</v>
      </c>
      <c r="C402" t="str">
        <f>_xlfn.CONCAT(Table16[[#This Row],[STATE]],"-",Table16[[#This Row],[YEAR]])</f>
        <v>Bihar-2012</v>
      </c>
      <c r="D402" t="s">
        <v>253</v>
      </c>
      <c r="E402">
        <v>9</v>
      </c>
    </row>
    <row r="403" spans="1:5" x14ac:dyDescent="0.3">
      <c r="A403" t="s">
        <v>9</v>
      </c>
      <c r="B403">
        <v>2012</v>
      </c>
      <c r="C403" t="str">
        <f>_xlfn.CONCAT(Table16[[#This Row],[STATE]],"-",Table16[[#This Row],[YEAR]])</f>
        <v>Bihar-2012</v>
      </c>
      <c r="D403" t="s">
        <v>254</v>
      </c>
      <c r="E403">
        <v>15</v>
      </c>
    </row>
    <row r="404" spans="1:5" x14ac:dyDescent="0.3">
      <c r="A404" t="s">
        <v>9</v>
      </c>
      <c r="B404">
        <v>2012</v>
      </c>
      <c r="C404" t="str">
        <f>_xlfn.CONCAT(Table16[[#This Row],[STATE]],"-",Table16[[#This Row],[YEAR]])</f>
        <v>Bihar-2012</v>
      </c>
      <c r="D404" t="s">
        <v>255</v>
      </c>
      <c r="E404">
        <v>6</v>
      </c>
    </row>
    <row r="405" spans="1:5" x14ac:dyDescent="0.3">
      <c r="A405" t="s">
        <v>9</v>
      </c>
      <c r="B405">
        <v>2012</v>
      </c>
      <c r="C405" t="str">
        <f>_xlfn.CONCAT(Table16[[#This Row],[STATE]],"-",Table16[[#This Row],[YEAR]])</f>
        <v>Bihar-2012</v>
      </c>
      <c r="D405" t="s">
        <v>256</v>
      </c>
      <c r="E405">
        <v>2</v>
      </c>
    </row>
    <row r="406" spans="1:5" x14ac:dyDescent="0.3">
      <c r="A406" t="s">
        <v>9</v>
      </c>
      <c r="B406">
        <v>2012</v>
      </c>
      <c r="C406" t="str">
        <f>_xlfn.CONCAT(Table16[[#This Row],[STATE]],"-",Table16[[#This Row],[YEAR]])</f>
        <v>Bihar-2012</v>
      </c>
      <c r="D406" t="s">
        <v>257</v>
      </c>
      <c r="E406">
        <v>2</v>
      </c>
    </row>
    <row r="407" spans="1:5" x14ac:dyDescent="0.3">
      <c r="A407" t="s">
        <v>9</v>
      </c>
      <c r="B407">
        <v>2012</v>
      </c>
      <c r="C407" t="str">
        <f>_xlfn.CONCAT(Table16[[#This Row],[STATE]],"-",Table16[[#This Row],[YEAR]])</f>
        <v>Bihar-2012</v>
      </c>
      <c r="D407" t="s">
        <v>258</v>
      </c>
      <c r="E407">
        <v>2</v>
      </c>
    </row>
    <row r="408" spans="1:5" x14ac:dyDescent="0.3">
      <c r="A408" t="s">
        <v>9</v>
      </c>
      <c r="B408">
        <v>2012</v>
      </c>
      <c r="C408" t="str">
        <f>_xlfn.CONCAT(Table16[[#This Row],[STATE]],"-",Table16[[#This Row],[YEAR]])</f>
        <v>Bihar-2012</v>
      </c>
      <c r="D408" t="s">
        <v>230</v>
      </c>
      <c r="E408">
        <v>120</v>
      </c>
    </row>
    <row r="409" spans="1:5" x14ac:dyDescent="0.3">
      <c r="A409" t="s">
        <v>9</v>
      </c>
      <c r="B409">
        <v>2012</v>
      </c>
      <c r="C409" t="str">
        <f>_xlfn.CONCAT(Table16[[#This Row],[STATE]],"-",Table16[[#This Row],[YEAR]])</f>
        <v>Bihar-2012</v>
      </c>
      <c r="D409" t="s">
        <v>103</v>
      </c>
      <c r="E409">
        <v>41</v>
      </c>
    </row>
    <row r="410" spans="1:5" x14ac:dyDescent="0.3">
      <c r="A410" t="s">
        <v>9</v>
      </c>
      <c r="B410">
        <v>2012</v>
      </c>
      <c r="C410" t="str">
        <f>_xlfn.CONCAT(Table16[[#This Row],[STATE]],"-",Table16[[#This Row],[YEAR]])</f>
        <v>Bihar-2012</v>
      </c>
      <c r="D410" t="s">
        <v>140</v>
      </c>
      <c r="E410">
        <v>7</v>
      </c>
    </row>
    <row r="411" spans="1:5" x14ac:dyDescent="0.3">
      <c r="A411" t="s">
        <v>9</v>
      </c>
      <c r="B411">
        <v>2012</v>
      </c>
      <c r="C411" t="str">
        <f>_xlfn.CONCAT(Table16[[#This Row],[STATE]],"-",Table16[[#This Row],[YEAR]])</f>
        <v>Bihar-2012</v>
      </c>
      <c r="D411" t="s">
        <v>259</v>
      </c>
      <c r="E411">
        <v>92</v>
      </c>
    </row>
    <row r="412" spans="1:5" x14ac:dyDescent="0.3">
      <c r="A412" t="s">
        <v>9</v>
      </c>
      <c r="B412">
        <v>2012</v>
      </c>
      <c r="C412" t="str">
        <f>_xlfn.CONCAT(Table16[[#This Row],[STATE]],"-",Table16[[#This Row],[YEAR]])</f>
        <v>Bihar-2012</v>
      </c>
      <c r="D412" t="s">
        <v>234</v>
      </c>
      <c r="E412">
        <v>223</v>
      </c>
    </row>
    <row r="413" spans="1:5" x14ac:dyDescent="0.3">
      <c r="A413" t="s">
        <v>9</v>
      </c>
      <c r="B413">
        <v>2012</v>
      </c>
      <c r="C413" t="str">
        <f>_xlfn.CONCAT(Table16[[#This Row],[STATE]],"-",Table16[[#This Row],[YEAR]])</f>
        <v>Bihar-2012</v>
      </c>
      <c r="D413" t="s">
        <v>260</v>
      </c>
      <c r="E413">
        <v>155</v>
      </c>
    </row>
    <row r="414" spans="1:5" x14ac:dyDescent="0.3">
      <c r="A414" t="s">
        <v>9</v>
      </c>
      <c r="B414">
        <v>2012</v>
      </c>
      <c r="C414" t="str">
        <f>_xlfn.CONCAT(Table16[[#This Row],[STATE]],"-",Table16[[#This Row],[YEAR]])</f>
        <v>Bihar-2012</v>
      </c>
      <c r="D414" t="s">
        <v>230</v>
      </c>
      <c r="E414">
        <v>15</v>
      </c>
    </row>
    <row r="415" spans="1:5" x14ac:dyDescent="0.3">
      <c r="A415" t="s">
        <v>9</v>
      </c>
      <c r="B415">
        <v>2012</v>
      </c>
      <c r="C415" t="str">
        <f>_xlfn.CONCAT(Table16[[#This Row],[STATE]],"-",Table16[[#This Row],[YEAR]])</f>
        <v>Bihar-2012</v>
      </c>
      <c r="D415" t="s">
        <v>261</v>
      </c>
      <c r="E415">
        <v>75</v>
      </c>
    </row>
    <row r="416" spans="1:5" x14ac:dyDescent="0.3">
      <c r="A416" t="s">
        <v>9</v>
      </c>
      <c r="B416">
        <v>2012</v>
      </c>
      <c r="C416" t="str">
        <f>_xlfn.CONCAT(Table16[[#This Row],[STATE]],"-",Table16[[#This Row],[YEAR]])</f>
        <v>Bihar-2012</v>
      </c>
      <c r="D416" t="s">
        <v>262</v>
      </c>
      <c r="E416">
        <v>20</v>
      </c>
    </row>
    <row r="417" spans="1:5" x14ac:dyDescent="0.3">
      <c r="A417" t="s">
        <v>9</v>
      </c>
      <c r="B417">
        <v>2012</v>
      </c>
      <c r="C417" t="str">
        <f>_xlfn.CONCAT(Table16[[#This Row],[STATE]],"-",Table16[[#This Row],[YEAR]])</f>
        <v>Bihar-2012</v>
      </c>
      <c r="D417" t="s">
        <v>230</v>
      </c>
      <c r="E417">
        <v>20</v>
      </c>
    </row>
    <row r="418" spans="1:5" x14ac:dyDescent="0.3">
      <c r="A418" t="s">
        <v>9</v>
      </c>
      <c r="B418">
        <v>2012</v>
      </c>
      <c r="C418" t="str">
        <f>_xlfn.CONCAT(Table16[[#This Row],[STATE]],"-",Table16[[#This Row],[YEAR]])</f>
        <v>Bihar-2012</v>
      </c>
      <c r="D418" t="s">
        <v>186</v>
      </c>
      <c r="E418">
        <v>19</v>
      </c>
    </row>
    <row r="419" spans="1:5" x14ac:dyDescent="0.3">
      <c r="A419" t="s">
        <v>9</v>
      </c>
      <c r="B419">
        <v>2012</v>
      </c>
      <c r="C419" t="str">
        <f>_xlfn.CONCAT(Table16[[#This Row],[STATE]],"-",Table16[[#This Row],[YEAR]])</f>
        <v>Bihar-2012</v>
      </c>
      <c r="D419" t="s">
        <v>263</v>
      </c>
      <c r="E419">
        <v>16</v>
      </c>
    </row>
    <row r="420" spans="1:5" x14ac:dyDescent="0.3">
      <c r="A420" t="s">
        <v>9</v>
      </c>
      <c r="B420">
        <v>2012</v>
      </c>
      <c r="C420" t="str">
        <f>_xlfn.CONCAT(Table16[[#This Row],[STATE]],"-",Table16[[#This Row],[YEAR]])</f>
        <v>Bihar-2012</v>
      </c>
      <c r="D420" t="s">
        <v>230</v>
      </c>
      <c r="E420">
        <v>35</v>
      </c>
    </row>
    <row r="421" spans="1:5" x14ac:dyDescent="0.3">
      <c r="A421" t="s">
        <v>9</v>
      </c>
      <c r="B421">
        <v>2012</v>
      </c>
      <c r="C421" t="str">
        <f>_xlfn.CONCAT(Table16[[#This Row],[STATE]],"-",Table16[[#This Row],[YEAR]])</f>
        <v>Bihar-2012</v>
      </c>
      <c r="D421" t="s">
        <v>264</v>
      </c>
      <c r="E421">
        <v>5</v>
      </c>
    </row>
    <row r="422" spans="1:5" x14ac:dyDescent="0.3">
      <c r="A422" t="s">
        <v>9</v>
      </c>
      <c r="B422">
        <v>2012</v>
      </c>
      <c r="C422" t="str">
        <f>_xlfn.CONCAT(Table16[[#This Row],[STATE]],"-",Table16[[#This Row],[YEAR]])</f>
        <v>Bihar-2012</v>
      </c>
      <c r="D422" t="s">
        <v>261</v>
      </c>
      <c r="E422">
        <v>10</v>
      </c>
    </row>
    <row r="423" spans="1:5" x14ac:dyDescent="0.3">
      <c r="A423" t="s">
        <v>9</v>
      </c>
      <c r="B423">
        <v>2012</v>
      </c>
      <c r="C423" t="str">
        <f>_xlfn.CONCAT(Table16[[#This Row],[STATE]],"-",Table16[[#This Row],[YEAR]])</f>
        <v>Bihar-2012</v>
      </c>
      <c r="D423" t="s">
        <v>230</v>
      </c>
      <c r="E423">
        <v>15</v>
      </c>
    </row>
    <row r="424" spans="1:5" x14ac:dyDescent="0.3">
      <c r="A424" t="s">
        <v>9</v>
      </c>
      <c r="B424">
        <v>2012</v>
      </c>
      <c r="C424" t="str">
        <f>_xlfn.CONCAT(Table16[[#This Row],[STATE]],"-",Table16[[#This Row],[YEAR]])</f>
        <v>Bihar-2012</v>
      </c>
      <c r="D424" t="s">
        <v>103</v>
      </c>
      <c r="E424">
        <v>15</v>
      </c>
    </row>
    <row r="425" spans="1:5" x14ac:dyDescent="0.3">
      <c r="A425" t="s">
        <v>9</v>
      </c>
      <c r="B425">
        <v>2012</v>
      </c>
      <c r="C425" t="str">
        <f>_xlfn.CONCAT(Table16[[#This Row],[STATE]],"-",Table16[[#This Row],[YEAR]])</f>
        <v>Bihar-2012</v>
      </c>
      <c r="D425" t="s">
        <v>265</v>
      </c>
      <c r="E425">
        <v>150</v>
      </c>
    </row>
    <row r="426" spans="1:5" x14ac:dyDescent="0.3">
      <c r="A426" t="s">
        <v>9</v>
      </c>
      <c r="B426">
        <v>2012</v>
      </c>
      <c r="C426" t="str">
        <f>_xlfn.CONCAT(Table16[[#This Row],[STATE]],"-",Table16[[#This Row],[YEAR]])</f>
        <v>Bihar-2012</v>
      </c>
      <c r="D426" t="s">
        <v>230</v>
      </c>
      <c r="E426">
        <v>120</v>
      </c>
    </row>
    <row r="427" spans="1:5" x14ac:dyDescent="0.3">
      <c r="A427" t="s">
        <v>10</v>
      </c>
      <c r="B427">
        <v>2012</v>
      </c>
      <c r="C427" t="str">
        <f>_xlfn.CONCAT(Table16[[#This Row],[STATE]],"-",Table16[[#This Row],[YEAR]])</f>
        <v>Chhattisgarh-2012</v>
      </c>
      <c r="D427" t="s">
        <v>103</v>
      </c>
      <c r="E427">
        <v>199</v>
      </c>
    </row>
    <row r="428" spans="1:5" x14ac:dyDescent="0.3">
      <c r="A428" t="s">
        <v>10</v>
      </c>
      <c r="B428">
        <v>2012</v>
      </c>
      <c r="C428" t="str">
        <f>_xlfn.CONCAT(Table16[[#This Row],[STATE]],"-",Table16[[#This Row],[YEAR]])</f>
        <v>Chhattisgarh-2012</v>
      </c>
      <c r="D428" t="s">
        <v>123</v>
      </c>
      <c r="E428">
        <v>160</v>
      </c>
    </row>
    <row r="429" spans="1:5" x14ac:dyDescent="0.3">
      <c r="A429" t="s">
        <v>10</v>
      </c>
      <c r="B429">
        <v>2012</v>
      </c>
      <c r="C429" t="str">
        <f>_xlfn.CONCAT(Table16[[#This Row],[STATE]],"-",Table16[[#This Row],[YEAR]])</f>
        <v>Chhattisgarh-2012</v>
      </c>
      <c r="D429" t="s">
        <v>266</v>
      </c>
      <c r="E429">
        <v>94</v>
      </c>
    </row>
    <row r="430" spans="1:5" x14ac:dyDescent="0.3">
      <c r="A430" t="s">
        <v>10</v>
      </c>
      <c r="B430">
        <v>2012</v>
      </c>
      <c r="C430" t="str">
        <f>_xlfn.CONCAT(Table16[[#This Row],[STATE]],"-",Table16[[#This Row],[YEAR]])</f>
        <v>Chhattisgarh-2012</v>
      </c>
      <c r="D430" t="s">
        <v>140</v>
      </c>
      <c r="E430">
        <v>43</v>
      </c>
    </row>
    <row r="431" spans="1:5" x14ac:dyDescent="0.3">
      <c r="A431" t="s">
        <v>10</v>
      </c>
      <c r="B431">
        <v>2012</v>
      </c>
      <c r="C431" t="str">
        <f>_xlfn.CONCAT(Table16[[#This Row],[STATE]],"-",Table16[[#This Row],[YEAR]])</f>
        <v>Chhattisgarh-2012</v>
      </c>
      <c r="D431" t="s">
        <v>267</v>
      </c>
      <c r="E431">
        <v>15</v>
      </c>
    </row>
    <row r="432" spans="1:5" x14ac:dyDescent="0.3">
      <c r="A432" t="s">
        <v>10</v>
      </c>
      <c r="B432">
        <v>2012</v>
      </c>
      <c r="C432" t="str">
        <f>_xlfn.CONCAT(Table16[[#This Row],[STATE]],"-",Table16[[#This Row],[YEAR]])</f>
        <v>Chhattisgarh-2012</v>
      </c>
      <c r="D432" t="s">
        <v>268</v>
      </c>
      <c r="E432">
        <v>13</v>
      </c>
    </row>
    <row r="433" spans="1:5" x14ac:dyDescent="0.3">
      <c r="A433" t="s">
        <v>10</v>
      </c>
      <c r="B433">
        <v>2012</v>
      </c>
      <c r="C433" t="str">
        <f>_xlfn.CONCAT(Table16[[#This Row],[STATE]],"-",Table16[[#This Row],[YEAR]])</f>
        <v>Chhattisgarh-2012</v>
      </c>
      <c r="D433" t="s">
        <v>269</v>
      </c>
      <c r="E433">
        <v>239</v>
      </c>
    </row>
    <row r="434" spans="1:5" x14ac:dyDescent="0.3">
      <c r="A434" t="s">
        <v>10</v>
      </c>
      <c r="B434">
        <v>2012</v>
      </c>
      <c r="C434" t="str">
        <f>_xlfn.CONCAT(Table16[[#This Row],[STATE]],"-",Table16[[#This Row],[YEAR]])</f>
        <v>Chhattisgarh-2012</v>
      </c>
      <c r="D434" t="s">
        <v>270</v>
      </c>
      <c r="E434">
        <v>18</v>
      </c>
    </row>
    <row r="435" spans="1:5" x14ac:dyDescent="0.3">
      <c r="A435" t="s">
        <v>10</v>
      </c>
      <c r="B435">
        <v>2012</v>
      </c>
      <c r="C435" t="str">
        <f>_xlfn.CONCAT(Table16[[#This Row],[STATE]],"-",Table16[[#This Row],[YEAR]])</f>
        <v>Chhattisgarh-2012</v>
      </c>
      <c r="D435" t="s">
        <v>271</v>
      </c>
      <c r="E435">
        <v>41</v>
      </c>
    </row>
    <row r="436" spans="1:5" x14ac:dyDescent="0.3">
      <c r="A436" t="s">
        <v>10</v>
      </c>
      <c r="B436">
        <v>2012</v>
      </c>
      <c r="C436" t="str">
        <f>_xlfn.CONCAT(Table16[[#This Row],[STATE]],"-",Table16[[#This Row],[YEAR]])</f>
        <v>Chhattisgarh-2012</v>
      </c>
      <c r="D436" t="s">
        <v>272</v>
      </c>
      <c r="E436">
        <v>37</v>
      </c>
    </row>
    <row r="437" spans="1:5" x14ac:dyDescent="0.3">
      <c r="A437" t="s">
        <v>10</v>
      </c>
      <c r="B437">
        <v>2012</v>
      </c>
      <c r="C437" t="str">
        <f>_xlfn.CONCAT(Table16[[#This Row],[STATE]],"-",Table16[[#This Row],[YEAR]])</f>
        <v>Chhattisgarh-2012</v>
      </c>
      <c r="D437" t="s">
        <v>273</v>
      </c>
      <c r="E437">
        <v>38</v>
      </c>
    </row>
    <row r="438" spans="1:5" x14ac:dyDescent="0.3">
      <c r="A438" t="s">
        <v>10</v>
      </c>
      <c r="B438">
        <v>2012</v>
      </c>
      <c r="C438" t="str">
        <f>_xlfn.CONCAT(Table16[[#This Row],[STATE]],"-",Table16[[#This Row],[YEAR]])</f>
        <v>Chhattisgarh-2012</v>
      </c>
      <c r="D438" t="s">
        <v>274</v>
      </c>
      <c r="E438">
        <v>19</v>
      </c>
    </row>
    <row r="439" spans="1:5" x14ac:dyDescent="0.3">
      <c r="A439" t="s">
        <v>10</v>
      </c>
      <c r="B439">
        <v>2012</v>
      </c>
      <c r="C439" t="str">
        <f>_xlfn.CONCAT(Table16[[#This Row],[STATE]],"-",Table16[[#This Row],[YEAR]])</f>
        <v>Chhattisgarh-2012</v>
      </c>
      <c r="D439" t="s">
        <v>275</v>
      </c>
      <c r="E439">
        <v>24</v>
      </c>
    </row>
    <row r="440" spans="1:5" x14ac:dyDescent="0.3">
      <c r="A440" t="s">
        <v>10</v>
      </c>
      <c r="B440">
        <v>2012</v>
      </c>
      <c r="C440" t="str">
        <f>_xlfn.CONCAT(Table16[[#This Row],[STATE]],"-",Table16[[#This Row],[YEAR]])</f>
        <v>Chhattisgarh-2012</v>
      </c>
      <c r="D440" t="s">
        <v>276</v>
      </c>
      <c r="E440">
        <v>27</v>
      </c>
    </row>
    <row r="441" spans="1:5" x14ac:dyDescent="0.3">
      <c r="A441" t="s">
        <v>10</v>
      </c>
      <c r="B441">
        <v>2012</v>
      </c>
      <c r="C441" t="str">
        <f>_xlfn.CONCAT(Table16[[#This Row],[STATE]],"-",Table16[[#This Row],[YEAR]])</f>
        <v>Chhattisgarh-2012</v>
      </c>
      <c r="D441" t="s">
        <v>277</v>
      </c>
      <c r="E441">
        <v>4</v>
      </c>
    </row>
    <row r="442" spans="1:5" x14ac:dyDescent="0.3">
      <c r="A442" t="s">
        <v>10</v>
      </c>
      <c r="B442">
        <v>2012</v>
      </c>
      <c r="C442" t="str">
        <f>_xlfn.CONCAT(Table16[[#This Row],[STATE]],"-",Table16[[#This Row],[YEAR]])</f>
        <v>Chhattisgarh-2012</v>
      </c>
      <c r="D442" t="s">
        <v>278</v>
      </c>
      <c r="E442">
        <v>30</v>
      </c>
    </row>
    <row r="443" spans="1:5" x14ac:dyDescent="0.3">
      <c r="A443" t="s">
        <v>10</v>
      </c>
      <c r="B443">
        <v>2012</v>
      </c>
      <c r="C443" t="str">
        <f>_xlfn.CONCAT(Table16[[#This Row],[STATE]],"-",Table16[[#This Row],[YEAR]])</f>
        <v>Chhattisgarh-2012</v>
      </c>
      <c r="D443" t="s">
        <v>192</v>
      </c>
      <c r="E443">
        <v>39</v>
      </c>
    </row>
    <row r="444" spans="1:5" x14ac:dyDescent="0.3">
      <c r="A444" t="s">
        <v>10</v>
      </c>
      <c r="B444">
        <v>2001</v>
      </c>
      <c r="C444" t="str">
        <f>_xlfn.CONCAT(Table16[[#This Row],[STATE]],"-",Table16[[#This Row],[YEAR]])</f>
        <v>Chhattisgarh-2001</v>
      </c>
      <c r="D444" t="s">
        <v>90</v>
      </c>
      <c r="E444">
        <v>703</v>
      </c>
    </row>
    <row r="445" spans="1:5" x14ac:dyDescent="0.3">
      <c r="A445" t="s">
        <v>10</v>
      </c>
      <c r="B445">
        <v>2001</v>
      </c>
      <c r="C445" t="str">
        <f>_xlfn.CONCAT(Table16[[#This Row],[STATE]],"-",Table16[[#This Row],[YEAR]])</f>
        <v>Chhattisgarh-2001</v>
      </c>
      <c r="D445" t="s">
        <v>141</v>
      </c>
      <c r="E445">
        <v>26</v>
      </c>
    </row>
    <row r="446" spans="1:5" x14ac:dyDescent="0.3">
      <c r="A446" t="s">
        <v>10</v>
      </c>
      <c r="B446">
        <v>2001</v>
      </c>
      <c r="C446" t="str">
        <f>_xlfn.CONCAT(Table16[[#This Row],[STATE]],"-",Table16[[#This Row],[YEAR]])</f>
        <v>Chhattisgarh-2001</v>
      </c>
      <c r="D446" t="s">
        <v>99</v>
      </c>
      <c r="E446">
        <v>63</v>
      </c>
    </row>
    <row r="447" spans="1:5" x14ac:dyDescent="0.3">
      <c r="A447" t="s">
        <v>10</v>
      </c>
      <c r="B447">
        <v>2001</v>
      </c>
      <c r="C447" t="str">
        <f>_xlfn.CONCAT(Table16[[#This Row],[STATE]],"-",Table16[[#This Row],[YEAR]])</f>
        <v>Chhattisgarh-2001</v>
      </c>
      <c r="D447" t="s">
        <v>279</v>
      </c>
      <c r="E447">
        <v>37</v>
      </c>
    </row>
    <row r="448" spans="1:5" x14ac:dyDescent="0.3">
      <c r="A448" t="s">
        <v>10</v>
      </c>
      <c r="B448">
        <v>2001</v>
      </c>
      <c r="C448" t="str">
        <f>_xlfn.CONCAT(Table16[[#This Row],[STATE]],"-",Table16[[#This Row],[YEAR]])</f>
        <v>Chhattisgarh-2001</v>
      </c>
      <c r="D448" t="s">
        <v>280</v>
      </c>
      <c r="E448">
        <v>62</v>
      </c>
    </row>
    <row r="449" spans="1:5" x14ac:dyDescent="0.3">
      <c r="A449" t="s">
        <v>10</v>
      </c>
      <c r="B449">
        <v>2001</v>
      </c>
      <c r="C449" t="str">
        <f>_xlfn.CONCAT(Table16[[#This Row],[STATE]],"-",Table16[[#This Row],[YEAR]])</f>
        <v>Chhattisgarh-2001</v>
      </c>
      <c r="D449" t="s">
        <v>281</v>
      </c>
      <c r="E449">
        <v>80</v>
      </c>
    </row>
    <row r="450" spans="1:5" x14ac:dyDescent="0.3">
      <c r="A450" t="s">
        <v>10</v>
      </c>
      <c r="B450">
        <v>2001</v>
      </c>
      <c r="C450" t="str">
        <f>_xlfn.CONCAT(Table16[[#This Row],[STATE]],"-",Table16[[#This Row],[YEAR]])</f>
        <v>Chhattisgarh-2001</v>
      </c>
      <c r="D450" t="s">
        <v>102</v>
      </c>
      <c r="E450">
        <v>20</v>
      </c>
    </row>
    <row r="451" spans="1:5" x14ac:dyDescent="0.3">
      <c r="A451" t="s">
        <v>10</v>
      </c>
      <c r="B451">
        <v>2001</v>
      </c>
      <c r="C451" t="str">
        <f>_xlfn.CONCAT(Table16[[#This Row],[STATE]],"-",Table16[[#This Row],[YEAR]])</f>
        <v>Chhattisgarh-2001</v>
      </c>
      <c r="D451" t="s">
        <v>282</v>
      </c>
      <c r="E451">
        <v>597</v>
      </c>
    </row>
    <row r="452" spans="1:5" x14ac:dyDescent="0.3">
      <c r="A452" t="s">
        <v>10</v>
      </c>
      <c r="B452">
        <v>2002</v>
      </c>
      <c r="C452" t="str">
        <f>_xlfn.CONCAT(Table16[[#This Row],[STATE]],"-",Table16[[#This Row],[YEAR]])</f>
        <v>Chhattisgarh-2002</v>
      </c>
      <c r="D452" t="s">
        <v>90</v>
      </c>
      <c r="E452">
        <v>930</v>
      </c>
    </row>
    <row r="453" spans="1:5" x14ac:dyDescent="0.3">
      <c r="A453" t="s">
        <v>10</v>
      </c>
      <c r="B453">
        <v>2002</v>
      </c>
      <c r="C453" t="str">
        <f>_xlfn.CONCAT(Table16[[#This Row],[STATE]],"-",Table16[[#This Row],[YEAR]])</f>
        <v>Chhattisgarh-2002</v>
      </c>
      <c r="D453" t="s">
        <v>141</v>
      </c>
      <c r="E453">
        <v>31</v>
      </c>
    </row>
    <row r="454" spans="1:5" x14ac:dyDescent="0.3">
      <c r="A454" t="s">
        <v>10</v>
      </c>
      <c r="B454">
        <v>2002</v>
      </c>
      <c r="C454" t="str">
        <f>_xlfn.CONCAT(Table16[[#This Row],[STATE]],"-",Table16[[#This Row],[YEAR]])</f>
        <v>Chhattisgarh-2002</v>
      </c>
      <c r="D454" t="s">
        <v>283</v>
      </c>
      <c r="E454">
        <v>254</v>
      </c>
    </row>
    <row r="455" spans="1:5" x14ac:dyDescent="0.3">
      <c r="A455" t="s">
        <v>10</v>
      </c>
      <c r="B455">
        <v>2002</v>
      </c>
      <c r="C455" t="str">
        <f>_xlfn.CONCAT(Table16[[#This Row],[STATE]],"-",Table16[[#This Row],[YEAR]])</f>
        <v>Chhattisgarh-2002</v>
      </c>
      <c r="D455" t="s">
        <v>284</v>
      </c>
      <c r="E455">
        <v>80</v>
      </c>
    </row>
    <row r="456" spans="1:5" x14ac:dyDescent="0.3">
      <c r="A456" t="s">
        <v>10</v>
      </c>
      <c r="B456">
        <v>2002</v>
      </c>
      <c r="C456" t="str">
        <f>_xlfn.CONCAT(Table16[[#This Row],[STATE]],"-",Table16[[#This Row],[YEAR]])</f>
        <v>Chhattisgarh-2002</v>
      </c>
      <c r="D456" t="s">
        <v>103</v>
      </c>
      <c r="E456">
        <v>83</v>
      </c>
    </row>
    <row r="457" spans="1:5" x14ac:dyDescent="0.3">
      <c r="A457" t="s">
        <v>10</v>
      </c>
      <c r="B457">
        <v>2002</v>
      </c>
      <c r="C457" t="str">
        <f>_xlfn.CONCAT(Table16[[#This Row],[STATE]],"-",Table16[[#This Row],[YEAR]])</f>
        <v>Chhattisgarh-2002</v>
      </c>
      <c r="D457" t="s">
        <v>102</v>
      </c>
      <c r="E457">
        <v>22</v>
      </c>
    </row>
    <row r="458" spans="1:5" x14ac:dyDescent="0.3">
      <c r="A458" t="s">
        <v>10</v>
      </c>
      <c r="B458">
        <v>2002</v>
      </c>
      <c r="C458" t="str">
        <f>_xlfn.CONCAT(Table16[[#This Row],[STATE]],"-",Table16[[#This Row],[YEAR]])</f>
        <v>Chhattisgarh-2002</v>
      </c>
      <c r="D458" t="s">
        <v>281</v>
      </c>
      <c r="E458">
        <v>95</v>
      </c>
    </row>
    <row r="459" spans="1:5" x14ac:dyDescent="0.3">
      <c r="A459" t="s">
        <v>10</v>
      </c>
      <c r="B459">
        <v>2002</v>
      </c>
      <c r="C459" t="str">
        <f>_xlfn.CONCAT(Table16[[#This Row],[STATE]],"-",Table16[[#This Row],[YEAR]])</f>
        <v>Chhattisgarh-2002</v>
      </c>
      <c r="D459" t="s">
        <v>285</v>
      </c>
      <c r="E459">
        <v>3</v>
      </c>
    </row>
    <row r="460" spans="1:5" x14ac:dyDescent="0.3">
      <c r="A460" t="s">
        <v>10</v>
      </c>
      <c r="B460">
        <v>2002</v>
      </c>
      <c r="C460" t="str">
        <f>_xlfn.CONCAT(Table16[[#This Row],[STATE]],"-",Table16[[#This Row],[YEAR]])</f>
        <v>Chhattisgarh-2002</v>
      </c>
      <c r="D460" t="s">
        <v>286</v>
      </c>
      <c r="E460">
        <v>468</v>
      </c>
    </row>
    <row r="461" spans="1:5" x14ac:dyDescent="0.3">
      <c r="A461" t="s">
        <v>10</v>
      </c>
      <c r="B461">
        <v>2002</v>
      </c>
      <c r="C461" t="str">
        <f>_xlfn.CONCAT(Table16[[#This Row],[STATE]],"-",Table16[[#This Row],[YEAR]])</f>
        <v>Chhattisgarh-2002</v>
      </c>
      <c r="D461" t="s">
        <v>287</v>
      </c>
      <c r="E461">
        <v>26</v>
      </c>
    </row>
    <row r="462" spans="1:5" x14ac:dyDescent="0.3">
      <c r="A462" t="s">
        <v>10</v>
      </c>
      <c r="B462">
        <v>2002</v>
      </c>
      <c r="C462" t="str">
        <f>_xlfn.CONCAT(Table16[[#This Row],[STATE]],"-",Table16[[#This Row],[YEAR]])</f>
        <v>Chhattisgarh-2002</v>
      </c>
      <c r="D462" t="s">
        <v>288</v>
      </c>
      <c r="E462">
        <v>54</v>
      </c>
    </row>
    <row r="463" spans="1:5" x14ac:dyDescent="0.3">
      <c r="A463" t="s">
        <v>10</v>
      </c>
      <c r="B463">
        <v>2003</v>
      </c>
      <c r="C463" t="str">
        <f>_xlfn.CONCAT(Table16[[#This Row],[STATE]],"-",Table16[[#This Row],[YEAR]])</f>
        <v>Chhattisgarh-2003</v>
      </c>
      <c r="D463" t="s">
        <v>287</v>
      </c>
      <c r="E463">
        <v>24</v>
      </c>
    </row>
    <row r="464" spans="1:5" x14ac:dyDescent="0.3">
      <c r="A464" t="s">
        <v>10</v>
      </c>
      <c r="B464">
        <v>2003</v>
      </c>
      <c r="C464" t="str">
        <f>_xlfn.CONCAT(Table16[[#This Row],[STATE]],"-",Table16[[#This Row],[YEAR]])</f>
        <v>Chhattisgarh-2003</v>
      </c>
      <c r="D464" t="s">
        <v>144</v>
      </c>
      <c r="E464">
        <v>745</v>
      </c>
    </row>
    <row r="465" spans="1:5" x14ac:dyDescent="0.3">
      <c r="A465" t="s">
        <v>10</v>
      </c>
      <c r="B465">
        <v>2003</v>
      </c>
      <c r="C465" t="str">
        <f>_xlfn.CONCAT(Table16[[#This Row],[STATE]],"-",Table16[[#This Row],[YEAR]])</f>
        <v>Chhattisgarh-2003</v>
      </c>
      <c r="D465" t="s">
        <v>103</v>
      </c>
      <c r="E465">
        <v>148</v>
      </c>
    </row>
    <row r="466" spans="1:5" x14ac:dyDescent="0.3">
      <c r="A466" t="s">
        <v>10</v>
      </c>
      <c r="B466">
        <v>2003</v>
      </c>
      <c r="C466" t="str">
        <f>_xlfn.CONCAT(Table16[[#This Row],[STATE]],"-",Table16[[#This Row],[YEAR]])</f>
        <v>Chhattisgarh-2003</v>
      </c>
      <c r="D466" t="s">
        <v>289</v>
      </c>
      <c r="E466">
        <v>149</v>
      </c>
    </row>
    <row r="467" spans="1:5" x14ac:dyDescent="0.3">
      <c r="A467" t="s">
        <v>10</v>
      </c>
      <c r="B467">
        <v>2003</v>
      </c>
      <c r="C467" t="str">
        <f>_xlfn.CONCAT(Table16[[#This Row],[STATE]],"-",Table16[[#This Row],[YEAR]])</f>
        <v>Chhattisgarh-2003</v>
      </c>
      <c r="D467" t="s">
        <v>290</v>
      </c>
      <c r="E467">
        <v>185</v>
      </c>
    </row>
    <row r="468" spans="1:5" x14ac:dyDescent="0.3">
      <c r="A468" t="s">
        <v>10</v>
      </c>
      <c r="B468">
        <v>2003</v>
      </c>
      <c r="C468" t="str">
        <f>_xlfn.CONCAT(Table16[[#This Row],[STATE]],"-",Table16[[#This Row],[YEAR]])</f>
        <v>Chhattisgarh-2003</v>
      </c>
      <c r="D468" t="s">
        <v>123</v>
      </c>
      <c r="E468">
        <v>386</v>
      </c>
    </row>
    <row r="469" spans="1:5" x14ac:dyDescent="0.3">
      <c r="A469" t="s">
        <v>10</v>
      </c>
      <c r="B469">
        <v>2003</v>
      </c>
      <c r="C469" t="str">
        <f>_xlfn.CONCAT(Table16[[#This Row],[STATE]],"-",Table16[[#This Row],[YEAR]])</f>
        <v>Chhattisgarh-2003</v>
      </c>
      <c r="D469" t="s">
        <v>270</v>
      </c>
      <c r="E469">
        <v>55</v>
      </c>
    </row>
    <row r="470" spans="1:5" x14ac:dyDescent="0.3">
      <c r="A470" t="s">
        <v>10</v>
      </c>
      <c r="B470">
        <v>2003</v>
      </c>
      <c r="C470" t="str">
        <f>_xlfn.CONCAT(Table16[[#This Row],[STATE]],"-",Table16[[#This Row],[YEAR]])</f>
        <v>Chhattisgarh-2003</v>
      </c>
      <c r="D470" t="s">
        <v>291</v>
      </c>
      <c r="E470">
        <v>81</v>
      </c>
    </row>
    <row r="471" spans="1:5" x14ac:dyDescent="0.3">
      <c r="A471" t="s">
        <v>10</v>
      </c>
      <c r="B471">
        <v>2003</v>
      </c>
      <c r="C471" t="str">
        <f>_xlfn.CONCAT(Table16[[#This Row],[STATE]],"-",Table16[[#This Row],[YEAR]])</f>
        <v>Chhattisgarh-2003</v>
      </c>
      <c r="D471" t="s">
        <v>285</v>
      </c>
      <c r="E471">
        <v>25</v>
      </c>
    </row>
    <row r="472" spans="1:5" x14ac:dyDescent="0.3">
      <c r="A472" t="s">
        <v>10</v>
      </c>
      <c r="B472">
        <v>2003</v>
      </c>
      <c r="C472" t="str">
        <f>_xlfn.CONCAT(Table16[[#This Row],[STATE]],"-",Table16[[#This Row],[YEAR]])</f>
        <v>Chhattisgarh-2003</v>
      </c>
      <c r="D472" t="s">
        <v>292</v>
      </c>
      <c r="E472">
        <v>52</v>
      </c>
    </row>
    <row r="473" spans="1:5" x14ac:dyDescent="0.3">
      <c r="A473" t="s">
        <v>10</v>
      </c>
      <c r="B473">
        <v>2003</v>
      </c>
      <c r="C473" t="str">
        <f>_xlfn.CONCAT(Table16[[#This Row],[STATE]],"-",Table16[[#This Row],[YEAR]])</f>
        <v>Chhattisgarh-2003</v>
      </c>
      <c r="D473" t="s">
        <v>293</v>
      </c>
      <c r="E473">
        <v>156</v>
      </c>
    </row>
    <row r="474" spans="1:5" x14ac:dyDescent="0.3">
      <c r="A474" t="s">
        <v>10</v>
      </c>
      <c r="B474">
        <v>2003</v>
      </c>
      <c r="C474" t="str">
        <f>_xlfn.CONCAT(Table16[[#This Row],[STATE]],"-",Table16[[#This Row],[YEAR]])</f>
        <v>Chhattisgarh-2003</v>
      </c>
      <c r="D474" t="s">
        <v>266</v>
      </c>
      <c r="E474">
        <v>71</v>
      </c>
    </row>
    <row r="475" spans="1:5" x14ac:dyDescent="0.3">
      <c r="A475" t="s">
        <v>10</v>
      </c>
      <c r="B475">
        <v>2003</v>
      </c>
      <c r="C475" t="str">
        <f>_xlfn.CONCAT(Table16[[#This Row],[STATE]],"-",Table16[[#This Row],[YEAR]])</f>
        <v>Chhattisgarh-2003</v>
      </c>
      <c r="D475" t="s">
        <v>294</v>
      </c>
      <c r="E475">
        <v>190</v>
      </c>
    </row>
    <row r="476" spans="1:5" x14ac:dyDescent="0.3">
      <c r="A476" t="s">
        <v>10</v>
      </c>
      <c r="B476">
        <v>2003</v>
      </c>
      <c r="C476" t="str">
        <f>_xlfn.CONCAT(Table16[[#This Row],[STATE]],"-",Table16[[#This Row],[YEAR]])</f>
        <v>Chhattisgarh-2003</v>
      </c>
      <c r="D476" t="s">
        <v>163</v>
      </c>
      <c r="E476">
        <v>20</v>
      </c>
    </row>
    <row r="477" spans="1:5" x14ac:dyDescent="0.3">
      <c r="A477" t="s">
        <v>10</v>
      </c>
      <c r="B477">
        <v>2003</v>
      </c>
      <c r="C477" t="str">
        <f>_xlfn.CONCAT(Table16[[#This Row],[STATE]],"-",Table16[[#This Row],[YEAR]])</f>
        <v>Chhattisgarh-2003</v>
      </c>
      <c r="D477" t="s">
        <v>281</v>
      </c>
      <c r="E477">
        <v>50</v>
      </c>
    </row>
    <row r="478" spans="1:5" x14ac:dyDescent="0.3">
      <c r="A478" t="s">
        <v>10</v>
      </c>
      <c r="B478">
        <v>2003</v>
      </c>
      <c r="C478" t="str">
        <f>_xlfn.CONCAT(Table16[[#This Row],[STATE]],"-",Table16[[#This Row],[YEAR]])</f>
        <v>Chhattisgarh-2003</v>
      </c>
      <c r="D478" t="s">
        <v>295</v>
      </c>
      <c r="E478">
        <v>30</v>
      </c>
    </row>
    <row r="479" spans="1:5" x14ac:dyDescent="0.3">
      <c r="A479" t="s">
        <v>10</v>
      </c>
      <c r="B479">
        <v>2003</v>
      </c>
      <c r="C479" t="str">
        <f>_xlfn.CONCAT(Table16[[#This Row],[STATE]],"-",Table16[[#This Row],[YEAR]])</f>
        <v>Chhattisgarh-2003</v>
      </c>
      <c r="D479" t="s">
        <v>296</v>
      </c>
      <c r="E479">
        <v>30</v>
      </c>
    </row>
    <row r="480" spans="1:5" x14ac:dyDescent="0.3">
      <c r="A480" t="s">
        <v>10</v>
      </c>
      <c r="B480">
        <v>2004</v>
      </c>
      <c r="C480" t="str">
        <f>_xlfn.CONCAT(Table16[[#This Row],[STATE]],"-",Table16[[#This Row],[YEAR]])</f>
        <v>Chhattisgarh-2004</v>
      </c>
      <c r="D480" t="s">
        <v>297</v>
      </c>
      <c r="E480">
        <v>67</v>
      </c>
    </row>
    <row r="481" spans="1:5" x14ac:dyDescent="0.3">
      <c r="A481" t="s">
        <v>10</v>
      </c>
      <c r="B481">
        <v>2004</v>
      </c>
      <c r="C481" t="str">
        <f>_xlfn.CONCAT(Table16[[#This Row],[STATE]],"-",Table16[[#This Row],[YEAR]])</f>
        <v>Chhattisgarh-2004</v>
      </c>
      <c r="D481" t="s">
        <v>298</v>
      </c>
      <c r="E481">
        <v>1621</v>
      </c>
    </row>
    <row r="482" spans="1:5" x14ac:dyDescent="0.3">
      <c r="A482" t="s">
        <v>10</v>
      </c>
      <c r="B482">
        <v>2004</v>
      </c>
      <c r="C482" t="str">
        <f>_xlfn.CONCAT(Table16[[#This Row],[STATE]],"-",Table16[[#This Row],[YEAR]])</f>
        <v>Chhattisgarh-2004</v>
      </c>
      <c r="D482" t="s">
        <v>280</v>
      </c>
      <c r="E482">
        <v>96</v>
      </c>
    </row>
    <row r="483" spans="1:5" x14ac:dyDescent="0.3">
      <c r="A483" t="s">
        <v>10</v>
      </c>
      <c r="B483">
        <v>2004</v>
      </c>
      <c r="C483" t="str">
        <f>_xlfn.CONCAT(Table16[[#This Row],[STATE]],"-",Table16[[#This Row],[YEAR]])</f>
        <v>Chhattisgarh-2004</v>
      </c>
      <c r="D483" t="s">
        <v>289</v>
      </c>
      <c r="E483">
        <v>199</v>
      </c>
    </row>
    <row r="484" spans="1:5" x14ac:dyDescent="0.3">
      <c r="A484" t="s">
        <v>10</v>
      </c>
      <c r="B484">
        <v>2004</v>
      </c>
      <c r="C484" t="str">
        <f>_xlfn.CONCAT(Table16[[#This Row],[STATE]],"-",Table16[[#This Row],[YEAR]])</f>
        <v>Chhattisgarh-2004</v>
      </c>
      <c r="D484" t="s">
        <v>290</v>
      </c>
      <c r="E484">
        <v>1199</v>
      </c>
    </row>
    <row r="485" spans="1:5" x14ac:dyDescent="0.3">
      <c r="A485" t="s">
        <v>10</v>
      </c>
      <c r="B485">
        <v>2004</v>
      </c>
      <c r="C485" t="str">
        <f>_xlfn.CONCAT(Table16[[#This Row],[STATE]],"-",Table16[[#This Row],[YEAR]])</f>
        <v>Chhattisgarh-2004</v>
      </c>
      <c r="D485" t="s">
        <v>123</v>
      </c>
      <c r="E485">
        <v>42</v>
      </c>
    </row>
    <row r="486" spans="1:5" x14ac:dyDescent="0.3">
      <c r="A486" t="s">
        <v>10</v>
      </c>
      <c r="B486">
        <v>2004</v>
      </c>
      <c r="C486" t="str">
        <f>_xlfn.CONCAT(Table16[[#This Row],[STATE]],"-",Table16[[#This Row],[YEAR]])</f>
        <v>Chhattisgarh-2004</v>
      </c>
      <c r="D486" t="s">
        <v>270</v>
      </c>
      <c r="E486">
        <v>157</v>
      </c>
    </row>
    <row r="487" spans="1:5" x14ac:dyDescent="0.3">
      <c r="A487" t="s">
        <v>10</v>
      </c>
      <c r="B487">
        <v>2004</v>
      </c>
      <c r="C487" t="str">
        <f>_xlfn.CONCAT(Table16[[#This Row],[STATE]],"-",Table16[[#This Row],[YEAR]])</f>
        <v>Chhattisgarh-2004</v>
      </c>
      <c r="D487" t="s">
        <v>291</v>
      </c>
      <c r="E487">
        <v>30</v>
      </c>
    </row>
    <row r="488" spans="1:5" x14ac:dyDescent="0.3">
      <c r="A488" t="s">
        <v>10</v>
      </c>
      <c r="B488">
        <v>2004</v>
      </c>
      <c r="C488" t="str">
        <f>_xlfn.CONCAT(Table16[[#This Row],[STATE]],"-",Table16[[#This Row],[YEAR]])</f>
        <v>Chhattisgarh-2004</v>
      </c>
      <c r="D488" t="s">
        <v>299</v>
      </c>
      <c r="E488">
        <v>308</v>
      </c>
    </row>
    <row r="489" spans="1:5" x14ac:dyDescent="0.3">
      <c r="A489" t="s">
        <v>10</v>
      </c>
      <c r="B489">
        <v>2004</v>
      </c>
      <c r="C489" t="str">
        <f>_xlfn.CONCAT(Table16[[#This Row],[STATE]],"-",Table16[[#This Row],[YEAR]])</f>
        <v>Chhattisgarh-2004</v>
      </c>
      <c r="D489" t="s">
        <v>300</v>
      </c>
      <c r="E489">
        <v>20</v>
      </c>
    </row>
    <row r="490" spans="1:5" x14ac:dyDescent="0.3">
      <c r="A490" t="s">
        <v>10</v>
      </c>
      <c r="B490">
        <v>2004</v>
      </c>
      <c r="C490" t="str">
        <f>_xlfn.CONCAT(Table16[[#This Row],[STATE]],"-",Table16[[#This Row],[YEAR]])</f>
        <v>Chhattisgarh-2004</v>
      </c>
      <c r="D490" t="s">
        <v>292</v>
      </c>
      <c r="E490">
        <v>214</v>
      </c>
    </row>
    <row r="491" spans="1:5" x14ac:dyDescent="0.3">
      <c r="A491" t="s">
        <v>10</v>
      </c>
      <c r="B491">
        <v>2004</v>
      </c>
      <c r="C491" t="str">
        <f>_xlfn.CONCAT(Table16[[#This Row],[STATE]],"-",Table16[[#This Row],[YEAR]])</f>
        <v>Chhattisgarh-2004</v>
      </c>
      <c r="D491" t="s">
        <v>301</v>
      </c>
      <c r="E491">
        <v>214</v>
      </c>
    </row>
    <row r="492" spans="1:5" x14ac:dyDescent="0.3">
      <c r="A492" t="s">
        <v>10</v>
      </c>
      <c r="B492">
        <v>2004</v>
      </c>
      <c r="C492" t="str">
        <f>_xlfn.CONCAT(Table16[[#This Row],[STATE]],"-",Table16[[#This Row],[YEAR]])</f>
        <v>Chhattisgarh-2004</v>
      </c>
      <c r="D492" t="s">
        <v>266</v>
      </c>
      <c r="E492">
        <v>101</v>
      </c>
    </row>
    <row r="493" spans="1:5" x14ac:dyDescent="0.3">
      <c r="A493" t="s">
        <v>10</v>
      </c>
      <c r="B493">
        <v>2004</v>
      </c>
      <c r="C493" t="str">
        <f>_xlfn.CONCAT(Table16[[#This Row],[STATE]],"-",Table16[[#This Row],[YEAR]])</f>
        <v>Chhattisgarh-2004</v>
      </c>
      <c r="D493" t="s">
        <v>286</v>
      </c>
      <c r="E493">
        <v>189</v>
      </c>
    </row>
    <row r="494" spans="1:5" x14ac:dyDescent="0.3">
      <c r="A494" t="s">
        <v>10</v>
      </c>
      <c r="B494">
        <v>2004</v>
      </c>
      <c r="C494" t="str">
        <f>_xlfn.CONCAT(Table16[[#This Row],[STATE]],"-",Table16[[#This Row],[YEAR]])</f>
        <v>Chhattisgarh-2004</v>
      </c>
      <c r="D494" t="s">
        <v>102</v>
      </c>
      <c r="E494">
        <v>11</v>
      </c>
    </row>
    <row r="495" spans="1:5" x14ac:dyDescent="0.3">
      <c r="A495" t="s">
        <v>10</v>
      </c>
      <c r="B495">
        <v>2004</v>
      </c>
      <c r="C495" t="str">
        <f>_xlfn.CONCAT(Table16[[#This Row],[STATE]],"-",Table16[[#This Row],[YEAR]])</f>
        <v>Chhattisgarh-2004</v>
      </c>
      <c r="D495" t="s">
        <v>281</v>
      </c>
      <c r="E495">
        <v>45</v>
      </c>
    </row>
    <row r="496" spans="1:5" x14ac:dyDescent="0.3">
      <c r="A496" t="s">
        <v>10</v>
      </c>
      <c r="B496">
        <v>2004</v>
      </c>
      <c r="C496" t="str">
        <f>_xlfn.CONCAT(Table16[[#This Row],[STATE]],"-",Table16[[#This Row],[YEAR]])</f>
        <v>Chhattisgarh-2004</v>
      </c>
      <c r="D496" t="s">
        <v>295</v>
      </c>
      <c r="E496">
        <v>24</v>
      </c>
    </row>
    <row r="497" spans="1:5" x14ac:dyDescent="0.3">
      <c r="A497" t="s">
        <v>10</v>
      </c>
      <c r="B497">
        <v>2004</v>
      </c>
      <c r="C497" t="str">
        <f>_xlfn.CONCAT(Table16[[#This Row],[STATE]],"-",Table16[[#This Row],[YEAR]])</f>
        <v>Chhattisgarh-2004</v>
      </c>
      <c r="D497" t="s">
        <v>302</v>
      </c>
      <c r="E497">
        <v>18</v>
      </c>
    </row>
    <row r="498" spans="1:5" x14ac:dyDescent="0.3">
      <c r="A498" t="s">
        <v>10</v>
      </c>
      <c r="B498">
        <v>2004</v>
      </c>
      <c r="C498" t="str">
        <f>_xlfn.CONCAT(Table16[[#This Row],[STATE]],"-",Table16[[#This Row],[YEAR]])</f>
        <v>Chhattisgarh-2004</v>
      </c>
      <c r="D498" t="s">
        <v>111</v>
      </c>
      <c r="E498">
        <v>6</v>
      </c>
    </row>
    <row r="499" spans="1:5" x14ac:dyDescent="0.3">
      <c r="A499" t="s">
        <v>10</v>
      </c>
      <c r="B499">
        <v>2005</v>
      </c>
      <c r="C499" t="str">
        <f>_xlfn.CONCAT(Table16[[#This Row],[STATE]],"-",Table16[[#This Row],[YEAR]])</f>
        <v>Chhattisgarh-2005</v>
      </c>
      <c r="D499" t="s">
        <v>303</v>
      </c>
      <c r="E499">
        <v>38</v>
      </c>
    </row>
    <row r="500" spans="1:5" x14ac:dyDescent="0.3">
      <c r="A500" t="s">
        <v>10</v>
      </c>
      <c r="B500">
        <v>2005</v>
      </c>
      <c r="C500" t="str">
        <f>_xlfn.CONCAT(Table16[[#This Row],[STATE]],"-",Table16[[#This Row],[YEAR]])</f>
        <v>Chhattisgarh-2005</v>
      </c>
      <c r="D500" t="s">
        <v>304</v>
      </c>
      <c r="E500">
        <v>18</v>
      </c>
    </row>
    <row r="501" spans="1:5" x14ac:dyDescent="0.3">
      <c r="A501" t="s">
        <v>10</v>
      </c>
      <c r="B501">
        <v>2005</v>
      </c>
      <c r="C501" t="str">
        <f>_xlfn.CONCAT(Table16[[#This Row],[STATE]],"-",Table16[[#This Row],[YEAR]])</f>
        <v>Chhattisgarh-2005</v>
      </c>
      <c r="D501" t="s">
        <v>305</v>
      </c>
      <c r="E501">
        <v>209</v>
      </c>
    </row>
    <row r="502" spans="1:5" x14ac:dyDescent="0.3">
      <c r="A502" t="s">
        <v>10</v>
      </c>
      <c r="B502">
        <v>2005</v>
      </c>
      <c r="C502" t="str">
        <f>_xlfn.CONCAT(Table16[[#This Row],[STATE]],"-",Table16[[#This Row],[YEAR]])</f>
        <v>Chhattisgarh-2005</v>
      </c>
      <c r="D502" t="s">
        <v>289</v>
      </c>
      <c r="E502">
        <v>54</v>
      </c>
    </row>
    <row r="503" spans="1:5" x14ac:dyDescent="0.3">
      <c r="A503" t="s">
        <v>10</v>
      </c>
      <c r="B503">
        <v>2005</v>
      </c>
      <c r="C503" t="str">
        <f>_xlfn.CONCAT(Table16[[#This Row],[STATE]],"-",Table16[[#This Row],[YEAR]])</f>
        <v>Chhattisgarh-2005</v>
      </c>
      <c r="D503" t="s">
        <v>290</v>
      </c>
      <c r="E503">
        <v>295</v>
      </c>
    </row>
    <row r="504" spans="1:5" x14ac:dyDescent="0.3">
      <c r="A504" t="s">
        <v>10</v>
      </c>
      <c r="B504">
        <v>2005</v>
      </c>
      <c r="C504" t="str">
        <f>_xlfn.CONCAT(Table16[[#This Row],[STATE]],"-",Table16[[#This Row],[YEAR]])</f>
        <v>Chhattisgarh-2005</v>
      </c>
      <c r="D504" t="s">
        <v>123</v>
      </c>
      <c r="E504">
        <v>42</v>
      </c>
    </row>
    <row r="505" spans="1:5" x14ac:dyDescent="0.3">
      <c r="A505" t="s">
        <v>10</v>
      </c>
      <c r="B505">
        <v>2005</v>
      </c>
      <c r="C505" t="str">
        <f>_xlfn.CONCAT(Table16[[#This Row],[STATE]],"-",Table16[[#This Row],[YEAR]])</f>
        <v>Chhattisgarh-2005</v>
      </c>
      <c r="D505" t="s">
        <v>270</v>
      </c>
      <c r="E505">
        <v>12</v>
      </c>
    </row>
    <row r="506" spans="1:5" x14ac:dyDescent="0.3">
      <c r="A506" t="s">
        <v>10</v>
      </c>
      <c r="B506">
        <v>2005</v>
      </c>
      <c r="C506" t="str">
        <f>_xlfn.CONCAT(Table16[[#This Row],[STATE]],"-",Table16[[#This Row],[YEAR]])</f>
        <v>Chhattisgarh-2005</v>
      </c>
      <c r="D506" t="s">
        <v>306</v>
      </c>
      <c r="E506">
        <v>9</v>
      </c>
    </row>
    <row r="507" spans="1:5" x14ac:dyDescent="0.3">
      <c r="A507" t="s">
        <v>10</v>
      </c>
      <c r="B507">
        <v>2005</v>
      </c>
      <c r="C507" t="str">
        <f>_xlfn.CONCAT(Table16[[#This Row],[STATE]],"-",Table16[[#This Row],[YEAR]])</f>
        <v>Chhattisgarh-2005</v>
      </c>
      <c r="D507" t="s">
        <v>299</v>
      </c>
      <c r="E507">
        <v>12</v>
      </c>
    </row>
    <row r="508" spans="1:5" x14ac:dyDescent="0.3">
      <c r="A508" t="s">
        <v>10</v>
      </c>
      <c r="B508">
        <v>2005</v>
      </c>
      <c r="C508" t="str">
        <f>_xlfn.CONCAT(Table16[[#This Row],[STATE]],"-",Table16[[#This Row],[YEAR]])</f>
        <v>Chhattisgarh-2005</v>
      </c>
      <c r="D508" t="s">
        <v>307</v>
      </c>
      <c r="E508">
        <v>63</v>
      </c>
    </row>
    <row r="509" spans="1:5" x14ac:dyDescent="0.3">
      <c r="A509" t="s">
        <v>10</v>
      </c>
      <c r="B509">
        <v>2005</v>
      </c>
      <c r="C509" t="str">
        <f>_xlfn.CONCAT(Table16[[#This Row],[STATE]],"-",Table16[[#This Row],[YEAR]])</f>
        <v>Chhattisgarh-2005</v>
      </c>
      <c r="D509" t="s">
        <v>308</v>
      </c>
      <c r="E509">
        <v>35</v>
      </c>
    </row>
    <row r="510" spans="1:5" x14ac:dyDescent="0.3">
      <c r="A510" t="s">
        <v>10</v>
      </c>
      <c r="B510">
        <v>2005</v>
      </c>
      <c r="C510" t="str">
        <f>_xlfn.CONCAT(Table16[[#This Row],[STATE]],"-",Table16[[#This Row],[YEAR]])</f>
        <v>Chhattisgarh-2005</v>
      </c>
      <c r="D510" t="s">
        <v>301</v>
      </c>
      <c r="E510">
        <v>23</v>
      </c>
    </row>
    <row r="511" spans="1:5" x14ac:dyDescent="0.3">
      <c r="A511" t="s">
        <v>10</v>
      </c>
      <c r="B511">
        <v>2005</v>
      </c>
      <c r="C511" t="str">
        <f>_xlfn.CONCAT(Table16[[#This Row],[STATE]],"-",Table16[[#This Row],[YEAR]])</f>
        <v>Chhattisgarh-2005</v>
      </c>
      <c r="D511" t="s">
        <v>266</v>
      </c>
      <c r="E511">
        <v>87</v>
      </c>
    </row>
    <row r="512" spans="1:5" x14ac:dyDescent="0.3">
      <c r="A512" t="s">
        <v>10</v>
      </c>
      <c r="B512">
        <v>2005</v>
      </c>
      <c r="C512" t="str">
        <f>_xlfn.CONCAT(Table16[[#This Row],[STATE]],"-",Table16[[#This Row],[YEAR]])</f>
        <v>Chhattisgarh-2005</v>
      </c>
      <c r="D512" t="s">
        <v>286</v>
      </c>
      <c r="E512">
        <v>226</v>
      </c>
    </row>
    <row r="513" spans="1:5" x14ac:dyDescent="0.3">
      <c r="A513" t="s">
        <v>10</v>
      </c>
      <c r="B513">
        <v>2005</v>
      </c>
      <c r="C513" t="str">
        <f>_xlfn.CONCAT(Table16[[#This Row],[STATE]],"-",Table16[[#This Row],[YEAR]])</f>
        <v>Chhattisgarh-2005</v>
      </c>
      <c r="D513" t="s">
        <v>309</v>
      </c>
      <c r="E513">
        <v>23</v>
      </c>
    </row>
    <row r="514" spans="1:5" x14ac:dyDescent="0.3">
      <c r="A514" t="s">
        <v>10</v>
      </c>
      <c r="B514">
        <v>2005</v>
      </c>
      <c r="C514" t="str">
        <f>_xlfn.CONCAT(Table16[[#This Row],[STATE]],"-",Table16[[#This Row],[YEAR]])</f>
        <v>Chhattisgarh-2005</v>
      </c>
      <c r="D514" t="s">
        <v>126</v>
      </c>
      <c r="E514">
        <v>6</v>
      </c>
    </row>
    <row r="515" spans="1:5" x14ac:dyDescent="0.3">
      <c r="A515" t="s">
        <v>10</v>
      </c>
      <c r="B515">
        <v>2005</v>
      </c>
      <c r="C515" t="str">
        <f>_xlfn.CONCAT(Table16[[#This Row],[STATE]],"-",Table16[[#This Row],[YEAR]])</f>
        <v>Chhattisgarh-2005</v>
      </c>
      <c r="D515" t="s">
        <v>295</v>
      </c>
      <c r="E515">
        <v>29</v>
      </c>
    </row>
    <row r="516" spans="1:5" x14ac:dyDescent="0.3">
      <c r="A516" t="s">
        <v>10</v>
      </c>
      <c r="B516">
        <v>2005</v>
      </c>
      <c r="C516" t="str">
        <f>_xlfn.CONCAT(Table16[[#This Row],[STATE]],"-",Table16[[#This Row],[YEAR]])</f>
        <v>Chhattisgarh-2005</v>
      </c>
      <c r="D516" t="s">
        <v>296</v>
      </c>
      <c r="E516">
        <v>22</v>
      </c>
    </row>
    <row r="517" spans="1:5" x14ac:dyDescent="0.3">
      <c r="A517" t="s">
        <v>10</v>
      </c>
      <c r="B517">
        <v>2005</v>
      </c>
      <c r="C517" t="str">
        <f>_xlfn.CONCAT(Table16[[#This Row],[STATE]],"-",Table16[[#This Row],[YEAR]])</f>
        <v>Chhattisgarh-2005</v>
      </c>
      <c r="D517" t="s">
        <v>310</v>
      </c>
      <c r="E517">
        <v>40</v>
      </c>
    </row>
    <row r="518" spans="1:5" x14ac:dyDescent="0.3">
      <c r="A518" t="s">
        <v>10</v>
      </c>
      <c r="B518">
        <v>2005</v>
      </c>
      <c r="C518" t="str">
        <f>_xlfn.CONCAT(Table16[[#This Row],[STATE]],"-",Table16[[#This Row],[YEAR]])</f>
        <v>Chhattisgarh-2005</v>
      </c>
      <c r="D518" t="s">
        <v>281</v>
      </c>
      <c r="E518">
        <v>14</v>
      </c>
    </row>
    <row r="519" spans="1:5" x14ac:dyDescent="0.3">
      <c r="A519" t="s">
        <v>10</v>
      </c>
      <c r="B519">
        <v>2006</v>
      </c>
      <c r="C519" t="str">
        <f>_xlfn.CONCAT(Table16[[#This Row],[STATE]],"-",Table16[[#This Row],[YEAR]])</f>
        <v>Chhattisgarh-2006</v>
      </c>
      <c r="D519" t="s">
        <v>311</v>
      </c>
      <c r="E519">
        <v>4</v>
      </c>
    </row>
    <row r="520" spans="1:5" x14ac:dyDescent="0.3">
      <c r="A520" t="s">
        <v>10</v>
      </c>
      <c r="B520">
        <v>2006</v>
      </c>
      <c r="C520" t="str">
        <f>_xlfn.CONCAT(Table16[[#This Row],[STATE]],"-",Table16[[#This Row],[YEAR]])</f>
        <v>Chhattisgarh-2006</v>
      </c>
      <c r="D520" t="s">
        <v>312</v>
      </c>
      <c r="E520">
        <v>8</v>
      </c>
    </row>
    <row r="521" spans="1:5" x14ac:dyDescent="0.3">
      <c r="A521" t="s">
        <v>10</v>
      </c>
      <c r="B521">
        <v>2006</v>
      </c>
      <c r="C521" t="str">
        <f>_xlfn.CONCAT(Table16[[#This Row],[STATE]],"-",Table16[[#This Row],[YEAR]])</f>
        <v>Chhattisgarh-2006</v>
      </c>
      <c r="D521" t="s">
        <v>103</v>
      </c>
      <c r="E521">
        <v>153</v>
      </c>
    </row>
    <row r="522" spans="1:5" x14ac:dyDescent="0.3">
      <c r="A522" t="s">
        <v>10</v>
      </c>
      <c r="B522">
        <v>2006</v>
      </c>
      <c r="C522" t="str">
        <f>_xlfn.CONCAT(Table16[[#This Row],[STATE]],"-",Table16[[#This Row],[YEAR]])</f>
        <v>Chhattisgarh-2006</v>
      </c>
      <c r="D522" t="s">
        <v>189</v>
      </c>
      <c r="E522">
        <v>29</v>
      </c>
    </row>
    <row r="523" spans="1:5" x14ac:dyDescent="0.3">
      <c r="A523" t="s">
        <v>10</v>
      </c>
      <c r="B523">
        <v>2006</v>
      </c>
      <c r="C523" t="str">
        <f>_xlfn.CONCAT(Table16[[#This Row],[STATE]],"-",Table16[[#This Row],[YEAR]])</f>
        <v>Chhattisgarh-2006</v>
      </c>
      <c r="D523" t="s">
        <v>313</v>
      </c>
      <c r="E523">
        <v>81</v>
      </c>
    </row>
    <row r="524" spans="1:5" x14ac:dyDescent="0.3">
      <c r="A524" t="s">
        <v>10</v>
      </c>
      <c r="B524">
        <v>2006</v>
      </c>
      <c r="C524" t="str">
        <f>_xlfn.CONCAT(Table16[[#This Row],[STATE]],"-",Table16[[#This Row],[YEAR]])</f>
        <v>Chhattisgarh-2006</v>
      </c>
      <c r="D524" t="s">
        <v>314</v>
      </c>
      <c r="E524">
        <v>112</v>
      </c>
    </row>
    <row r="525" spans="1:5" x14ac:dyDescent="0.3">
      <c r="A525" t="s">
        <v>10</v>
      </c>
      <c r="B525">
        <v>2006</v>
      </c>
      <c r="C525" t="str">
        <f>_xlfn.CONCAT(Table16[[#This Row],[STATE]],"-",Table16[[#This Row],[YEAR]])</f>
        <v>Chhattisgarh-2006</v>
      </c>
      <c r="D525" t="s">
        <v>303</v>
      </c>
      <c r="E525">
        <v>41</v>
      </c>
    </row>
    <row r="526" spans="1:5" x14ac:dyDescent="0.3">
      <c r="A526" t="s">
        <v>10</v>
      </c>
      <c r="B526">
        <v>2006</v>
      </c>
      <c r="C526" t="str">
        <f>_xlfn.CONCAT(Table16[[#This Row],[STATE]],"-",Table16[[#This Row],[YEAR]])</f>
        <v>Chhattisgarh-2006</v>
      </c>
      <c r="D526" t="s">
        <v>315</v>
      </c>
      <c r="E526">
        <v>43</v>
      </c>
    </row>
    <row r="527" spans="1:5" x14ac:dyDescent="0.3">
      <c r="A527" t="s">
        <v>10</v>
      </c>
      <c r="B527">
        <v>2006</v>
      </c>
      <c r="C527" t="str">
        <f>_xlfn.CONCAT(Table16[[#This Row],[STATE]],"-",Table16[[#This Row],[YEAR]])</f>
        <v>Chhattisgarh-2006</v>
      </c>
      <c r="D527" t="s">
        <v>316</v>
      </c>
      <c r="E527">
        <v>1</v>
      </c>
    </row>
    <row r="528" spans="1:5" x14ac:dyDescent="0.3">
      <c r="A528" t="s">
        <v>10</v>
      </c>
      <c r="B528">
        <v>2006</v>
      </c>
      <c r="C528" t="str">
        <f>_xlfn.CONCAT(Table16[[#This Row],[STATE]],"-",Table16[[#This Row],[YEAR]])</f>
        <v>Chhattisgarh-2006</v>
      </c>
      <c r="D528" t="s">
        <v>267</v>
      </c>
      <c r="E528">
        <v>15</v>
      </c>
    </row>
    <row r="529" spans="1:5" x14ac:dyDescent="0.3">
      <c r="A529" t="s">
        <v>10</v>
      </c>
      <c r="B529">
        <v>2006</v>
      </c>
      <c r="C529" t="str">
        <f>_xlfn.CONCAT(Table16[[#This Row],[STATE]],"-",Table16[[#This Row],[YEAR]])</f>
        <v>Chhattisgarh-2006</v>
      </c>
      <c r="D529" t="s">
        <v>116</v>
      </c>
      <c r="E529">
        <v>4</v>
      </c>
    </row>
    <row r="530" spans="1:5" x14ac:dyDescent="0.3">
      <c r="A530" t="s">
        <v>10</v>
      </c>
      <c r="B530">
        <v>2006</v>
      </c>
      <c r="C530" t="str">
        <f>_xlfn.CONCAT(Table16[[#This Row],[STATE]],"-",Table16[[#This Row],[YEAR]])</f>
        <v>Chhattisgarh-2006</v>
      </c>
      <c r="D530" t="s">
        <v>266</v>
      </c>
      <c r="E530">
        <v>87</v>
      </c>
    </row>
    <row r="531" spans="1:5" x14ac:dyDescent="0.3">
      <c r="A531" t="s">
        <v>10</v>
      </c>
      <c r="B531">
        <v>2006</v>
      </c>
      <c r="C531" t="str">
        <f>_xlfn.CONCAT(Table16[[#This Row],[STATE]],"-",Table16[[#This Row],[YEAR]])</f>
        <v>Chhattisgarh-2006</v>
      </c>
      <c r="D531" t="s">
        <v>286</v>
      </c>
      <c r="E531">
        <v>165</v>
      </c>
    </row>
    <row r="532" spans="1:5" x14ac:dyDescent="0.3">
      <c r="A532" t="s">
        <v>10</v>
      </c>
      <c r="B532">
        <v>2006</v>
      </c>
      <c r="C532" t="str">
        <f>_xlfn.CONCAT(Table16[[#This Row],[STATE]],"-",Table16[[#This Row],[YEAR]])</f>
        <v>Chhattisgarh-2006</v>
      </c>
      <c r="D532" t="s">
        <v>317</v>
      </c>
      <c r="E532">
        <v>8</v>
      </c>
    </row>
    <row r="533" spans="1:5" x14ac:dyDescent="0.3">
      <c r="A533" t="s">
        <v>10</v>
      </c>
      <c r="B533">
        <v>2006</v>
      </c>
      <c r="C533" t="str">
        <f>_xlfn.CONCAT(Table16[[#This Row],[STATE]],"-",Table16[[#This Row],[YEAR]])</f>
        <v>Chhattisgarh-2006</v>
      </c>
      <c r="D533" t="s">
        <v>318</v>
      </c>
      <c r="E533">
        <v>3</v>
      </c>
    </row>
    <row r="534" spans="1:5" x14ac:dyDescent="0.3">
      <c r="A534" t="s">
        <v>10</v>
      </c>
      <c r="B534">
        <v>2006</v>
      </c>
      <c r="C534" t="str">
        <f>_xlfn.CONCAT(Table16[[#This Row],[STATE]],"-",Table16[[#This Row],[YEAR]])</f>
        <v>Chhattisgarh-2006</v>
      </c>
      <c r="D534" t="s">
        <v>99</v>
      </c>
      <c r="E534">
        <v>149</v>
      </c>
    </row>
    <row r="535" spans="1:5" x14ac:dyDescent="0.3">
      <c r="A535" t="s">
        <v>10</v>
      </c>
      <c r="B535">
        <v>2007</v>
      </c>
      <c r="C535" t="str">
        <f>_xlfn.CONCAT(Table16[[#This Row],[STATE]],"-",Table16[[#This Row],[YEAR]])</f>
        <v>Chhattisgarh-2007</v>
      </c>
      <c r="D535" t="s">
        <v>311</v>
      </c>
      <c r="E535">
        <v>4</v>
      </c>
    </row>
    <row r="536" spans="1:5" x14ac:dyDescent="0.3">
      <c r="A536" t="s">
        <v>10</v>
      </c>
      <c r="B536">
        <v>2007</v>
      </c>
      <c r="C536" t="str">
        <f>_xlfn.CONCAT(Table16[[#This Row],[STATE]],"-",Table16[[#This Row],[YEAR]])</f>
        <v>Chhattisgarh-2007</v>
      </c>
      <c r="D536" t="s">
        <v>126</v>
      </c>
      <c r="E536">
        <v>13</v>
      </c>
    </row>
    <row r="537" spans="1:5" x14ac:dyDescent="0.3">
      <c r="A537" t="s">
        <v>10</v>
      </c>
      <c r="B537">
        <v>2007</v>
      </c>
      <c r="C537" t="str">
        <f>_xlfn.CONCAT(Table16[[#This Row],[STATE]],"-",Table16[[#This Row],[YEAR]])</f>
        <v>Chhattisgarh-2007</v>
      </c>
      <c r="D537" t="s">
        <v>103</v>
      </c>
      <c r="E537">
        <v>131</v>
      </c>
    </row>
    <row r="538" spans="1:5" x14ac:dyDescent="0.3">
      <c r="A538" t="s">
        <v>10</v>
      </c>
      <c r="B538">
        <v>2007</v>
      </c>
      <c r="C538" t="str">
        <f>_xlfn.CONCAT(Table16[[#This Row],[STATE]],"-",Table16[[#This Row],[YEAR]])</f>
        <v>Chhattisgarh-2007</v>
      </c>
      <c r="D538" t="s">
        <v>189</v>
      </c>
      <c r="E538">
        <v>77</v>
      </c>
    </row>
    <row r="539" spans="1:5" x14ac:dyDescent="0.3">
      <c r="A539" t="s">
        <v>10</v>
      </c>
      <c r="B539">
        <v>2007</v>
      </c>
      <c r="C539" t="str">
        <f>_xlfn.CONCAT(Table16[[#This Row],[STATE]],"-",Table16[[#This Row],[YEAR]])</f>
        <v>Chhattisgarh-2007</v>
      </c>
      <c r="D539" t="s">
        <v>283</v>
      </c>
      <c r="E539">
        <v>253</v>
      </c>
    </row>
    <row r="540" spans="1:5" x14ac:dyDescent="0.3">
      <c r="A540" t="s">
        <v>10</v>
      </c>
      <c r="B540">
        <v>2007</v>
      </c>
      <c r="C540" t="str">
        <f>_xlfn.CONCAT(Table16[[#This Row],[STATE]],"-",Table16[[#This Row],[YEAR]])</f>
        <v>Chhattisgarh-2007</v>
      </c>
      <c r="D540" t="s">
        <v>270</v>
      </c>
      <c r="E540">
        <v>5</v>
      </c>
    </row>
    <row r="541" spans="1:5" x14ac:dyDescent="0.3">
      <c r="A541" t="s">
        <v>10</v>
      </c>
      <c r="B541">
        <v>2007</v>
      </c>
      <c r="C541" t="str">
        <f>_xlfn.CONCAT(Table16[[#This Row],[STATE]],"-",Table16[[#This Row],[YEAR]])</f>
        <v>Chhattisgarh-2007</v>
      </c>
      <c r="D541" t="s">
        <v>319</v>
      </c>
      <c r="E541">
        <v>32</v>
      </c>
    </row>
    <row r="542" spans="1:5" x14ac:dyDescent="0.3">
      <c r="A542" t="s">
        <v>10</v>
      </c>
      <c r="B542">
        <v>2007</v>
      </c>
      <c r="C542" t="str">
        <f>_xlfn.CONCAT(Table16[[#This Row],[STATE]],"-",Table16[[#This Row],[YEAR]])</f>
        <v>Chhattisgarh-2007</v>
      </c>
      <c r="D542" t="s">
        <v>303</v>
      </c>
      <c r="E542">
        <v>12</v>
      </c>
    </row>
    <row r="543" spans="1:5" x14ac:dyDescent="0.3">
      <c r="A543" t="s">
        <v>10</v>
      </c>
      <c r="B543">
        <v>2007</v>
      </c>
      <c r="C543" t="str">
        <f>_xlfn.CONCAT(Table16[[#This Row],[STATE]],"-",Table16[[#This Row],[YEAR]])</f>
        <v>Chhattisgarh-2007</v>
      </c>
      <c r="D543" t="s">
        <v>316</v>
      </c>
      <c r="E543">
        <v>18</v>
      </c>
    </row>
    <row r="544" spans="1:5" x14ac:dyDescent="0.3">
      <c r="A544" t="s">
        <v>10</v>
      </c>
      <c r="B544">
        <v>2007</v>
      </c>
      <c r="C544" t="str">
        <f>_xlfn.CONCAT(Table16[[#This Row],[STATE]],"-",Table16[[#This Row],[YEAR]])</f>
        <v>Chhattisgarh-2007</v>
      </c>
      <c r="D544" t="s">
        <v>292</v>
      </c>
      <c r="E544">
        <v>19</v>
      </c>
    </row>
    <row r="545" spans="1:5" x14ac:dyDescent="0.3">
      <c r="A545" t="s">
        <v>10</v>
      </c>
      <c r="B545">
        <v>2007</v>
      </c>
      <c r="C545" t="str">
        <f>_xlfn.CONCAT(Table16[[#This Row],[STATE]],"-",Table16[[#This Row],[YEAR]])</f>
        <v>Chhattisgarh-2007</v>
      </c>
      <c r="D545" t="s">
        <v>138</v>
      </c>
      <c r="E545">
        <v>10</v>
      </c>
    </row>
    <row r="546" spans="1:5" x14ac:dyDescent="0.3">
      <c r="A546" t="s">
        <v>10</v>
      </c>
      <c r="B546">
        <v>2007</v>
      </c>
      <c r="C546" t="str">
        <f>_xlfn.CONCAT(Table16[[#This Row],[STATE]],"-",Table16[[#This Row],[YEAR]])</f>
        <v>Chhattisgarh-2007</v>
      </c>
      <c r="D546" t="s">
        <v>266</v>
      </c>
      <c r="E546">
        <v>102</v>
      </c>
    </row>
    <row r="547" spans="1:5" x14ac:dyDescent="0.3">
      <c r="A547" t="s">
        <v>10</v>
      </c>
      <c r="B547">
        <v>2007</v>
      </c>
      <c r="C547" t="str">
        <f>_xlfn.CONCAT(Table16[[#This Row],[STATE]],"-",Table16[[#This Row],[YEAR]])</f>
        <v>Chhattisgarh-2007</v>
      </c>
      <c r="D547" t="s">
        <v>90</v>
      </c>
      <c r="E547">
        <v>232</v>
      </c>
    </row>
    <row r="548" spans="1:5" x14ac:dyDescent="0.3">
      <c r="A548" t="s">
        <v>10</v>
      </c>
      <c r="B548">
        <v>2007</v>
      </c>
      <c r="C548" t="str">
        <f>_xlfn.CONCAT(Table16[[#This Row],[STATE]],"-",Table16[[#This Row],[YEAR]])</f>
        <v>Chhattisgarh-2007</v>
      </c>
      <c r="D548" t="s">
        <v>140</v>
      </c>
      <c r="E548">
        <v>21</v>
      </c>
    </row>
    <row r="549" spans="1:5" x14ac:dyDescent="0.3">
      <c r="A549" t="s">
        <v>10</v>
      </c>
      <c r="B549">
        <v>2007</v>
      </c>
      <c r="C549" t="str">
        <f>_xlfn.CONCAT(Table16[[#This Row],[STATE]],"-",Table16[[#This Row],[YEAR]])</f>
        <v>Chhattisgarh-2007</v>
      </c>
      <c r="D549" t="s">
        <v>102</v>
      </c>
      <c r="E549">
        <v>9</v>
      </c>
    </row>
    <row r="550" spans="1:5" x14ac:dyDescent="0.3">
      <c r="A550" t="s">
        <v>10</v>
      </c>
      <c r="B550">
        <v>2008</v>
      </c>
      <c r="C550" t="str">
        <f>_xlfn.CONCAT(Table16[[#This Row],[STATE]],"-",Table16[[#This Row],[YEAR]])</f>
        <v>Chhattisgarh-2008</v>
      </c>
      <c r="D550" t="s">
        <v>320</v>
      </c>
      <c r="E550">
        <v>15</v>
      </c>
    </row>
    <row r="551" spans="1:5" x14ac:dyDescent="0.3">
      <c r="A551" t="s">
        <v>10</v>
      </c>
      <c r="B551">
        <v>2008</v>
      </c>
      <c r="C551" t="str">
        <f>_xlfn.CONCAT(Table16[[#This Row],[STATE]],"-",Table16[[#This Row],[YEAR]])</f>
        <v>Chhattisgarh-2008</v>
      </c>
      <c r="D551" t="s">
        <v>321</v>
      </c>
      <c r="E551">
        <v>5</v>
      </c>
    </row>
    <row r="552" spans="1:5" x14ac:dyDescent="0.3">
      <c r="A552" t="s">
        <v>10</v>
      </c>
      <c r="B552">
        <v>2008</v>
      </c>
      <c r="C552" t="str">
        <f>_xlfn.CONCAT(Table16[[#This Row],[STATE]],"-",Table16[[#This Row],[YEAR]])</f>
        <v>Chhattisgarh-2008</v>
      </c>
      <c r="D552" t="s">
        <v>122</v>
      </c>
      <c r="E552">
        <v>52</v>
      </c>
    </row>
    <row r="553" spans="1:5" x14ac:dyDescent="0.3">
      <c r="A553" t="s">
        <v>10</v>
      </c>
      <c r="B553">
        <v>2008</v>
      </c>
      <c r="C553" t="str">
        <f>_xlfn.CONCAT(Table16[[#This Row],[STATE]],"-",Table16[[#This Row],[YEAR]])</f>
        <v>Chhattisgarh-2008</v>
      </c>
      <c r="D553" t="s">
        <v>143</v>
      </c>
      <c r="E553">
        <v>4</v>
      </c>
    </row>
    <row r="554" spans="1:5" x14ac:dyDescent="0.3">
      <c r="A554" t="s">
        <v>10</v>
      </c>
      <c r="B554">
        <v>2008</v>
      </c>
      <c r="C554" t="str">
        <f>_xlfn.CONCAT(Table16[[#This Row],[STATE]],"-",Table16[[#This Row],[YEAR]])</f>
        <v>Chhattisgarh-2008</v>
      </c>
      <c r="D554" t="s">
        <v>123</v>
      </c>
      <c r="E554">
        <v>136</v>
      </c>
    </row>
    <row r="555" spans="1:5" x14ac:dyDescent="0.3">
      <c r="A555" t="s">
        <v>10</v>
      </c>
      <c r="B555">
        <v>2008</v>
      </c>
      <c r="C555" t="str">
        <f>_xlfn.CONCAT(Table16[[#This Row],[STATE]],"-",Table16[[#This Row],[YEAR]])</f>
        <v>Chhattisgarh-2008</v>
      </c>
      <c r="D555" t="s">
        <v>322</v>
      </c>
      <c r="E555">
        <v>21</v>
      </c>
    </row>
    <row r="556" spans="1:5" x14ac:dyDescent="0.3">
      <c r="A556" t="s">
        <v>10</v>
      </c>
      <c r="B556">
        <v>2008</v>
      </c>
      <c r="C556" t="str">
        <f>_xlfn.CONCAT(Table16[[#This Row],[STATE]],"-",Table16[[#This Row],[YEAR]])</f>
        <v>Chhattisgarh-2008</v>
      </c>
      <c r="D556" t="s">
        <v>140</v>
      </c>
      <c r="E556">
        <v>19</v>
      </c>
    </row>
    <row r="557" spans="1:5" x14ac:dyDescent="0.3">
      <c r="A557" t="s">
        <v>10</v>
      </c>
      <c r="B557">
        <v>2008</v>
      </c>
      <c r="C557" t="str">
        <f>_xlfn.CONCAT(Table16[[#This Row],[STATE]],"-",Table16[[#This Row],[YEAR]])</f>
        <v>Chhattisgarh-2008</v>
      </c>
      <c r="D557" t="s">
        <v>323</v>
      </c>
      <c r="E557">
        <v>10</v>
      </c>
    </row>
    <row r="558" spans="1:5" x14ac:dyDescent="0.3">
      <c r="A558" t="s">
        <v>10</v>
      </c>
      <c r="B558">
        <v>2008</v>
      </c>
      <c r="C558" t="str">
        <f>_xlfn.CONCAT(Table16[[#This Row],[STATE]],"-",Table16[[#This Row],[YEAR]])</f>
        <v>Chhattisgarh-2008</v>
      </c>
      <c r="D558" t="s">
        <v>324</v>
      </c>
      <c r="E558">
        <v>19</v>
      </c>
    </row>
    <row r="559" spans="1:5" x14ac:dyDescent="0.3">
      <c r="A559" t="s">
        <v>10</v>
      </c>
      <c r="B559">
        <v>2008</v>
      </c>
      <c r="C559" t="str">
        <f>_xlfn.CONCAT(Table16[[#This Row],[STATE]],"-",Table16[[#This Row],[YEAR]])</f>
        <v>Chhattisgarh-2008</v>
      </c>
      <c r="D559" t="s">
        <v>325</v>
      </c>
      <c r="E559">
        <v>11</v>
      </c>
    </row>
    <row r="560" spans="1:5" x14ac:dyDescent="0.3">
      <c r="A560" t="s">
        <v>10</v>
      </c>
      <c r="B560">
        <v>2008</v>
      </c>
      <c r="C560" t="str">
        <f>_xlfn.CONCAT(Table16[[#This Row],[STATE]],"-",Table16[[#This Row],[YEAR]])</f>
        <v>Chhattisgarh-2008</v>
      </c>
      <c r="D560" t="s">
        <v>141</v>
      </c>
      <c r="E560">
        <v>9</v>
      </c>
    </row>
    <row r="561" spans="1:5" x14ac:dyDescent="0.3">
      <c r="A561" t="s">
        <v>10</v>
      </c>
      <c r="B561">
        <v>2008</v>
      </c>
      <c r="C561" t="str">
        <f>_xlfn.CONCAT(Table16[[#This Row],[STATE]],"-",Table16[[#This Row],[YEAR]])</f>
        <v>Chhattisgarh-2008</v>
      </c>
      <c r="D561" t="s">
        <v>266</v>
      </c>
      <c r="E561">
        <v>28</v>
      </c>
    </row>
    <row r="562" spans="1:5" x14ac:dyDescent="0.3">
      <c r="A562" t="s">
        <v>10</v>
      </c>
      <c r="B562">
        <v>2008</v>
      </c>
      <c r="C562" t="str">
        <f>_xlfn.CONCAT(Table16[[#This Row],[STATE]],"-",Table16[[#This Row],[YEAR]])</f>
        <v>Chhattisgarh-2008</v>
      </c>
      <c r="D562" t="s">
        <v>102</v>
      </c>
      <c r="E562">
        <v>2</v>
      </c>
    </row>
    <row r="563" spans="1:5" x14ac:dyDescent="0.3">
      <c r="A563" t="s">
        <v>10</v>
      </c>
      <c r="B563">
        <v>2008</v>
      </c>
      <c r="C563" t="str">
        <f>_xlfn.CONCAT(Table16[[#This Row],[STATE]],"-",Table16[[#This Row],[YEAR]])</f>
        <v>Chhattisgarh-2008</v>
      </c>
      <c r="D563" t="s">
        <v>103</v>
      </c>
      <c r="E563">
        <v>111</v>
      </c>
    </row>
    <row r="564" spans="1:5" x14ac:dyDescent="0.3">
      <c r="A564" t="s">
        <v>10</v>
      </c>
      <c r="B564">
        <v>2008</v>
      </c>
      <c r="C564" t="str">
        <f>_xlfn.CONCAT(Table16[[#This Row],[STATE]],"-",Table16[[#This Row],[YEAR]])</f>
        <v>Chhattisgarh-2008</v>
      </c>
      <c r="D564" t="s">
        <v>270</v>
      </c>
      <c r="E564">
        <v>5</v>
      </c>
    </row>
    <row r="565" spans="1:5" x14ac:dyDescent="0.3">
      <c r="A565" t="s">
        <v>10</v>
      </c>
      <c r="B565">
        <v>2008</v>
      </c>
      <c r="C565" t="str">
        <f>_xlfn.CONCAT(Table16[[#This Row],[STATE]],"-",Table16[[#This Row],[YEAR]])</f>
        <v>Chhattisgarh-2008</v>
      </c>
      <c r="D565" t="s">
        <v>326</v>
      </c>
      <c r="E565">
        <v>8</v>
      </c>
    </row>
    <row r="566" spans="1:5" x14ac:dyDescent="0.3">
      <c r="A566" t="s">
        <v>10</v>
      </c>
      <c r="B566">
        <v>2008</v>
      </c>
      <c r="C566" t="str">
        <f>_xlfn.CONCAT(Table16[[#This Row],[STATE]],"-",Table16[[#This Row],[YEAR]])</f>
        <v>Chhattisgarh-2008</v>
      </c>
      <c r="D566" t="s">
        <v>90</v>
      </c>
      <c r="E566">
        <v>118</v>
      </c>
    </row>
    <row r="567" spans="1:5" x14ac:dyDescent="0.3">
      <c r="A567" t="s">
        <v>10</v>
      </c>
      <c r="B567">
        <v>2008</v>
      </c>
      <c r="C567" t="str">
        <f>_xlfn.CONCAT(Table16[[#This Row],[STATE]],"-",Table16[[#This Row],[YEAR]])</f>
        <v>Chhattisgarh-2008</v>
      </c>
      <c r="D567" t="s">
        <v>327</v>
      </c>
      <c r="E567">
        <v>57</v>
      </c>
    </row>
    <row r="568" spans="1:5" x14ac:dyDescent="0.3">
      <c r="A568" t="s">
        <v>10</v>
      </c>
      <c r="B568">
        <v>2008</v>
      </c>
      <c r="C568" t="str">
        <f>_xlfn.CONCAT(Table16[[#This Row],[STATE]],"-",Table16[[#This Row],[YEAR]])</f>
        <v>Chhattisgarh-2008</v>
      </c>
      <c r="D568" t="s">
        <v>272</v>
      </c>
      <c r="E568">
        <v>36</v>
      </c>
    </row>
    <row r="569" spans="1:5" x14ac:dyDescent="0.3">
      <c r="A569" t="s">
        <v>10</v>
      </c>
      <c r="B569">
        <v>2009</v>
      </c>
      <c r="C569" t="str">
        <f>_xlfn.CONCAT(Table16[[#This Row],[STATE]],"-",Table16[[#This Row],[YEAR]])</f>
        <v>Chhattisgarh-2009</v>
      </c>
      <c r="D569" t="s">
        <v>328</v>
      </c>
      <c r="E569">
        <v>147</v>
      </c>
    </row>
    <row r="570" spans="1:5" x14ac:dyDescent="0.3">
      <c r="A570" t="s">
        <v>10</v>
      </c>
      <c r="B570">
        <v>2009</v>
      </c>
      <c r="C570" t="str">
        <f>_xlfn.CONCAT(Table16[[#This Row],[STATE]],"-",Table16[[#This Row],[YEAR]])</f>
        <v>Chhattisgarh-2009</v>
      </c>
      <c r="D570" t="s">
        <v>103</v>
      </c>
      <c r="E570">
        <v>148</v>
      </c>
    </row>
    <row r="571" spans="1:5" x14ac:dyDescent="0.3">
      <c r="A571" t="s">
        <v>10</v>
      </c>
      <c r="B571">
        <v>2009</v>
      </c>
      <c r="C571" t="str">
        <f>_xlfn.CONCAT(Table16[[#This Row],[STATE]],"-",Table16[[#This Row],[YEAR]])</f>
        <v>Chhattisgarh-2009</v>
      </c>
      <c r="D571" t="s">
        <v>90</v>
      </c>
      <c r="E571">
        <v>122</v>
      </c>
    </row>
    <row r="572" spans="1:5" x14ac:dyDescent="0.3">
      <c r="A572" t="s">
        <v>10</v>
      </c>
      <c r="B572">
        <v>2009</v>
      </c>
      <c r="C572" t="str">
        <f>_xlfn.CONCAT(Table16[[#This Row],[STATE]],"-",Table16[[#This Row],[YEAR]])</f>
        <v>Chhattisgarh-2009</v>
      </c>
      <c r="D572" t="s">
        <v>324</v>
      </c>
      <c r="E572">
        <v>9</v>
      </c>
    </row>
    <row r="573" spans="1:5" x14ac:dyDescent="0.3">
      <c r="A573" t="s">
        <v>10</v>
      </c>
      <c r="B573">
        <v>2009</v>
      </c>
      <c r="C573" t="str">
        <f>_xlfn.CONCAT(Table16[[#This Row],[STATE]],"-",Table16[[#This Row],[YEAR]])</f>
        <v>Chhattisgarh-2009</v>
      </c>
      <c r="D573" t="s">
        <v>266</v>
      </c>
      <c r="E573">
        <v>54</v>
      </c>
    </row>
    <row r="574" spans="1:5" x14ac:dyDescent="0.3">
      <c r="A574" t="s">
        <v>10</v>
      </c>
      <c r="B574">
        <v>2009</v>
      </c>
      <c r="C574" t="str">
        <f>_xlfn.CONCAT(Table16[[#This Row],[STATE]],"-",Table16[[#This Row],[YEAR]])</f>
        <v>Chhattisgarh-2009</v>
      </c>
      <c r="D574" t="s">
        <v>272</v>
      </c>
      <c r="E574">
        <v>38</v>
      </c>
    </row>
    <row r="575" spans="1:5" x14ac:dyDescent="0.3">
      <c r="A575" t="s">
        <v>10</v>
      </c>
      <c r="B575">
        <v>2009</v>
      </c>
      <c r="C575" t="str">
        <f>_xlfn.CONCAT(Table16[[#This Row],[STATE]],"-",Table16[[#This Row],[YEAR]])</f>
        <v>Chhattisgarh-2009</v>
      </c>
      <c r="D575" t="s">
        <v>329</v>
      </c>
      <c r="E575">
        <v>20</v>
      </c>
    </row>
    <row r="576" spans="1:5" x14ac:dyDescent="0.3">
      <c r="A576" t="s">
        <v>10</v>
      </c>
      <c r="B576">
        <v>2009</v>
      </c>
      <c r="C576" t="str">
        <f>_xlfn.CONCAT(Table16[[#This Row],[STATE]],"-",Table16[[#This Row],[YEAR]])</f>
        <v>Chhattisgarh-2009</v>
      </c>
      <c r="D576" t="s">
        <v>270</v>
      </c>
      <c r="E576">
        <v>20</v>
      </c>
    </row>
    <row r="577" spans="1:5" x14ac:dyDescent="0.3">
      <c r="A577" t="s">
        <v>10</v>
      </c>
      <c r="B577">
        <v>2009</v>
      </c>
      <c r="C577" t="str">
        <f>_xlfn.CONCAT(Table16[[#This Row],[STATE]],"-",Table16[[#This Row],[YEAR]])</f>
        <v>Chhattisgarh-2009</v>
      </c>
      <c r="D577" t="s">
        <v>140</v>
      </c>
      <c r="E577">
        <v>38</v>
      </c>
    </row>
    <row r="578" spans="1:5" x14ac:dyDescent="0.3">
      <c r="A578" t="s">
        <v>10</v>
      </c>
      <c r="B578">
        <v>2009</v>
      </c>
      <c r="C578" t="str">
        <f>_xlfn.CONCAT(Table16[[#This Row],[STATE]],"-",Table16[[#This Row],[YEAR]])</f>
        <v>Chhattisgarh-2009</v>
      </c>
      <c r="D578" t="s">
        <v>192</v>
      </c>
      <c r="E578">
        <v>77</v>
      </c>
    </row>
    <row r="579" spans="1:5" x14ac:dyDescent="0.3">
      <c r="A579" t="s">
        <v>10</v>
      </c>
      <c r="B579">
        <v>2009</v>
      </c>
      <c r="C579" t="str">
        <f>_xlfn.CONCAT(Table16[[#This Row],[STATE]],"-",Table16[[#This Row],[YEAR]])</f>
        <v>Chhattisgarh-2009</v>
      </c>
      <c r="D579" t="s">
        <v>330</v>
      </c>
      <c r="E579">
        <v>26</v>
      </c>
    </row>
    <row r="580" spans="1:5" x14ac:dyDescent="0.3">
      <c r="A580" t="s">
        <v>10</v>
      </c>
      <c r="B580">
        <v>2009</v>
      </c>
      <c r="C580" t="str">
        <f>_xlfn.CONCAT(Table16[[#This Row],[STATE]],"-",Table16[[#This Row],[YEAR]])</f>
        <v>Chhattisgarh-2009</v>
      </c>
      <c r="D580" t="s">
        <v>331</v>
      </c>
      <c r="E580">
        <v>14</v>
      </c>
    </row>
    <row r="581" spans="1:5" x14ac:dyDescent="0.3">
      <c r="A581" t="s">
        <v>10</v>
      </c>
      <c r="B581">
        <v>2009</v>
      </c>
      <c r="C581" t="str">
        <f>_xlfn.CONCAT(Table16[[#This Row],[STATE]],"-",Table16[[#This Row],[YEAR]])</f>
        <v>Chhattisgarh-2009</v>
      </c>
      <c r="D581" t="s">
        <v>320</v>
      </c>
      <c r="E581">
        <v>26</v>
      </c>
    </row>
    <row r="582" spans="1:5" x14ac:dyDescent="0.3">
      <c r="A582" t="s">
        <v>10</v>
      </c>
      <c r="B582">
        <v>2009</v>
      </c>
      <c r="C582" t="str">
        <f>_xlfn.CONCAT(Table16[[#This Row],[STATE]],"-",Table16[[#This Row],[YEAR]])</f>
        <v>Chhattisgarh-2009</v>
      </c>
      <c r="D582" t="s">
        <v>332</v>
      </c>
      <c r="E582">
        <v>8</v>
      </c>
    </row>
    <row r="583" spans="1:5" x14ac:dyDescent="0.3">
      <c r="A583" t="s">
        <v>10</v>
      </c>
      <c r="B583">
        <v>2009</v>
      </c>
      <c r="C583" t="str">
        <f>_xlfn.CONCAT(Table16[[#This Row],[STATE]],"-",Table16[[#This Row],[YEAR]])</f>
        <v>Chhattisgarh-2009</v>
      </c>
      <c r="D583" t="s">
        <v>296</v>
      </c>
      <c r="E583">
        <v>20</v>
      </c>
    </row>
    <row r="584" spans="1:5" x14ac:dyDescent="0.3">
      <c r="A584" t="s">
        <v>10</v>
      </c>
      <c r="B584">
        <v>2009</v>
      </c>
      <c r="C584" t="str">
        <f>_xlfn.CONCAT(Table16[[#This Row],[STATE]],"-",Table16[[#This Row],[YEAR]])</f>
        <v>Chhattisgarh-2009</v>
      </c>
      <c r="D584" t="s">
        <v>333</v>
      </c>
      <c r="E584">
        <v>31</v>
      </c>
    </row>
    <row r="585" spans="1:5" x14ac:dyDescent="0.3">
      <c r="A585" t="s">
        <v>10</v>
      </c>
      <c r="B585">
        <v>2009</v>
      </c>
      <c r="C585" t="str">
        <f>_xlfn.CONCAT(Table16[[#This Row],[STATE]],"-",Table16[[#This Row],[YEAR]])</f>
        <v>Chhattisgarh-2009</v>
      </c>
      <c r="D585" t="s">
        <v>334</v>
      </c>
      <c r="E585">
        <v>20</v>
      </c>
    </row>
    <row r="586" spans="1:5" x14ac:dyDescent="0.3">
      <c r="A586" t="s">
        <v>10</v>
      </c>
      <c r="B586">
        <v>2010</v>
      </c>
      <c r="C586" t="str">
        <f>_xlfn.CONCAT(Table16[[#This Row],[STATE]],"-",Table16[[#This Row],[YEAR]])</f>
        <v>Chhattisgarh-2010</v>
      </c>
      <c r="D586" t="s">
        <v>333</v>
      </c>
      <c r="E586">
        <v>20</v>
      </c>
    </row>
    <row r="587" spans="1:5" x14ac:dyDescent="0.3">
      <c r="A587" t="s">
        <v>10</v>
      </c>
      <c r="B587">
        <v>2010</v>
      </c>
      <c r="C587" t="str">
        <f>_xlfn.CONCAT(Table16[[#This Row],[STATE]],"-",Table16[[#This Row],[YEAR]])</f>
        <v>Chhattisgarh-2010</v>
      </c>
      <c r="D587" t="s">
        <v>320</v>
      </c>
      <c r="E587">
        <v>15</v>
      </c>
    </row>
    <row r="588" spans="1:5" x14ac:dyDescent="0.3">
      <c r="A588" t="s">
        <v>10</v>
      </c>
      <c r="B588">
        <v>2010</v>
      </c>
      <c r="C588" t="str">
        <f>_xlfn.CONCAT(Table16[[#This Row],[STATE]],"-",Table16[[#This Row],[YEAR]])</f>
        <v>Chhattisgarh-2010</v>
      </c>
      <c r="D588" t="s">
        <v>192</v>
      </c>
      <c r="E588">
        <v>36</v>
      </c>
    </row>
    <row r="589" spans="1:5" x14ac:dyDescent="0.3">
      <c r="A589" t="s">
        <v>10</v>
      </c>
      <c r="B589">
        <v>2010</v>
      </c>
      <c r="C589" t="str">
        <f>_xlfn.CONCAT(Table16[[#This Row],[STATE]],"-",Table16[[#This Row],[YEAR]])</f>
        <v>Chhattisgarh-2010</v>
      </c>
      <c r="D589" t="s">
        <v>335</v>
      </c>
      <c r="E589">
        <v>4</v>
      </c>
    </row>
    <row r="590" spans="1:5" x14ac:dyDescent="0.3">
      <c r="A590" t="s">
        <v>10</v>
      </c>
      <c r="B590">
        <v>2010</v>
      </c>
      <c r="C590" t="str">
        <f>_xlfn.CONCAT(Table16[[#This Row],[STATE]],"-",Table16[[#This Row],[YEAR]])</f>
        <v>Chhattisgarh-2010</v>
      </c>
      <c r="D590" t="s">
        <v>123</v>
      </c>
      <c r="E590">
        <v>68</v>
      </c>
    </row>
    <row r="591" spans="1:5" x14ac:dyDescent="0.3">
      <c r="A591" t="s">
        <v>10</v>
      </c>
      <c r="B591">
        <v>2010</v>
      </c>
      <c r="C591" t="str">
        <f>_xlfn.CONCAT(Table16[[#This Row],[STATE]],"-",Table16[[#This Row],[YEAR]])</f>
        <v>Chhattisgarh-2010</v>
      </c>
      <c r="D591" t="s">
        <v>126</v>
      </c>
      <c r="E591">
        <v>4</v>
      </c>
    </row>
    <row r="592" spans="1:5" x14ac:dyDescent="0.3">
      <c r="A592" t="s">
        <v>10</v>
      </c>
      <c r="B592">
        <v>2010</v>
      </c>
      <c r="C592" t="str">
        <f>_xlfn.CONCAT(Table16[[#This Row],[STATE]],"-",Table16[[#This Row],[YEAR]])</f>
        <v>Chhattisgarh-2010</v>
      </c>
      <c r="D592" t="s">
        <v>140</v>
      </c>
      <c r="E592">
        <v>33</v>
      </c>
    </row>
    <row r="593" spans="1:5" x14ac:dyDescent="0.3">
      <c r="A593" t="s">
        <v>10</v>
      </c>
      <c r="B593">
        <v>2010</v>
      </c>
      <c r="C593" t="str">
        <f>_xlfn.CONCAT(Table16[[#This Row],[STATE]],"-",Table16[[#This Row],[YEAR]])</f>
        <v>Chhattisgarh-2010</v>
      </c>
      <c r="D593" t="s">
        <v>324</v>
      </c>
      <c r="E593">
        <v>8</v>
      </c>
    </row>
    <row r="594" spans="1:5" x14ac:dyDescent="0.3">
      <c r="A594" t="s">
        <v>10</v>
      </c>
      <c r="B594">
        <v>2010</v>
      </c>
      <c r="C594" t="str">
        <f>_xlfn.CONCAT(Table16[[#This Row],[STATE]],"-",Table16[[#This Row],[YEAR]])</f>
        <v>Chhattisgarh-2010</v>
      </c>
      <c r="D594" t="s">
        <v>336</v>
      </c>
      <c r="E594">
        <v>13</v>
      </c>
    </row>
    <row r="595" spans="1:5" x14ac:dyDescent="0.3">
      <c r="A595" t="s">
        <v>10</v>
      </c>
      <c r="B595">
        <v>2010</v>
      </c>
      <c r="C595" t="str">
        <f>_xlfn.CONCAT(Table16[[#This Row],[STATE]],"-",Table16[[#This Row],[YEAR]])</f>
        <v>Chhattisgarh-2010</v>
      </c>
      <c r="D595" t="s">
        <v>272</v>
      </c>
      <c r="E595">
        <v>36</v>
      </c>
    </row>
    <row r="596" spans="1:5" x14ac:dyDescent="0.3">
      <c r="A596" t="s">
        <v>10</v>
      </c>
      <c r="B596">
        <v>2010</v>
      </c>
      <c r="C596" t="str">
        <f>_xlfn.CONCAT(Table16[[#This Row],[STATE]],"-",Table16[[#This Row],[YEAR]])</f>
        <v>Chhattisgarh-2010</v>
      </c>
      <c r="D596" t="s">
        <v>141</v>
      </c>
      <c r="E596">
        <v>41</v>
      </c>
    </row>
    <row r="597" spans="1:5" x14ac:dyDescent="0.3">
      <c r="A597" t="s">
        <v>10</v>
      </c>
      <c r="B597">
        <v>2010</v>
      </c>
      <c r="C597" t="str">
        <f>_xlfn.CONCAT(Table16[[#This Row],[STATE]],"-",Table16[[#This Row],[YEAR]])</f>
        <v>Chhattisgarh-2010</v>
      </c>
      <c r="D597" t="s">
        <v>337</v>
      </c>
      <c r="E597">
        <v>5</v>
      </c>
    </row>
    <row r="598" spans="1:5" x14ac:dyDescent="0.3">
      <c r="A598" t="s">
        <v>10</v>
      </c>
      <c r="B598">
        <v>2010</v>
      </c>
      <c r="C598" t="str">
        <f>_xlfn.CONCAT(Table16[[#This Row],[STATE]],"-",Table16[[#This Row],[YEAR]])</f>
        <v>Chhattisgarh-2010</v>
      </c>
      <c r="D598" t="s">
        <v>266</v>
      </c>
      <c r="E598">
        <v>9</v>
      </c>
    </row>
    <row r="599" spans="1:5" x14ac:dyDescent="0.3">
      <c r="A599" t="s">
        <v>10</v>
      </c>
      <c r="B599">
        <v>2010</v>
      </c>
      <c r="C599" t="str">
        <f>_xlfn.CONCAT(Table16[[#This Row],[STATE]],"-",Table16[[#This Row],[YEAR]])</f>
        <v>Chhattisgarh-2010</v>
      </c>
      <c r="D599" t="s">
        <v>102</v>
      </c>
      <c r="E599">
        <v>26</v>
      </c>
    </row>
    <row r="600" spans="1:5" x14ac:dyDescent="0.3">
      <c r="A600" t="s">
        <v>10</v>
      </c>
      <c r="B600">
        <v>2010</v>
      </c>
      <c r="C600" t="str">
        <f>_xlfn.CONCAT(Table16[[#This Row],[STATE]],"-",Table16[[#This Row],[YEAR]])</f>
        <v>Chhattisgarh-2010</v>
      </c>
      <c r="D600" t="s">
        <v>338</v>
      </c>
      <c r="E600">
        <v>4</v>
      </c>
    </row>
    <row r="601" spans="1:5" x14ac:dyDescent="0.3">
      <c r="A601" t="s">
        <v>10</v>
      </c>
      <c r="B601">
        <v>2010</v>
      </c>
      <c r="C601" t="str">
        <f>_xlfn.CONCAT(Table16[[#This Row],[STATE]],"-",Table16[[#This Row],[YEAR]])</f>
        <v>Chhattisgarh-2010</v>
      </c>
      <c r="D601" t="s">
        <v>339</v>
      </c>
      <c r="E601">
        <v>20</v>
      </c>
    </row>
    <row r="602" spans="1:5" x14ac:dyDescent="0.3">
      <c r="A602" t="s">
        <v>10</v>
      </c>
      <c r="B602">
        <v>2010</v>
      </c>
      <c r="C602" t="str">
        <f>_xlfn.CONCAT(Table16[[#This Row],[STATE]],"-",Table16[[#This Row],[YEAR]])</f>
        <v>Chhattisgarh-2010</v>
      </c>
      <c r="D602" t="s">
        <v>103</v>
      </c>
      <c r="E602">
        <v>124</v>
      </c>
    </row>
    <row r="603" spans="1:5" x14ac:dyDescent="0.3">
      <c r="A603" t="s">
        <v>10</v>
      </c>
      <c r="B603">
        <v>2010</v>
      </c>
      <c r="C603" t="str">
        <f>_xlfn.CONCAT(Table16[[#This Row],[STATE]],"-",Table16[[#This Row],[YEAR]])</f>
        <v>Chhattisgarh-2010</v>
      </c>
      <c r="D603" t="s">
        <v>296</v>
      </c>
      <c r="E603">
        <v>20</v>
      </c>
    </row>
    <row r="604" spans="1:5" x14ac:dyDescent="0.3">
      <c r="A604" t="s">
        <v>10</v>
      </c>
      <c r="B604">
        <v>2010</v>
      </c>
      <c r="C604" t="str">
        <f>_xlfn.CONCAT(Table16[[#This Row],[STATE]],"-",Table16[[#This Row],[YEAR]])</f>
        <v>Chhattisgarh-2010</v>
      </c>
      <c r="D604" t="s">
        <v>330</v>
      </c>
      <c r="E604">
        <v>8</v>
      </c>
    </row>
    <row r="605" spans="1:5" x14ac:dyDescent="0.3">
      <c r="A605" t="s">
        <v>10</v>
      </c>
      <c r="B605">
        <v>2010</v>
      </c>
      <c r="C605" t="str">
        <f>_xlfn.CONCAT(Table16[[#This Row],[STATE]],"-",Table16[[#This Row],[YEAR]])</f>
        <v>Chhattisgarh-2010</v>
      </c>
      <c r="D605" t="s">
        <v>90</v>
      </c>
      <c r="E605">
        <v>202</v>
      </c>
    </row>
    <row r="606" spans="1:5" x14ac:dyDescent="0.3">
      <c r="A606" t="s">
        <v>10</v>
      </c>
      <c r="B606">
        <v>2010</v>
      </c>
      <c r="C606" t="str">
        <f>_xlfn.CONCAT(Table16[[#This Row],[STATE]],"-",Table16[[#This Row],[YEAR]])</f>
        <v>Chhattisgarh-2010</v>
      </c>
      <c r="D606" t="s">
        <v>327</v>
      </c>
      <c r="E606">
        <v>63</v>
      </c>
    </row>
    <row r="607" spans="1:5" x14ac:dyDescent="0.3">
      <c r="A607" t="s">
        <v>10</v>
      </c>
      <c r="B607">
        <v>2010</v>
      </c>
      <c r="C607" t="str">
        <f>_xlfn.CONCAT(Table16[[#This Row],[STATE]],"-",Table16[[#This Row],[YEAR]])</f>
        <v>Chhattisgarh-2010</v>
      </c>
      <c r="D607" t="s">
        <v>333</v>
      </c>
      <c r="E607">
        <v>7</v>
      </c>
    </row>
    <row r="608" spans="1:5" x14ac:dyDescent="0.3">
      <c r="A608" t="s">
        <v>10</v>
      </c>
      <c r="B608">
        <v>2010</v>
      </c>
      <c r="C608" t="str">
        <f>_xlfn.CONCAT(Table16[[#This Row],[STATE]],"-",Table16[[#This Row],[YEAR]])</f>
        <v>Chhattisgarh-2010</v>
      </c>
      <c r="D608" t="s">
        <v>340</v>
      </c>
      <c r="E608">
        <v>20</v>
      </c>
    </row>
    <row r="609" spans="1:5" x14ac:dyDescent="0.3">
      <c r="A609" t="s">
        <v>10</v>
      </c>
      <c r="B609">
        <v>2010</v>
      </c>
      <c r="C609" t="str">
        <f>_xlfn.CONCAT(Table16[[#This Row],[STATE]],"-",Table16[[#This Row],[YEAR]])</f>
        <v>Chhattisgarh-2010</v>
      </c>
      <c r="D609" t="s">
        <v>192</v>
      </c>
      <c r="E609">
        <v>20</v>
      </c>
    </row>
    <row r="610" spans="1:5" x14ac:dyDescent="0.3">
      <c r="A610" t="s">
        <v>10</v>
      </c>
      <c r="B610">
        <v>2010</v>
      </c>
      <c r="C610" t="str">
        <f>_xlfn.CONCAT(Table16[[#This Row],[STATE]],"-",Table16[[#This Row],[YEAR]])</f>
        <v>Chhattisgarh-2010</v>
      </c>
      <c r="D610" t="s">
        <v>341</v>
      </c>
      <c r="E610">
        <v>10</v>
      </c>
    </row>
    <row r="611" spans="1:5" x14ac:dyDescent="0.3">
      <c r="A611" t="s">
        <v>10</v>
      </c>
      <c r="B611">
        <v>2010</v>
      </c>
      <c r="C611" t="str">
        <f>_xlfn.CONCAT(Table16[[#This Row],[STATE]],"-",Table16[[#This Row],[YEAR]])</f>
        <v>Chhattisgarh-2010</v>
      </c>
      <c r="D611" t="s">
        <v>103</v>
      </c>
      <c r="E611">
        <v>10</v>
      </c>
    </row>
    <row r="612" spans="1:5" x14ac:dyDescent="0.3">
      <c r="A612" t="s">
        <v>10</v>
      </c>
      <c r="B612">
        <v>2010</v>
      </c>
      <c r="C612" t="str">
        <f>_xlfn.CONCAT(Table16[[#This Row],[STATE]],"-",Table16[[#This Row],[YEAR]])</f>
        <v>Chhattisgarh-2010</v>
      </c>
      <c r="D612" t="s">
        <v>103</v>
      </c>
      <c r="E612">
        <v>20</v>
      </c>
    </row>
    <row r="613" spans="1:5" x14ac:dyDescent="0.3">
      <c r="A613" t="s">
        <v>10</v>
      </c>
      <c r="B613">
        <v>2010</v>
      </c>
      <c r="C613" t="str">
        <f>_xlfn.CONCAT(Table16[[#This Row],[STATE]],"-",Table16[[#This Row],[YEAR]])</f>
        <v>Chhattisgarh-2010</v>
      </c>
      <c r="D613" t="s">
        <v>342</v>
      </c>
      <c r="E613">
        <v>20</v>
      </c>
    </row>
    <row r="614" spans="1:5" x14ac:dyDescent="0.3">
      <c r="A614" t="s">
        <v>10</v>
      </c>
      <c r="B614">
        <v>2010</v>
      </c>
      <c r="C614" t="str">
        <f>_xlfn.CONCAT(Table16[[#This Row],[STATE]],"-",Table16[[#This Row],[YEAR]])</f>
        <v>Chhattisgarh-2010</v>
      </c>
      <c r="D614" t="s">
        <v>90</v>
      </c>
      <c r="E614">
        <v>20</v>
      </c>
    </row>
    <row r="615" spans="1:5" x14ac:dyDescent="0.3">
      <c r="A615" t="s">
        <v>10</v>
      </c>
      <c r="B615">
        <v>2010</v>
      </c>
      <c r="C615" t="str">
        <f>_xlfn.CONCAT(Table16[[#This Row],[STATE]],"-",Table16[[#This Row],[YEAR]])</f>
        <v>Chhattisgarh-2010</v>
      </c>
      <c r="D615" t="s">
        <v>327</v>
      </c>
      <c r="E615">
        <v>20</v>
      </c>
    </row>
    <row r="616" spans="1:5" x14ac:dyDescent="0.3">
      <c r="A616" t="s">
        <v>10</v>
      </c>
      <c r="B616">
        <v>2011</v>
      </c>
      <c r="C616" t="str">
        <f>_xlfn.CONCAT(Table16[[#This Row],[STATE]],"-",Table16[[#This Row],[YEAR]])</f>
        <v>Chhattisgarh-2011</v>
      </c>
      <c r="D616" t="s">
        <v>90</v>
      </c>
      <c r="E616">
        <v>207</v>
      </c>
    </row>
    <row r="617" spans="1:5" x14ac:dyDescent="0.3">
      <c r="A617" t="s">
        <v>10</v>
      </c>
      <c r="B617">
        <v>2011</v>
      </c>
      <c r="C617" t="str">
        <f>_xlfn.CONCAT(Table16[[#This Row],[STATE]],"-",Table16[[#This Row],[YEAR]])</f>
        <v>Chhattisgarh-2011</v>
      </c>
      <c r="D617" t="s">
        <v>280</v>
      </c>
      <c r="E617">
        <v>128</v>
      </c>
    </row>
    <row r="618" spans="1:5" x14ac:dyDescent="0.3">
      <c r="A618" t="s">
        <v>10</v>
      </c>
      <c r="B618">
        <v>2011</v>
      </c>
      <c r="C618" t="str">
        <f>_xlfn.CONCAT(Table16[[#This Row],[STATE]],"-",Table16[[#This Row],[YEAR]])</f>
        <v>Chhattisgarh-2011</v>
      </c>
      <c r="D618" t="s">
        <v>343</v>
      </c>
      <c r="E618">
        <v>49</v>
      </c>
    </row>
    <row r="619" spans="1:5" x14ac:dyDescent="0.3">
      <c r="A619" t="s">
        <v>10</v>
      </c>
      <c r="B619">
        <v>2011</v>
      </c>
      <c r="C619" t="str">
        <f>_xlfn.CONCAT(Table16[[#This Row],[STATE]],"-",Table16[[#This Row],[YEAR]])</f>
        <v>Chhattisgarh-2011</v>
      </c>
      <c r="D619" t="s">
        <v>344</v>
      </c>
      <c r="E619">
        <v>32</v>
      </c>
    </row>
    <row r="620" spans="1:5" x14ac:dyDescent="0.3">
      <c r="A620" t="s">
        <v>10</v>
      </c>
      <c r="B620">
        <v>2011</v>
      </c>
      <c r="C620" t="str">
        <f>_xlfn.CONCAT(Table16[[#This Row],[STATE]],"-",Table16[[#This Row],[YEAR]])</f>
        <v>Chhattisgarh-2011</v>
      </c>
      <c r="D620" t="s">
        <v>123</v>
      </c>
      <c r="E620">
        <v>154</v>
      </c>
    </row>
    <row r="621" spans="1:5" x14ac:dyDescent="0.3">
      <c r="A621" t="s">
        <v>10</v>
      </c>
      <c r="B621">
        <v>2011</v>
      </c>
      <c r="C621" t="str">
        <f>_xlfn.CONCAT(Table16[[#This Row],[STATE]],"-",Table16[[#This Row],[YEAR]])</f>
        <v>Chhattisgarh-2011</v>
      </c>
      <c r="D621" t="s">
        <v>345</v>
      </c>
      <c r="E621">
        <v>29</v>
      </c>
    </row>
    <row r="622" spans="1:5" x14ac:dyDescent="0.3">
      <c r="A622" t="s">
        <v>10</v>
      </c>
      <c r="B622">
        <v>2011</v>
      </c>
      <c r="C622" t="str">
        <f>_xlfn.CONCAT(Table16[[#This Row],[STATE]],"-",Table16[[#This Row],[YEAR]])</f>
        <v>Chhattisgarh-2011</v>
      </c>
      <c r="D622" t="s">
        <v>346</v>
      </c>
      <c r="E622">
        <v>10</v>
      </c>
    </row>
    <row r="623" spans="1:5" x14ac:dyDescent="0.3">
      <c r="A623" t="s">
        <v>10</v>
      </c>
      <c r="B623">
        <v>2011</v>
      </c>
      <c r="C623" t="str">
        <f>_xlfn.CONCAT(Table16[[#This Row],[STATE]],"-",Table16[[#This Row],[YEAR]])</f>
        <v>Chhattisgarh-2011</v>
      </c>
      <c r="D623" t="s">
        <v>141</v>
      </c>
      <c r="E623">
        <v>66</v>
      </c>
    </row>
    <row r="624" spans="1:5" x14ac:dyDescent="0.3">
      <c r="A624" t="s">
        <v>10</v>
      </c>
      <c r="B624">
        <v>2011</v>
      </c>
      <c r="C624" t="str">
        <f>_xlfn.CONCAT(Table16[[#This Row],[STATE]],"-",Table16[[#This Row],[YEAR]])</f>
        <v>Chhattisgarh-2011</v>
      </c>
      <c r="D624" t="s">
        <v>266</v>
      </c>
      <c r="E624">
        <v>28</v>
      </c>
    </row>
    <row r="625" spans="1:5" x14ac:dyDescent="0.3">
      <c r="A625" t="s">
        <v>10</v>
      </c>
      <c r="B625">
        <v>2011</v>
      </c>
      <c r="C625" t="str">
        <f>_xlfn.CONCAT(Table16[[#This Row],[STATE]],"-",Table16[[#This Row],[YEAR]])</f>
        <v>Chhattisgarh-2011</v>
      </c>
      <c r="D625" t="s">
        <v>347</v>
      </c>
      <c r="E625">
        <v>31</v>
      </c>
    </row>
    <row r="626" spans="1:5" x14ac:dyDescent="0.3">
      <c r="A626" t="s">
        <v>10</v>
      </c>
      <c r="B626">
        <v>2011</v>
      </c>
      <c r="C626" t="str">
        <f>_xlfn.CONCAT(Table16[[#This Row],[STATE]],"-",Table16[[#This Row],[YEAR]])</f>
        <v>Chhattisgarh-2011</v>
      </c>
      <c r="D626" t="s">
        <v>312</v>
      </c>
      <c r="E626">
        <v>5</v>
      </c>
    </row>
    <row r="627" spans="1:5" x14ac:dyDescent="0.3">
      <c r="A627" t="s">
        <v>10</v>
      </c>
      <c r="B627">
        <v>2011</v>
      </c>
      <c r="C627" t="str">
        <f>_xlfn.CONCAT(Table16[[#This Row],[STATE]],"-",Table16[[#This Row],[YEAR]])</f>
        <v>Chhattisgarh-2011</v>
      </c>
      <c r="D627" t="s">
        <v>321</v>
      </c>
      <c r="E627">
        <v>11</v>
      </c>
    </row>
    <row r="628" spans="1:5" x14ac:dyDescent="0.3">
      <c r="A628" t="s">
        <v>10</v>
      </c>
      <c r="B628">
        <v>2011</v>
      </c>
      <c r="C628" t="str">
        <f>_xlfn.CONCAT(Table16[[#This Row],[STATE]],"-",Table16[[#This Row],[YEAR]])</f>
        <v>Chhattisgarh-2011</v>
      </c>
      <c r="D628" t="s">
        <v>140</v>
      </c>
      <c r="E628">
        <v>31</v>
      </c>
    </row>
    <row r="629" spans="1:5" x14ac:dyDescent="0.3">
      <c r="A629" t="s">
        <v>10</v>
      </c>
      <c r="B629">
        <v>2011</v>
      </c>
      <c r="C629" t="str">
        <f>_xlfn.CONCAT(Table16[[#This Row],[STATE]],"-",Table16[[#This Row],[YEAR]])</f>
        <v>Chhattisgarh-2011</v>
      </c>
      <c r="D629" t="s">
        <v>348</v>
      </c>
      <c r="E629">
        <v>18</v>
      </c>
    </row>
    <row r="630" spans="1:5" x14ac:dyDescent="0.3">
      <c r="A630" t="s">
        <v>10</v>
      </c>
      <c r="B630">
        <v>2011</v>
      </c>
      <c r="C630" t="str">
        <f>_xlfn.CONCAT(Table16[[#This Row],[STATE]],"-",Table16[[#This Row],[YEAR]])</f>
        <v>Chhattisgarh-2011</v>
      </c>
      <c r="D630" t="s">
        <v>349</v>
      </c>
      <c r="E630">
        <v>8</v>
      </c>
    </row>
    <row r="631" spans="1:5" x14ac:dyDescent="0.3">
      <c r="A631" t="s">
        <v>10</v>
      </c>
      <c r="B631">
        <v>2011</v>
      </c>
      <c r="C631" t="str">
        <f>_xlfn.CONCAT(Table16[[#This Row],[STATE]],"-",Table16[[#This Row],[YEAR]])</f>
        <v>Chhattisgarh-2011</v>
      </c>
      <c r="D631" t="s">
        <v>338</v>
      </c>
      <c r="E631">
        <v>9</v>
      </c>
    </row>
    <row r="632" spans="1:5" x14ac:dyDescent="0.3">
      <c r="A632" t="s">
        <v>11</v>
      </c>
      <c r="B632">
        <v>2001</v>
      </c>
      <c r="C632" t="str">
        <f>_xlfn.CONCAT(Table16[[#This Row],[STATE]],"-",Table16[[#This Row],[YEAR]])</f>
        <v>Goa-2001</v>
      </c>
      <c r="D632" t="s">
        <v>350</v>
      </c>
      <c r="E632">
        <v>6</v>
      </c>
    </row>
    <row r="633" spans="1:5" x14ac:dyDescent="0.3">
      <c r="A633" t="s">
        <v>11</v>
      </c>
      <c r="B633">
        <v>2001</v>
      </c>
      <c r="C633" t="str">
        <f>_xlfn.CONCAT(Table16[[#This Row],[STATE]],"-",Table16[[#This Row],[YEAR]])</f>
        <v>Goa-2001</v>
      </c>
      <c r="D633" t="s">
        <v>103</v>
      </c>
      <c r="E633">
        <v>10</v>
      </c>
    </row>
    <row r="634" spans="1:5" x14ac:dyDescent="0.3">
      <c r="A634" t="s">
        <v>11</v>
      </c>
      <c r="B634">
        <v>2001</v>
      </c>
      <c r="C634" t="str">
        <f>_xlfn.CONCAT(Table16[[#This Row],[STATE]],"-",Table16[[#This Row],[YEAR]])</f>
        <v>Goa-2001</v>
      </c>
      <c r="D634" t="s">
        <v>123</v>
      </c>
      <c r="E634">
        <v>12</v>
      </c>
    </row>
    <row r="635" spans="1:5" x14ac:dyDescent="0.3">
      <c r="A635" t="s">
        <v>11</v>
      </c>
      <c r="B635">
        <v>2001</v>
      </c>
      <c r="C635" t="str">
        <f>_xlfn.CONCAT(Table16[[#This Row],[STATE]],"-",Table16[[#This Row],[YEAR]])</f>
        <v>Goa-2001</v>
      </c>
      <c r="D635" t="s">
        <v>351</v>
      </c>
      <c r="E635">
        <v>6</v>
      </c>
    </row>
    <row r="636" spans="1:5" x14ac:dyDescent="0.3">
      <c r="A636" t="s">
        <v>11</v>
      </c>
      <c r="B636">
        <v>2002</v>
      </c>
      <c r="C636" t="str">
        <f>_xlfn.CONCAT(Table16[[#This Row],[STATE]],"-",Table16[[#This Row],[YEAR]])</f>
        <v>Goa-2002</v>
      </c>
      <c r="D636" t="s">
        <v>352</v>
      </c>
      <c r="E636">
        <v>4</v>
      </c>
    </row>
    <row r="637" spans="1:5" x14ac:dyDescent="0.3">
      <c r="A637" t="s">
        <v>11</v>
      </c>
      <c r="B637">
        <v>2002</v>
      </c>
      <c r="C637" t="str">
        <f>_xlfn.CONCAT(Table16[[#This Row],[STATE]],"-",Table16[[#This Row],[YEAR]])</f>
        <v>Goa-2002</v>
      </c>
      <c r="D637" t="s">
        <v>215</v>
      </c>
      <c r="E637">
        <v>30</v>
      </c>
    </row>
    <row r="638" spans="1:5" x14ac:dyDescent="0.3">
      <c r="A638" t="s">
        <v>11</v>
      </c>
      <c r="B638">
        <v>2002</v>
      </c>
      <c r="C638" t="str">
        <f>_xlfn.CONCAT(Table16[[#This Row],[STATE]],"-",Table16[[#This Row],[YEAR]])</f>
        <v>Goa-2002</v>
      </c>
      <c r="D638" t="s">
        <v>353</v>
      </c>
      <c r="E638">
        <v>25</v>
      </c>
    </row>
    <row r="639" spans="1:5" x14ac:dyDescent="0.3">
      <c r="A639" t="s">
        <v>11</v>
      </c>
      <c r="B639">
        <v>2002</v>
      </c>
      <c r="C639" t="str">
        <f>_xlfn.CONCAT(Table16[[#This Row],[STATE]],"-",Table16[[#This Row],[YEAR]])</f>
        <v>Goa-2002</v>
      </c>
      <c r="D639" t="s">
        <v>103</v>
      </c>
      <c r="E639">
        <v>10</v>
      </c>
    </row>
    <row r="640" spans="1:5" x14ac:dyDescent="0.3">
      <c r="A640" t="s">
        <v>11</v>
      </c>
      <c r="B640">
        <v>2002</v>
      </c>
      <c r="C640" t="str">
        <f>_xlfn.CONCAT(Table16[[#This Row],[STATE]],"-",Table16[[#This Row],[YEAR]])</f>
        <v>Goa-2002</v>
      </c>
      <c r="D640" t="s">
        <v>123</v>
      </c>
      <c r="E640">
        <v>7</v>
      </c>
    </row>
    <row r="641" spans="1:5" x14ac:dyDescent="0.3">
      <c r="A641" t="s">
        <v>11</v>
      </c>
      <c r="B641">
        <v>2002</v>
      </c>
      <c r="C641" t="str">
        <f>_xlfn.CONCAT(Table16[[#This Row],[STATE]],"-",Table16[[#This Row],[YEAR]])</f>
        <v>Goa-2002</v>
      </c>
      <c r="D641" t="s">
        <v>354</v>
      </c>
      <c r="E641">
        <v>3</v>
      </c>
    </row>
    <row r="642" spans="1:5" x14ac:dyDescent="0.3">
      <c r="A642" t="s">
        <v>11</v>
      </c>
      <c r="B642">
        <v>2002</v>
      </c>
      <c r="C642" t="str">
        <f>_xlfn.CONCAT(Table16[[#This Row],[STATE]],"-",Table16[[#This Row],[YEAR]])</f>
        <v>Goa-2002</v>
      </c>
      <c r="D642" t="s">
        <v>182</v>
      </c>
      <c r="E642">
        <v>8</v>
      </c>
    </row>
    <row r="643" spans="1:5" x14ac:dyDescent="0.3">
      <c r="A643" t="s">
        <v>11</v>
      </c>
      <c r="B643">
        <v>2002</v>
      </c>
      <c r="C643" t="str">
        <f>_xlfn.CONCAT(Table16[[#This Row],[STATE]],"-",Table16[[#This Row],[YEAR]])</f>
        <v>Goa-2002</v>
      </c>
      <c r="D643" t="s">
        <v>351</v>
      </c>
      <c r="E643">
        <v>4</v>
      </c>
    </row>
    <row r="644" spans="1:5" x14ac:dyDescent="0.3">
      <c r="A644" t="s">
        <v>11</v>
      </c>
      <c r="B644">
        <v>2003</v>
      </c>
      <c r="C644" t="str">
        <f>_xlfn.CONCAT(Table16[[#This Row],[STATE]],"-",Table16[[#This Row],[YEAR]])</f>
        <v>Goa-2003</v>
      </c>
      <c r="D644" t="s">
        <v>352</v>
      </c>
      <c r="E644">
        <v>10</v>
      </c>
    </row>
    <row r="645" spans="1:5" x14ac:dyDescent="0.3">
      <c r="A645" t="s">
        <v>11</v>
      </c>
      <c r="B645">
        <v>2003</v>
      </c>
      <c r="C645" t="str">
        <f>_xlfn.CONCAT(Table16[[#This Row],[STATE]],"-",Table16[[#This Row],[YEAR]])</f>
        <v>Goa-2003</v>
      </c>
      <c r="D645" t="s">
        <v>123</v>
      </c>
      <c r="E645">
        <v>4</v>
      </c>
    </row>
    <row r="646" spans="1:5" x14ac:dyDescent="0.3">
      <c r="A646" t="s">
        <v>11</v>
      </c>
      <c r="B646">
        <v>2003</v>
      </c>
      <c r="C646" t="str">
        <f>_xlfn.CONCAT(Table16[[#This Row],[STATE]],"-",Table16[[#This Row],[YEAR]])</f>
        <v>Goa-2003</v>
      </c>
      <c r="D646" t="s">
        <v>103</v>
      </c>
      <c r="E646">
        <v>10</v>
      </c>
    </row>
    <row r="647" spans="1:5" x14ac:dyDescent="0.3">
      <c r="A647" t="s">
        <v>11</v>
      </c>
      <c r="B647">
        <v>2003</v>
      </c>
      <c r="C647" t="str">
        <f>_xlfn.CONCAT(Table16[[#This Row],[STATE]],"-",Table16[[#This Row],[YEAR]])</f>
        <v>Goa-2003</v>
      </c>
      <c r="D647" t="s">
        <v>351</v>
      </c>
      <c r="E647">
        <v>4</v>
      </c>
    </row>
    <row r="648" spans="1:5" x14ac:dyDescent="0.3">
      <c r="A648" t="s">
        <v>11</v>
      </c>
      <c r="B648">
        <v>2004</v>
      </c>
      <c r="C648" t="str">
        <f>_xlfn.CONCAT(Table16[[#This Row],[STATE]],"-",Table16[[#This Row],[YEAR]])</f>
        <v>Goa-2004</v>
      </c>
      <c r="D648" t="s">
        <v>123</v>
      </c>
      <c r="E648">
        <v>5</v>
      </c>
    </row>
    <row r="649" spans="1:5" x14ac:dyDescent="0.3">
      <c r="A649" t="s">
        <v>11</v>
      </c>
      <c r="B649">
        <v>2004</v>
      </c>
      <c r="C649" t="str">
        <f>_xlfn.CONCAT(Table16[[#This Row],[STATE]],"-",Table16[[#This Row],[YEAR]])</f>
        <v>Goa-2004</v>
      </c>
      <c r="D649" t="s">
        <v>103</v>
      </c>
      <c r="E649">
        <v>5</v>
      </c>
    </row>
    <row r="650" spans="1:5" x14ac:dyDescent="0.3">
      <c r="A650" t="s">
        <v>11</v>
      </c>
      <c r="B650">
        <v>2004</v>
      </c>
      <c r="C650" t="str">
        <f>_xlfn.CONCAT(Table16[[#This Row],[STATE]],"-",Table16[[#This Row],[YEAR]])</f>
        <v>Goa-2004</v>
      </c>
      <c r="D650" t="s">
        <v>352</v>
      </c>
      <c r="E650">
        <v>9</v>
      </c>
    </row>
    <row r="651" spans="1:5" x14ac:dyDescent="0.3">
      <c r="A651" t="s">
        <v>11</v>
      </c>
      <c r="B651">
        <v>2004</v>
      </c>
      <c r="C651" t="str">
        <f>_xlfn.CONCAT(Table16[[#This Row],[STATE]],"-",Table16[[#This Row],[YEAR]])</f>
        <v>Goa-2004</v>
      </c>
      <c r="D651" t="s">
        <v>354</v>
      </c>
      <c r="E651">
        <v>4</v>
      </c>
    </row>
    <row r="652" spans="1:5" x14ac:dyDescent="0.3">
      <c r="A652" t="s">
        <v>11</v>
      </c>
      <c r="B652">
        <v>2005</v>
      </c>
      <c r="C652" t="str">
        <f>_xlfn.CONCAT(Table16[[#This Row],[STATE]],"-",Table16[[#This Row],[YEAR]])</f>
        <v>Goa-2005</v>
      </c>
      <c r="D652" t="s">
        <v>123</v>
      </c>
      <c r="E652">
        <v>13</v>
      </c>
    </row>
    <row r="653" spans="1:5" x14ac:dyDescent="0.3">
      <c r="A653" t="s">
        <v>11</v>
      </c>
      <c r="B653">
        <v>2005</v>
      </c>
      <c r="C653" t="str">
        <f>_xlfn.CONCAT(Table16[[#This Row],[STATE]],"-",Table16[[#This Row],[YEAR]])</f>
        <v>Goa-2005</v>
      </c>
      <c r="D653" t="s">
        <v>103</v>
      </c>
      <c r="E653">
        <v>19</v>
      </c>
    </row>
    <row r="654" spans="1:5" x14ac:dyDescent="0.3">
      <c r="A654" t="s">
        <v>11</v>
      </c>
      <c r="B654">
        <v>2005</v>
      </c>
      <c r="C654" t="str">
        <f>_xlfn.CONCAT(Table16[[#This Row],[STATE]],"-",Table16[[#This Row],[YEAR]])</f>
        <v>Goa-2005</v>
      </c>
      <c r="D654" t="s">
        <v>182</v>
      </c>
      <c r="E654">
        <v>21</v>
      </c>
    </row>
    <row r="655" spans="1:5" x14ac:dyDescent="0.3">
      <c r="A655" t="s">
        <v>11</v>
      </c>
      <c r="B655">
        <v>2005</v>
      </c>
      <c r="C655" t="str">
        <f>_xlfn.CONCAT(Table16[[#This Row],[STATE]],"-",Table16[[#This Row],[YEAR]])</f>
        <v>Goa-2005</v>
      </c>
      <c r="D655" t="s">
        <v>355</v>
      </c>
      <c r="E655">
        <v>5</v>
      </c>
    </row>
    <row r="656" spans="1:5" x14ac:dyDescent="0.3">
      <c r="A656" t="s">
        <v>11</v>
      </c>
      <c r="B656">
        <v>2005</v>
      </c>
      <c r="C656" t="str">
        <f>_xlfn.CONCAT(Table16[[#This Row],[STATE]],"-",Table16[[#This Row],[YEAR]])</f>
        <v>Goa-2005</v>
      </c>
      <c r="D656" t="s">
        <v>354</v>
      </c>
      <c r="E656">
        <v>6</v>
      </c>
    </row>
    <row r="657" spans="1:5" x14ac:dyDescent="0.3">
      <c r="A657" t="s">
        <v>11</v>
      </c>
      <c r="B657">
        <v>2005</v>
      </c>
      <c r="C657" t="str">
        <f>_xlfn.CONCAT(Table16[[#This Row],[STATE]],"-",Table16[[#This Row],[YEAR]])</f>
        <v>Goa-2005</v>
      </c>
      <c r="D657" t="s">
        <v>352</v>
      </c>
      <c r="E657">
        <v>5</v>
      </c>
    </row>
    <row r="658" spans="1:5" x14ac:dyDescent="0.3">
      <c r="A658" t="s">
        <v>11</v>
      </c>
      <c r="B658">
        <v>2006</v>
      </c>
      <c r="C658" t="str">
        <f>_xlfn.CONCAT(Table16[[#This Row],[STATE]],"-",Table16[[#This Row],[YEAR]])</f>
        <v>Goa-2006</v>
      </c>
      <c r="D658" t="s">
        <v>123</v>
      </c>
      <c r="E658">
        <v>19</v>
      </c>
    </row>
    <row r="659" spans="1:5" x14ac:dyDescent="0.3">
      <c r="A659" t="s">
        <v>11</v>
      </c>
      <c r="B659">
        <v>2006</v>
      </c>
      <c r="C659" t="str">
        <f>_xlfn.CONCAT(Table16[[#This Row],[STATE]],"-",Table16[[#This Row],[YEAR]])</f>
        <v>Goa-2006</v>
      </c>
      <c r="D659" t="s">
        <v>103</v>
      </c>
      <c r="E659">
        <v>17</v>
      </c>
    </row>
    <row r="660" spans="1:5" x14ac:dyDescent="0.3">
      <c r="A660" t="s">
        <v>11</v>
      </c>
      <c r="B660">
        <v>2006</v>
      </c>
      <c r="C660" t="str">
        <f>_xlfn.CONCAT(Table16[[#This Row],[STATE]],"-",Table16[[#This Row],[YEAR]])</f>
        <v>Goa-2006</v>
      </c>
      <c r="D660" t="s">
        <v>182</v>
      </c>
      <c r="E660">
        <v>7</v>
      </c>
    </row>
    <row r="661" spans="1:5" x14ac:dyDescent="0.3">
      <c r="A661" t="s">
        <v>11</v>
      </c>
      <c r="B661">
        <v>2006</v>
      </c>
      <c r="C661" t="str">
        <f>_xlfn.CONCAT(Table16[[#This Row],[STATE]],"-",Table16[[#This Row],[YEAR]])</f>
        <v>Goa-2006</v>
      </c>
      <c r="D661" t="s">
        <v>355</v>
      </c>
      <c r="E661">
        <v>5</v>
      </c>
    </row>
    <row r="662" spans="1:5" x14ac:dyDescent="0.3">
      <c r="A662" t="s">
        <v>11</v>
      </c>
      <c r="B662">
        <v>2006</v>
      </c>
      <c r="C662" t="str">
        <f>_xlfn.CONCAT(Table16[[#This Row],[STATE]],"-",Table16[[#This Row],[YEAR]])</f>
        <v>Goa-2006</v>
      </c>
      <c r="D662" t="s">
        <v>356</v>
      </c>
      <c r="E662">
        <v>6</v>
      </c>
    </row>
    <row r="663" spans="1:5" x14ac:dyDescent="0.3">
      <c r="A663" t="s">
        <v>11</v>
      </c>
      <c r="B663">
        <v>2006</v>
      </c>
      <c r="C663" t="str">
        <f>_xlfn.CONCAT(Table16[[#This Row],[STATE]],"-",Table16[[#This Row],[YEAR]])</f>
        <v>Goa-2006</v>
      </c>
      <c r="D663" t="s">
        <v>352</v>
      </c>
      <c r="E663">
        <v>5</v>
      </c>
    </row>
    <row r="664" spans="1:5" x14ac:dyDescent="0.3">
      <c r="A664" t="s">
        <v>11</v>
      </c>
      <c r="B664">
        <v>2007</v>
      </c>
      <c r="C664" t="str">
        <f>_xlfn.CONCAT(Table16[[#This Row],[STATE]],"-",Table16[[#This Row],[YEAR]])</f>
        <v>Goa-2007</v>
      </c>
      <c r="D664" t="s">
        <v>123</v>
      </c>
      <c r="E664">
        <v>15</v>
      </c>
    </row>
    <row r="665" spans="1:5" x14ac:dyDescent="0.3">
      <c r="A665" t="s">
        <v>11</v>
      </c>
      <c r="B665">
        <v>2007</v>
      </c>
      <c r="C665" t="str">
        <f>_xlfn.CONCAT(Table16[[#This Row],[STATE]],"-",Table16[[#This Row],[YEAR]])</f>
        <v>Goa-2007</v>
      </c>
      <c r="D665" t="s">
        <v>103</v>
      </c>
      <c r="E665">
        <v>19</v>
      </c>
    </row>
    <row r="666" spans="1:5" x14ac:dyDescent="0.3">
      <c r="A666" t="s">
        <v>11</v>
      </c>
      <c r="B666">
        <v>2007</v>
      </c>
      <c r="C666" t="str">
        <f>_xlfn.CONCAT(Table16[[#This Row],[STATE]],"-",Table16[[#This Row],[YEAR]])</f>
        <v>Goa-2007</v>
      </c>
      <c r="D666" t="s">
        <v>182</v>
      </c>
      <c r="E666">
        <v>6</v>
      </c>
    </row>
    <row r="667" spans="1:5" x14ac:dyDescent="0.3">
      <c r="A667" t="s">
        <v>11</v>
      </c>
      <c r="B667">
        <v>2007</v>
      </c>
      <c r="C667" t="str">
        <f>_xlfn.CONCAT(Table16[[#This Row],[STATE]],"-",Table16[[#This Row],[YEAR]])</f>
        <v>Goa-2007</v>
      </c>
      <c r="D667" t="s">
        <v>355</v>
      </c>
      <c r="E667">
        <v>6</v>
      </c>
    </row>
    <row r="668" spans="1:5" x14ac:dyDescent="0.3">
      <c r="A668" t="s">
        <v>11</v>
      </c>
      <c r="B668">
        <v>2007</v>
      </c>
      <c r="C668" t="str">
        <f>_xlfn.CONCAT(Table16[[#This Row],[STATE]],"-",Table16[[#This Row],[YEAR]])</f>
        <v>Goa-2007</v>
      </c>
      <c r="D668" t="s">
        <v>356</v>
      </c>
      <c r="E668">
        <v>10</v>
      </c>
    </row>
    <row r="669" spans="1:5" x14ac:dyDescent="0.3">
      <c r="A669" t="s">
        <v>11</v>
      </c>
      <c r="B669">
        <v>2007</v>
      </c>
      <c r="C669" t="str">
        <f>_xlfn.CONCAT(Table16[[#This Row],[STATE]],"-",Table16[[#This Row],[YEAR]])</f>
        <v>Goa-2007</v>
      </c>
      <c r="D669" t="s">
        <v>197</v>
      </c>
      <c r="E669">
        <v>5</v>
      </c>
    </row>
    <row r="670" spans="1:5" x14ac:dyDescent="0.3">
      <c r="A670" t="s">
        <v>11</v>
      </c>
      <c r="B670">
        <v>2008</v>
      </c>
      <c r="C670" t="str">
        <f>_xlfn.CONCAT(Table16[[#This Row],[STATE]],"-",Table16[[#This Row],[YEAR]])</f>
        <v>Goa-2008</v>
      </c>
      <c r="D670" t="s">
        <v>123</v>
      </c>
      <c r="E670">
        <v>20</v>
      </c>
    </row>
    <row r="671" spans="1:5" x14ac:dyDescent="0.3">
      <c r="A671" t="s">
        <v>11</v>
      </c>
      <c r="B671">
        <v>2008</v>
      </c>
      <c r="C671" t="str">
        <f>_xlfn.CONCAT(Table16[[#This Row],[STATE]],"-",Table16[[#This Row],[YEAR]])</f>
        <v>Goa-2008</v>
      </c>
      <c r="D671" t="s">
        <v>103</v>
      </c>
      <c r="E671">
        <v>20</v>
      </c>
    </row>
    <row r="672" spans="1:5" x14ac:dyDescent="0.3">
      <c r="A672" t="s">
        <v>11</v>
      </c>
      <c r="B672">
        <v>2008</v>
      </c>
      <c r="C672" t="str">
        <f>_xlfn.CONCAT(Table16[[#This Row],[STATE]],"-",Table16[[#This Row],[YEAR]])</f>
        <v>Goa-2008</v>
      </c>
      <c r="D672" t="s">
        <v>355</v>
      </c>
      <c r="E672">
        <v>10</v>
      </c>
    </row>
    <row r="673" spans="1:5" x14ac:dyDescent="0.3">
      <c r="A673" t="s">
        <v>11</v>
      </c>
      <c r="B673">
        <v>2008</v>
      </c>
      <c r="C673" t="str">
        <f>_xlfn.CONCAT(Table16[[#This Row],[STATE]],"-",Table16[[#This Row],[YEAR]])</f>
        <v>Goa-2008</v>
      </c>
      <c r="D673" t="s">
        <v>354</v>
      </c>
      <c r="E673">
        <v>10</v>
      </c>
    </row>
    <row r="674" spans="1:5" x14ac:dyDescent="0.3">
      <c r="A674" t="s">
        <v>11</v>
      </c>
      <c r="B674">
        <v>2008</v>
      </c>
      <c r="C674" t="str">
        <f>_xlfn.CONCAT(Table16[[#This Row],[STATE]],"-",Table16[[#This Row],[YEAR]])</f>
        <v>Goa-2008</v>
      </c>
      <c r="D674" t="s">
        <v>197</v>
      </c>
      <c r="E674">
        <v>10</v>
      </c>
    </row>
    <row r="675" spans="1:5" x14ac:dyDescent="0.3">
      <c r="A675" t="s">
        <v>11</v>
      </c>
      <c r="B675">
        <v>2009</v>
      </c>
      <c r="C675" t="str">
        <f>_xlfn.CONCAT(Table16[[#This Row],[STATE]],"-",Table16[[#This Row],[YEAR]])</f>
        <v>Goa-2009</v>
      </c>
      <c r="D675" t="s">
        <v>103</v>
      </c>
      <c r="E675">
        <v>11</v>
      </c>
    </row>
    <row r="676" spans="1:5" x14ac:dyDescent="0.3">
      <c r="A676" t="s">
        <v>11</v>
      </c>
      <c r="B676">
        <v>2009</v>
      </c>
      <c r="C676" t="str">
        <f>_xlfn.CONCAT(Table16[[#This Row],[STATE]],"-",Table16[[#This Row],[YEAR]])</f>
        <v>Goa-2009</v>
      </c>
      <c r="D676" t="s">
        <v>314</v>
      </c>
      <c r="E676">
        <v>6</v>
      </c>
    </row>
    <row r="677" spans="1:5" x14ac:dyDescent="0.3">
      <c r="A677" t="s">
        <v>11</v>
      </c>
      <c r="B677">
        <v>2009</v>
      </c>
      <c r="C677" t="str">
        <f>_xlfn.CONCAT(Table16[[#This Row],[STATE]],"-",Table16[[#This Row],[YEAR]])</f>
        <v>Goa-2009</v>
      </c>
      <c r="D677" t="s">
        <v>357</v>
      </c>
      <c r="E677">
        <v>7</v>
      </c>
    </row>
    <row r="678" spans="1:5" x14ac:dyDescent="0.3">
      <c r="A678" t="s">
        <v>11</v>
      </c>
      <c r="B678">
        <v>2009</v>
      </c>
      <c r="C678" t="str">
        <f>_xlfn.CONCAT(Table16[[#This Row],[STATE]],"-",Table16[[#This Row],[YEAR]])</f>
        <v>Goa-2009</v>
      </c>
      <c r="D678" t="s">
        <v>96</v>
      </c>
      <c r="E678">
        <v>10</v>
      </c>
    </row>
    <row r="679" spans="1:5" x14ac:dyDescent="0.3">
      <c r="A679" t="s">
        <v>11</v>
      </c>
      <c r="B679">
        <v>2009</v>
      </c>
      <c r="C679" t="str">
        <f>_xlfn.CONCAT(Table16[[#This Row],[STATE]],"-",Table16[[#This Row],[YEAR]])</f>
        <v>Goa-2009</v>
      </c>
      <c r="D679" t="s">
        <v>358</v>
      </c>
      <c r="E679">
        <v>8</v>
      </c>
    </row>
    <row r="680" spans="1:5" x14ac:dyDescent="0.3">
      <c r="A680" t="s">
        <v>11</v>
      </c>
      <c r="B680">
        <v>2009</v>
      </c>
      <c r="C680" t="str">
        <f>_xlfn.CONCAT(Table16[[#This Row],[STATE]],"-",Table16[[#This Row],[YEAR]])</f>
        <v>Goa-2009</v>
      </c>
      <c r="D680" t="s">
        <v>173</v>
      </c>
      <c r="E680">
        <v>2</v>
      </c>
    </row>
    <row r="681" spans="1:5" x14ac:dyDescent="0.3">
      <c r="A681" t="s">
        <v>11</v>
      </c>
      <c r="B681">
        <v>2009</v>
      </c>
      <c r="C681" t="str">
        <f>_xlfn.CONCAT(Table16[[#This Row],[STATE]],"-",Table16[[#This Row],[YEAR]])</f>
        <v>Goa-2009</v>
      </c>
      <c r="D681" t="s">
        <v>351</v>
      </c>
      <c r="E681">
        <v>4</v>
      </c>
    </row>
    <row r="682" spans="1:5" x14ac:dyDescent="0.3">
      <c r="A682" t="s">
        <v>11</v>
      </c>
      <c r="B682">
        <v>2010</v>
      </c>
      <c r="C682" t="str">
        <f>_xlfn.CONCAT(Table16[[#This Row],[STATE]],"-",Table16[[#This Row],[YEAR]])</f>
        <v>Goa-2010</v>
      </c>
      <c r="D682" t="s">
        <v>359</v>
      </c>
      <c r="E682">
        <v>8</v>
      </c>
    </row>
    <row r="683" spans="1:5" x14ac:dyDescent="0.3">
      <c r="A683" t="s">
        <v>11</v>
      </c>
      <c r="B683">
        <v>2010</v>
      </c>
      <c r="C683" t="str">
        <f>_xlfn.CONCAT(Table16[[#This Row],[STATE]],"-",Table16[[#This Row],[YEAR]])</f>
        <v>Goa-2010</v>
      </c>
      <c r="D683" t="s">
        <v>182</v>
      </c>
      <c r="E683">
        <v>12</v>
      </c>
    </row>
    <row r="684" spans="1:5" x14ac:dyDescent="0.3">
      <c r="A684" t="s">
        <v>11</v>
      </c>
      <c r="B684">
        <v>2010</v>
      </c>
      <c r="C684" t="str">
        <f>_xlfn.CONCAT(Table16[[#This Row],[STATE]],"-",Table16[[#This Row],[YEAR]])</f>
        <v>Goa-2010</v>
      </c>
      <c r="D684" t="s">
        <v>103</v>
      </c>
      <c r="E684">
        <v>6</v>
      </c>
    </row>
    <row r="685" spans="1:5" x14ac:dyDescent="0.3">
      <c r="A685" t="s">
        <v>11</v>
      </c>
      <c r="B685">
        <v>2010</v>
      </c>
      <c r="C685" t="str">
        <f>_xlfn.CONCAT(Table16[[#This Row],[STATE]],"-",Table16[[#This Row],[YEAR]])</f>
        <v>Goa-2010</v>
      </c>
      <c r="D685" t="s">
        <v>143</v>
      </c>
      <c r="E685">
        <v>2</v>
      </c>
    </row>
    <row r="686" spans="1:5" x14ac:dyDescent="0.3">
      <c r="A686" t="s">
        <v>11</v>
      </c>
      <c r="B686">
        <v>2010</v>
      </c>
      <c r="C686" t="str">
        <f>_xlfn.CONCAT(Table16[[#This Row],[STATE]],"-",Table16[[#This Row],[YEAR]])</f>
        <v>Goa-2010</v>
      </c>
      <c r="D686" t="s">
        <v>357</v>
      </c>
      <c r="E686">
        <v>7</v>
      </c>
    </row>
    <row r="687" spans="1:5" x14ac:dyDescent="0.3">
      <c r="A687" t="s">
        <v>11</v>
      </c>
      <c r="B687">
        <v>2010</v>
      </c>
      <c r="C687" t="str">
        <f>_xlfn.CONCAT(Table16[[#This Row],[STATE]],"-",Table16[[#This Row],[YEAR]])</f>
        <v>Goa-2010</v>
      </c>
      <c r="D687" t="s">
        <v>96</v>
      </c>
      <c r="E687">
        <v>8</v>
      </c>
    </row>
    <row r="688" spans="1:5" x14ac:dyDescent="0.3">
      <c r="A688" t="s">
        <v>11</v>
      </c>
      <c r="B688">
        <v>2011</v>
      </c>
      <c r="C688" t="str">
        <f>_xlfn.CONCAT(Table16[[#This Row],[STATE]],"-",Table16[[#This Row],[YEAR]])</f>
        <v>Goa-2011</v>
      </c>
      <c r="D688" t="s">
        <v>360</v>
      </c>
      <c r="E688">
        <v>6</v>
      </c>
    </row>
    <row r="689" spans="1:5" x14ac:dyDescent="0.3">
      <c r="A689" t="s">
        <v>11</v>
      </c>
      <c r="B689">
        <v>2011</v>
      </c>
      <c r="C689" t="str">
        <f>_xlfn.CONCAT(Table16[[#This Row],[STATE]],"-",Table16[[#This Row],[YEAR]])</f>
        <v>Goa-2011</v>
      </c>
      <c r="D689" t="s">
        <v>182</v>
      </c>
      <c r="E689">
        <v>14</v>
      </c>
    </row>
    <row r="690" spans="1:5" x14ac:dyDescent="0.3">
      <c r="A690" t="s">
        <v>11</v>
      </c>
      <c r="B690">
        <v>2011</v>
      </c>
      <c r="C690" t="str">
        <f>_xlfn.CONCAT(Table16[[#This Row],[STATE]],"-",Table16[[#This Row],[YEAR]])</f>
        <v>Goa-2011</v>
      </c>
      <c r="D690" t="s">
        <v>103</v>
      </c>
      <c r="E690">
        <v>8</v>
      </c>
    </row>
    <row r="691" spans="1:5" x14ac:dyDescent="0.3">
      <c r="A691" t="s">
        <v>11</v>
      </c>
      <c r="B691">
        <v>2011</v>
      </c>
      <c r="C691" t="str">
        <f>_xlfn.CONCAT(Table16[[#This Row],[STATE]],"-",Table16[[#This Row],[YEAR]])</f>
        <v>Goa-2011</v>
      </c>
      <c r="D691" t="s">
        <v>96</v>
      </c>
      <c r="E691">
        <v>8</v>
      </c>
    </row>
    <row r="692" spans="1:5" x14ac:dyDescent="0.3">
      <c r="A692" t="s">
        <v>11</v>
      </c>
      <c r="B692">
        <v>2011</v>
      </c>
      <c r="C692" t="str">
        <f>_xlfn.CONCAT(Table16[[#This Row],[STATE]],"-",Table16[[#This Row],[YEAR]])</f>
        <v>Goa-2011</v>
      </c>
      <c r="D692" t="s">
        <v>173</v>
      </c>
      <c r="E692">
        <v>2</v>
      </c>
    </row>
    <row r="693" spans="1:5" x14ac:dyDescent="0.3">
      <c r="A693" t="s">
        <v>11</v>
      </c>
      <c r="B693">
        <v>2011</v>
      </c>
      <c r="C693" t="str">
        <f>_xlfn.CONCAT(Table16[[#This Row],[STATE]],"-",Table16[[#This Row],[YEAR]])</f>
        <v>Goa-2011</v>
      </c>
      <c r="D693" t="s">
        <v>361</v>
      </c>
      <c r="E693">
        <v>7</v>
      </c>
    </row>
    <row r="694" spans="1:5" x14ac:dyDescent="0.3">
      <c r="A694" t="s">
        <v>11</v>
      </c>
      <c r="B694">
        <v>2012</v>
      </c>
      <c r="C694" t="str">
        <f>_xlfn.CONCAT(Table16[[#This Row],[STATE]],"-",Table16[[#This Row],[YEAR]])</f>
        <v>Goa-2012</v>
      </c>
      <c r="D694" t="s">
        <v>360</v>
      </c>
      <c r="E694">
        <v>46</v>
      </c>
    </row>
    <row r="695" spans="1:5" x14ac:dyDescent="0.3">
      <c r="A695" t="s">
        <v>11</v>
      </c>
      <c r="B695">
        <v>2012</v>
      </c>
      <c r="C695" t="str">
        <f>_xlfn.CONCAT(Table16[[#This Row],[STATE]],"-",Table16[[#This Row],[YEAR]])</f>
        <v>Goa-2012</v>
      </c>
      <c r="D695" t="s">
        <v>182</v>
      </c>
      <c r="E695">
        <v>12</v>
      </c>
    </row>
    <row r="696" spans="1:5" x14ac:dyDescent="0.3">
      <c r="A696" t="s">
        <v>11</v>
      </c>
      <c r="B696">
        <v>2012</v>
      </c>
      <c r="C696" t="str">
        <f>_xlfn.CONCAT(Table16[[#This Row],[STATE]],"-",Table16[[#This Row],[YEAR]])</f>
        <v>Goa-2012</v>
      </c>
      <c r="D696" t="s">
        <v>103</v>
      </c>
      <c r="E696">
        <v>8</v>
      </c>
    </row>
    <row r="697" spans="1:5" x14ac:dyDescent="0.3">
      <c r="A697" t="s">
        <v>11</v>
      </c>
      <c r="B697">
        <v>2012</v>
      </c>
      <c r="C697" t="str">
        <f>_xlfn.CONCAT(Table16[[#This Row],[STATE]],"-",Table16[[#This Row],[YEAR]])</f>
        <v>Goa-2012</v>
      </c>
      <c r="D697" t="s">
        <v>96</v>
      </c>
      <c r="E697">
        <v>16</v>
      </c>
    </row>
    <row r="698" spans="1:5" x14ac:dyDescent="0.3">
      <c r="A698" t="s">
        <v>11</v>
      </c>
      <c r="B698">
        <v>2012</v>
      </c>
      <c r="C698" t="str">
        <f>_xlfn.CONCAT(Table16[[#This Row],[STATE]],"-",Table16[[#This Row],[YEAR]])</f>
        <v>Goa-2012</v>
      </c>
      <c r="D698" t="s">
        <v>143</v>
      </c>
      <c r="E698">
        <v>2</v>
      </c>
    </row>
    <row r="699" spans="1:5" x14ac:dyDescent="0.3">
      <c r="A699" t="s">
        <v>11</v>
      </c>
      <c r="B699">
        <v>2012</v>
      </c>
      <c r="C699" t="str">
        <f>_xlfn.CONCAT(Table16[[#This Row],[STATE]],"-",Table16[[#This Row],[YEAR]])</f>
        <v>Goa-2012</v>
      </c>
      <c r="D699" t="s">
        <v>351</v>
      </c>
      <c r="E699">
        <v>16</v>
      </c>
    </row>
    <row r="700" spans="1:5" x14ac:dyDescent="0.3">
      <c r="A700" t="s">
        <v>11</v>
      </c>
      <c r="B700">
        <v>2012</v>
      </c>
      <c r="C700" t="str">
        <f>_xlfn.CONCAT(Table16[[#This Row],[STATE]],"-",Table16[[#This Row],[YEAR]])</f>
        <v>Goa-2012</v>
      </c>
      <c r="D700" t="s">
        <v>362</v>
      </c>
      <c r="E700">
        <v>10</v>
      </c>
    </row>
    <row r="701" spans="1:5" x14ac:dyDescent="0.3">
      <c r="A701" t="s">
        <v>11</v>
      </c>
      <c r="B701">
        <v>2012</v>
      </c>
      <c r="C701" t="str">
        <f>_xlfn.CONCAT(Table16[[#This Row],[STATE]],"-",Table16[[#This Row],[YEAR]])</f>
        <v>Goa-2012</v>
      </c>
      <c r="D701" t="s">
        <v>357</v>
      </c>
      <c r="E701">
        <v>7</v>
      </c>
    </row>
    <row r="702" spans="1:5" x14ac:dyDescent="0.3">
      <c r="A702" t="s">
        <v>12</v>
      </c>
      <c r="B702">
        <v>2001</v>
      </c>
      <c r="C702" t="str">
        <f>_xlfn.CONCAT(Table16[[#This Row],[STATE]],"-",Table16[[#This Row],[YEAR]])</f>
        <v>Gujarat-2001</v>
      </c>
      <c r="D702" t="s">
        <v>123</v>
      </c>
      <c r="E702">
        <v>210</v>
      </c>
    </row>
    <row r="703" spans="1:5" x14ac:dyDescent="0.3">
      <c r="A703" t="s">
        <v>12</v>
      </c>
      <c r="B703">
        <v>2001</v>
      </c>
      <c r="C703" t="str">
        <f>_xlfn.CONCAT(Table16[[#This Row],[STATE]],"-",Table16[[#This Row],[YEAR]])</f>
        <v>Gujarat-2001</v>
      </c>
      <c r="D703" t="s">
        <v>90</v>
      </c>
      <c r="E703">
        <v>40</v>
      </c>
    </row>
    <row r="704" spans="1:5" x14ac:dyDescent="0.3">
      <c r="A704" t="s">
        <v>12</v>
      </c>
      <c r="B704">
        <v>2001</v>
      </c>
      <c r="C704" t="str">
        <f>_xlfn.CONCAT(Table16[[#This Row],[STATE]],"-",Table16[[#This Row],[YEAR]])</f>
        <v>Gujarat-2001</v>
      </c>
      <c r="D704" t="s">
        <v>363</v>
      </c>
      <c r="E704">
        <v>20</v>
      </c>
    </row>
    <row r="705" spans="1:5" x14ac:dyDescent="0.3">
      <c r="A705" t="s">
        <v>12</v>
      </c>
      <c r="B705">
        <v>2001</v>
      </c>
      <c r="C705" t="str">
        <f>_xlfn.CONCAT(Table16[[#This Row],[STATE]],"-",Table16[[#This Row],[YEAR]])</f>
        <v>Gujarat-2001</v>
      </c>
      <c r="D705" t="s">
        <v>103</v>
      </c>
      <c r="E705">
        <v>40</v>
      </c>
    </row>
    <row r="706" spans="1:5" x14ac:dyDescent="0.3">
      <c r="A706" t="s">
        <v>12</v>
      </c>
      <c r="B706">
        <v>2001</v>
      </c>
      <c r="C706" t="str">
        <f>_xlfn.CONCAT(Table16[[#This Row],[STATE]],"-",Table16[[#This Row],[YEAR]])</f>
        <v>Gujarat-2001</v>
      </c>
      <c r="D706" t="s">
        <v>364</v>
      </c>
      <c r="E706">
        <v>10</v>
      </c>
    </row>
    <row r="707" spans="1:5" x14ac:dyDescent="0.3">
      <c r="A707" t="s">
        <v>12</v>
      </c>
      <c r="B707">
        <v>2001</v>
      </c>
      <c r="C707" t="str">
        <f>_xlfn.CONCAT(Table16[[#This Row],[STATE]],"-",Table16[[#This Row],[YEAR]])</f>
        <v>Gujarat-2001</v>
      </c>
      <c r="D707" t="s">
        <v>351</v>
      </c>
      <c r="E707">
        <v>7</v>
      </c>
    </row>
    <row r="708" spans="1:5" x14ac:dyDescent="0.3">
      <c r="A708" t="s">
        <v>12</v>
      </c>
      <c r="B708">
        <v>2001</v>
      </c>
      <c r="C708" t="str">
        <f>_xlfn.CONCAT(Table16[[#This Row],[STATE]],"-",Table16[[#This Row],[YEAR]])</f>
        <v>Gujarat-2001</v>
      </c>
      <c r="D708" t="s">
        <v>142</v>
      </c>
      <c r="E708">
        <v>53</v>
      </c>
    </row>
    <row r="709" spans="1:5" x14ac:dyDescent="0.3">
      <c r="A709" t="s">
        <v>12</v>
      </c>
      <c r="B709">
        <v>2001</v>
      </c>
      <c r="C709" t="str">
        <f>_xlfn.CONCAT(Table16[[#This Row],[STATE]],"-",Table16[[#This Row],[YEAR]])</f>
        <v>Gujarat-2001</v>
      </c>
      <c r="D709" t="s">
        <v>365</v>
      </c>
      <c r="E709">
        <v>24</v>
      </c>
    </row>
    <row r="710" spans="1:5" x14ac:dyDescent="0.3">
      <c r="A710" t="s">
        <v>12</v>
      </c>
      <c r="B710">
        <v>2001</v>
      </c>
      <c r="C710" t="str">
        <f>_xlfn.CONCAT(Table16[[#This Row],[STATE]],"-",Table16[[#This Row],[YEAR]])</f>
        <v>Gujarat-2001</v>
      </c>
      <c r="D710" t="s">
        <v>366</v>
      </c>
      <c r="E710">
        <v>154</v>
      </c>
    </row>
    <row r="711" spans="1:5" x14ac:dyDescent="0.3">
      <c r="A711" t="s">
        <v>12</v>
      </c>
      <c r="B711">
        <v>2001</v>
      </c>
      <c r="C711" t="str">
        <f>_xlfn.CONCAT(Table16[[#This Row],[STATE]],"-",Table16[[#This Row],[YEAR]])</f>
        <v>Gujarat-2001</v>
      </c>
      <c r="D711" t="s">
        <v>367</v>
      </c>
      <c r="E711">
        <v>39</v>
      </c>
    </row>
    <row r="712" spans="1:5" x14ac:dyDescent="0.3">
      <c r="A712" t="s">
        <v>12</v>
      </c>
      <c r="B712">
        <v>2002</v>
      </c>
      <c r="C712" t="str">
        <f>_xlfn.CONCAT(Table16[[#This Row],[STATE]],"-",Table16[[#This Row],[YEAR]])</f>
        <v>Gujarat-2002</v>
      </c>
      <c r="D712" t="s">
        <v>123</v>
      </c>
      <c r="E712">
        <v>191</v>
      </c>
    </row>
    <row r="713" spans="1:5" x14ac:dyDescent="0.3">
      <c r="A713" t="s">
        <v>12</v>
      </c>
      <c r="B713">
        <v>2002</v>
      </c>
      <c r="C713" t="str">
        <f>_xlfn.CONCAT(Table16[[#This Row],[STATE]],"-",Table16[[#This Row],[YEAR]])</f>
        <v>Gujarat-2002</v>
      </c>
      <c r="D713" t="s">
        <v>90</v>
      </c>
      <c r="E713">
        <v>297</v>
      </c>
    </row>
    <row r="714" spans="1:5" x14ac:dyDescent="0.3">
      <c r="A714" t="s">
        <v>12</v>
      </c>
      <c r="B714">
        <v>2002</v>
      </c>
      <c r="C714" t="str">
        <f>_xlfn.CONCAT(Table16[[#This Row],[STATE]],"-",Table16[[#This Row],[YEAR]])</f>
        <v>Gujarat-2002</v>
      </c>
      <c r="D714" t="s">
        <v>141</v>
      </c>
      <c r="E714">
        <v>75</v>
      </c>
    </row>
    <row r="715" spans="1:5" x14ac:dyDescent="0.3">
      <c r="A715" t="s">
        <v>12</v>
      </c>
      <c r="B715">
        <v>2002</v>
      </c>
      <c r="C715" t="str">
        <f>_xlfn.CONCAT(Table16[[#This Row],[STATE]],"-",Table16[[#This Row],[YEAR]])</f>
        <v>Gujarat-2002</v>
      </c>
      <c r="D715" t="s">
        <v>197</v>
      </c>
      <c r="E715">
        <v>143</v>
      </c>
    </row>
    <row r="716" spans="1:5" x14ac:dyDescent="0.3">
      <c r="A716" t="s">
        <v>12</v>
      </c>
      <c r="B716">
        <v>2002</v>
      </c>
      <c r="C716" t="str">
        <f>_xlfn.CONCAT(Table16[[#This Row],[STATE]],"-",Table16[[#This Row],[YEAR]])</f>
        <v>Gujarat-2002</v>
      </c>
      <c r="D716" t="s">
        <v>351</v>
      </c>
      <c r="E716">
        <v>92</v>
      </c>
    </row>
    <row r="717" spans="1:5" x14ac:dyDescent="0.3">
      <c r="A717" t="s">
        <v>12</v>
      </c>
      <c r="B717">
        <v>2002</v>
      </c>
      <c r="C717" t="str">
        <f>_xlfn.CONCAT(Table16[[#This Row],[STATE]],"-",Table16[[#This Row],[YEAR]])</f>
        <v>Gujarat-2002</v>
      </c>
      <c r="D717" t="s">
        <v>363</v>
      </c>
      <c r="E717">
        <v>17</v>
      </c>
    </row>
    <row r="718" spans="1:5" x14ac:dyDescent="0.3">
      <c r="A718" t="s">
        <v>12</v>
      </c>
      <c r="B718">
        <v>2003</v>
      </c>
      <c r="C718" t="str">
        <f>_xlfn.CONCAT(Table16[[#This Row],[STATE]],"-",Table16[[#This Row],[YEAR]])</f>
        <v>Gujarat-2003</v>
      </c>
      <c r="D718" t="s">
        <v>123</v>
      </c>
      <c r="E718">
        <v>207</v>
      </c>
    </row>
    <row r="719" spans="1:5" x14ac:dyDescent="0.3">
      <c r="A719" t="s">
        <v>12</v>
      </c>
      <c r="B719">
        <v>2003</v>
      </c>
      <c r="C719" t="str">
        <f>_xlfn.CONCAT(Table16[[#This Row],[STATE]],"-",Table16[[#This Row],[YEAR]])</f>
        <v>Gujarat-2003</v>
      </c>
      <c r="D719" t="s">
        <v>90</v>
      </c>
      <c r="E719">
        <v>354</v>
      </c>
    </row>
    <row r="720" spans="1:5" x14ac:dyDescent="0.3">
      <c r="A720" t="s">
        <v>12</v>
      </c>
      <c r="B720">
        <v>2003</v>
      </c>
      <c r="C720" t="str">
        <f>_xlfn.CONCAT(Table16[[#This Row],[STATE]],"-",Table16[[#This Row],[YEAR]])</f>
        <v>Gujarat-2003</v>
      </c>
      <c r="D720" t="s">
        <v>141</v>
      </c>
      <c r="E720">
        <v>114</v>
      </c>
    </row>
    <row r="721" spans="1:5" x14ac:dyDescent="0.3">
      <c r="A721" t="s">
        <v>12</v>
      </c>
      <c r="B721">
        <v>2003</v>
      </c>
      <c r="C721" t="str">
        <f>_xlfn.CONCAT(Table16[[#This Row],[STATE]],"-",Table16[[#This Row],[YEAR]])</f>
        <v>Gujarat-2003</v>
      </c>
      <c r="D721" t="s">
        <v>197</v>
      </c>
      <c r="E721">
        <v>150</v>
      </c>
    </row>
    <row r="722" spans="1:5" x14ac:dyDescent="0.3">
      <c r="A722" t="s">
        <v>12</v>
      </c>
      <c r="B722">
        <v>2003</v>
      </c>
      <c r="C722" t="str">
        <f>_xlfn.CONCAT(Table16[[#This Row],[STATE]],"-",Table16[[#This Row],[YEAR]])</f>
        <v>Gujarat-2003</v>
      </c>
      <c r="D722" t="s">
        <v>351</v>
      </c>
      <c r="E722">
        <v>70</v>
      </c>
    </row>
    <row r="723" spans="1:5" x14ac:dyDescent="0.3">
      <c r="A723" t="s">
        <v>12</v>
      </c>
      <c r="B723">
        <v>2003</v>
      </c>
      <c r="C723" t="str">
        <f>_xlfn.CONCAT(Table16[[#This Row],[STATE]],"-",Table16[[#This Row],[YEAR]])</f>
        <v>Gujarat-2003</v>
      </c>
      <c r="D723" t="s">
        <v>363</v>
      </c>
      <c r="E723">
        <v>16</v>
      </c>
    </row>
    <row r="724" spans="1:5" x14ac:dyDescent="0.3">
      <c r="A724" t="s">
        <v>12</v>
      </c>
      <c r="B724">
        <v>2003</v>
      </c>
      <c r="C724" t="str">
        <f>_xlfn.CONCAT(Table16[[#This Row],[STATE]],"-",Table16[[#This Row],[YEAR]])</f>
        <v>Gujarat-2003</v>
      </c>
      <c r="D724" t="s">
        <v>103</v>
      </c>
      <c r="E724">
        <v>146</v>
      </c>
    </row>
    <row r="725" spans="1:5" x14ac:dyDescent="0.3">
      <c r="A725" t="s">
        <v>12</v>
      </c>
      <c r="B725">
        <v>2004</v>
      </c>
      <c r="C725" t="str">
        <f>_xlfn.CONCAT(Table16[[#This Row],[STATE]],"-",Table16[[#This Row],[YEAR]])</f>
        <v>Gujarat-2004</v>
      </c>
      <c r="D725" t="s">
        <v>123</v>
      </c>
      <c r="E725">
        <v>194</v>
      </c>
    </row>
    <row r="726" spans="1:5" x14ac:dyDescent="0.3">
      <c r="A726" t="s">
        <v>12</v>
      </c>
      <c r="B726">
        <v>2004</v>
      </c>
      <c r="C726" t="str">
        <f>_xlfn.CONCAT(Table16[[#This Row],[STATE]],"-",Table16[[#This Row],[YEAR]])</f>
        <v>Gujarat-2004</v>
      </c>
      <c r="D726" t="s">
        <v>90</v>
      </c>
      <c r="E726">
        <v>415</v>
      </c>
    </row>
    <row r="727" spans="1:5" x14ac:dyDescent="0.3">
      <c r="A727" t="s">
        <v>12</v>
      </c>
      <c r="B727">
        <v>2004</v>
      </c>
      <c r="C727" t="str">
        <f>_xlfn.CONCAT(Table16[[#This Row],[STATE]],"-",Table16[[#This Row],[YEAR]])</f>
        <v>Gujarat-2004</v>
      </c>
      <c r="D727" t="s">
        <v>141</v>
      </c>
      <c r="E727">
        <v>121</v>
      </c>
    </row>
    <row r="728" spans="1:5" x14ac:dyDescent="0.3">
      <c r="A728" t="s">
        <v>12</v>
      </c>
      <c r="B728">
        <v>2004</v>
      </c>
      <c r="C728" t="str">
        <f>_xlfn.CONCAT(Table16[[#This Row],[STATE]],"-",Table16[[#This Row],[YEAR]])</f>
        <v>Gujarat-2004</v>
      </c>
      <c r="D728" t="s">
        <v>197</v>
      </c>
      <c r="E728">
        <v>155</v>
      </c>
    </row>
    <row r="729" spans="1:5" x14ac:dyDescent="0.3">
      <c r="A729" t="s">
        <v>12</v>
      </c>
      <c r="B729">
        <v>2004</v>
      </c>
      <c r="C729" t="str">
        <f>_xlfn.CONCAT(Table16[[#This Row],[STATE]],"-",Table16[[#This Row],[YEAR]])</f>
        <v>Gujarat-2004</v>
      </c>
      <c r="D729" t="s">
        <v>351</v>
      </c>
      <c r="E729">
        <v>69</v>
      </c>
    </row>
    <row r="730" spans="1:5" x14ac:dyDescent="0.3">
      <c r="A730" t="s">
        <v>12</v>
      </c>
      <c r="B730">
        <v>2004</v>
      </c>
      <c r="C730" t="str">
        <f>_xlfn.CONCAT(Table16[[#This Row],[STATE]],"-",Table16[[#This Row],[YEAR]])</f>
        <v>Gujarat-2004</v>
      </c>
      <c r="D730" t="s">
        <v>363</v>
      </c>
      <c r="E730">
        <v>36</v>
      </c>
    </row>
    <row r="731" spans="1:5" x14ac:dyDescent="0.3">
      <c r="A731" t="s">
        <v>12</v>
      </c>
      <c r="B731">
        <v>2004</v>
      </c>
      <c r="C731" t="str">
        <f>_xlfn.CONCAT(Table16[[#This Row],[STATE]],"-",Table16[[#This Row],[YEAR]])</f>
        <v>Gujarat-2004</v>
      </c>
      <c r="D731" t="s">
        <v>103</v>
      </c>
      <c r="E731">
        <v>174</v>
      </c>
    </row>
    <row r="732" spans="1:5" x14ac:dyDescent="0.3">
      <c r="A732" t="s">
        <v>12</v>
      </c>
      <c r="B732">
        <v>2004</v>
      </c>
      <c r="C732" t="str">
        <f>_xlfn.CONCAT(Table16[[#This Row],[STATE]],"-",Table16[[#This Row],[YEAR]])</f>
        <v>Gujarat-2004</v>
      </c>
      <c r="D732" t="s">
        <v>368</v>
      </c>
      <c r="E732">
        <v>14</v>
      </c>
    </row>
    <row r="733" spans="1:5" x14ac:dyDescent="0.3">
      <c r="A733" t="s">
        <v>12</v>
      </c>
      <c r="B733">
        <v>2005</v>
      </c>
      <c r="C733" t="str">
        <f>_xlfn.CONCAT(Table16[[#This Row],[STATE]],"-",Table16[[#This Row],[YEAR]])</f>
        <v>Gujarat-2005</v>
      </c>
      <c r="D733" t="s">
        <v>123</v>
      </c>
      <c r="E733">
        <v>204</v>
      </c>
    </row>
    <row r="734" spans="1:5" x14ac:dyDescent="0.3">
      <c r="A734" t="s">
        <v>12</v>
      </c>
      <c r="B734">
        <v>2005</v>
      </c>
      <c r="C734" t="str">
        <f>_xlfn.CONCAT(Table16[[#This Row],[STATE]],"-",Table16[[#This Row],[YEAR]])</f>
        <v>Gujarat-2005</v>
      </c>
      <c r="D734" t="s">
        <v>90</v>
      </c>
      <c r="E734">
        <v>430</v>
      </c>
    </row>
    <row r="735" spans="1:5" x14ac:dyDescent="0.3">
      <c r="A735" t="s">
        <v>12</v>
      </c>
      <c r="B735">
        <v>2005</v>
      </c>
      <c r="C735" t="str">
        <f>_xlfn.CONCAT(Table16[[#This Row],[STATE]],"-",Table16[[#This Row],[YEAR]])</f>
        <v>Gujarat-2005</v>
      </c>
      <c r="D735" t="s">
        <v>141</v>
      </c>
      <c r="E735">
        <v>120</v>
      </c>
    </row>
    <row r="736" spans="1:5" x14ac:dyDescent="0.3">
      <c r="A736" t="s">
        <v>12</v>
      </c>
      <c r="B736">
        <v>2005</v>
      </c>
      <c r="C736" t="str">
        <f>_xlfn.CONCAT(Table16[[#This Row],[STATE]],"-",Table16[[#This Row],[YEAR]])</f>
        <v>Gujarat-2005</v>
      </c>
      <c r="D736" t="s">
        <v>216</v>
      </c>
      <c r="E736">
        <v>158</v>
      </c>
    </row>
    <row r="737" spans="1:5" x14ac:dyDescent="0.3">
      <c r="A737" t="s">
        <v>12</v>
      </c>
      <c r="B737">
        <v>2005</v>
      </c>
      <c r="C737" t="str">
        <f>_xlfn.CONCAT(Table16[[#This Row],[STATE]],"-",Table16[[#This Row],[YEAR]])</f>
        <v>Gujarat-2005</v>
      </c>
      <c r="D737" t="s">
        <v>351</v>
      </c>
      <c r="E737">
        <v>72</v>
      </c>
    </row>
    <row r="738" spans="1:5" x14ac:dyDescent="0.3">
      <c r="A738" t="s">
        <v>12</v>
      </c>
      <c r="B738">
        <v>2005</v>
      </c>
      <c r="C738" t="str">
        <f>_xlfn.CONCAT(Table16[[#This Row],[STATE]],"-",Table16[[#This Row],[YEAR]])</f>
        <v>Gujarat-2005</v>
      </c>
      <c r="D738" t="s">
        <v>363</v>
      </c>
      <c r="E738">
        <v>37</v>
      </c>
    </row>
    <row r="739" spans="1:5" x14ac:dyDescent="0.3">
      <c r="A739" t="s">
        <v>12</v>
      </c>
      <c r="B739">
        <v>2005</v>
      </c>
      <c r="C739" t="str">
        <f>_xlfn.CONCAT(Table16[[#This Row],[STATE]],"-",Table16[[#This Row],[YEAR]])</f>
        <v>Gujarat-2005</v>
      </c>
      <c r="D739" t="s">
        <v>103</v>
      </c>
      <c r="E739">
        <v>175</v>
      </c>
    </row>
    <row r="740" spans="1:5" x14ac:dyDescent="0.3">
      <c r="A740" t="s">
        <v>12</v>
      </c>
      <c r="B740">
        <v>2005</v>
      </c>
      <c r="C740" t="str">
        <f>_xlfn.CONCAT(Table16[[#This Row],[STATE]],"-",Table16[[#This Row],[YEAR]])</f>
        <v>Gujarat-2005</v>
      </c>
      <c r="D740" t="s">
        <v>368</v>
      </c>
      <c r="E740">
        <v>15</v>
      </c>
    </row>
    <row r="741" spans="1:5" x14ac:dyDescent="0.3">
      <c r="A741" t="s">
        <v>12</v>
      </c>
      <c r="B741">
        <v>2006</v>
      </c>
      <c r="C741" t="str">
        <f>_xlfn.CONCAT(Table16[[#This Row],[STATE]],"-",Table16[[#This Row],[YEAR]])</f>
        <v>Gujarat-2006</v>
      </c>
      <c r="D741" t="s">
        <v>369</v>
      </c>
      <c r="E741">
        <v>1317</v>
      </c>
    </row>
    <row r="742" spans="1:5" x14ac:dyDescent="0.3">
      <c r="A742" t="s">
        <v>12</v>
      </c>
      <c r="B742">
        <v>2006</v>
      </c>
      <c r="C742" t="str">
        <f>_xlfn.CONCAT(Table16[[#This Row],[STATE]],"-",Table16[[#This Row],[YEAR]])</f>
        <v>Gujarat-2006</v>
      </c>
      <c r="D742" t="s">
        <v>370</v>
      </c>
      <c r="E742">
        <v>1203</v>
      </c>
    </row>
    <row r="743" spans="1:5" x14ac:dyDescent="0.3">
      <c r="A743" t="s">
        <v>12</v>
      </c>
      <c r="B743">
        <v>2006</v>
      </c>
      <c r="C743" t="str">
        <f>_xlfn.CONCAT(Table16[[#This Row],[STATE]],"-",Table16[[#This Row],[YEAR]])</f>
        <v>Gujarat-2006</v>
      </c>
      <c r="D743" t="s">
        <v>371</v>
      </c>
      <c r="E743">
        <v>384</v>
      </c>
    </row>
    <row r="744" spans="1:5" x14ac:dyDescent="0.3">
      <c r="A744" t="s">
        <v>12</v>
      </c>
      <c r="B744">
        <v>2006</v>
      </c>
      <c r="C744" t="str">
        <f>_xlfn.CONCAT(Table16[[#This Row],[STATE]],"-",Table16[[#This Row],[YEAR]])</f>
        <v>Gujarat-2006</v>
      </c>
      <c r="D744" t="s">
        <v>372</v>
      </c>
      <c r="E744">
        <v>177</v>
      </c>
    </row>
    <row r="745" spans="1:5" x14ac:dyDescent="0.3">
      <c r="A745" t="s">
        <v>12</v>
      </c>
      <c r="B745">
        <v>2006</v>
      </c>
      <c r="C745" t="str">
        <f>_xlfn.CONCAT(Table16[[#This Row],[STATE]],"-",Table16[[#This Row],[YEAR]])</f>
        <v>Gujarat-2006</v>
      </c>
      <c r="D745" t="s">
        <v>373</v>
      </c>
      <c r="E745">
        <v>258</v>
      </c>
    </row>
    <row r="746" spans="1:5" x14ac:dyDescent="0.3">
      <c r="A746" t="s">
        <v>12</v>
      </c>
      <c r="B746">
        <v>2006</v>
      </c>
      <c r="C746" t="str">
        <f>_xlfn.CONCAT(Table16[[#This Row],[STATE]],"-",Table16[[#This Row],[YEAR]])</f>
        <v>Gujarat-2006</v>
      </c>
      <c r="D746" t="s">
        <v>374</v>
      </c>
      <c r="E746">
        <v>761</v>
      </c>
    </row>
    <row r="747" spans="1:5" x14ac:dyDescent="0.3">
      <c r="A747" t="s">
        <v>12</v>
      </c>
      <c r="B747">
        <v>2006</v>
      </c>
      <c r="C747" t="str">
        <f>_xlfn.CONCAT(Table16[[#This Row],[STATE]],"-",Table16[[#This Row],[YEAR]])</f>
        <v>Gujarat-2006</v>
      </c>
      <c r="D747" t="s">
        <v>375</v>
      </c>
      <c r="E747">
        <v>173</v>
      </c>
    </row>
    <row r="748" spans="1:5" x14ac:dyDescent="0.3">
      <c r="A748" t="s">
        <v>12</v>
      </c>
      <c r="B748">
        <v>2007</v>
      </c>
      <c r="C748" t="str">
        <f>_xlfn.CONCAT(Table16[[#This Row],[STATE]],"-",Table16[[#This Row],[YEAR]])</f>
        <v>Gujarat-2007</v>
      </c>
      <c r="D748" t="s">
        <v>123</v>
      </c>
      <c r="E748">
        <v>1559</v>
      </c>
    </row>
    <row r="749" spans="1:5" x14ac:dyDescent="0.3">
      <c r="A749" t="s">
        <v>12</v>
      </c>
      <c r="B749">
        <v>2007</v>
      </c>
      <c r="C749" t="str">
        <f>_xlfn.CONCAT(Table16[[#This Row],[STATE]],"-",Table16[[#This Row],[YEAR]])</f>
        <v>Gujarat-2007</v>
      </c>
      <c r="D749" t="s">
        <v>90</v>
      </c>
      <c r="E749">
        <v>1009</v>
      </c>
    </row>
    <row r="750" spans="1:5" x14ac:dyDescent="0.3">
      <c r="A750" t="s">
        <v>12</v>
      </c>
      <c r="B750">
        <v>2007</v>
      </c>
      <c r="C750" t="str">
        <f>_xlfn.CONCAT(Table16[[#This Row],[STATE]],"-",Table16[[#This Row],[YEAR]])</f>
        <v>Gujarat-2007</v>
      </c>
      <c r="D750" t="s">
        <v>141</v>
      </c>
      <c r="E750">
        <v>802</v>
      </c>
    </row>
    <row r="751" spans="1:5" x14ac:dyDescent="0.3">
      <c r="A751" t="s">
        <v>12</v>
      </c>
      <c r="B751">
        <v>2007</v>
      </c>
      <c r="C751" t="str">
        <f>_xlfn.CONCAT(Table16[[#This Row],[STATE]],"-",Table16[[#This Row],[YEAR]])</f>
        <v>Gujarat-2007</v>
      </c>
      <c r="D751" t="s">
        <v>351</v>
      </c>
      <c r="E751">
        <v>311</v>
      </c>
    </row>
    <row r="752" spans="1:5" x14ac:dyDescent="0.3">
      <c r="A752" t="s">
        <v>12</v>
      </c>
      <c r="B752">
        <v>2007</v>
      </c>
      <c r="C752" t="str">
        <f>_xlfn.CONCAT(Table16[[#This Row],[STATE]],"-",Table16[[#This Row],[YEAR]])</f>
        <v>Gujarat-2007</v>
      </c>
      <c r="D752" t="s">
        <v>363</v>
      </c>
      <c r="E752">
        <v>186</v>
      </c>
    </row>
    <row r="753" spans="1:5" x14ac:dyDescent="0.3">
      <c r="A753" t="s">
        <v>12</v>
      </c>
      <c r="B753">
        <v>2007</v>
      </c>
      <c r="C753" t="str">
        <f>_xlfn.CONCAT(Table16[[#This Row],[STATE]],"-",Table16[[#This Row],[YEAR]])</f>
        <v>Gujarat-2007</v>
      </c>
      <c r="D753" t="s">
        <v>103</v>
      </c>
      <c r="E753">
        <v>979</v>
      </c>
    </row>
    <row r="754" spans="1:5" x14ac:dyDescent="0.3">
      <c r="A754" t="s">
        <v>12</v>
      </c>
      <c r="B754">
        <v>2007</v>
      </c>
      <c r="C754" t="str">
        <f>_xlfn.CONCAT(Table16[[#This Row],[STATE]],"-",Table16[[#This Row],[YEAR]])</f>
        <v>Gujarat-2007</v>
      </c>
      <c r="D754" t="s">
        <v>375</v>
      </c>
      <c r="E754">
        <v>57</v>
      </c>
    </row>
    <row r="755" spans="1:5" x14ac:dyDescent="0.3">
      <c r="A755" t="s">
        <v>12</v>
      </c>
      <c r="B755">
        <v>2008</v>
      </c>
      <c r="C755" t="str">
        <f>_xlfn.CONCAT(Table16[[#This Row],[STATE]],"-",Table16[[#This Row],[YEAR]])</f>
        <v>Gujarat-2008</v>
      </c>
      <c r="D755" t="s">
        <v>369</v>
      </c>
      <c r="E755">
        <v>1626</v>
      </c>
    </row>
    <row r="756" spans="1:5" x14ac:dyDescent="0.3">
      <c r="A756" t="s">
        <v>12</v>
      </c>
      <c r="B756">
        <v>2008</v>
      </c>
      <c r="C756" t="str">
        <f>_xlfn.CONCAT(Table16[[#This Row],[STATE]],"-",Table16[[#This Row],[YEAR]])</f>
        <v>Gujarat-2008</v>
      </c>
      <c r="D756" t="s">
        <v>370</v>
      </c>
      <c r="E756">
        <v>917</v>
      </c>
    </row>
    <row r="757" spans="1:5" x14ac:dyDescent="0.3">
      <c r="A757" t="s">
        <v>12</v>
      </c>
      <c r="B757">
        <v>2008</v>
      </c>
      <c r="C757" t="str">
        <f>_xlfn.CONCAT(Table16[[#This Row],[STATE]],"-",Table16[[#This Row],[YEAR]])</f>
        <v>Gujarat-2008</v>
      </c>
      <c r="D757" t="s">
        <v>141</v>
      </c>
      <c r="E757">
        <v>889</v>
      </c>
    </row>
    <row r="758" spans="1:5" x14ac:dyDescent="0.3">
      <c r="A758" t="s">
        <v>12</v>
      </c>
      <c r="B758">
        <v>2008</v>
      </c>
      <c r="C758" t="str">
        <f>_xlfn.CONCAT(Table16[[#This Row],[STATE]],"-",Table16[[#This Row],[YEAR]])</f>
        <v>Gujarat-2008</v>
      </c>
      <c r="D758" t="s">
        <v>351</v>
      </c>
      <c r="E758">
        <v>296</v>
      </c>
    </row>
    <row r="759" spans="1:5" x14ac:dyDescent="0.3">
      <c r="A759" t="s">
        <v>12</v>
      </c>
      <c r="B759">
        <v>2008</v>
      </c>
      <c r="C759" t="str">
        <f>_xlfn.CONCAT(Table16[[#This Row],[STATE]],"-",Table16[[#This Row],[YEAR]])</f>
        <v>Gujarat-2008</v>
      </c>
      <c r="D759" t="s">
        <v>373</v>
      </c>
      <c r="E759">
        <v>190</v>
      </c>
    </row>
    <row r="760" spans="1:5" x14ac:dyDescent="0.3">
      <c r="A760" t="s">
        <v>12</v>
      </c>
      <c r="B760">
        <v>2008</v>
      </c>
      <c r="C760" t="str">
        <f>_xlfn.CONCAT(Table16[[#This Row],[STATE]],"-",Table16[[#This Row],[YEAR]])</f>
        <v>Gujarat-2008</v>
      </c>
      <c r="D760" t="s">
        <v>374</v>
      </c>
      <c r="E760">
        <v>458</v>
      </c>
    </row>
    <row r="761" spans="1:5" x14ac:dyDescent="0.3">
      <c r="A761" t="s">
        <v>12</v>
      </c>
      <c r="B761">
        <v>2008</v>
      </c>
      <c r="C761" t="str">
        <f>_xlfn.CONCAT(Table16[[#This Row],[STATE]],"-",Table16[[#This Row],[YEAR]])</f>
        <v>Gujarat-2008</v>
      </c>
      <c r="D761" t="s">
        <v>368</v>
      </c>
      <c r="E761">
        <v>125</v>
      </c>
    </row>
    <row r="762" spans="1:5" x14ac:dyDescent="0.3">
      <c r="A762" t="s">
        <v>12</v>
      </c>
      <c r="B762">
        <v>2009</v>
      </c>
      <c r="C762" t="str">
        <f>_xlfn.CONCAT(Table16[[#This Row],[STATE]],"-",Table16[[#This Row],[YEAR]])</f>
        <v>Gujarat-2009</v>
      </c>
      <c r="D762" t="s">
        <v>123</v>
      </c>
      <c r="E762">
        <v>1693</v>
      </c>
    </row>
    <row r="763" spans="1:5" x14ac:dyDescent="0.3">
      <c r="A763" t="s">
        <v>12</v>
      </c>
      <c r="B763">
        <v>2009</v>
      </c>
      <c r="C763" t="str">
        <f>_xlfn.CONCAT(Table16[[#This Row],[STATE]],"-",Table16[[#This Row],[YEAR]])</f>
        <v>Gujarat-2009</v>
      </c>
      <c r="D763" t="s">
        <v>90</v>
      </c>
      <c r="E763">
        <v>1279</v>
      </c>
    </row>
    <row r="764" spans="1:5" x14ac:dyDescent="0.3">
      <c r="A764" t="s">
        <v>12</v>
      </c>
      <c r="B764">
        <v>2009</v>
      </c>
      <c r="C764" t="str">
        <f>_xlfn.CONCAT(Table16[[#This Row],[STATE]],"-",Table16[[#This Row],[YEAR]])</f>
        <v>Gujarat-2009</v>
      </c>
      <c r="D764" t="s">
        <v>141</v>
      </c>
      <c r="E764">
        <v>850</v>
      </c>
    </row>
    <row r="765" spans="1:5" x14ac:dyDescent="0.3">
      <c r="A765" t="s">
        <v>12</v>
      </c>
      <c r="B765">
        <v>2009</v>
      </c>
      <c r="C765" t="str">
        <f>_xlfn.CONCAT(Table16[[#This Row],[STATE]],"-",Table16[[#This Row],[YEAR]])</f>
        <v>Gujarat-2009</v>
      </c>
      <c r="D765" t="s">
        <v>351</v>
      </c>
      <c r="E765">
        <v>167</v>
      </c>
    </row>
    <row r="766" spans="1:5" x14ac:dyDescent="0.3">
      <c r="A766" t="s">
        <v>12</v>
      </c>
      <c r="B766">
        <v>2009</v>
      </c>
      <c r="C766" t="str">
        <f>_xlfn.CONCAT(Table16[[#This Row],[STATE]],"-",Table16[[#This Row],[YEAR]])</f>
        <v>Gujarat-2009</v>
      </c>
      <c r="D766" t="s">
        <v>363</v>
      </c>
      <c r="E766">
        <v>201</v>
      </c>
    </row>
    <row r="767" spans="1:5" x14ac:dyDescent="0.3">
      <c r="A767" t="s">
        <v>12</v>
      </c>
      <c r="B767">
        <v>2009</v>
      </c>
      <c r="C767" t="str">
        <f>_xlfn.CONCAT(Table16[[#This Row],[STATE]],"-",Table16[[#This Row],[YEAR]])</f>
        <v>Gujarat-2009</v>
      </c>
      <c r="D767" t="s">
        <v>103</v>
      </c>
      <c r="E767">
        <v>271</v>
      </c>
    </row>
    <row r="768" spans="1:5" x14ac:dyDescent="0.3">
      <c r="A768" t="s">
        <v>12</v>
      </c>
      <c r="B768">
        <v>2009</v>
      </c>
      <c r="C768" t="str">
        <f>_xlfn.CONCAT(Table16[[#This Row],[STATE]],"-",Table16[[#This Row],[YEAR]])</f>
        <v>Gujarat-2009</v>
      </c>
      <c r="D768" t="s">
        <v>368</v>
      </c>
      <c r="E768">
        <v>475</v>
      </c>
    </row>
    <row r="769" spans="1:5" x14ac:dyDescent="0.3">
      <c r="A769" t="s">
        <v>12</v>
      </c>
      <c r="B769">
        <v>2009</v>
      </c>
      <c r="C769" t="str">
        <f>_xlfn.CONCAT(Table16[[#This Row],[STATE]],"-",Table16[[#This Row],[YEAR]])</f>
        <v>Gujarat-2009</v>
      </c>
      <c r="D769" t="s">
        <v>376</v>
      </c>
      <c r="E769">
        <v>168</v>
      </c>
    </row>
    <row r="770" spans="1:5" x14ac:dyDescent="0.3">
      <c r="A770" t="s">
        <v>12</v>
      </c>
      <c r="B770">
        <v>2010</v>
      </c>
      <c r="C770" t="str">
        <f>_xlfn.CONCAT(Table16[[#This Row],[STATE]],"-",Table16[[#This Row],[YEAR]])</f>
        <v>Gujarat-2010</v>
      </c>
      <c r="D770" t="s">
        <v>369</v>
      </c>
      <c r="E770">
        <v>1796</v>
      </c>
    </row>
    <row r="771" spans="1:5" x14ac:dyDescent="0.3">
      <c r="A771" t="s">
        <v>12</v>
      </c>
      <c r="B771">
        <v>2010</v>
      </c>
      <c r="C771" t="str">
        <f>_xlfn.CONCAT(Table16[[#This Row],[STATE]],"-",Table16[[#This Row],[YEAR]])</f>
        <v>Gujarat-2010</v>
      </c>
      <c r="D771" t="s">
        <v>370</v>
      </c>
      <c r="E771">
        <v>1382</v>
      </c>
    </row>
    <row r="772" spans="1:5" x14ac:dyDescent="0.3">
      <c r="A772" t="s">
        <v>12</v>
      </c>
      <c r="B772">
        <v>2010</v>
      </c>
      <c r="C772" t="str">
        <f>_xlfn.CONCAT(Table16[[#This Row],[STATE]],"-",Table16[[#This Row],[YEAR]])</f>
        <v>Gujarat-2010</v>
      </c>
      <c r="D772" t="s">
        <v>371</v>
      </c>
      <c r="E772">
        <v>792</v>
      </c>
    </row>
    <row r="773" spans="1:5" x14ac:dyDescent="0.3">
      <c r="A773" t="s">
        <v>12</v>
      </c>
      <c r="B773">
        <v>2010</v>
      </c>
      <c r="C773" t="str">
        <f>_xlfn.CONCAT(Table16[[#This Row],[STATE]],"-",Table16[[#This Row],[YEAR]])</f>
        <v>Gujarat-2010</v>
      </c>
      <c r="D773" t="s">
        <v>372</v>
      </c>
      <c r="E773">
        <v>205</v>
      </c>
    </row>
    <row r="774" spans="1:5" x14ac:dyDescent="0.3">
      <c r="A774" t="s">
        <v>12</v>
      </c>
      <c r="B774">
        <v>2010</v>
      </c>
      <c r="C774" t="str">
        <f>_xlfn.CONCAT(Table16[[#This Row],[STATE]],"-",Table16[[#This Row],[YEAR]])</f>
        <v>Gujarat-2010</v>
      </c>
      <c r="D774" t="s">
        <v>373</v>
      </c>
      <c r="E774">
        <v>168</v>
      </c>
    </row>
    <row r="775" spans="1:5" x14ac:dyDescent="0.3">
      <c r="A775" t="s">
        <v>12</v>
      </c>
      <c r="B775">
        <v>2010</v>
      </c>
      <c r="C775" t="str">
        <f>_xlfn.CONCAT(Table16[[#This Row],[STATE]],"-",Table16[[#This Row],[YEAR]])</f>
        <v>Gujarat-2010</v>
      </c>
      <c r="D775" t="s">
        <v>374</v>
      </c>
      <c r="E775">
        <v>284</v>
      </c>
    </row>
    <row r="776" spans="1:5" x14ac:dyDescent="0.3">
      <c r="A776" t="s">
        <v>12</v>
      </c>
      <c r="B776">
        <v>2010</v>
      </c>
      <c r="C776" t="str">
        <f>_xlfn.CONCAT(Table16[[#This Row],[STATE]],"-",Table16[[#This Row],[YEAR]])</f>
        <v>Gujarat-2010</v>
      </c>
      <c r="D776" t="s">
        <v>375</v>
      </c>
      <c r="E776">
        <v>12</v>
      </c>
    </row>
    <row r="777" spans="1:5" x14ac:dyDescent="0.3">
      <c r="A777" t="s">
        <v>12</v>
      </c>
      <c r="B777">
        <v>2010</v>
      </c>
      <c r="C777" t="str">
        <f>_xlfn.CONCAT(Table16[[#This Row],[STATE]],"-",Table16[[#This Row],[YEAR]])</f>
        <v>Gujarat-2010</v>
      </c>
      <c r="D777" t="s">
        <v>376</v>
      </c>
      <c r="E777">
        <v>180</v>
      </c>
    </row>
    <row r="778" spans="1:5" x14ac:dyDescent="0.3">
      <c r="A778" t="s">
        <v>12</v>
      </c>
      <c r="B778">
        <v>2011</v>
      </c>
      <c r="C778" t="str">
        <f>_xlfn.CONCAT(Table16[[#This Row],[STATE]],"-",Table16[[#This Row],[YEAR]])</f>
        <v>Gujarat-2011</v>
      </c>
      <c r="D778" t="s">
        <v>123</v>
      </c>
      <c r="E778">
        <v>1808</v>
      </c>
    </row>
    <row r="779" spans="1:5" x14ac:dyDescent="0.3">
      <c r="A779" t="s">
        <v>12</v>
      </c>
      <c r="B779">
        <v>2011</v>
      </c>
      <c r="C779" t="str">
        <f>_xlfn.CONCAT(Table16[[#This Row],[STATE]],"-",Table16[[#This Row],[YEAR]])</f>
        <v>Gujarat-2011</v>
      </c>
      <c r="D779" t="s">
        <v>90</v>
      </c>
      <c r="E779">
        <v>1396</v>
      </c>
    </row>
    <row r="780" spans="1:5" x14ac:dyDescent="0.3">
      <c r="A780" t="s">
        <v>12</v>
      </c>
      <c r="B780">
        <v>2011</v>
      </c>
      <c r="C780" t="str">
        <f>_xlfn.CONCAT(Table16[[#This Row],[STATE]],"-",Table16[[#This Row],[YEAR]])</f>
        <v>Gujarat-2011</v>
      </c>
      <c r="D780" t="s">
        <v>141</v>
      </c>
      <c r="E780">
        <v>630</v>
      </c>
    </row>
    <row r="781" spans="1:5" x14ac:dyDescent="0.3">
      <c r="A781" t="s">
        <v>12</v>
      </c>
      <c r="B781">
        <v>2011</v>
      </c>
      <c r="C781" t="str">
        <f>_xlfn.CONCAT(Table16[[#This Row],[STATE]],"-",Table16[[#This Row],[YEAR]])</f>
        <v>Gujarat-2011</v>
      </c>
      <c r="D781" t="s">
        <v>351</v>
      </c>
      <c r="E781">
        <v>166</v>
      </c>
    </row>
    <row r="782" spans="1:5" x14ac:dyDescent="0.3">
      <c r="A782" t="s">
        <v>12</v>
      </c>
      <c r="B782">
        <v>2011</v>
      </c>
      <c r="C782" t="str">
        <f>_xlfn.CONCAT(Table16[[#This Row],[STATE]],"-",Table16[[#This Row],[YEAR]])</f>
        <v>Gujarat-2011</v>
      </c>
      <c r="D782" t="s">
        <v>363</v>
      </c>
      <c r="E782">
        <v>15</v>
      </c>
    </row>
    <row r="783" spans="1:5" x14ac:dyDescent="0.3">
      <c r="A783" t="s">
        <v>12</v>
      </c>
      <c r="B783">
        <v>2011</v>
      </c>
      <c r="C783" t="str">
        <f>_xlfn.CONCAT(Table16[[#This Row],[STATE]],"-",Table16[[#This Row],[YEAR]])</f>
        <v>Gujarat-2011</v>
      </c>
      <c r="D783" t="s">
        <v>103</v>
      </c>
      <c r="E783">
        <v>167</v>
      </c>
    </row>
    <row r="784" spans="1:5" x14ac:dyDescent="0.3">
      <c r="A784" t="s">
        <v>12</v>
      </c>
      <c r="B784">
        <v>2011</v>
      </c>
      <c r="C784" t="str">
        <f>_xlfn.CONCAT(Table16[[#This Row],[STATE]],"-",Table16[[#This Row],[YEAR]])</f>
        <v>Gujarat-2011</v>
      </c>
      <c r="D784" t="s">
        <v>376</v>
      </c>
      <c r="E784">
        <v>133</v>
      </c>
    </row>
    <row r="785" spans="1:5" x14ac:dyDescent="0.3">
      <c r="A785" t="s">
        <v>12</v>
      </c>
      <c r="B785">
        <v>2011</v>
      </c>
      <c r="C785" t="str">
        <f>_xlfn.CONCAT(Table16[[#This Row],[STATE]],"-",Table16[[#This Row],[YEAR]])</f>
        <v>Gujarat-2011</v>
      </c>
      <c r="D785" t="s">
        <v>197</v>
      </c>
      <c r="E785">
        <v>66</v>
      </c>
    </row>
    <row r="786" spans="1:5" x14ac:dyDescent="0.3">
      <c r="A786" t="s">
        <v>12</v>
      </c>
      <c r="B786">
        <v>2012</v>
      </c>
      <c r="C786" t="str">
        <f>_xlfn.CONCAT(Table16[[#This Row],[STATE]],"-",Table16[[#This Row],[YEAR]])</f>
        <v>Gujarat-2012</v>
      </c>
      <c r="D786" t="s">
        <v>123</v>
      </c>
      <c r="E786">
        <v>1634</v>
      </c>
    </row>
    <row r="787" spans="1:5" x14ac:dyDescent="0.3">
      <c r="A787" t="s">
        <v>12</v>
      </c>
      <c r="B787">
        <v>2012</v>
      </c>
      <c r="C787" t="str">
        <f>_xlfn.CONCAT(Table16[[#This Row],[STATE]],"-",Table16[[#This Row],[YEAR]])</f>
        <v>Gujarat-2012</v>
      </c>
      <c r="D787" t="s">
        <v>90</v>
      </c>
      <c r="E787">
        <v>1772</v>
      </c>
    </row>
    <row r="788" spans="1:5" x14ac:dyDescent="0.3">
      <c r="A788" t="s">
        <v>12</v>
      </c>
      <c r="B788">
        <v>2012</v>
      </c>
      <c r="C788" t="str">
        <f>_xlfn.CONCAT(Table16[[#This Row],[STATE]],"-",Table16[[#This Row],[YEAR]])</f>
        <v>Gujarat-2012</v>
      </c>
      <c r="D788" t="s">
        <v>141</v>
      </c>
      <c r="E788">
        <v>828</v>
      </c>
    </row>
    <row r="789" spans="1:5" x14ac:dyDescent="0.3">
      <c r="A789" t="s">
        <v>12</v>
      </c>
      <c r="B789">
        <v>2012</v>
      </c>
      <c r="C789" t="str">
        <f>_xlfn.CONCAT(Table16[[#This Row],[STATE]],"-",Table16[[#This Row],[YEAR]])</f>
        <v>Gujarat-2012</v>
      </c>
      <c r="D789" t="s">
        <v>351</v>
      </c>
      <c r="E789">
        <v>175</v>
      </c>
    </row>
    <row r="790" spans="1:5" x14ac:dyDescent="0.3">
      <c r="A790" t="s">
        <v>12</v>
      </c>
      <c r="B790">
        <v>2012</v>
      </c>
      <c r="C790" t="str">
        <f>_xlfn.CONCAT(Table16[[#This Row],[STATE]],"-",Table16[[#This Row],[YEAR]])</f>
        <v>Gujarat-2012</v>
      </c>
      <c r="D790" t="s">
        <v>363</v>
      </c>
      <c r="E790">
        <v>20</v>
      </c>
    </row>
    <row r="791" spans="1:5" x14ac:dyDescent="0.3">
      <c r="A791" t="s">
        <v>12</v>
      </c>
      <c r="B791">
        <v>2012</v>
      </c>
      <c r="C791" t="str">
        <f>_xlfn.CONCAT(Table16[[#This Row],[STATE]],"-",Table16[[#This Row],[YEAR]])</f>
        <v>Gujarat-2012</v>
      </c>
      <c r="D791" t="s">
        <v>103</v>
      </c>
      <c r="E791">
        <v>187</v>
      </c>
    </row>
    <row r="792" spans="1:5" x14ac:dyDescent="0.3">
      <c r="A792" t="s">
        <v>12</v>
      </c>
      <c r="B792">
        <v>2012</v>
      </c>
      <c r="C792" t="str">
        <f>_xlfn.CONCAT(Table16[[#This Row],[STATE]],"-",Table16[[#This Row],[YEAR]])</f>
        <v>Gujarat-2012</v>
      </c>
      <c r="D792" t="s">
        <v>376</v>
      </c>
      <c r="E792">
        <v>154</v>
      </c>
    </row>
    <row r="793" spans="1:5" x14ac:dyDescent="0.3">
      <c r="A793" t="s">
        <v>12</v>
      </c>
      <c r="B793">
        <v>2012</v>
      </c>
      <c r="C793" t="str">
        <f>_xlfn.CONCAT(Table16[[#This Row],[STATE]],"-",Table16[[#This Row],[YEAR]])</f>
        <v>Gujarat-2012</v>
      </c>
      <c r="D793" t="s">
        <v>197</v>
      </c>
      <c r="E793">
        <v>75</v>
      </c>
    </row>
    <row r="794" spans="1:5" x14ac:dyDescent="0.3">
      <c r="A794" t="s">
        <v>12</v>
      </c>
      <c r="B794">
        <v>2012</v>
      </c>
      <c r="C794" t="str">
        <f>_xlfn.CONCAT(Table16[[#This Row],[STATE]],"-",Table16[[#This Row],[YEAR]])</f>
        <v>Gujarat-2012</v>
      </c>
      <c r="D794" t="s">
        <v>377</v>
      </c>
      <c r="E794">
        <v>210</v>
      </c>
    </row>
    <row r="795" spans="1:5" x14ac:dyDescent="0.3">
      <c r="A795" t="s">
        <v>12</v>
      </c>
      <c r="B795">
        <v>2012</v>
      </c>
      <c r="C795" t="str">
        <f>_xlfn.CONCAT(Table16[[#This Row],[STATE]],"-",Table16[[#This Row],[YEAR]])</f>
        <v>Gujarat-2012</v>
      </c>
      <c r="D795" t="s">
        <v>170</v>
      </c>
      <c r="E795">
        <v>383</v>
      </c>
    </row>
    <row r="796" spans="1:5" x14ac:dyDescent="0.3">
      <c r="A796" t="s">
        <v>12</v>
      </c>
      <c r="B796">
        <v>2012</v>
      </c>
      <c r="C796" t="str">
        <f>_xlfn.CONCAT(Table16[[#This Row],[STATE]],"-",Table16[[#This Row],[YEAR]])</f>
        <v>Gujarat-2012</v>
      </c>
      <c r="D796" t="s">
        <v>378</v>
      </c>
      <c r="E796">
        <v>95</v>
      </c>
    </row>
    <row r="797" spans="1:5" x14ac:dyDescent="0.3">
      <c r="A797" t="s">
        <v>12</v>
      </c>
      <c r="B797">
        <v>2012</v>
      </c>
      <c r="C797" t="str">
        <f>_xlfn.CONCAT(Table16[[#This Row],[STATE]],"-",Table16[[#This Row],[YEAR]])</f>
        <v>Gujarat-2012</v>
      </c>
      <c r="D797" t="s">
        <v>379</v>
      </c>
      <c r="E797">
        <v>53</v>
      </c>
    </row>
    <row r="798" spans="1:5" x14ac:dyDescent="0.3">
      <c r="A798" t="s">
        <v>12</v>
      </c>
      <c r="B798">
        <v>2012</v>
      </c>
      <c r="C798" t="str">
        <f>_xlfn.CONCAT(Table16[[#This Row],[STATE]],"-",Table16[[#This Row],[YEAR]])</f>
        <v>Gujarat-2012</v>
      </c>
      <c r="D798" t="s">
        <v>380</v>
      </c>
      <c r="E798">
        <v>22</v>
      </c>
    </row>
    <row r="799" spans="1:5" x14ac:dyDescent="0.3">
      <c r="A799" t="s">
        <v>12</v>
      </c>
      <c r="B799">
        <v>2012</v>
      </c>
      <c r="C799" t="str">
        <f>_xlfn.CONCAT(Table16[[#This Row],[STATE]],"-",Table16[[#This Row],[YEAR]])</f>
        <v>Gujarat-2012</v>
      </c>
      <c r="D799" t="s">
        <v>381</v>
      </c>
      <c r="E799">
        <v>30</v>
      </c>
    </row>
    <row r="800" spans="1:5" x14ac:dyDescent="0.3">
      <c r="A800" t="s">
        <v>12</v>
      </c>
      <c r="B800">
        <v>2012</v>
      </c>
      <c r="C800" t="str">
        <f>_xlfn.CONCAT(Table16[[#This Row],[STATE]],"-",Table16[[#This Row],[YEAR]])</f>
        <v>Gujarat-2012</v>
      </c>
      <c r="D800" t="s">
        <v>382</v>
      </c>
      <c r="E800">
        <v>30</v>
      </c>
    </row>
    <row r="801" spans="1:5" x14ac:dyDescent="0.3">
      <c r="A801" t="s">
        <v>12</v>
      </c>
      <c r="B801">
        <v>2012</v>
      </c>
      <c r="C801" t="str">
        <f>_xlfn.CONCAT(Table16[[#This Row],[STATE]],"-",Table16[[#This Row],[YEAR]])</f>
        <v>Gujarat-2012</v>
      </c>
      <c r="D801" t="s">
        <v>110</v>
      </c>
      <c r="E801">
        <v>29</v>
      </c>
    </row>
    <row r="802" spans="1:5" x14ac:dyDescent="0.3">
      <c r="A802" t="s">
        <v>12</v>
      </c>
      <c r="B802">
        <v>2012</v>
      </c>
      <c r="C802" t="str">
        <f>_xlfn.CONCAT(Table16[[#This Row],[STATE]],"-",Table16[[#This Row],[YEAR]])</f>
        <v>Gujarat-2012</v>
      </c>
      <c r="D802" t="s">
        <v>383</v>
      </c>
      <c r="E802">
        <v>10</v>
      </c>
    </row>
    <row r="803" spans="1:5" x14ac:dyDescent="0.3">
      <c r="A803" t="s">
        <v>12</v>
      </c>
      <c r="B803">
        <v>2012</v>
      </c>
      <c r="C803" t="str">
        <f>_xlfn.CONCAT(Table16[[#This Row],[STATE]],"-",Table16[[#This Row],[YEAR]])</f>
        <v>Gujarat-2012</v>
      </c>
      <c r="D803" t="s">
        <v>384</v>
      </c>
      <c r="E803">
        <v>30</v>
      </c>
    </row>
    <row r="804" spans="1:5" x14ac:dyDescent="0.3">
      <c r="A804" t="s">
        <v>13</v>
      </c>
      <c r="B804">
        <v>2003</v>
      </c>
      <c r="C804" t="str">
        <f>_xlfn.CONCAT(Table16[[#This Row],[STATE]],"-",Table16[[#This Row],[YEAR]])</f>
        <v>Haryana-2003</v>
      </c>
      <c r="D804" t="s">
        <v>385</v>
      </c>
      <c r="E804">
        <v>212</v>
      </c>
    </row>
    <row r="805" spans="1:5" x14ac:dyDescent="0.3">
      <c r="A805" t="s">
        <v>13</v>
      </c>
      <c r="B805">
        <v>2003</v>
      </c>
      <c r="C805" t="str">
        <f>_xlfn.CONCAT(Table16[[#This Row],[STATE]],"-",Table16[[#This Row],[YEAR]])</f>
        <v>Haryana-2003</v>
      </c>
      <c r="D805" t="s">
        <v>123</v>
      </c>
      <c r="E805">
        <v>71</v>
      </c>
    </row>
    <row r="806" spans="1:5" x14ac:dyDescent="0.3">
      <c r="A806" t="s">
        <v>13</v>
      </c>
      <c r="B806">
        <v>2003</v>
      </c>
      <c r="C806" t="str">
        <f>_xlfn.CONCAT(Table16[[#This Row],[STATE]],"-",Table16[[#This Row],[YEAR]])</f>
        <v>Haryana-2003</v>
      </c>
      <c r="D806" t="s">
        <v>103</v>
      </c>
      <c r="E806">
        <v>127</v>
      </c>
    </row>
    <row r="807" spans="1:5" x14ac:dyDescent="0.3">
      <c r="A807" t="s">
        <v>13</v>
      </c>
      <c r="B807">
        <v>2003</v>
      </c>
      <c r="C807" t="str">
        <f>_xlfn.CONCAT(Table16[[#This Row],[STATE]],"-",Table16[[#This Row],[YEAR]])</f>
        <v>Haryana-2003</v>
      </c>
      <c r="D807" t="s">
        <v>386</v>
      </c>
      <c r="E807">
        <v>5</v>
      </c>
    </row>
    <row r="808" spans="1:5" x14ac:dyDescent="0.3">
      <c r="A808" t="s">
        <v>13</v>
      </c>
      <c r="B808">
        <v>2003</v>
      </c>
      <c r="C808" t="str">
        <f>_xlfn.CONCAT(Table16[[#This Row],[STATE]],"-",Table16[[#This Row],[YEAR]])</f>
        <v>Haryana-2003</v>
      </c>
      <c r="D808" t="s">
        <v>387</v>
      </c>
      <c r="E808">
        <v>4</v>
      </c>
    </row>
    <row r="809" spans="1:5" x14ac:dyDescent="0.3">
      <c r="A809" t="s">
        <v>13</v>
      </c>
      <c r="B809">
        <v>2003</v>
      </c>
      <c r="C809" t="str">
        <f>_xlfn.CONCAT(Table16[[#This Row],[STATE]],"-",Table16[[#This Row],[YEAR]])</f>
        <v>Haryana-2003</v>
      </c>
      <c r="D809" t="s">
        <v>388</v>
      </c>
      <c r="E809">
        <v>13</v>
      </c>
    </row>
    <row r="810" spans="1:5" x14ac:dyDescent="0.3">
      <c r="A810" t="s">
        <v>13</v>
      </c>
      <c r="B810">
        <v>2003</v>
      </c>
      <c r="C810" t="str">
        <f>_xlfn.CONCAT(Table16[[#This Row],[STATE]],"-",Table16[[#This Row],[YEAR]])</f>
        <v>Haryana-2003</v>
      </c>
      <c r="D810" t="s">
        <v>151</v>
      </c>
      <c r="E810">
        <v>21</v>
      </c>
    </row>
    <row r="811" spans="1:5" x14ac:dyDescent="0.3">
      <c r="A811" t="s">
        <v>13</v>
      </c>
      <c r="B811">
        <v>2003</v>
      </c>
      <c r="C811" t="str">
        <f>_xlfn.CONCAT(Table16[[#This Row],[STATE]],"-",Table16[[#This Row],[YEAR]])</f>
        <v>Haryana-2003</v>
      </c>
      <c r="D811" t="s">
        <v>122</v>
      </c>
      <c r="E811">
        <v>29</v>
      </c>
    </row>
    <row r="812" spans="1:5" x14ac:dyDescent="0.3">
      <c r="A812" t="s">
        <v>13</v>
      </c>
      <c r="B812">
        <v>2004</v>
      </c>
      <c r="C812" t="str">
        <f>_xlfn.CONCAT(Table16[[#This Row],[STATE]],"-",Table16[[#This Row],[YEAR]])</f>
        <v>Haryana-2004</v>
      </c>
      <c r="D812" t="s">
        <v>385</v>
      </c>
      <c r="E812">
        <v>296</v>
      </c>
    </row>
    <row r="813" spans="1:5" x14ac:dyDescent="0.3">
      <c r="A813" t="s">
        <v>13</v>
      </c>
      <c r="B813">
        <v>2004</v>
      </c>
      <c r="C813" t="str">
        <f>_xlfn.CONCAT(Table16[[#This Row],[STATE]],"-",Table16[[#This Row],[YEAR]])</f>
        <v>Haryana-2004</v>
      </c>
      <c r="D813" t="s">
        <v>123</v>
      </c>
      <c r="E813">
        <v>44</v>
      </c>
    </row>
    <row r="814" spans="1:5" x14ac:dyDescent="0.3">
      <c r="A814" t="s">
        <v>13</v>
      </c>
      <c r="B814">
        <v>2004</v>
      </c>
      <c r="C814" t="str">
        <f>_xlfn.CONCAT(Table16[[#This Row],[STATE]],"-",Table16[[#This Row],[YEAR]])</f>
        <v>Haryana-2004</v>
      </c>
      <c r="D814" t="s">
        <v>388</v>
      </c>
      <c r="E814">
        <v>51</v>
      </c>
    </row>
    <row r="815" spans="1:5" x14ac:dyDescent="0.3">
      <c r="A815" t="s">
        <v>13</v>
      </c>
      <c r="B815">
        <v>2004</v>
      </c>
      <c r="C815" t="str">
        <f>_xlfn.CONCAT(Table16[[#This Row],[STATE]],"-",Table16[[#This Row],[YEAR]])</f>
        <v>Haryana-2004</v>
      </c>
      <c r="D815" t="s">
        <v>102</v>
      </c>
      <c r="E815">
        <v>13</v>
      </c>
    </row>
    <row r="816" spans="1:5" x14ac:dyDescent="0.3">
      <c r="A816" t="s">
        <v>13</v>
      </c>
      <c r="B816">
        <v>2004</v>
      </c>
      <c r="C816" t="str">
        <f>_xlfn.CONCAT(Table16[[#This Row],[STATE]],"-",Table16[[#This Row],[YEAR]])</f>
        <v>Haryana-2004</v>
      </c>
      <c r="D816" t="s">
        <v>101</v>
      </c>
      <c r="E816">
        <v>21</v>
      </c>
    </row>
    <row r="817" spans="1:5" x14ac:dyDescent="0.3">
      <c r="A817" t="s">
        <v>13</v>
      </c>
      <c r="B817">
        <v>2004</v>
      </c>
      <c r="C817" t="str">
        <f>_xlfn.CONCAT(Table16[[#This Row],[STATE]],"-",Table16[[#This Row],[YEAR]])</f>
        <v>Haryana-2004</v>
      </c>
      <c r="D817" t="s">
        <v>103</v>
      </c>
      <c r="E817">
        <v>96</v>
      </c>
    </row>
    <row r="818" spans="1:5" x14ac:dyDescent="0.3">
      <c r="A818" t="s">
        <v>13</v>
      </c>
      <c r="B818">
        <v>2004</v>
      </c>
      <c r="C818" t="str">
        <f>_xlfn.CONCAT(Table16[[#This Row],[STATE]],"-",Table16[[#This Row],[YEAR]])</f>
        <v>Haryana-2004</v>
      </c>
      <c r="D818" t="s">
        <v>122</v>
      </c>
      <c r="E818">
        <v>34</v>
      </c>
    </row>
    <row r="819" spans="1:5" x14ac:dyDescent="0.3">
      <c r="A819" t="s">
        <v>13</v>
      </c>
      <c r="B819">
        <v>2004</v>
      </c>
      <c r="C819" t="str">
        <f>_xlfn.CONCAT(Table16[[#This Row],[STATE]],"-",Table16[[#This Row],[YEAR]])</f>
        <v>Haryana-2004</v>
      </c>
      <c r="D819" t="s">
        <v>190</v>
      </c>
      <c r="E819">
        <v>40</v>
      </c>
    </row>
    <row r="820" spans="1:5" x14ac:dyDescent="0.3">
      <c r="A820" t="s">
        <v>13</v>
      </c>
      <c r="B820">
        <v>2004</v>
      </c>
      <c r="C820" t="str">
        <f>_xlfn.CONCAT(Table16[[#This Row],[STATE]],"-",Table16[[#This Row],[YEAR]])</f>
        <v>Haryana-2004</v>
      </c>
      <c r="D820" t="s">
        <v>389</v>
      </c>
      <c r="E820">
        <v>101</v>
      </c>
    </row>
    <row r="821" spans="1:5" x14ac:dyDescent="0.3">
      <c r="A821" t="s">
        <v>13</v>
      </c>
      <c r="B821">
        <v>2005</v>
      </c>
      <c r="C821" t="str">
        <f>_xlfn.CONCAT(Table16[[#This Row],[STATE]],"-",Table16[[#This Row],[YEAR]])</f>
        <v>Haryana-2005</v>
      </c>
      <c r="D821" t="s">
        <v>390</v>
      </c>
      <c r="E821">
        <v>2</v>
      </c>
    </row>
    <row r="822" spans="1:5" x14ac:dyDescent="0.3">
      <c r="A822" t="s">
        <v>13</v>
      </c>
      <c r="B822">
        <v>2005</v>
      </c>
      <c r="C822" t="str">
        <f>_xlfn.CONCAT(Table16[[#This Row],[STATE]],"-",Table16[[#This Row],[YEAR]])</f>
        <v>Haryana-2005</v>
      </c>
      <c r="D822" t="s">
        <v>103</v>
      </c>
      <c r="E822">
        <v>12</v>
      </c>
    </row>
    <row r="823" spans="1:5" x14ac:dyDescent="0.3">
      <c r="A823" t="s">
        <v>13</v>
      </c>
      <c r="B823">
        <v>2005</v>
      </c>
      <c r="C823" t="str">
        <f>_xlfn.CONCAT(Table16[[#This Row],[STATE]],"-",Table16[[#This Row],[YEAR]])</f>
        <v>Haryana-2005</v>
      </c>
      <c r="D823" t="s">
        <v>391</v>
      </c>
      <c r="E823">
        <v>4</v>
      </c>
    </row>
    <row r="824" spans="1:5" x14ac:dyDescent="0.3">
      <c r="A824" t="s">
        <v>13</v>
      </c>
      <c r="B824">
        <v>2005</v>
      </c>
      <c r="C824" t="str">
        <f>_xlfn.CONCAT(Table16[[#This Row],[STATE]],"-",Table16[[#This Row],[YEAR]])</f>
        <v>Haryana-2005</v>
      </c>
      <c r="D824" t="s">
        <v>385</v>
      </c>
      <c r="E824">
        <v>181</v>
      </c>
    </row>
    <row r="825" spans="1:5" x14ac:dyDescent="0.3">
      <c r="A825" t="s">
        <v>13</v>
      </c>
      <c r="B825">
        <v>2005</v>
      </c>
      <c r="C825" t="str">
        <f>_xlfn.CONCAT(Table16[[#This Row],[STATE]],"-",Table16[[#This Row],[YEAR]])</f>
        <v>Haryana-2005</v>
      </c>
      <c r="D825" t="s">
        <v>123</v>
      </c>
      <c r="E825">
        <v>7</v>
      </c>
    </row>
    <row r="826" spans="1:5" x14ac:dyDescent="0.3">
      <c r="A826" t="s">
        <v>13</v>
      </c>
      <c r="B826">
        <v>2006</v>
      </c>
      <c r="C826" t="str">
        <f>_xlfn.CONCAT(Table16[[#This Row],[STATE]],"-",Table16[[#This Row],[YEAR]])</f>
        <v>Haryana-2006</v>
      </c>
      <c r="D826" t="s">
        <v>392</v>
      </c>
      <c r="E826">
        <v>135</v>
      </c>
    </row>
    <row r="827" spans="1:5" x14ac:dyDescent="0.3">
      <c r="A827" t="s">
        <v>13</v>
      </c>
      <c r="B827">
        <v>2006</v>
      </c>
      <c r="C827" t="str">
        <f>_xlfn.CONCAT(Table16[[#This Row],[STATE]],"-",Table16[[#This Row],[YEAR]])</f>
        <v>Haryana-2006</v>
      </c>
      <c r="D827" t="s">
        <v>314</v>
      </c>
      <c r="E827">
        <v>10</v>
      </c>
    </row>
    <row r="828" spans="1:5" x14ac:dyDescent="0.3">
      <c r="A828" t="s">
        <v>13</v>
      </c>
      <c r="B828">
        <v>2006</v>
      </c>
      <c r="C828" t="str">
        <f>_xlfn.CONCAT(Table16[[#This Row],[STATE]],"-",Table16[[#This Row],[YEAR]])</f>
        <v>Haryana-2006</v>
      </c>
      <c r="D828" t="s">
        <v>393</v>
      </c>
      <c r="E828">
        <v>34</v>
      </c>
    </row>
    <row r="829" spans="1:5" x14ac:dyDescent="0.3">
      <c r="A829" t="s">
        <v>13</v>
      </c>
      <c r="B829">
        <v>2006</v>
      </c>
      <c r="C829" t="str">
        <f>_xlfn.CONCAT(Table16[[#This Row],[STATE]],"-",Table16[[#This Row],[YEAR]])</f>
        <v>Haryana-2006</v>
      </c>
      <c r="D829" t="s">
        <v>394</v>
      </c>
      <c r="E829">
        <v>87</v>
      </c>
    </row>
    <row r="830" spans="1:5" x14ac:dyDescent="0.3">
      <c r="A830" t="s">
        <v>13</v>
      </c>
      <c r="B830">
        <v>2006</v>
      </c>
      <c r="C830" t="str">
        <f>_xlfn.CONCAT(Table16[[#This Row],[STATE]],"-",Table16[[#This Row],[YEAR]])</f>
        <v>Haryana-2006</v>
      </c>
      <c r="D830" t="s">
        <v>395</v>
      </c>
      <c r="E830">
        <v>82</v>
      </c>
    </row>
    <row r="831" spans="1:5" x14ac:dyDescent="0.3">
      <c r="A831" t="s">
        <v>13</v>
      </c>
      <c r="B831">
        <v>2007</v>
      </c>
      <c r="C831" t="str">
        <f>_xlfn.CONCAT(Table16[[#This Row],[STATE]],"-",Table16[[#This Row],[YEAR]])</f>
        <v>Haryana-2007</v>
      </c>
      <c r="D831" t="s">
        <v>197</v>
      </c>
      <c r="E831">
        <v>76</v>
      </c>
    </row>
    <row r="832" spans="1:5" x14ac:dyDescent="0.3">
      <c r="A832" t="s">
        <v>13</v>
      </c>
      <c r="B832">
        <v>2007</v>
      </c>
      <c r="C832" t="str">
        <f>_xlfn.CONCAT(Table16[[#This Row],[STATE]],"-",Table16[[#This Row],[YEAR]])</f>
        <v>Haryana-2007</v>
      </c>
      <c r="D832" t="s">
        <v>396</v>
      </c>
      <c r="E832">
        <v>7</v>
      </c>
    </row>
    <row r="833" spans="1:5" x14ac:dyDescent="0.3">
      <c r="A833" t="s">
        <v>13</v>
      </c>
      <c r="B833">
        <v>2007</v>
      </c>
      <c r="C833" t="str">
        <f>_xlfn.CONCAT(Table16[[#This Row],[STATE]],"-",Table16[[#This Row],[YEAR]])</f>
        <v>Haryana-2007</v>
      </c>
      <c r="D833" t="s">
        <v>99</v>
      </c>
      <c r="E833">
        <v>283</v>
      </c>
    </row>
    <row r="834" spans="1:5" x14ac:dyDescent="0.3">
      <c r="A834" t="s">
        <v>13</v>
      </c>
      <c r="B834">
        <v>2008</v>
      </c>
      <c r="C834" t="str">
        <f>_xlfn.CONCAT(Table16[[#This Row],[STATE]],"-",Table16[[#This Row],[YEAR]])</f>
        <v>Haryana-2008</v>
      </c>
      <c r="D834" t="s">
        <v>223</v>
      </c>
      <c r="E834">
        <v>105</v>
      </c>
    </row>
    <row r="835" spans="1:5" x14ac:dyDescent="0.3">
      <c r="A835" t="s">
        <v>13</v>
      </c>
      <c r="B835">
        <v>2008</v>
      </c>
      <c r="C835" t="str">
        <f>_xlfn.CONCAT(Table16[[#This Row],[STATE]],"-",Table16[[#This Row],[YEAR]])</f>
        <v>Haryana-2008</v>
      </c>
      <c r="D835" t="s">
        <v>123</v>
      </c>
      <c r="E835">
        <v>57</v>
      </c>
    </row>
    <row r="836" spans="1:5" x14ac:dyDescent="0.3">
      <c r="A836" t="s">
        <v>13</v>
      </c>
      <c r="B836">
        <v>2008</v>
      </c>
      <c r="C836" t="str">
        <f>_xlfn.CONCAT(Table16[[#This Row],[STATE]],"-",Table16[[#This Row],[YEAR]])</f>
        <v>Haryana-2008</v>
      </c>
      <c r="D836" t="s">
        <v>386</v>
      </c>
      <c r="E836">
        <v>60</v>
      </c>
    </row>
    <row r="837" spans="1:5" x14ac:dyDescent="0.3">
      <c r="A837" t="s">
        <v>13</v>
      </c>
      <c r="B837">
        <v>2008</v>
      </c>
      <c r="C837" t="str">
        <f>_xlfn.CONCAT(Table16[[#This Row],[STATE]],"-",Table16[[#This Row],[YEAR]])</f>
        <v>Haryana-2008</v>
      </c>
      <c r="D837" t="s">
        <v>197</v>
      </c>
      <c r="E837">
        <v>90</v>
      </c>
    </row>
    <row r="838" spans="1:5" x14ac:dyDescent="0.3">
      <c r="A838" t="s">
        <v>13</v>
      </c>
      <c r="B838">
        <v>2008</v>
      </c>
      <c r="C838" t="str">
        <f>_xlfn.CONCAT(Table16[[#This Row],[STATE]],"-",Table16[[#This Row],[YEAR]])</f>
        <v>Haryana-2008</v>
      </c>
      <c r="D838" t="s">
        <v>185</v>
      </c>
      <c r="E838">
        <v>26</v>
      </c>
    </row>
    <row r="839" spans="1:5" x14ac:dyDescent="0.3">
      <c r="A839" t="s">
        <v>13</v>
      </c>
      <c r="B839">
        <v>2008</v>
      </c>
      <c r="C839" t="str">
        <f>_xlfn.CONCAT(Table16[[#This Row],[STATE]],"-",Table16[[#This Row],[YEAR]])</f>
        <v>Haryana-2008</v>
      </c>
      <c r="D839" t="s">
        <v>151</v>
      </c>
      <c r="E839">
        <v>22</v>
      </c>
    </row>
    <row r="840" spans="1:5" x14ac:dyDescent="0.3">
      <c r="A840" t="s">
        <v>13</v>
      </c>
      <c r="B840">
        <v>2008</v>
      </c>
      <c r="C840" t="str">
        <f>_xlfn.CONCAT(Table16[[#This Row],[STATE]],"-",Table16[[#This Row],[YEAR]])</f>
        <v>Haryana-2008</v>
      </c>
      <c r="D840" t="s">
        <v>397</v>
      </c>
      <c r="E840">
        <v>12</v>
      </c>
    </row>
    <row r="841" spans="1:5" x14ac:dyDescent="0.3">
      <c r="A841" t="s">
        <v>13</v>
      </c>
      <c r="B841">
        <v>2008</v>
      </c>
      <c r="C841" t="str">
        <f>_xlfn.CONCAT(Table16[[#This Row],[STATE]],"-",Table16[[#This Row],[YEAR]])</f>
        <v>Haryana-2008</v>
      </c>
      <c r="D841" t="s">
        <v>103</v>
      </c>
      <c r="E841">
        <v>42</v>
      </c>
    </row>
    <row r="842" spans="1:5" x14ac:dyDescent="0.3">
      <c r="A842" t="s">
        <v>13</v>
      </c>
      <c r="B842">
        <v>2008</v>
      </c>
      <c r="C842" t="str">
        <f>_xlfn.CONCAT(Table16[[#This Row],[STATE]],"-",Table16[[#This Row],[YEAR]])</f>
        <v>Haryana-2008</v>
      </c>
      <c r="D842" t="s">
        <v>190</v>
      </c>
      <c r="E842">
        <v>71</v>
      </c>
    </row>
    <row r="843" spans="1:5" x14ac:dyDescent="0.3">
      <c r="A843" t="s">
        <v>13</v>
      </c>
      <c r="B843">
        <v>2009</v>
      </c>
      <c r="C843" t="str">
        <f>_xlfn.CONCAT(Table16[[#This Row],[STATE]],"-",Table16[[#This Row],[YEAR]])</f>
        <v>Haryana-2009</v>
      </c>
      <c r="D843" t="s">
        <v>223</v>
      </c>
      <c r="E843">
        <v>85</v>
      </c>
    </row>
    <row r="844" spans="1:5" x14ac:dyDescent="0.3">
      <c r="A844" t="s">
        <v>13</v>
      </c>
      <c r="B844">
        <v>2009</v>
      </c>
      <c r="C844" t="str">
        <f>_xlfn.CONCAT(Table16[[#This Row],[STATE]],"-",Table16[[#This Row],[YEAR]])</f>
        <v>Haryana-2009</v>
      </c>
      <c r="D844" t="s">
        <v>314</v>
      </c>
      <c r="E844">
        <v>163</v>
      </c>
    </row>
    <row r="845" spans="1:5" x14ac:dyDescent="0.3">
      <c r="A845" t="s">
        <v>13</v>
      </c>
      <c r="B845">
        <v>2009</v>
      </c>
      <c r="C845" t="str">
        <f>_xlfn.CONCAT(Table16[[#This Row],[STATE]],"-",Table16[[#This Row],[YEAR]])</f>
        <v>Haryana-2009</v>
      </c>
      <c r="D845" t="s">
        <v>386</v>
      </c>
      <c r="E845">
        <v>63</v>
      </c>
    </row>
    <row r="846" spans="1:5" x14ac:dyDescent="0.3">
      <c r="A846" t="s">
        <v>13</v>
      </c>
      <c r="B846">
        <v>2009</v>
      </c>
      <c r="C846" t="str">
        <f>_xlfn.CONCAT(Table16[[#This Row],[STATE]],"-",Table16[[#This Row],[YEAR]])</f>
        <v>Haryana-2009</v>
      </c>
      <c r="D846" t="s">
        <v>197</v>
      </c>
      <c r="E846">
        <v>123</v>
      </c>
    </row>
    <row r="847" spans="1:5" x14ac:dyDescent="0.3">
      <c r="A847" t="s">
        <v>13</v>
      </c>
      <c r="B847">
        <v>2009</v>
      </c>
      <c r="C847" t="str">
        <f>_xlfn.CONCAT(Table16[[#This Row],[STATE]],"-",Table16[[#This Row],[YEAR]])</f>
        <v>Haryana-2009</v>
      </c>
      <c r="D847" t="s">
        <v>185</v>
      </c>
      <c r="E847">
        <v>32</v>
      </c>
    </row>
    <row r="848" spans="1:5" x14ac:dyDescent="0.3">
      <c r="A848" t="s">
        <v>13</v>
      </c>
      <c r="B848">
        <v>2009</v>
      </c>
      <c r="C848" t="str">
        <f>_xlfn.CONCAT(Table16[[#This Row],[STATE]],"-",Table16[[#This Row],[YEAR]])</f>
        <v>Haryana-2009</v>
      </c>
      <c r="D848" t="s">
        <v>245</v>
      </c>
      <c r="E848">
        <v>42</v>
      </c>
    </row>
    <row r="849" spans="1:5" x14ac:dyDescent="0.3">
      <c r="A849" t="s">
        <v>13</v>
      </c>
      <c r="B849">
        <v>2009</v>
      </c>
      <c r="C849" t="str">
        <f>_xlfn.CONCAT(Table16[[#This Row],[STATE]],"-",Table16[[#This Row],[YEAR]])</f>
        <v>Haryana-2009</v>
      </c>
      <c r="D849" t="s">
        <v>146</v>
      </c>
      <c r="E849">
        <v>250</v>
      </c>
    </row>
    <row r="850" spans="1:5" x14ac:dyDescent="0.3">
      <c r="A850" t="s">
        <v>13</v>
      </c>
      <c r="B850">
        <v>2009</v>
      </c>
      <c r="C850" t="str">
        <f>_xlfn.CONCAT(Table16[[#This Row],[STATE]],"-",Table16[[#This Row],[YEAR]])</f>
        <v>Haryana-2009</v>
      </c>
      <c r="D850" t="s">
        <v>103</v>
      </c>
      <c r="E850">
        <v>183</v>
      </c>
    </row>
    <row r="851" spans="1:5" x14ac:dyDescent="0.3">
      <c r="A851" t="s">
        <v>13</v>
      </c>
      <c r="B851">
        <v>2009</v>
      </c>
      <c r="C851" t="str">
        <f>_xlfn.CONCAT(Table16[[#This Row],[STATE]],"-",Table16[[#This Row],[YEAR]])</f>
        <v>Haryana-2009</v>
      </c>
      <c r="D851" t="s">
        <v>190</v>
      </c>
      <c r="E851">
        <v>103</v>
      </c>
    </row>
    <row r="852" spans="1:5" x14ac:dyDescent="0.3">
      <c r="A852" t="s">
        <v>13</v>
      </c>
      <c r="B852">
        <v>2009</v>
      </c>
      <c r="C852" t="str">
        <f>_xlfn.CONCAT(Table16[[#This Row],[STATE]],"-",Table16[[#This Row],[YEAR]])</f>
        <v>Haryana-2009</v>
      </c>
      <c r="D852" t="s">
        <v>140</v>
      </c>
      <c r="E852">
        <v>20</v>
      </c>
    </row>
    <row r="853" spans="1:5" x14ac:dyDescent="0.3">
      <c r="A853" t="s">
        <v>13</v>
      </c>
      <c r="B853">
        <v>2009</v>
      </c>
      <c r="C853" t="str">
        <f>_xlfn.CONCAT(Table16[[#This Row],[STATE]],"-",Table16[[#This Row],[YEAR]])</f>
        <v>Haryana-2009</v>
      </c>
      <c r="D853" t="s">
        <v>110</v>
      </c>
      <c r="E853">
        <v>128</v>
      </c>
    </row>
    <row r="854" spans="1:5" x14ac:dyDescent="0.3">
      <c r="A854" t="s">
        <v>13</v>
      </c>
      <c r="B854">
        <v>2009</v>
      </c>
      <c r="C854" t="str">
        <f>_xlfn.CONCAT(Table16[[#This Row],[STATE]],"-",Table16[[#This Row],[YEAR]])</f>
        <v>Haryana-2009</v>
      </c>
      <c r="D854" t="s">
        <v>398</v>
      </c>
      <c r="E854">
        <v>131</v>
      </c>
    </row>
    <row r="855" spans="1:5" x14ac:dyDescent="0.3">
      <c r="A855" t="s">
        <v>13</v>
      </c>
      <c r="B855">
        <v>2010</v>
      </c>
      <c r="C855" t="str">
        <f>_xlfn.CONCAT(Table16[[#This Row],[STATE]],"-",Table16[[#This Row],[YEAR]])</f>
        <v>Haryana-2010</v>
      </c>
      <c r="D855" t="s">
        <v>223</v>
      </c>
      <c r="E855">
        <v>120</v>
      </c>
    </row>
    <row r="856" spans="1:5" x14ac:dyDescent="0.3">
      <c r="A856" t="s">
        <v>13</v>
      </c>
      <c r="B856">
        <v>2010</v>
      </c>
      <c r="C856" t="str">
        <f>_xlfn.CONCAT(Table16[[#This Row],[STATE]],"-",Table16[[#This Row],[YEAR]])</f>
        <v>Haryana-2010</v>
      </c>
      <c r="D856" t="s">
        <v>123</v>
      </c>
      <c r="E856">
        <v>172</v>
      </c>
    </row>
    <row r="857" spans="1:5" x14ac:dyDescent="0.3">
      <c r="A857" t="s">
        <v>13</v>
      </c>
      <c r="B857">
        <v>2010</v>
      </c>
      <c r="C857" t="str">
        <f>_xlfn.CONCAT(Table16[[#This Row],[STATE]],"-",Table16[[#This Row],[YEAR]])</f>
        <v>Haryana-2010</v>
      </c>
      <c r="D857" t="s">
        <v>386</v>
      </c>
      <c r="E857">
        <v>75</v>
      </c>
    </row>
    <row r="858" spans="1:5" x14ac:dyDescent="0.3">
      <c r="A858" t="s">
        <v>13</v>
      </c>
      <c r="B858">
        <v>2010</v>
      </c>
      <c r="C858" t="str">
        <f>_xlfn.CONCAT(Table16[[#This Row],[STATE]],"-",Table16[[#This Row],[YEAR]])</f>
        <v>Haryana-2010</v>
      </c>
      <c r="D858" t="s">
        <v>197</v>
      </c>
      <c r="E858">
        <v>146</v>
      </c>
    </row>
    <row r="859" spans="1:5" x14ac:dyDescent="0.3">
      <c r="A859" t="s">
        <v>13</v>
      </c>
      <c r="B859">
        <v>2010</v>
      </c>
      <c r="C859" t="str">
        <f>_xlfn.CONCAT(Table16[[#This Row],[STATE]],"-",Table16[[#This Row],[YEAR]])</f>
        <v>Haryana-2010</v>
      </c>
      <c r="D859" t="s">
        <v>185</v>
      </c>
      <c r="E859">
        <v>50</v>
      </c>
    </row>
    <row r="860" spans="1:5" x14ac:dyDescent="0.3">
      <c r="A860" t="s">
        <v>13</v>
      </c>
      <c r="B860">
        <v>2010</v>
      </c>
      <c r="C860" t="str">
        <f>_xlfn.CONCAT(Table16[[#This Row],[STATE]],"-",Table16[[#This Row],[YEAR]])</f>
        <v>Haryana-2010</v>
      </c>
      <c r="D860" t="s">
        <v>225</v>
      </c>
      <c r="E860">
        <v>50</v>
      </c>
    </row>
    <row r="861" spans="1:5" x14ac:dyDescent="0.3">
      <c r="A861" t="s">
        <v>13</v>
      </c>
      <c r="B861">
        <v>2010</v>
      </c>
      <c r="C861" t="str">
        <f>_xlfn.CONCAT(Table16[[#This Row],[STATE]],"-",Table16[[#This Row],[YEAR]])</f>
        <v>Haryana-2010</v>
      </c>
      <c r="D861" t="s">
        <v>146</v>
      </c>
      <c r="E861">
        <v>102</v>
      </c>
    </row>
    <row r="862" spans="1:5" x14ac:dyDescent="0.3">
      <c r="A862" t="s">
        <v>13</v>
      </c>
      <c r="B862">
        <v>2010</v>
      </c>
      <c r="C862" t="str">
        <f>_xlfn.CONCAT(Table16[[#This Row],[STATE]],"-",Table16[[#This Row],[YEAR]])</f>
        <v>Haryana-2010</v>
      </c>
      <c r="D862" t="s">
        <v>103</v>
      </c>
      <c r="E862">
        <v>87</v>
      </c>
    </row>
    <row r="863" spans="1:5" x14ac:dyDescent="0.3">
      <c r="A863" t="s">
        <v>13</v>
      </c>
      <c r="B863">
        <v>2010</v>
      </c>
      <c r="C863" t="str">
        <f>_xlfn.CONCAT(Table16[[#This Row],[STATE]],"-",Table16[[#This Row],[YEAR]])</f>
        <v>Haryana-2010</v>
      </c>
      <c r="D863" t="s">
        <v>190</v>
      </c>
      <c r="E863">
        <v>78</v>
      </c>
    </row>
    <row r="864" spans="1:5" x14ac:dyDescent="0.3">
      <c r="A864" t="s">
        <v>13</v>
      </c>
      <c r="B864">
        <v>2010</v>
      </c>
      <c r="C864" t="str">
        <f>_xlfn.CONCAT(Table16[[#This Row],[STATE]],"-",Table16[[#This Row],[YEAR]])</f>
        <v>Haryana-2010</v>
      </c>
      <c r="D864" t="s">
        <v>317</v>
      </c>
      <c r="E864">
        <v>25</v>
      </c>
    </row>
    <row r="865" spans="1:5" x14ac:dyDescent="0.3">
      <c r="A865" t="s">
        <v>13</v>
      </c>
      <c r="B865">
        <v>2010</v>
      </c>
      <c r="C865" t="str">
        <f>_xlfn.CONCAT(Table16[[#This Row],[STATE]],"-",Table16[[#This Row],[YEAR]])</f>
        <v>Haryana-2010</v>
      </c>
      <c r="D865" t="s">
        <v>110</v>
      </c>
      <c r="E865">
        <v>20</v>
      </c>
    </row>
    <row r="866" spans="1:5" x14ac:dyDescent="0.3">
      <c r="A866" t="s">
        <v>13</v>
      </c>
      <c r="B866">
        <v>2010</v>
      </c>
      <c r="C866" t="str">
        <f>_xlfn.CONCAT(Table16[[#This Row],[STATE]],"-",Table16[[#This Row],[YEAR]])</f>
        <v>Haryana-2010</v>
      </c>
      <c r="D866" t="s">
        <v>398</v>
      </c>
      <c r="E866">
        <v>45</v>
      </c>
    </row>
    <row r="867" spans="1:5" x14ac:dyDescent="0.3">
      <c r="A867" t="s">
        <v>13</v>
      </c>
      <c r="B867">
        <v>2010</v>
      </c>
      <c r="C867" t="str">
        <f>_xlfn.CONCAT(Table16[[#This Row],[STATE]],"-",Table16[[#This Row],[YEAR]])</f>
        <v>Haryana-2010</v>
      </c>
      <c r="D867" t="s">
        <v>399</v>
      </c>
      <c r="E867">
        <v>35</v>
      </c>
    </row>
    <row r="868" spans="1:5" x14ac:dyDescent="0.3">
      <c r="A868" t="s">
        <v>13</v>
      </c>
      <c r="B868">
        <v>2010</v>
      </c>
      <c r="C868" t="str">
        <f>_xlfn.CONCAT(Table16[[#This Row],[STATE]],"-",Table16[[#This Row],[YEAR]])</f>
        <v>Haryana-2010</v>
      </c>
      <c r="D868" t="s">
        <v>400</v>
      </c>
      <c r="E868">
        <v>17</v>
      </c>
    </row>
    <row r="869" spans="1:5" x14ac:dyDescent="0.3">
      <c r="A869" t="s">
        <v>13</v>
      </c>
      <c r="B869">
        <v>2010</v>
      </c>
      <c r="C869" t="str">
        <f>_xlfn.CONCAT(Table16[[#This Row],[STATE]],"-",Table16[[#This Row],[YEAR]])</f>
        <v>Haryana-2010</v>
      </c>
      <c r="D869" t="s">
        <v>293</v>
      </c>
      <c r="E869">
        <v>23</v>
      </c>
    </row>
    <row r="870" spans="1:5" x14ac:dyDescent="0.3">
      <c r="A870" t="s">
        <v>13</v>
      </c>
      <c r="B870">
        <v>2010</v>
      </c>
      <c r="C870" t="str">
        <f>_xlfn.CONCAT(Table16[[#This Row],[STATE]],"-",Table16[[#This Row],[YEAR]])</f>
        <v>Haryana-2010</v>
      </c>
      <c r="D870" t="s">
        <v>143</v>
      </c>
      <c r="E870">
        <v>56</v>
      </c>
    </row>
    <row r="871" spans="1:5" x14ac:dyDescent="0.3">
      <c r="A871" t="s">
        <v>13</v>
      </c>
      <c r="B871">
        <v>2010</v>
      </c>
      <c r="C871" t="str">
        <f>_xlfn.CONCAT(Table16[[#This Row],[STATE]],"-",Table16[[#This Row],[YEAR]])</f>
        <v>Haryana-2010</v>
      </c>
      <c r="D871" t="s">
        <v>401</v>
      </c>
      <c r="E871">
        <v>15</v>
      </c>
    </row>
    <row r="872" spans="1:5" x14ac:dyDescent="0.3">
      <c r="A872" t="s">
        <v>13</v>
      </c>
      <c r="B872">
        <v>2010</v>
      </c>
      <c r="C872" t="str">
        <f>_xlfn.CONCAT(Table16[[#This Row],[STATE]],"-",Table16[[#This Row],[YEAR]])</f>
        <v>Haryana-2010</v>
      </c>
      <c r="D872" t="s">
        <v>402</v>
      </c>
      <c r="E872">
        <v>5</v>
      </c>
    </row>
    <row r="873" spans="1:5" x14ac:dyDescent="0.3">
      <c r="A873" t="s">
        <v>13</v>
      </c>
      <c r="B873">
        <v>2010</v>
      </c>
      <c r="C873" t="str">
        <f>_xlfn.CONCAT(Table16[[#This Row],[STATE]],"-",Table16[[#This Row],[YEAR]])</f>
        <v>Haryana-2010</v>
      </c>
      <c r="D873" t="s">
        <v>99</v>
      </c>
      <c r="E873">
        <v>15</v>
      </c>
    </row>
    <row r="874" spans="1:5" x14ac:dyDescent="0.3">
      <c r="A874" t="s">
        <v>13</v>
      </c>
      <c r="B874">
        <v>2011</v>
      </c>
      <c r="C874" t="str">
        <f>_xlfn.CONCAT(Table16[[#This Row],[STATE]],"-",Table16[[#This Row],[YEAR]])</f>
        <v>Haryana-2011</v>
      </c>
      <c r="D874" t="s">
        <v>403</v>
      </c>
      <c r="E874">
        <v>18</v>
      </c>
    </row>
    <row r="875" spans="1:5" x14ac:dyDescent="0.3">
      <c r="A875" t="s">
        <v>13</v>
      </c>
      <c r="B875">
        <v>2011</v>
      </c>
      <c r="C875" t="str">
        <f>_xlfn.CONCAT(Table16[[#This Row],[STATE]],"-",Table16[[#This Row],[YEAR]])</f>
        <v>Haryana-2011</v>
      </c>
      <c r="D875" t="s">
        <v>404</v>
      </c>
      <c r="E875">
        <v>23</v>
      </c>
    </row>
    <row r="876" spans="1:5" x14ac:dyDescent="0.3">
      <c r="A876" t="s">
        <v>13</v>
      </c>
      <c r="B876">
        <v>2011</v>
      </c>
      <c r="C876" t="str">
        <f>_xlfn.CONCAT(Table16[[#This Row],[STATE]],"-",Table16[[#This Row],[YEAR]])</f>
        <v>Haryana-2011</v>
      </c>
      <c r="D876" t="s">
        <v>123</v>
      </c>
      <c r="E876">
        <v>68</v>
      </c>
    </row>
    <row r="877" spans="1:5" x14ac:dyDescent="0.3">
      <c r="A877" t="s">
        <v>13</v>
      </c>
      <c r="B877">
        <v>2011</v>
      </c>
      <c r="C877" t="str">
        <f>_xlfn.CONCAT(Table16[[#This Row],[STATE]],"-",Table16[[#This Row],[YEAR]])</f>
        <v>Haryana-2011</v>
      </c>
      <c r="D877" t="s">
        <v>405</v>
      </c>
      <c r="E877">
        <v>8</v>
      </c>
    </row>
    <row r="878" spans="1:5" x14ac:dyDescent="0.3">
      <c r="A878" t="s">
        <v>13</v>
      </c>
      <c r="B878">
        <v>2011</v>
      </c>
      <c r="C878" t="str">
        <f>_xlfn.CONCAT(Table16[[#This Row],[STATE]],"-",Table16[[#This Row],[YEAR]])</f>
        <v>Haryana-2011</v>
      </c>
      <c r="D878" t="s">
        <v>406</v>
      </c>
      <c r="E878">
        <v>8</v>
      </c>
    </row>
    <row r="879" spans="1:5" x14ac:dyDescent="0.3">
      <c r="A879" t="s">
        <v>13</v>
      </c>
      <c r="B879">
        <v>2011</v>
      </c>
      <c r="C879" t="str">
        <f>_xlfn.CONCAT(Table16[[#This Row],[STATE]],"-",Table16[[#This Row],[YEAR]])</f>
        <v>Haryana-2011</v>
      </c>
      <c r="D879" t="s">
        <v>407</v>
      </c>
      <c r="E879">
        <v>5</v>
      </c>
    </row>
    <row r="880" spans="1:5" x14ac:dyDescent="0.3">
      <c r="A880" t="s">
        <v>13</v>
      </c>
      <c r="B880">
        <v>2011</v>
      </c>
      <c r="C880" t="str">
        <f>_xlfn.CONCAT(Table16[[#This Row],[STATE]],"-",Table16[[#This Row],[YEAR]])</f>
        <v>Haryana-2011</v>
      </c>
      <c r="D880" t="s">
        <v>408</v>
      </c>
      <c r="E880">
        <v>1</v>
      </c>
    </row>
    <row r="881" spans="1:5" x14ac:dyDescent="0.3">
      <c r="A881" t="s">
        <v>13</v>
      </c>
      <c r="B881">
        <v>2011</v>
      </c>
      <c r="C881" t="str">
        <f>_xlfn.CONCAT(Table16[[#This Row],[STATE]],"-",Table16[[#This Row],[YEAR]])</f>
        <v>Haryana-2011</v>
      </c>
      <c r="D881" t="s">
        <v>409</v>
      </c>
      <c r="E881">
        <v>4</v>
      </c>
    </row>
    <row r="882" spans="1:5" x14ac:dyDescent="0.3">
      <c r="A882" t="s">
        <v>13</v>
      </c>
      <c r="B882">
        <v>2011</v>
      </c>
      <c r="C882" t="str">
        <f>_xlfn.CONCAT(Table16[[#This Row],[STATE]],"-",Table16[[#This Row],[YEAR]])</f>
        <v>Haryana-2011</v>
      </c>
      <c r="D882" t="s">
        <v>98</v>
      </c>
      <c r="E882">
        <v>8</v>
      </c>
    </row>
    <row r="883" spans="1:5" x14ac:dyDescent="0.3">
      <c r="A883" t="s">
        <v>13</v>
      </c>
      <c r="B883">
        <v>2011</v>
      </c>
      <c r="C883" t="str">
        <f>_xlfn.CONCAT(Table16[[#This Row],[STATE]],"-",Table16[[#This Row],[YEAR]])</f>
        <v>Haryana-2011</v>
      </c>
      <c r="D883" t="s">
        <v>410</v>
      </c>
      <c r="E883">
        <v>2</v>
      </c>
    </row>
    <row r="884" spans="1:5" x14ac:dyDescent="0.3">
      <c r="A884" t="s">
        <v>13</v>
      </c>
      <c r="B884">
        <v>2011</v>
      </c>
      <c r="C884" t="str">
        <f>_xlfn.CONCAT(Table16[[#This Row],[STATE]],"-",Table16[[#This Row],[YEAR]])</f>
        <v>Haryana-2011</v>
      </c>
      <c r="D884" t="s">
        <v>411</v>
      </c>
      <c r="E884">
        <v>3</v>
      </c>
    </row>
    <row r="885" spans="1:5" x14ac:dyDescent="0.3">
      <c r="A885" t="s">
        <v>13</v>
      </c>
      <c r="B885">
        <v>2011</v>
      </c>
      <c r="C885" t="str">
        <f>_xlfn.CONCAT(Table16[[#This Row],[STATE]],"-",Table16[[#This Row],[YEAR]])</f>
        <v>Haryana-2011</v>
      </c>
      <c r="D885" t="s">
        <v>213</v>
      </c>
      <c r="E885">
        <v>23</v>
      </c>
    </row>
    <row r="886" spans="1:5" x14ac:dyDescent="0.3">
      <c r="A886" t="s">
        <v>13</v>
      </c>
      <c r="B886">
        <v>2011</v>
      </c>
      <c r="C886" t="str">
        <f>_xlfn.CONCAT(Table16[[#This Row],[STATE]],"-",Table16[[#This Row],[YEAR]])</f>
        <v>Haryana-2011</v>
      </c>
      <c r="D886" t="s">
        <v>103</v>
      </c>
      <c r="E886">
        <v>35</v>
      </c>
    </row>
    <row r="887" spans="1:5" x14ac:dyDescent="0.3">
      <c r="A887" t="s">
        <v>13</v>
      </c>
      <c r="B887">
        <v>2011</v>
      </c>
      <c r="C887" t="str">
        <f>_xlfn.CONCAT(Table16[[#This Row],[STATE]],"-",Table16[[#This Row],[YEAR]])</f>
        <v>Haryana-2011</v>
      </c>
      <c r="D887" t="s">
        <v>397</v>
      </c>
      <c r="E887">
        <v>42</v>
      </c>
    </row>
    <row r="888" spans="1:5" x14ac:dyDescent="0.3">
      <c r="A888" t="s">
        <v>13</v>
      </c>
      <c r="B888">
        <v>2011</v>
      </c>
      <c r="C888" t="str">
        <f>_xlfn.CONCAT(Table16[[#This Row],[STATE]],"-",Table16[[#This Row],[YEAR]])</f>
        <v>Haryana-2011</v>
      </c>
      <c r="D888" t="s">
        <v>190</v>
      </c>
      <c r="E888">
        <v>58</v>
      </c>
    </row>
    <row r="889" spans="1:5" x14ac:dyDescent="0.3">
      <c r="A889" t="s">
        <v>13</v>
      </c>
      <c r="B889">
        <v>2011</v>
      </c>
      <c r="C889" t="str">
        <f>_xlfn.CONCAT(Table16[[#This Row],[STATE]],"-",Table16[[#This Row],[YEAR]])</f>
        <v>Haryana-2011</v>
      </c>
      <c r="D889" t="s">
        <v>412</v>
      </c>
      <c r="E889">
        <v>36</v>
      </c>
    </row>
    <row r="890" spans="1:5" x14ac:dyDescent="0.3">
      <c r="A890" t="s">
        <v>13</v>
      </c>
      <c r="B890">
        <v>2011</v>
      </c>
      <c r="C890" t="str">
        <f>_xlfn.CONCAT(Table16[[#This Row],[STATE]],"-",Table16[[#This Row],[YEAR]])</f>
        <v>Haryana-2011</v>
      </c>
      <c r="D890" t="s">
        <v>230</v>
      </c>
      <c r="E890">
        <v>32</v>
      </c>
    </row>
    <row r="891" spans="1:5" x14ac:dyDescent="0.3">
      <c r="A891" t="s">
        <v>13</v>
      </c>
      <c r="B891">
        <v>2011</v>
      </c>
      <c r="C891" t="str">
        <f>_xlfn.CONCAT(Table16[[#This Row],[STATE]],"-",Table16[[#This Row],[YEAR]])</f>
        <v>Haryana-2011</v>
      </c>
      <c r="D891" t="s">
        <v>413</v>
      </c>
      <c r="E891">
        <v>20</v>
      </c>
    </row>
    <row r="892" spans="1:5" x14ac:dyDescent="0.3">
      <c r="A892" t="s">
        <v>13</v>
      </c>
      <c r="B892">
        <v>2011</v>
      </c>
      <c r="C892" t="str">
        <f>_xlfn.CONCAT(Table16[[#This Row],[STATE]],"-",Table16[[#This Row],[YEAR]])</f>
        <v>Haryana-2011</v>
      </c>
      <c r="D892" t="s">
        <v>414</v>
      </c>
      <c r="E892">
        <v>10</v>
      </c>
    </row>
    <row r="893" spans="1:5" x14ac:dyDescent="0.3">
      <c r="A893" t="s">
        <v>13</v>
      </c>
      <c r="B893">
        <v>2011</v>
      </c>
      <c r="C893" t="str">
        <f>_xlfn.CONCAT(Table16[[#This Row],[STATE]],"-",Table16[[#This Row],[YEAR]])</f>
        <v>Haryana-2011</v>
      </c>
      <c r="D893" t="s">
        <v>197</v>
      </c>
      <c r="E893">
        <v>137</v>
      </c>
    </row>
    <row r="894" spans="1:5" x14ac:dyDescent="0.3">
      <c r="A894" t="s">
        <v>13</v>
      </c>
      <c r="B894">
        <v>2011</v>
      </c>
      <c r="C894" t="str">
        <f>_xlfn.CONCAT(Table16[[#This Row],[STATE]],"-",Table16[[#This Row],[YEAR]])</f>
        <v>Haryana-2011</v>
      </c>
      <c r="D894" t="s">
        <v>185</v>
      </c>
      <c r="E894">
        <v>10</v>
      </c>
    </row>
    <row r="895" spans="1:5" x14ac:dyDescent="0.3">
      <c r="A895" t="s">
        <v>13</v>
      </c>
      <c r="B895">
        <v>2011</v>
      </c>
      <c r="C895" t="str">
        <f>_xlfn.CONCAT(Table16[[#This Row],[STATE]],"-",Table16[[#This Row],[YEAR]])</f>
        <v>Haryana-2011</v>
      </c>
      <c r="D895" t="s">
        <v>386</v>
      </c>
      <c r="E895">
        <v>18</v>
      </c>
    </row>
    <row r="896" spans="1:5" x14ac:dyDescent="0.3">
      <c r="A896" t="s">
        <v>13</v>
      </c>
      <c r="B896">
        <v>2011</v>
      </c>
      <c r="C896" t="str">
        <f>_xlfn.CONCAT(Table16[[#This Row],[STATE]],"-",Table16[[#This Row],[YEAR]])</f>
        <v>Haryana-2011</v>
      </c>
      <c r="D896" t="s">
        <v>415</v>
      </c>
      <c r="E896">
        <v>6</v>
      </c>
    </row>
    <row r="897" spans="1:5" x14ac:dyDescent="0.3">
      <c r="A897" t="s">
        <v>13</v>
      </c>
      <c r="B897">
        <v>2011</v>
      </c>
      <c r="C897" t="str">
        <f>_xlfn.CONCAT(Table16[[#This Row],[STATE]],"-",Table16[[#This Row],[YEAR]])</f>
        <v>Haryana-2011</v>
      </c>
      <c r="D897" t="s">
        <v>416</v>
      </c>
      <c r="E897">
        <v>80</v>
      </c>
    </row>
    <row r="898" spans="1:5" x14ac:dyDescent="0.3">
      <c r="A898" t="s">
        <v>13</v>
      </c>
      <c r="B898">
        <v>2011</v>
      </c>
      <c r="C898" t="str">
        <f>_xlfn.CONCAT(Table16[[#This Row],[STATE]],"-",Table16[[#This Row],[YEAR]])</f>
        <v>Haryana-2011</v>
      </c>
      <c r="D898" t="s">
        <v>389</v>
      </c>
      <c r="E898">
        <v>12</v>
      </c>
    </row>
    <row r="899" spans="1:5" x14ac:dyDescent="0.3">
      <c r="A899" t="s">
        <v>13</v>
      </c>
      <c r="B899">
        <v>2012</v>
      </c>
      <c r="C899" t="str">
        <f>_xlfn.CONCAT(Table16[[#This Row],[STATE]],"-",Table16[[#This Row],[YEAR]])</f>
        <v>Haryana-2012</v>
      </c>
      <c r="D899" t="s">
        <v>110</v>
      </c>
      <c r="E899">
        <v>24</v>
      </c>
    </row>
    <row r="900" spans="1:5" x14ac:dyDescent="0.3">
      <c r="A900" t="s">
        <v>13</v>
      </c>
      <c r="B900">
        <v>2012</v>
      </c>
      <c r="C900" t="str">
        <f>_xlfn.CONCAT(Table16[[#This Row],[STATE]],"-",Table16[[#This Row],[YEAR]])</f>
        <v>Haryana-2012</v>
      </c>
      <c r="D900" t="s">
        <v>170</v>
      </c>
      <c r="E900">
        <v>32</v>
      </c>
    </row>
    <row r="901" spans="1:5" x14ac:dyDescent="0.3">
      <c r="A901" t="s">
        <v>13</v>
      </c>
      <c r="B901">
        <v>2012</v>
      </c>
      <c r="C901" t="str">
        <f>_xlfn.CONCAT(Table16[[#This Row],[STATE]],"-",Table16[[#This Row],[YEAR]])</f>
        <v>Haryana-2012</v>
      </c>
      <c r="D901" t="s">
        <v>417</v>
      </c>
      <c r="E901">
        <v>8</v>
      </c>
    </row>
    <row r="902" spans="1:5" x14ac:dyDescent="0.3">
      <c r="A902" t="s">
        <v>13</v>
      </c>
      <c r="B902">
        <v>2012</v>
      </c>
      <c r="C902" t="str">
        <f>_xlfn.CONCAT(Table16[[#This Row],[STATE]],"-",Table16[[#This Row],[YEAR]])</f>
        <v>Haryana-2012</v>
      </c>
      <c r="D902" t="s">
        <v>223</v>
      </c>
      <c r="E902">
        <v>19</v>
      </c>
    </row>
    <row r="903" spans="1:5" x14ac:dyDescent="0.3">
      <c r="A903" t="s">
        <v>13</v>
      </c>
      <c r="B903">
        <v>2012</v>
      </c>
      <c r="C903" t="str">
        <f>_xlfn.CONCAT(Table16[[#This Row],[STATE]],"-",Table16[[#This Row],[YEAR]])</f>
        <v>Haryana-2012</v>
      </c>
      <c r="D903" t="s">
        <v>390</v>
      </c>
      <c r="E903">
        <v>9</v>
      </c>
    </row>
    <row r="904" spans="1:5" x14ac:dyDescent="0.3">
      <c r="A904" t="s">
        <v>13</v>
      </c>
      <c r="B904">
        <v>2012</v>
      </c>
      <c r="C904" t="str">
        <f>_xlfn.CONCAT(Table16[[#This Row],[STATE]],"-",Table16[[#This Row],[YEAR]])</f>
        <v>Haryana-2012</v>
      </c>
      <c r="D904" t="s">
        <v>123</v>
      </c>
      <c r="E904">
        <v>13</v>
      </c>
    </row>
    <row r="905" spans="1:5" x14ac:dyDescent="0.3">
      <c r="A905" t="s">
        <v>13</v>
      </c>
      <c r="B905">
        <v>2012</v>
      </c>
      <c r="C905" t="str">
        <f>_xlfn.CONCAT(Table16[[#This Row],[STATE]],"-",Table16[[#This Row],[YEAR]])</f>
        <v>Haryana-2012</v>
      </c>
      <c r="D905" t="s">
        <v>389</v>
      </c>
      <c r="E905">
        <v>10</v>
      </c>
    </row>
    <row r="906" spans="1:5" x14ac:dyDescent="0.3">
      <c r="A906" t="s">
        <v>13</v>
      </c>
      <c r="B906">
        <v>2012</v>
      </c>
      <c r="C906" t="str">
        <f>_xlfn.CONCAT(Table16[[#This Row],[STATE]],"-",Table16[[#This Row],[YEAR]])</f>
        <v>Haryana-2012</v>
      </c>
      <c r="D906" t="s">
        <v>418</v>
      </c>
      <c r="E906">
        <v>250</v>
      </c>
    </row>
    <row r="907" spans="1:5" x14ac:dyDescent="0.3">
      <c r="A907" t="s">
        <v>13</v>
      </c>
      <c r="B907">
        <v>2012</v>
      </c>
      <c r="C907" t="str">
        <f>_xlfn.CONCAT(Table16[[#This Row],[STATE]],"-",Table16[[#This Row],[YEAR]])</f>
        <v>Haryana-2012</v>
      </c>
      <c r="D907" t="s">
        <v>419</v>
      </c>
      <c r="E907">
        <v>40</v>
      </c>
    </row>
    <row r="908" spans="1:5" x14ac:dyDescent="0.3">
      <c r="A908" t="s">
        <v>13</v>
      </c>
      <c r="B908">
        <v>2012</v>
      </c>
      <c r="C908" t="str">
        <f>_xlfn.CONCAT(Table16[[#This Row],[STATE]],"-",Table16[[#This Row],[YEAR]])</f>
        <v>Haryana-2012</v>
      </c>
      <c r="D908" t="s">
        <v>420</v>
      </c>
      <c r="E908">
        <v>6</v>
      </c>
    </row>
    <row r="909" spans="1:5" x14ac:dyDescent="0.3">
      <c r="A909" t="s">
        <v>13</v>
      </c>
      <c r="B909">
        <v>2012</v>
      </c>
      <c r="C909" t="str">
        <f>_xlfn.CONCAT(Table16[[#This Row],[STATE]],"-",Table16[[#This Row],[YEAR]])</f>
        <v>Haryana-2012</v>
      </c>
      <c r="D909" t="s">
        <v>146</v>
      </c>
      <c r="E909">
        <v>5</v>
      </c>
    </row>
    <row r="910" spans="1:5" x14ac:dyDescent="0.3">
      <c r="A910" t="s">
        <v>13</v>
      </c>
      <c r="B910">
        <v>2012</v>
      </c>
      <c r="C910" t="str">
        <f>_xlfn.CONCAT(Table16[[#This Row],[STATE]],"-",Table16[[#This Row],[YEAR]])</f>
        <v>Haryana-2012</v>
      </c>
      <c r="D910" t="s">
        <v>421</v>
      </c>
      <c r="E910">
        <v>5</v>
      </c>
    </row>
    <row r="911" spans="1:5" x14ac:dyDescent="0.3">
      <c r="A911" t="s">
        <v>13</v>
      </c>
      <c r="B911">
        <v>2012</v>
      </c>
      <c r="C911" t="str">
        <f>_xlfn.CONCAT(Table16[[#This Row],[STATE]],"-",Table16[[#This Row],[YEAR]])</f>
        <v>Haryana-2012</v>
      </c>
      <c r="D911" t="s">
        <v>422</v>
      </c>
      <c r="E911">
        <v>9</v>
      </c>
    </row>
    <row r="912" spans="1:5" x14ac:dyDescent="0.3">
      <c r="A912" t="s">
        <v>13</v>
      </c>
      <c r="B912">
        <v>2012</v>
      </c>
      <c r="C912" t="str">
        <f>_xlfn.CONCAT(Table16[[#This Row],[STATE]],"-",Table16[[#This Row],[YEAR]])</f>
        <v>Haryana-2012</v>
      </c>
      <c r="D912" t="s">
        <v>423</v>
      </c>
      <c r="E912">
        <v>1</v>
      </c>
    </row>
    <row r="913" spans="1:5" x14ac:dyDescent="0.3">
      <c r="A913" t="s">
        <v>13</v>
      </c>
      <c r="B913">
        <v>2012</v>
      </c>
      <c r="C913" t="str">
        <f>_xlfn.CONCAT(Table16[[#This Row],[STATE]],"-",Table16[[#This Row],[YEAR]])</f>
        <v>Haryana-2012</v>
      </c>
      <c r="D913" t="s">
        <v>424</v>
      </c>
      <c r="E913">
        <v>2</v>
      </c>
    </row>
    <row r="914" spans="1:5" x14ac:dyDescent="0.3">
      <c r="A914" t="s">
        <v>13</v>
      </c>
      <c r="B914">
        <v>2012</v>
      </c>
      <c r="C914" t="str">
        <f>_xlfn.CONCAT(Table16[[#This Row],[STATE]],"-",Table16[[#This Row],[YEAR]])</f>
        <v>Haryana-2012</v>
      </c>
      <c r="D914" t="s">
        <v>425</v>
      </c>
      <c r="E914">
        <v>15</v>
      </c>
    </row>
    <row r="915" spans="1:5" x14ac:dyDescent="0.3">
      <c r="A915" t="s">
        <v>13</v>
      </c>
      <c r="B915">
        <v>2012</v>
      </c>
      <c r="C915" t="str">
        <f>_xlfn.CONCAT(Table16[[#This Row],[STATE]],"-",Table16[[#This Row],[YEAR]])</f>
        <v>Haryana-2012</v>
      </c>
      <c r="D915" t="s">
        <v>426</v>
      </c>
      <c r="E915">
        <v>20</v>
      </c>
    </row>
    <row r="916" spans="1:5" x14ac:dyDescent="0.3">
      <c r="A916" t="s">
        <v>13</v>
      </c>
      <c r="B916">
        <v>2012</v>
      </c>
      <c r="C916" t="str">
        <f>_xlfn.CONCAT(Table16[[#This Row],[STATE]],"-",Table16[[#This Row],[YEAR]])</f>
        <v>Haryana-2012</v>
      </c>
      <c r="D916" t="s">
        <v>427</v>
      </c>
      <c r="E916">
        <v>5</v>
      </c>
    </row>
    <row r="917" spans="1:5" x14ac:dyDescent="0.3">
      <c r="A917" t="s">
        <v>13</v>
      </c>
      <c r="B917">
        <v>2012</v>
      </c>
      <c r="C917" t="str">
        <f>_xlfn.CONCAT(Table16[[#This Row],[STATE]],"-",Table16[[#This Row],[YEAR]])</f>
        <v>Haryana-2012</v>
      </c>
      <c r="D917" t="s">
        <v>428</v>
      </c>
      <c r="E917">
        <v>15</v>
      </c>
    </row>
    <row r="918" spans="1:5" x14ac:dyDescent="0.3">
      <c r="A918" t="s">
        <v>13</v>
      </c>
      <c r="B918">
        <v>2012</v>
      </c>
      <c r="C918" t="str">
        <f>_xlfn.CONCAT(Table16[[#This Row],[STATE]],"-",Table16[[#This Row],[YEAR]])</f>
        <v>Haryana-2012</v>
      </c>
      <c r="D918" t="s">
        <v>429</v>
      </c>
      <c r="E918">
        <v>5</v>
      </c>
    </row>
    <row r="919" spans="1:5" x14ac:dyDescent="0.3">
      <c r="A919" t="s">
        <v>13</v>
      </c>
      <c r="B919">
        <v>2012</v>
      </c>
      <c r="C919" t="str">
        <f>_xlfn.CONCAT(Table16[[#This Row],[STATE]],"-",Table16[[#This Row],[YEAR]])</f>
        <v>Haryana-2012</v>
      </c>
      <c r="D919" t="s">
        <v>430</v>
      </c>
      <c r="E919">
        <v>5</v>
      </c>
    </row>
    <row r="920" spans="1:5" x14ac:dyDescent="0.3">
      <c r="A920" t="s">
        <v>13</v>
      </c>
      <c r="B920">
        <v>2012</v>
      </c>
      <c r="C920" t="str">
        <f>_xlfn.CONCAT(Table16[[#This Row],[STATE]],"-",Table16[[#This Row],[YEAR]])</f>
        <v>Haryana-2012</v>
      </c>
      <c r="D920" t="s">
        <v>253</v>
      </c>
      <c r="E920">
        <v>3</v>
      </c>
    </row>
    <row r="921" spans="1:5" x14ac:dyDescent="0.3">
      <c r="A921" t="s">
        <v>13</v>
      </c>
      <c r="B921">
        <v>2012</v>
      </c>
      <c r="C921" t="str">
        <f>_xlfn.CONCAT(Table16[[#This Row],[STATE]],"-",Table16[[#This Row],[YEAR]])</f>
        <v>Haryana-2012</v>
      </c>
      <c r="D921" t="s">
        <v>431</v>
      </c>
      <c r="E921">
        <v>5</v>
      </c>
    </row>
    <row r="922" spans="1:5" x14ac:dyDescent="0.3">
      <c r="A922" t="s">
        <v>13</v>
      </c>
      <c r="B922">
        <v>2012</v>
      </c>
      <c r="C922" t="str">
        <f>_xlfn.CONCAT(Table16[[#This Row],[STATE]],"-",Table16[[#This Row],[YEAR]])</f>
        <v>Haryana-2012</v>
      </c>
      <c r="D922" t="s">
        <v>403</v>
      </c>
      <c r="E922">
        <v>11</v>
      </c>
    </row>
    <row r="923" spans="1:5" x14ac:dyDescent="0.3">
      <c r="A923" t="s">
        <v>13</v>
      </c>
      <c r="B923">
        <v>2012</v>
      </c>
      <c r="C923" t="str">
        <f>_xlfn.CONCAT(Table16[[#This Row],[STATE]],"-",Table16[[#This Row],[YEAR]])</f>
        <v>Haryana-2012</v>
      </c>
      <c r="D923" t="s">
        <v>432</v>
      </c>
      <c r="E923">
        <v>17</v>
      </c>
    </row>
    <row r="924" spans="1:5" x14ac:dyDescent="0.3">
      <c r="A924" t="s">
        <v>13</v>
      </c>
      <c r="B924">
        <v>2012</v>
      </c>
      <c r="C924" t="str">
        <f>_xlfn.CONCAT(Table16[[#This Row],[STATE]],"-",Table16[[#This Row],[YEAR]])</f>
        <v>Haryana-2012</v>
      </c>
      <c r="D924" t="s">
        <v>433</v>
      </c>
      <c r="E924">
        <v>12</v>
      </c>
    </row>
    <row r="925" spans="1:5" x14ac:dyDescent="0.3">
      <c r="A925" t="s">
        <v>13</v>
      </c>
      <c r="B925">
        <v>2012</v>
      </c>
      <c r="C925" t="str">
        <f>_xlfn.CONCAT(Table16[[#This Row],[STATE]],"-",Table16[[#This Row],[YEAR]])</f>
        <v>Haryana-2012</v>
      </c>
      <c r="D925" t="s">
        <v>434</v>
      </c>
      <c r="E925">
        <v>13</v>
      </c>
    </row>
    <row r="926" spans="1:5" x14ac:dyDescent="0.3">
      <c r="A926" t="s">
        <v>13</v>
      </c>
      <c r="B926">
        <v>2012</v>
      </c>
      <c r="C926" t="str">
        <f>_xlfn.CONCAT(Table16[[#This Row],[STATE]],"-",Table16[[#This Row],[YEAR]])</f>
        <v>Haryana-2012</v>
      </c>
      <c r="D926" t="s">
        <v>406</v>
      </c>
      <c r="E926">
        <v>14</v>
      </c>
    </row>
    <row r="927" spans="1:5" x14ac:dyDescent="0.3">
      <c r="A927" t="s">
        <v>13</v>
      </c>
      <c r="B927">
        <v>2012</v>
      </c>
      <c r="C927" t="str">
        <f>_xlfn.CONCAT(Table16[[#This Row],[STATE]],"-",Table16[[#This Row],[YEAR]])</f>
        <v>Haryana-2012</v>
      </c>
      <c r="D927" t="s">
        <v>407</v>
      </c>
      <c r="E927">
        <v>7</v>
      </c>
    </row>
    <row r="928" spans="1:5" x14ac:dyDescent="0.3">
      <c r="A928" t="s">
        <v>13</v>
      </c>
      <c r="B928">
        <v>2012</v>
      </c>
      <c r="C928" t="str">
        <f>_xlfn.CONCAT(Table16[[#This Row],[STATE]],"-",Table16[[#This Row],[YEAR]])</f>
        <v>Haryana-2012</v>
      </c>
      <c r="D928" t="s">
        <v>98</v>
      </c>
      <c r="E928">
        <v>12</v>
      </c>
    </row>
    <row r="929" spans="1:5" x14ac:dyDescent="0.3">
      <c r="A929" t="s">
        <v>13</v>
      </c>
      <c r="B929">
        <v>2012</v>
      </c>
      <c r="C929" t="str">
        <f>_xlfn.CONCAT(Table16[[#This Row],[STATE]],"-",Table16[[#This Row],[YEAR]])</f>
        <v>Haryana-2012</v>
      </c>
      <c r="D929" t="s">
        <v>410</v>
      </c>
      <c r="E929">
        <v>10</v>
      </c>
    </row>
    <row r="930" spans="1:5" x14ac:dyDescent="0.3">
      <c r="A930" t="s">
        <v>14</v>
      </c>
      <c r="B930">
        <v>2001</v>
      </c>
      <c r="C930" t="str">
        <f>_xlfn.CONCAT(Table16[[#This Row],[STATE]],"-",Table16[[#This Row],[YEAR]])</f>
        <v>Himachal Pradesh-2001</v>
      </c>
      <c r="D930" t="s">
        <v>90</v>
      </c>
      <c r="E930">
        <v>125</v>
      </c>
    </row>
    <row r="931" spans="1:5" x14ac:dyDescent="0.3">
      <c r="A931" t="s">
        <v>14</v>
      </c>
      <c r="B931">
        <v>2001</v>
      </c>
      <c r="C931" t="str">
        <f>_xlfn.CONCAT(Table16[[#This Row],[STATE]],"-",Table16[[#This Row],[YEAR]])</f>
        <v>Himachal Pradesh-2001</v>
      </c>
      <c r="D931" t="s">
        <v>123</v>
      </c>
      <c r="E931">
        <v>10</v>
      </c>
    </row>
    <row r="932" spans="1:5" x14ac:dyDescent="0.3">
      <c r="A932" t="s">
        <v>14</v>
      </c>
      <c r="B932">
        <v>2001</v>
      </c>
      <c r="C932" t="str">
        <f>_xlfn.CONCAT(Table16[[#This Row],[STATE]],"-",Table16[[#This Row],[YEAR]])</f>
        <v>Himachal Pradesh-2001</v>
      </c>
      <c r="D932" t="s">
        <v>103</v>
      </c>
      <c r="E932">
        <v>15</v>
      </c>
    </row>
    <row r="933" spans="1:5" x14ac:dyDescent="0.3">
      <c r="A933" t="s">
        <v>14</v>
      </c>
      <c r="B933">
        <v>2001</v>
      </c>
      <c r="C933" t="str">
        <f>_xlfn.CONCAT(Table16[[#This Row],[STATE]],"-",Table16[[#This Row],[YEAR]])</f>
        <v>Himachal Pradesh-2001</v>
      </c>
      <c r="D933" t="s">
        <v>197</v>
      </c>
      <c r="E933">
        <v>35</v>
      </c>
    </row>
    <row r="934" spans="1:5" x14ac:dyDescent="0.3">
      <c r="A934" t="s">
        <v>14</v>
      </c>
      <c r="B934">
        <v>2002</v>
      </c>
      <c r="C934" t="str">
        <f>_xlfn.CONCAT(Table16[[#This Row],[STATE]],"-",Table16[[#This Row],[YEAR]])</f>
        <v>Himachal Pradesh-2002</v>
      </c>
      <c r="D934" t="s">
        <v>90</v>
      </c>
      <c r="E934">
        <v>52</v>
      </c>
    </row>
    <row r="935" spans="1:5" x14ac:dyDescent="0.3">
      <c r="A935" t="s">
        <v>14</v>
      </c>
      <c r="B935">
        <v>2002</v>
      </c>
      <c r="C935" t="str">
        <f>_xlfn.CONCAT(Table16[[#This Row],[STATE]],"-",Table16[[#This Row],[YEAR]])</f>
        <v>Himachal Pradesh-2002</v>
      </c>
      <c r="D935" t="s">
        <v>103</v>
      </c>
      <c r="E935">
        <v>16</v>
      </c>
    </row>
    <row r="936" spans="1:5" x14ac:dyDescent="0.3">
      <c r="A936" t="s">
        <v>14</v>
      </c>
      <c r="B936">
        <v>2002</v>
      </c>
      <c r="C936" t="str">
        <f>_xlfn.CONCAT(Table16[[#This Row],[STATE]],"-",Table16[[#This Row],[YEAR]])</f>
        <v>Himachal Pradesh-2002</v>
      </c>
      <c r="D936" t="s">
        <v>123</v>
      </c>
      <c r="E936">
        <v>23</v>
      </c>
    </row>
    <row r="937" spans="1:5" x14ac:dyDescent="0.3">
      <c r="A937" t="s">
        <v>14</v>
      </c>
      <c r="B937">
        <v>2003</v>
      </c>
      <c r="C937" t="str">
        <f>_xlfn.CONCAT(Table16[[#This Row],[STATE]],"-",Table16[[#This Row],[YEAR]])</f>
        <v>Himachal Pradesh-2003</v>
      </c>
      <c r="D937" t="s">
        <v>90</v>
      </c>
      <c r="E937">
        <v>45</v>
      </c>
    </row>
    <row r="938" spans="1:5" x14ac:dyDescent="0.3">
      <c r="A938" t="s">
        <v>14</v>
      </c>
      <c r="B938">
        <v>2003</v>
      </c>
      <c r="C938" t="str">
        <f>_xlfn.CONCAT(Table16[[#This Row],[STATE]],"-",Table16[[#This Row],[YEAR]])</f>
        <v>Himachal Pradesh-2003</v>
      </c>
      <c r="D938" t="s">
        <v>103</v>
      </c>
      <c r="E938">
        <v>11</v>
      </c>
    </row>
    <row r="939" spans="1:5" x14ac:dyDescent="0.3">
      <c r="A939" t="s">
        <v>14</v>
      </c>
      <c r="B939">
        <v>2003</v>
      </c>
      <c r="C939" t="str">
        <f>_xlfn.CONCAT(Table16[[#This Row],[STATE]],"-",Table16[[#This Row],[YEAR]])</f>
        <v>Himachal Pradesh-2003</v>
      </c>
      <c r="D939" t="s">
        <v>435</v>
      </c>
      <c r="E939">
        <v>30</v>
      </c>
    </row>
    <row r="940" spans="1:5" x14ac:dyDescent="0.3">
      <c r="A940" t="s">
        <v>14</v>
      </c>
      <c r="B940">
        <v>2004</v>
      </c>
      <c r="C940" t="str">
        <f>_xlfn.CONCAT(Table16[[#This Row],[STATE]],"-",Table16[[#This Row],[YEAR]])</f>
        <v>Himachal Pradesh-2004</v>
      </c>
      <c r="D940" t="s">
        <v>90</v>
      </c>
      <c r="E940">
        <v>39</v>
      </c>
    </row>
    <row r="941" spans="1:5" x14ac:dyDescent="0.3">
      <c r="A941" t="s">
        <v>14</v>
      </c>
      <c r="B941">
        <v>2004</v>
      </c>
      <c r="C941" t="str">
        <f>_xlfn.CONCAT(Table16[[#This Row],[STATE]],"-",Table16[[#This Row],[YEAR]])</f>
        <v>Himachal Pradesh-2004</v>
      </c>
      <c r="D941" t="s">
        <v>123</v>
      </c>
      <c r="E941">
        <v>26</v>
      </c>
    </row>
    <row r="942" spans="1:5" x14ac:dyDescent="0.3">
      <c r="A942" t="s">
        <v>14</v>
      </c>
      <c r="B942">
        <v>2004</v>
      </c>
      <c r="C942" t="str">
        <f>_xlfn.CONCAT(Table16[[#This Row],[STATE]],"-",Table16[[#This Row],[YEAR]])</f>
        <v>Himachal Pradesh-2004</v>
      </c>
      <c r="D942" t="s">
        <v>103</v>
      </c>
      <c r="E942">
        <v>7</v>
      </c>
    </row>
    <row r="943" spans="1:5" x14ac:dyDescent="0.3">
      <c r="A943" t="s">
        <v>14</v>
      </c>
      <c r="B943">
        <v>2004</v>
      </c>
      <c r="C943" t="str">
        <f>_xlfn.CONCAT(Table16[[#This Row],[STATE]],"-",Table16[[#This Row],[YEAR]])</f>
        <v>Himachal Pradesh-2004</v>
      </c>
      <c r="D943" t="s">
        <v>146</v>
      </c>
      <c r="E943">
        <v>3</v>
      </c>
    </row>
    <row r="944" spans="1:5" x14ac:dyDescent="0.3">
      <c r="A944" t="s">
        <v>14</v>
      </c>
      <c r="B944">
        <v>2005</v>
      </c>
      <c r="C944" t="str">
        <f>_xlfn.CONCAT(Table16[[#This Row],[STATE]],"-",Table16[[#This Row],[YEAR]])</f>
        <v>Himachal Pradesh-2005</v>
      </c>
      <c r="D944" t="s">
        <v>90</v>
      </c>
      <c r="E944">
        <v>39</v>
      </c>
    </row>
    <row r="945" spans="1:5" x14ac:dyDescent="0.3">
      <c r="A945" t="s">
        <v>14</v>
      </c>
      <c r="B945">
        <v>2005</v>
      </c>
      <c r="C945" t="str">
        <f>_xlfn.CONCAT(Table16[[#This Row],[STATE]],"-",Table16[[#This Row],[YEAR]])</f>
        <v>Himachal Pradesh-2005</v>
      </c>
      <c r="D945" t="s">
        <v>123</v>
      </c>
      <c r="E945">
        <v>26</v>
      </c>
    </row>
    <row r="946" spans="1:5" x14ac:dyDescent="0.3">
      <c r="A946" t="s">
        <v>14</v>
      </c>
      <c r="B946">
        <v>2005</v>
      </c>
      <c r="C946" t="str">
        <f>_xlfn.CONCAT(Table16[[#This Row],[STATE]],"-",Table16[[#This Row],[YEAR]])</f>
        <v>Himachal Pradesh-2005</v>
      </c>
      <c r="D946" t="s">
        <v>103</v>
      </c>
      <c r="E946">
        <v>7</v>
      </c>
    </row>
    <row r="947" spans="1:5" x14ac:dyDescent="0.3">
      <c r="A947" t="s">
        <v>14</v>
      </c>
      <c r="B947">
        <v>2005</v>
      </c>
      <c r="C947" t="str">
        <f>_xlfn.CONCAT(Table16[[#This Row],[STATE]],"-",Table16[[#This Row],[YEAR]])</f>
        <v>Himachal Pradesh-2005</v>
      </c>
      <c r="D947" t="s">
        <v>146</v>
      </c>
      <c r="E947">
        <v>3</v>
      </c>
    </row>
    <row r="948" spans="1:5" x14ac:dyDescent="0.3">
      <c r="A948" t="s">
        <v>14</v>
      </c>
      <c r="B948">
        <v>2006</v>
      </c>
      <c r="C948" t="str">
        <f>_xlfn.CONCAT(Table16[[#This Row],[STATE]],"-",Table16[[#This Row],[YEAR]])</f>
        <v>Himachal Pradesh-2006</v>
      </c>
      <c r="D948" t="s">
        <v>90</v>
      </c>
      <c r="E948">
        <v>49</v>
      </c>
    </row>
    <row r="949" spans="1:5" x14ac:dyDescent="0.3">
      <c r="A949" t="s">
        <v>14</v>
      </c>
      <c r="B949">
        <v>2006</v>
      </c>
      <c r="C949" t="str">
        <f>_xlfn.CONCAT(Table16[[#This Row],[STATE]],"-",Table16[[#This Row],[YEAR]])</f>
        <v>Himachal Pradesh-2006</v>
      </c>
      <c r="D949" t="s">
        <v>123</v>
      </c>
      <c r="E949">
        <v>30</v>
      </c>
    </row>
    <row r="950" spans="1:5" x14ac:dyDescent="0.3">
      <c r="A950" t="s">
        <v>14</v>
      </c>
      <c r="B950">
        <v>2006</v>
      </c>
      <c r="C950" t="str">
        <f>_xlfn.CONCAT(Table16[[#This Row],[STATE]],"-",Table16[[#This Row],[YEAR]])</f>
        <v>Himachal Pradesh-2006</v>
      </c>
      <c r="D950" t="s">
        <v>103</v>
      </c>
      <c r="E950">
        <v>7</v>
      </c>
    </row>
    <row r="951" spans="1:5" x14ac:dyDescent="0.3">
      <c r="A951" t="s">
        <v>14</v>
      </c>
      <c r="B951">
        <v>2006</v>
      </c>
      <c r="C951" t="str">
        <f>_xlfn.CONCAT(Table16[[#This Row],[STATE]],"-",Table16[[#This Row],[YEAR]])</f>
        <v>Himachal Pradesh-2006</v>
      </c>
      <c r="D951" t="s">
        <v>146</v>
      </c>
      <c r="E951">
        <v>4</v>
      </c>
    </row>
    <row r="952" spans="1:5" x14ac:dyDescent="0.3">
      <c r="A952" t="s">
        <v>14</v>
      </c>
      <c r="B952">
        <v>2007</v>
      </c>
      <c r="C952" t="str">
        <f>_xlfn.CONCAT(Table16[[#This Row],[STATE]],"-",Table16[[#This Row],[YEAR]])</f>
        <v>Himachal Pradesh-2007</v>
      </c>
      <c r="D952" t="s">
        <v>90</v>
      </c>
      <c r="E952">
        <v>28</v>
      </c>
    </row>
    <row r="953" spans="1:5" x14ac:dyDescent="0.3">
      <c r="A953" t="s">
        <v>14</v>
      </c>
      <c r="B953">
        <v>2007</v>
      </c>
      <c r="C953" t="str">
        <f>_xlfn.CONCAT(Table16[[#This Row],[STATE]],"-",Table16[[#This Row],[YEAR]])</f>
        <v>Himachal Pradesh-2007</v>
      </c>
      <c r="D953" t="s">
        <v>123</v>
      </c>
      <c r="E953">
        <v>12</v>
      </c>
    </row>
    <row r="954" spans="1:5" x14ac:dyDescent="0.3">
      <c r="A954" t="s">
        <v>14</v>
      </c>
      <c r="B954">
        <v>2007</v>
      </c>
      <c r="C954" t="str">
        <f>_xlfn.CONCAT(Table16[[#This Row],[STATE]],"-",Table16[[#This Row],[YEAR]])</f>
        <v>Himachal Pradesh-2007</v>
      </c>
      <c r="D954" t="s">
        <v>103</v>
      </c>
      <c r="E954">
        <v>12</v>
      </c>
    </row>
    <row r="955" spans="1:5" x14ac:dyDescent="0.3">
      <c r="A955" t="s">
        <v>14</v>
      </c>
      <c r="B955">
        <v>2007</v>
      </c>
      <c r="C955" t="str">
        <f>_xlfn.CONCAT(Table16[[#This Row],[STATE]],"-",Table16[[#This Row],[YEAR]])</f>
        <v>Himachal Pradesh-2007</v>
      </c>
      <c r="D955" t="s">
        <v>146</v>
      </c>
      <c r="E955">
        <v>4</v>
      </c>
    </row>
    <row r="956" spans="1:5" x14ac:dyDescent="0.3">
      <c r="A956" t="s">
        <v>14</v>
      </c>
      <c r="B956">
        <v>2008</v>
      </c>
      <c r="C956" t="str">
        <f>_xlfn.CONCAT(Table16[[#This Row],[STATE]],"-",Table16[[#This Row],[YEAR]])</f>
        <v>Himachal Pradesh-2008</v>
      </c>
      <c r="D956" t="s">
        <v>90</v>
      </c>
      <c r="E956">
        <v>29</v>
      </c>
    </row>
    <row r="957" spans="1:5" x14ac:dyDescent="0.3">
      <c r="A957" t="s">
        <v>14</v>
      </c>
      <c r="B957">
        <v>2008</v>
      </c>
      <c r="C957" t="str">
        <f>_xlfn.CONCAT(Table16[[#This Row],[STATE]],"-",Table16[[#This Row],[YEAR]])</f>
        <v>Himachal Pradesh-2008</v>
      </c>
      <c r="D957" t="s">
        <v>123</v>
      </c>
      <c r="E957">
        <v>21</v>
      </c>
    </row>
    <row r="958" spans="1:5" x14ac:dyDescent="0.3">
      <c r="A958" t="s">
        <v>14</v>
      </c>
      <c r="B958">
        <v>2008</v>
      </c>
      <c r="C958" t="str">
        <f>_xlfn.CONCAT(Table16[[#This Row],[STATE]],"-",Table16[[#This Row],[YEAR]])</f>
        <v>Himachal Pradesh-2008</v>
      </c>
      <c r="D958" t="s">
        <v>146</v>
      </c>
      <c r="E958">
        <v>1</v>
      </c>
    </row>
    <row r="959" spans="1:5" x14ac:dyDescent="0.3">
      <c r="A959" t="s">
        <v>14</v>
      </c>
      <c r="B959">
        <v>2009</v>
      </c>
      <c r="C959" t="str">
        <f>_xlfn.CONCAT(Table16[[#This Row],[STATE]],"-",Table16[[#This Row],[YEAR]])</f>
        <v>Himachal Pradesh-2009</v>
      </c>
      <c r="D959" t="s">
        <v>436</v>
      </c>
      <c r="E959">
        <v>2</v>
      </c>
    </row>
    <row r="960" spans="1:5" x14ac:dyDescent="0.3">
      <c r="A960" t="s">
        <v>14</v>
      </c>
      <c r="B960">
        <v>2009</v>
      </c>
      <c r="C960" t="str">
        <f>_xlfn.CONCAT(Table16[[#This Row],[STATE]],"-",Table16[[#This Row],[YEAR]])</f>
        <v>Himachal Pradesh-2009</v>
      </c>
      <c r="D960" t="s">
        <v>437</v>
      </c>
      <c r="E960">
        <v>27</v>
      </c>
    </row>
    <row r="961" spans="1:5" x14ac:dyDescent="0.3">
      <c r="A961" t="s">
        <v>14</v>
      </c>
      <c r="B961">
        <v>2009</v>
      </c>
      <c r="C961" t="str">
        <f>_xlfn.CONCAT(Table16[[#This Row],[STATE]],"-",Table16[[#This Row],[YEAR]])</f>
        <v>Himachal Pradesh-2009</v>
      </c>
      <c r="D961" t="s">
        <v>438</v>
      </c>
      <c r="E961">
        <v>9</v>
      </c>
    </row>
    <row r="962" spans="1:5" x14ac:dyDescent="0.3">
      <c r="A962" t="s">
        <v>14</v>
      </c>
      <c r="B962">
        <v>2009</v>
      </c>
      <c r="C962" t="str">
        <f>_xlfn.CONCAT(Table16[[#This Row],[STATE]],"-",Table16[[#This Row],[YEAR]])</f>
        <v>Himachal Pradesh-2009</v>
      </c>
      <c r="D962" t="s">
        <v>439</v>
      </c>
      <c r="E962">
        <v>14</v>
      </c>
    </row>
    <row r="963" spans="1:5" x14ac:dyDescent="0.3">
      <c r="A963" t="s">
        <v>14</v>
      </c>
      <c r="B963">
        <v>2009</v>
      </c>
      <c r="C963" t="str">
        <f>_xlfn.CONCAT(Table16[[#This Row],[STATE]],"-",Table16[[#This Row],[YEAR]])</f>
        <v>Himachal Pradesh-2009</v>
      </c>
      <c r="D963" t="s">
        <v>440</v>
      </c>
      <c r="E963">
        <v>1</v>
      </c>
    </row>
    <row r="964" spans="1:5" x14ac:dyDescent="0.3">
      <c r="A964" t="s">
        <v>14</v>
      </c>
      <c r="B964">
        <v>2009</v>
      </c>
      <c r="C964" t="str">
        <f>_xlfn.CONCAT(Table16[[#This Row],[STATE]],"-",Table16[[#This Row],[YEAR]])</f>
        <v>Himachal Pradesh-2009</v>
      </c>
      <c r="D964" t="s">
        <v>441</v>
      </c>
      <c r="E964">
        <v>3</v>
      </c>
    </row>
    <row r="965" spans="1:5" x14ac:dyDescent="0.3">
      <c r="A965" t="s">
        <v>14</v>
      </c>
      <c r="B965">
        <v>2010</v>
      </c>
      <c r="C965" t="str">
        <f>_xlfn.CONCAT(Table16[[#This Row],[STATE]],"-",Table16[[#This Row],[YEAR]])</f>
        <v>Himachal Pradesh-2010</v>
      </c>
      <c r="D965" t="s">
        <v>103</v>
      </c>
      <c r="E965">
        <v>14</v>
      </c>
    </row>
    <row r="966" spans="1:5" x14ac:dyDescent="0.3">
      <c r="A966" t="s">
        <v>14</v>
      </c>
      <c r="B966">
        <v>2010</v>
      </c>
      <c r="C966" t="str">
        <f>_xlfn.CONCAT(Table16[[#This Row],[STATE]],"-",Table16[[#This Row],[YEAR]])</f>
        <v>Himachal Pradesh-2010</v>
      </c>
      <c r="D966" t="s">
        <v>286</v>
      </c>
      <c r="E966">
        <v>2</v>
      </c>
    </row>
    <row r="967" spans="1:5" x14ac:dyDescent="0.3">
      <c r="A967" t="s">
        <v>14</v>
      </c>
      <c r="B967">
        <v>2010</v>
      </c>
      <c r="C967" t="str">
        <f>_xlfn.CONCAT(Table16[[#This Row],[STATE]],"-",Table16[[#This Row],[YEAR]])</f>
        <v>Himachal Pradesh-2010</v>
      </c>
      <c r="D967" t="s">
        <v>442</v>
      </c>
      <c r="E967">
        <v>6</v>
      </c>
    </row>
    <row r="968" spans="1:5" x14ac:dyDescent="0.3">
      <c r="A968" t="s">
        <v>14</v>
      </c>
      <c r="B968">
        <v>2010</v>
      </c>
      <c r="C968" t="str">
        <f>_xlfn.CONCAT(Table16[[#This Row],[STATE]],"-",Table16[[#This Row],[YEAR]])</f>
        <v>Himachal Pradesh-2010</v>
      </c>
      <c r="D968" t="s">
        <v>166</v>
      </c>
      <c r="E968">
        <v>2</v>
      </c>
    </row>
    <row r="969" spans="1:5" x14ac:dyDescent="0.3">
      <c r="A969" t="s">
        <v>14</v>
      </c>
      <c r="B969">
        <v>2010</v>
      </c>
      <c r="C969" t="str">
        <f>_xlfn.CONCAT(Table16[[#This Row],[STATE]],"-",Table16[[#This Row],[YEAR]])</f>
        <v>Himachal Pradesh-2010</v>
      </c>
      <c r="D969" t="s">
        <v>443</v>
      </c>
      <c r="E969">
        <v>6</v>
      </c>
    </row>
    <row r="970" spans="1:5" x14ac:dyDescent="0.3">
      <c r="A970" t="s">
        <v>14</v>
      </c>
      <c r="B970">
        <v>2010</v>
      </c>
      <c r="C970" t="str">
        <f>_xlfn.CONCAT(Table16[[#This Row],[STATE]],"-",Table16[[#This Row],[YEAR]])</f>
        <v>Himachal Pradesh-2010</v>
      </c>
      <c r="D970" t="s">
        <v>146</v>
      </c>
      <c r="E970">
        <v>2</v>
      </c>
    </row>
    <row r="971" spans="1:5" x14ac:dyDescent="0.3">
      <c r="A971" t="s">
        <v>14</v>
      </c>
      <c r="B971">
        <v>2010</v>
      </c>
      <c r="C971" t="str">
        <f>_xlfn.CONCAT(Table16[[#This Row],[STATE]],"-",Table16[[#This Row],[YEAR]])</f>
        <v>Himachal Pradesh-2010</v>
      </c>
      <c r="D971" t="s">
        <v>123</v>
      </c>
      <c r="E971">
        <v>11</v>
      </c>
    </row>
    <row r="972" spans="1:5" x14ac:dyDescent="0.3">
      <c r="A972" t="s">
        <v>14</v>
      </c>
      <c r="B972">
        <v>2010</v>
      </c>
      <c r="C972" t="str">
        <f>_xlfn.CONCAT(Table16[[#This Row],[STATE]],"-",Table16[[#This Row],[YEAR]])</f>
        <v>Himachal Pradesh-2010</v>
      </c>
      <c r="D972" t="s">
        <v>444</v>
      </c>
      <c r="E972">
        <v>1</v>
      </c>
    </row>
    <row r="973" spans="1:5" x14ac:dyDescent="0.3">
      <c r="A973" t="s">
        <v>14</v>
      </c>
      <c r="B973">
        <v>2010</v>
      </c>
      <c r="C973" t="str">
        <f>_xlfn.CONCAT(Table16[[#This Row],[STATE]],"-",Table16[[#This Row],[YEAR]])</f>
        <v>Himachal Pradesh-2010</v>
      </c>
      <c r="D973" t="s">
        <v>90</v>
      </c>
      <c r="E973">
        <v>26</v>
      </c>
    </row>
    <row r="974" spans="1:5" x14ac:dyDescent="0.3">
      <c r="A974" t="s">
        <v>14</v>
      </c>
      <c r="B974">
        <v>2011</v>
      </c>
      <c r="C974" t="str">
        <f>_xlfn.CONCAT(Table16[[#This Row],[STATE]],"-",Table16[[#This Row],[YEAR]])</f>
        <v>Himachal Pradesh-2011</v>
      </c>
      <c r="D974" t="s">
        <v>103</v>
      </c>
      <c r="E974">
        <v>22</v>
      </c>
    </row>
    <row r="975" spans="1:5" x14ac:dyDescent="0.3">
      <c r="A975" t="s">
        <v>14</v>
      </c>
      <c r="B975">
        <v>2011</v>
      </c>
      <c r="C975" t="str">
        <f>_xlfn.CONCAT(Table16[[#This Row],[STATE]],"-",Table16[[#This Row],[YEAR]])</f>
        <v>Himachal Pradesh-2011</v>
      </c>
      <c r="D975" t="s">
        <v>286</v>
      </c>
      <c r="E975">
        <v>4</v>
      </c>
    </row>
    <row r="976" spans="1:5" x14ac:dyDescent="0.3">
      <c r="A976" t="s">
        <v>14</v>
      </c>
      <c r="B976">
        <v>2011</v>
      </c>
      <c r="C976" t="str">
        <f>_xlfn.CONCAT(Table16[[#This Row],[STATE]],"-",Table16[[#This Row],[YEAR]])</f>
        <v>Himachal Pradesh-2011</v>
      </c>
      <c r="D976" t="s">
        <v>370</v>
      </c>
      <c r="E976">
        <v>80</v>
      </c>
    </row>
    <row r="977" spans="1:5" x14ac:dyDescent="0.3">
      <c r="A977" t="s">
        <v>14</v>
      </c>
      <c r="B977">
        <v>2011</v>
      </c>
      <c r="C977" t="str">
        <f>_xlfn.CONCAT(Table16[[#This Row],[STATE]],"-",Table16[[#This Row],[YEAR]])</f>
        <v>Himachal Pradesh-2011</v>
      </c>
      <c r="D977" t="s">
        <v>442</v>
      </c>
      <c r="E977">
        <v>10</v>
      </c>
    </row>
    <row r="978" spans="1:5" x14ac:dyDescent="0.3">
      <c r="A978" t="s">
        <v>14</v>
      </c>
      <c r="B978">
        <v>2011</v>
      </c>
      <c r="C978" t="str">
        <f>_xlfn.CONCAT(Table16[[#This Row],[STATE]],"-",Table16[[#This Row],[YEAR]])</f>
        <v>Himachal Pradesh-2011</v>
      </c>
      <c r="D978" t="s">
        <v>166</v>
      </c>
      <c r="E978">
        <v>4</v>
      </c>
    </row>
    <row r="979" spans="1:5" x14ac:dyDescent="0.3">
      <c r="A979" t="s">
        <v>14</v>
      </c>
      <c r="B979">
        <v>2011</v>
      </c>
      <c r="C979" t="str">
        <f>_xlfn.CONCAT(Table16[[#This Row],[STATE]],"-",Table16[[#This Row],[YEAR]])</f>
        <v>Himachal Pradesh-2011</v>
      </c>
      <c r="D979" t="s">
        <v>369</v>
      </c>
      <c r="E979">
        <v>23</v>
      </c>
    </row>
    <row r="980" spans="1:5" x14ac:dyDescent="0.3">
      <c r="A980" t="s">
        <v>14</v>
      </c>
      <c r="B980">
        <v>2012</v>
      </c>
      <c r="C980" t="str">
        <f>_xlfn.CONCAT(Table16[[#This Row],[STATE]],"-",Table16[[#This Row],[YEAR]])</f>
        <v>Himachal Pradesh-2012</v>
      </c>
      <c r="D980" t="s">
        <v>370</v>
      </c>
      <c r="E980">
        <v>15</v>
      </c>
    </row>
    <row r="981" spans="1:5" x14ac:dyDescent="0.3">
      <c r="A981" t="s">
        <v>14</v>
      </c>
      <c r="B981">
        <v>2012</v>
      </c>
      <c r="C981" t="str">
        <f>_xlfn.CONCAT(Table16[[#This Row],[STATE]],"-",Table16[[#This Row],[YEAR]])</f>
        <v>Himachal Pradesh-2012</v>
      </c>
      <c r="D981" t="s">
        <v>374</v>
      </c>
      <c r="E981">
        <v>6</v>
      </c>
    </row>
    <row r="982" spans="1:5" x14ac:dyDescent="0.3">
      <c r="A982" t="s">
        <v>14</v>
      </c>
      <c r="B982">
        <v>2012</v>
      </c>
      <c r="C982" t="str">
        <f>_xlfn.CONCAT(Table16[[#This Row],[STATE]],"-",Table16[[#This Row],[YEAR]])</f>
        <v>Himachal Pradesh-2012</v>
      </c>
      <c r="D982" t="s">
        <v>369</v>
      </c>
      <c r="E982">
        <v>18</v>
      </c>
    </row>
    <row r="983" spans="1:5" x14ac:dyDescent="0.3">
      <c r="A983" t="s">
        <v>14</v>
      </c>
      <c r="B983">
        <v>2012</v>
      </c>
      <c r="C983" t="str">
        <f>_xlfn.CONCAT(Table16[[#This Row],[STATE]],"-",Table16[[#This Row],[YEAR]])</f>
        <v>Himachal Pradesh-2012</v>
      </c>
      <c r="D983" t="s">
        <v>445</v>
      </c>
      <c r="E983">
        <v>15</v>
      </c>
    </row>
    <row r="984" spans="1:5" x14ac:dyDescent="0.3">
      <c r="A984" t="s">
        <v>14</v>
      </c>
      <c r="B984">
        <v>2012</v>
      </c>
      <c r="C984" t="str">
        <f>_xlfn.CONCAT(Table16[[#This Row],[STATE]],"-",Table16[[#This Row],[YEAR]])</f>
        <v>Himachal Pradesh-2012</v>
      </c>
      <c r="D984" t="s">
        <v>446</v>
      </c>
      <c r="E984">
        <v>70</v>
      </c>
    </row>
    <row r="985" spans="1:5" x14ac:dyDescent="0.3">
      <c r="A985" t="s">
        <v>15</v>
      </c>
      <c r="B985">
        <v>2013</v>
      </c>
      <c r="C985" t="str">
        <f>_xlfn.CONCAT(Table16[[#This Row],[STATE]],"-",Table16[[#This Row],[YEAR]])</f>
        <v>Jammu &amp; Kashmir-2013</v>
      </c>
      <c r="D985" t="s">
        <v>447</v>
      </c>
      <c r="E985">
        <v>59</v>
      </c>
    </row>
    <row r="986" spans="1:5" x14ac:dyDescent="0.3">
      <c r="A986" t="s">
        <v>15</v>
      </c>
      <c r="B986">
        <v>2013</v>
      </c>
      <c r="C986" t="str">
        <f>_xlfn.CONCAT(Table16[[#This Row],[STATE]],"-",Table16[[#This Row],[YEAR]])</f>
        <v>Jammu &amp; Kashmir-2013</v>
      </c>
      <c r="D986" t="s">
        <v>448</v>
      </c>
      <c r="E986">
        <v>9</v>
      </c>
    </row>
    <row r="987" spans="1:5" x14ac:dyDescent="0.3">
      <c r="A987" t="s">
        <v>15</v>
      </c>
      <c r="B987">
        <v>2013</v>
      </c>
      <c r="C987" t="str">
        <f>_xlfn.CONCAT(Table16[[#This Row],[STATE]],"-",Table16[[#This Row],[YEAR]])</f>
        <v>Jammu &amp; Kashmir-2013</v>
      </c>
      <c r="D987" t="s">
        <v>185</v>
      </c>
      <c r="E987">
        <v>64</v>
      </c>
    </row>
    <row r="988" spans="1:5" x14ac:dyDescent="0.3">
      <c r="A988" t="s">
        <v>15</v>
      </c>
      <c r="B988">
        <v>2013</v>
      </c>
      <c r="C988" t="str">
        <f>_xlfn.CONCAT(Table16[[#This Row],[STATE]],"-",Table16[[#This Row],[YEAR]])</f>
        <v>Jammu &amp; Kashmir-2013</v>
      </c>
      <c r="D988" t="s">
        <v>449</v>
      </c>
      <c r="E988">
        <v>21</v>
      </c>
    </row>
    <row r="989" spans="1:5" x14ac:dyDescent="0.3">
      <c r="A989" t="s">
        <v>15</v>
      </c>
      <c r="B989">
        <v>2013</v>
      </c>
      <c r="C989" t="str">
        <f>_xlfn.CONCAT(Table16[[#This Row],[STATE]],"-",Table16[[#This Row],[YEAR]])</f>
        <v>Jammu &amp; Kashmir-2013</v>
      </c>
      <c r="D989" t="s">
        <v>450</v>
      </c>
      <c r="E989">
        <v>24</v>
      </c>
    </row>
    <row r="990" spans="1:5" x14ac:dyDescent="0.3">
      <c r="A990" t="s">
        <v>15</v>
      </c>
      <c r="B990">
        <v>2013</v>
      </c>
      <c r="C990" t="str">
        <f>_xlfn.CONCAT(Table16[[#This Row],[STATE]],"-",Table16[[#This Row],[YEAR]])</f>
        <v>Jammu &amp; Kashmir-2013</v>
      </c>
      <c r="D990" t="s">
        <v>451</v>
      </c>
      <c r="E990">
        <v>27</v>
      </c>
    </row>
    <row r="991" spans="1:5" x14ac:dyDescent="0.3">
      <c r="A991" t="s">
        <v>15</v>
      </c>
      <c r="B991">
        <v>2013</v>
      </c>
      <c r="C991" t="str">
        <f>_xlfn.CONCAT(Table16[[#This Row],[STATE]],"-",Table16[[#This Row],[YEAR]])</f>
        <v>Jammu &amp; Kashmir-2013</v>
      </c>
      <c r="D991" t="s">
        <v>452</v>
      </c>
      <c r="E991">
        <v>13</v>
      </c>
    </row>
    <row r="992" spans="1:5" x14ac:dyDescent="0.3">
      <c r="A992" t="s">
        <v>15</v>
      </c>
      <c r="B992">
        <v>2013</v>
      </c>
      <c r="C992" t="str">
        <f>_xlfn.CONCAT(Table16[[#This Row],[STATE]],"-",Table16[[#This Row],[YEAR]])</f>
        <v>Jammu &amp; Kashmir-2013</v>
      </c>
      <c r="D992" t="s">
        <v>453</v>
      </c>
      <c r="E992">
        <v>14</v>
      </c>
    </row>
    <row r="993" spans="1:5" x14ac:dyDescent="0.3">
      <c r="A993" t="s">
        <v>15</v>
      </c>
      <c r="B993">
        <v>2013</v>
      </c>
      <c r="C993" t="str">
        <f>_xlfn.CONCAT(Table16[[#This Row],[STATE]],"-",Table16[[#This Row],[YEAR]])</f>
        <v>Jammu &amp; Kashmir-2013</v>
      </c>
      <c r="D993" t="s">
        <v>454</v>
      </c>
      <c r="E993">
        <v>1</v>
      </c>
    </row>
    <row r="994" spans="1:5" x14ac:dyDescent="0.3">
      <c r="A994" t="s">
        <v>15</v>
      </c>
      <c r="B994">
        <v>2013</v>
      </c>
      <c r="C994" t="str">
        <f>_xlfn.CONCAT(Table16[[#This Row],[STATE]],"-",Table16[[#This Row],[YEAR]])</f>
        <v>Jammu &amp; Kashmir-2013</v>
      </c>
      <c r="D994" t="s">
        <v>455</v>
      </c>
      <c r="E994">
        <v>15</v>
      </c>
    </row>
    <row r="995" spans="1:5" x14ac:dyDescent="0.3">
      <c r="A995" t="s">
        <v>15</v>
      </c>
      <c r="B995">
        <v>2013</v>
      </c>
      <c r="C995" t="str">
        <f>_xlfn.CONCAT(Table16[[#This Row],[STATE]],"-",Table16[[#This Row],[YEAR]])</f>
        <v>Jammu &amp; Kashmir-2013</v>
      </c>
      <c r="D995" t="s">
        <v>456</v>
      </c>
      <c r="E995">
        <v>2</v>
      </c>
    </row>
    <row r="996" spans="1:5" x14ac:dyDescent="0.3">
      <c r="A996" t="s">
        <v>15</v>
      </c>
      <c r="B996">
        <v>2013</v>
      </c>
      <c r="C996" t="str">
        <f>_xlfn.CONCAT(Table16[[#This Row],[STATE]],"-",Table16[[#This Row],[YEAR]])</f>
        <v>Jammu &amp; Kashmir-2013</v>
      </c>
      <c r="D996" t="s">
        <v>457</v>
      </c>
      <c r="E996">
        <v>20</v>
      </c>
    </row>
    <row r="997" spans="1:5" x14ac:dyDescent="0.3">
      <c r="A997" t="s">
        <v>15</v>
      </c>
      <c r="B997">
        <v>2013</v>
      </c>
      <c r="C997" t="str">
        <f>_xlfn.CONCAT(Table16[[#This Row],[STATE]],"-",Table16[[#This Row],[YEAR]])</f>
        <v>Jammu &amp; Kashmir-2013</v>
      </c>
      <c r="D997" t="s">
        <v>458</v>
      </c>
      <c r="E997">
        <v>3</v>
      </c>
    </row>
    <row r="998" spans="1:5" x14ac:dyDescent="0.3">
      <c r="A998" t="s">
        <v>15</v>
      </c>
      <c r="B998">
        <v>2013</v>
      </c>
      <c r="C998" t="str">
        <f>_xlfn.CONCAT(Table16[[#This Row],[STATE]],"-",Table16[[#This Row],[YEAR]])</f>
        <v>Jammu &amp; Kashmir-2013</v>
      </c>
      <c r="D998" t="s">
        <v>143</v>
      </c>
      <c r="E998">
        <v>12</v>
      </c>
    </row>
    <row r="999" spans="1:5" x14ac:dyDescent="0.3">
      <c r="A999" t="s">
        <v>15</v>
      </c>
      <c r="B999">
        <v>2013</v>
      </c>
      <c r="C999" t="str">
        <f>_xlfn.CONCAT(Table16[[#This Row],[STATE]],"-",Table16[[#This Row],[YEAR]])</f>
        <v>Jammu &amp; Kashmir-2013</v>
      </c>
      <c r="D999" t="s">
        <v>459</v>
      </c>
      <c r="E999">
        <v>25</v>
      </c>
    </row>
    <row r="1000" spans="1:5" x14ac:dyDescent="0.3">
      <c r="A1000" t="s">
        <v>15</v>
      </c>
      <c r="B1000">
        <v>2013</v>
      </c>
      <c r="C1000" t="str">
        <f>_xlfn.CONCAT(Table16[[#This Row],[STATE]],"-",Table16[[#This Row],[YEAR]])</f>
        <v>Jammu &amp; Kashmir-2013</v>
      </c>
      <c r="D1000" t="s">
        <v>460</v>
      </c>
      <c r="E1000">
        <v>38</v>
      </c>
    </row>
    <row r="1001" spans="1:5" x14ac:dyDescent="0.3">
      <c r="A1001" t="s">
        <v>15</v>
      </c>
      <c r="B1001">
        <v>2013</v>
      </c>
      <c r="C1001" t="str">
        <f>_xlfn.CONCAT(Table16[[#This Row],[STATE]],"-",Table16[[#This Row],[YEAR]])</f>
        <v>Jammu &amp; Kashmir-2013</v>
      </c>
      <c r="D1001" t="s">
        <v>458</v>
      </c>
      <c r="E1001">
        <v>17</v>
      </c>
    </row>
    <row r="1002" spans="1:5" x14ac:dyDescent="0.3">
      <c r="A1002" t="s">
        <v>15</v>
      </c>
      <c r="B1002">
        <v>2013</v>
      </c>
      <c r="C1002" t="str">
        <f>_xlfn.CONCAT(Table16[[#This Row],[STATE]],"-",Table16[[#This Row],[YEAR]])</f>
        <v>Jammu &amp; Kashmir-2013</v>
      </c>
      <c r="D1002" t="s">
        <v>461</v>
      </c>
      <c r="E1002">
        <v>7</v>
      </c>
    </row>
    <row r="1003" spans="1:5" x14ac:dyDescent="0.3">
      <c r="A1003" t="s">
        <v>15</v>
      </c>
      <c r="B1003">
        <v>2013</v>
      </c>
      <c r="C1003" t="str">
        <f>_xlfn.CONCAT(Table16[[#This Row],[STATE]],"-",Table16[[#This Row],[YEAR]])</f>
        <v>Jammu &amp; Kashmir-2013</v>
      </c>
      <c r="D1003" t="s">
        <v>143</v>
      </c>
      <c r="E1003">
        <v>9</v>
      </c>
    </row>
    <row r="1004" spans="1:5" x14ac:dyDescent="0.3">
      <c r="A1004" t="s">
        <v>15</v>
      </c>
      <c r="B1004">
        <v>2012</v>
      </c>
      <c r="C1004" t="str">
        <f>_xlfn.CONCAT(Table16[[#This Row],[STATE]],"-",Table16[[#This Row],[YEAR]])</f>
        <v>Jammu &amp; Kashmir-2012</v>
      </c>
      <c r="D1004" t="s">
        <v>369</v>
      </c>
      <c r="E1004">
        <v>40</v>
      </c>
    </row>
    <row r="1005" spans="1:5" x14ac:dyDescent="0.3">
      <c r="A1005" t="s">
        <v>15</v>
      </c>
      <c r="B1005">
        <v>2012</v>
      </c>
      <c r="C1005" t="str">
        <f>_xlfn.CONCAT(Table16[[#This Row],[STATE]],"-",Table16[[#This Row],[YEAR]])</f>
        <v>Jammu &amp; Kashmir-2012</v>
      </c>
      <c r="D1005" t="s">
        <v>374</v>
      </c>
      <c r="E1005">
        <v>87</v>
      </c>
    </row>
    <row r="1006" spans="1:5" x14ac:dyDescent="0.3">
      <c r="A1006" t="s">
        <v>15</v>
      </c>
      <c r="B1006">
        <v>2012</v>
      </c>
      <c r="C1006" t="str">
        <f>_xlfn.CONCAT(Table16[[#This Row],[STATE]],"-",Table16[[#This Row],[YEAR]])</f>
        <v>Jammu &amp; Kashmir-2012</v>
      </c>
      <c r="D1006" t="s">
        <v>462</v>
      </c>
      <c r="E1006">
        <v>92</v>
      </c>
    </row>
    <row r="1007" spans="1:5" x14ac:dyDescent="0.3">
      <c r="A1007" t="s">
        <v>15</v>
      </c>
      <c r="B1007">
        <v>2012</v>
      </c>
      <c r="C1007" t="str">
        <f>_xlfn.CONCAT(Table16[[#This Row],[STATE]],"-",Table16[[#This Row],[YEAR]])</f>
        <v>Jammu &amp; Kashmir-2012</v>
      </c>
      <c r="D1007" t="s">
        <v>185</v>
      </c>
      <c r="E1007">
        <v>69</v>
      </c>
    </row>
    <row r="1008" spans="1:5" x14ac:dyDescent="0.3">
      <c r="A1008" t="s">
        <v>15</v>
      </c>
      <c r="B1008">
        <v>2012</v>
      </c>
      <c r="C1008" t="str">
        <f>_xlfn.CONCAT(Table16[[#This Row],[STATE]],"-",Table16[[#This Row],[YEAR]])</f>
        <v>Jammu &amp; Kashmir-2012</v>
      </c>
      <c r="D1008" t="s">
        <v>463</v>
      </c>
      <c r="E1008">
        <v>17</v>
      </c>
    </row>
    <row r="1009" spans="1:5" x14ac:dyDescent="0.3">
      <c r="A1009" t="s">
        <v>15</v>
      </c>
      <c r="B1009">
        <v>2012</v>
      </c>
      <c r="C1009" t="str">
        <f>_xlfn.CONCAT(Table16[[#This Row],[STATE]],"-",Table16[[#This Row],[YEAR]])</f>
        <v>Jammu &amp; Kashmir-2012</v>
      </c>
      <c r="D1009" t="s">
        <v>464</v>
      </c>
      <c r="E1009">
        <v>19</v>
      </c>
    </row>
    <row r="1010" spans="1:5" x14ac:dyDescent="0.3">
      <c r="A1010" t="s">
        <v>15</v>
      </c>
      <c r="B1010">
        <v>2012</v>
      </c>
      <c r="C1010" t="str">
        <f>_xlfn.CONCAT(Table16[[#This Row],[STATE]],"-",Table16[[#This Row],[YEAR]])</f>
        <v>Jammu &amp; Kashmir-2012</v>
      </c>
      <c r="D1010" t="s">
        <v>465</v>
      </c>
      <c r="E1010">
        <v>6</v>
      </c>
    </row>
    <row r="1011" spans="1:5" x14ac:dyDescent="0.3">
      <c r="A1011" t="s">
        <v>15</v>
      </c>
      <c r="B1011">
        <v>2012</v>
      </c>
      <c r="C1011" t="str">
        <f>_xlfn.CONCAT(Table16[[#This Row],[STATE]],"-",Table16[[#This Row],[YEAR]])</f>
        <v>Jammu &amp; Kashmir-2012</v>
      </c>
      <c r="D1011" t="s">
        <v>466</v>
      </c>
      <c r="E1011">
        <v>22</v>
      </c>
    </row>
    <row r="1012" spans="1:5" x14ac:dyDescent="0.3">
      <c r="A1012" t="s">
        <v>15</v>
      </c>
      <c r="B1012">
        <v>2012</v>
      </c>
      <c r="C1012" t="str">
        <f>_xlfn.CONCAT(Table16[[#This Row],[STATE]],"-",Table16[[#This Row],[YEAR]])</f>
        <v>Jammu &amp; Kashmir-2012</v>
      </c>
      <c r="D1012" t="s">
        <v>221</v>
      </c>
      <c r="E1012">
        <v>3</v>
      </c>
    </row>
    <row r="1013" spans="1:5" x14ac:dyDescent="0.3">
      <c r="A1013" t="s">
        <v>15</v>
      </c>
      <c r="B1013">
        <v>2012</v>
      </c>
      <c r="C1013" t="str">
        <f>_xlfn.CONCAT(Table16[[#This Row],[STATE]],"-",Table16[[#This Row],[YEAR]])</f>
        <v>Jammu &amp; Kashmir-2012</v>
      </c>
      <c r="D1013" t="s">
        <v>467</v>
      </c>
      <c r="E1013">
        <v>20</v>
      </c>
    </row>
    <row r="1014" spans="1:5" x14ac:dyDescent="0.3">
      <c r="A1014" t="s">
        <v>15</v>
      </c>
      <c r="B1014">
        <v>2012</v>
      </c>
      <c r="C1014" t="str">
        <f>_xlfn.CONCAT(Table16[[#This Row],[STATE]],"-",Table16[[#This Row],[YEAR]])</f>
        <v>Jammu &amp; Kashmir-2012</v>
      </c>
      <c r="D1014" t="s">
        <v>468</v>
      </c>
      <c r="E1014">
        <v>8</v>
      </c>
    </row>
    <row r="1015" spans="1:5" x14ac:dyDescent="0.3">
      <c r="A1015" t="s">
        <v>15</v>
      </c>
      <c r="B1015">
        <v>2012</v>
      </c>
      <c r="C1015" t="str">
        <f>_xlfn.CONCAT(Table16[[#This Row],[STATE]],"-",Table16[[#This Row],[YEAR]])</f>
        <v>Jammu &amp; Kashmir-2012</v>
      </c>
      <c r="D1015" t="s">
        <v>469</v>
      </c>
      <c r="E1015">
        <v>8</v>
      </c>
    </row>
    <row r="1016" spans="1:5" x14ac:dyDescent="0.3">
      <c r="A1016" t="s">
        <v>15</v>
      </c>
      <c r="B1016">
        <v>2012</v>
      </c>
      <c r="C1016" t="str">
        <f>_xlfn.CONCAT(Table16[[#This Row],[STATE]],"-",Table16[[#This Row],[YEAR]])</f>
        <v>Jammu &amp; Kashmir-2012</v>
      </c>
      <c r="D1016" t="s">
        <v>470</v>
      </c>
      <c r="E1016">
        <v>25</v>
      </c>
    </row>
    <row r="1017" spans="1:5" x14ac:dyDescent="0.3">
      <c r="A1017" t="s">
        <v>15</v>
      </c>
      <c r="B1017">
        <v>2012</v>
      </c>
      <c r="C1017" t="str">
        <f>_xlfn.CONCAT(Table16[[#This Row],[STATE]],"-",Table16[[#This Row],[YEAR]])</f>
        <v>Jammu &amp; Kashmir-2012</v>
      </c>
      <c r="D1017" t="s">
        <v>110</v>
      </c>
      <c r="E1017">
        <v>20</v>
      </c>
    </row>
    <row r="1018" spans="1:5" x14ac:dyDescent="0.3">
      <c r="A1018" t="s">
        <v>15</v>
      </c>
      <c r="B1018">
        <v>2012</v>
      </c>
      <c r="C1018" t="str">
        <f>_xlfn.CONCAT(Table16[[#This Row],[STATE]],"-",Table16[[#This Row],[YEAR]])</f>
        <v>Jammu &amp; Kashmir-2012</v>
      </c>
      <c r="D1018" t="s">
        <v>143</v>
      </c>
      <c r="E1018">
        <v>20</v>
      </c>
    </row>
    <row r="1019" spans="1:5" x14ac:dyDescent="0.3">
      <c r="A1019" t="s">
        <v>15</v>
      </c>
      <c r="B1019">
        <v>2012</v>
      </c>
      <c r="C1019" t="str">
        <f>_xlfn.CONCAT(Table16[[#This Row],[STATE]],"-",Table16[[#This Row],[YEAR]])</f>
        <v>Jammu &amp; Kashmir-2012</v>
      </c>
      <c r="D1019" t="s">
        <v>471</v>
      </c>
      <c r="E1019">
        <v>5</v>
      </c>
    </row>
    <row r="1020" spans="1:5" x14ac:dyDescent="0.3">
      <c r="A1020" t="s">
        <v>15</v>
      </c>
      <c r="B1020">
        <v>2012</v>
      </c>
      <c r="C1020" t="str">
        <f>_xlfn.CONCAT(Table16[[#This Row],[STATE]],"-",Table16[[#This Row],[YEAR]])</f>
        <v>Jammu &amp; Kashmir-2012</v>
      </c>
      <c r="D1020" t="s">
        <v>186</v>
      </c>
      <c r="E1020">
        <v>29</v>
      </c>
    </row>
    <row r="1021" spans="1:5" x14ac:dyDescent="0.3">
      <c r="A1021" t="s">
        <v>15</v>
      </c>
      <c r="B1021">
        <v>2012</v>
      </c>
      <c r="C1021" t="str">
        <f>_xlfn.CONCAT(Table16[[#This Row],[STATE]],"-",Table16[[#This Row],[YEAR]])</f>
        <v>Jammu &amp; Kashmir-2012</v>
      </c>
      <c r="D1021" t="s">
        <v>170</v>
      </c>
      <c r="E1021">
        <v>27</v>
      </c>
    </row>
    <row r="1022" spans="1:5" x14ac:dyDescent="0.3">
      <c r="A1022" t="s">
        <v>15</v>
      </c>
      <c r="B1022">
        <v>2011</v>
      </c>
      <c r="C1022" t="str">
        <f>_xlfn.CONCAT(Table16[[#This Row],[STATE]],"-",Table16[[#This Row],[YEAR]])</f>
        <v>Jammu &amp; Kashmir-2011</v>
      </c>
      <c r="D1022" t="s">
        <v>472</v>
      </c>
      <c r="E1022">
        <v>31</v>
      </c>
    </row>
    <row r="1023" spans="1:5" x14ac:dyDescent="0.3">
      <c r="A1023" t="s">
        <v>15</v>
      </c>
      <c r="B1023">
        <v>2011</v>
      </c>
      <c r="C1023" t="str">
        <f>_xlfn.CONCAT(Table16[[#This Row],[STATE]],"-",Table16[[#This Row],[YEAR]])</f>
        <v>Jammu &amp; Kashmir-2011</v>
      </c>
      <c r="D1023" t="s">
        <v>369</v>
      </c>
      <c r="E1023">
        <v>6</v>
      </c>
    </row>
    <row r="1024" spans="1:5" x14ac:dyDescent="0.3">
      <c r="A1024" t="s">
        <v>15</v>
      </c>
      <c r="B1024">
        <v>2011</v>
      </c>
      <c r="C1024" t="str">
        <f>_xlfn.CONCAT(Table16[[#This Row],[STATE]],"-",Table16[[#This Row],[YEAR]])</f>
        <v>Jammu &amp; Kashmir-2011</v>
      </c>
      <c r="D1024" t="s">
        <v>103</v>
      </c>
      <c r="E1024">
        <v>10</v>
      </c>
    </row>
    <row r="1025" spans="1:5" x14ac:dyDescent="0.3">
      <c r="A1025" t="s">
        <v>15</v>
      </c>
      <c r="B1025">
        <v>2011</v>
      </c>
      <c r="C1025" t="str">
        <f>_xlfn.CONCAT(Table16[[#This Row],[STATE]],"-",Table16[[#This Row],[YEAR]])</f>
        <v>Jammu &amp; Kashmir-2011</v>
      </c>
      <c r="D1025" t="s">
        <v>473</v>
      </c>
      <c r="E1025">
        <v>86</v>
      </c>
    </row>
    <row r="1026" spans="1:5" x14ac:dyDescent="0.3">
      <c r="A1026" t="s">
        <v>15</v>
      </c>
      <c r="B1026">
        <v>2011</v>
      </c>
      <c r="C1026" t="str">
        <f>_xlfn.CONCAT(Table16[[#This Row],[STATE]],"-",Table16[[#This Row],[YEAR]])</f>
        <v>Jammu &amp; Kashmir-2011</v>
      </c>
      <c r="D1026" t="s">
        <v>474</v>
      </c>
      <c r="E1026">
        <v>2</v>
      </c>
    </row>
    <row r="1027" spans="1:5" x14ac:dyDescent="0.3">
      <c r="A1027" t="s">
        <v>15</v>
      </c>
      <c r="B1027">
        <v>2011</v>
      </c>
      <c r="C1027" t="str">
        <f>_xlfn.CONCAT(Table16[[#This Row],[STATE]],"-",Table16[[#This Row],[YEAR]])</f>
        <v>Jammu &amp; Kashmir-2011</v>
      </c>
      <c r="D1027" t="s">
        <v>173</v>
      </c>
      <c r="E1027">
        <v>36</v>
      </c>
    </row>
    <row r="1028" spans="1:5" x14ac:dyDescent="0.3">
      <c r="A1028" t="s">
        <v>15</v>
      </c>
      <c r="B1028">
        <v>2011</v>
      </c>
      <c r="C1028" t="str">
        <f>_xlfn.CONCAT(Table16[[#This Row],[STATE]],"-",Table16[[#This Row],[YEAR]])</f>
        <v>Jammu &amp; Kashmir-2011</v>
      </c>
      <c r="D1028" t="s">
        <v>475</v>
      </c>
      <c r="E1028">
        <v>26</v>
      </c>
    </row>
    <row r="1029" spans="1:5" x14ac:dyDescent="0.3">
      <c r="A1029" t="s">
        <v>15</v>
      </c>
      <c r="B1029">
        <v>2011</v>
      </c>
      <c r="C1029" t="str">
        <f>_xlfn.CONCAT(Table16[[#This Row],[STATE]],"-",Table16[[#This Row],[YEAR]])</f>
        <v>Jammu &amp; Kashmir-2011</v>
      </c>
      <c r="D1029" t="s">
        <v>110</v>
      </c>
      <c r="E1029">
        <v>3</v>
      </c>
    </row>
    <row r="1030" spans="1:5" x14ac:dyDescent="0.3">
      <c r="A1030" t="s">
        <v>15</v>
      </c>
      <c r="B1030">
        <v>2011</v>
      </c>
      <c r="C1030" t="str">
        <f>_xlfn.CONCAT(Table16[[#This Row],[STATE]],"-",Table16[[#This Row],[YEAR]])</f>
        <v>Jammu &amp; Kashmir-2011</v>
      </c>
      <c r="D1030" t="s">
        <v>162</v>
      </c>
      <c r="E1030">
        <v>16</v>
      </c>
    </row>
    <row r="1031" spans="1:5" x14ac:dyDescent="0.3">
      <c r="A1031" t="s">
        <v>15</v>
      </c>
      <c r="B1031">
        <v>2011</v>
      </c>
      <c r="C1031" t="str">
        <f>_xlfn.CONCAT(Table16[[#This Row],[STATE]],"-",Table16[[#This Row],[YEAR]])</f>
        <v>Jammu &amp; Kashmir-2011</v>
      </c>
      <c r="D1031" t="s">
        <v>185</v>
      </c>
      <c r="E1031">
        <v>185</v>
      </c>
    </row>
    <row r="1032" spans="1:5" x14ac:dyDescent="0.3">
      <c r="A1032" t="s">
        <v>15</v>
      </c>
      <c r="B1032">
        <v>2010</v>
      </c>
      <c r="C1032" t="str">
        <f>_xlfn.CONCAT(Table16[[#This Row],[STATE]],"-",Table16[[#This Row],[YEAR]])</f>
        <v>Jammu &amp; Kashmir-2010</v>
      </c>
      <c r="D1032" t="s">
        <v>476</v>
      </c>
      <c r="E1032">
        <v>27</v>
      </c>
    </row>
    <row r="1033" spans="1:5" x14ac:dyDescent="0.3">
      <c r="A1033" t="s">
        <v>15</v>
      </c>
      <c r="B1033">
        <v>2010</v>
      </c>
      <c r="C1033" t="str">
        <f>_xlfn.CONCAT(Table16[[#This Row],[STATE]],"-",Table16[[#This Row],[YEAR]])</f>
        <v>Jammu &amp; Kashmir-2010</v>
      </c>
      <c r="D1033" t="s">
        <v>110</v>
      </c>
      <c r="E1033">
        <v>54</v>
      </c>
    </row>
    <row r="1034" spans="1:5" x14ac:dyDescent="0.3">
      <c r="A1034" t="s">
        <v>15</v>
      </c>
      <c r="B1034">
        <v>2010</v>
      </c>
      <c r="C1034" t="str">
        <f>_xlfn.CONCAT(Table16[[#This Row],[STATE]],"-",Table16[[#This Row],[YEAR]])</f>
        <v>Jammu &amp; Kashmir-2010</v>
      </c>
      <c r="D1034" t="s">
        <v>140</v>
      </c>
      <c r="E1034">
        <v>8</v>
      </c>
    </row>
    <row r="1035" spans="1:5" x14ac:dyDescent="0.3">
      <c r="A1035" t="s">
        <v>15</v>
      </c>
      <c r="B1035">
        <v>2010</v>
      </c>
      <c r="C1035" t="str">
        <f>_xlfn.CONCAT(Table16[[#This Row],[STATE]],"-",Table16[[#This Row],[YEAR]])</f>
        <v>Jammu &amp; Kashmir-2010</v>
      </c>
      <c r="D1035" t="s">
        <v>477</v>
      </c>
      <c r="E1035">
        <v>4</v>
      </c>
    </row>
    <row r="1036" spans="1:5" x14ac:dyDescent="0.3">
      <c r="A1036" t="s">
        <v>15</v>
      </c>
      <c r="B1036">
        <v>2010</v>
      </c>
      <c r="C1036" t="str">
        <f>_xlfn.CONCAT(Table16[[#This Row],[STATE]],"-",Table16[[#This Row],[YEAR]])</f>
        <v>Jammu &amp; Kashmir-2010</v>
      </c>
      <c r="D1036" t="s">
        <v>478</v>
      </c>
      <c r="E1036">
        <v>11</v>
      </c>
    </row>
    <row r="1037" spans="1:5" x14ac:dyDescent="0.3">
      <c r="A1037" t="s">
        <v>15</v>
      </c>
      <c r="B1037">
        <v>2010</v>
      </c>
      <c r="C1037" t="str">
        <f>_xlfn.CONCAT(Table16[[#This Row],[STATE]],"-",Table16[[#This Row],[YEAR]])</f>
        <v>Jammu &amp; Kashmir-2010</v>
      </c>
      <c r="D1037" t="s">
        <v>186</v>
      </c>
      <c r="E1037">
        <v>107</v>
      </c>
    </row>
    <row r="1038" spans="1:5" x14ac:dyDescent="0.3">
      <c r="A1038" t="s">
        <v>15</v>
      </c>
      <c r="B1038">
        <v>2010</v>
      </c>
      <c r="C1038" t="str">
        <f>_xlfn.CONCAT(Table16[[#This Row],[STATE]],"-",Table16[[#This Row],[YEAR]])</f>
        <v>Jammu &amp; Kashmir-2010</v>
      </c>
      <c r="D1038" t="s">
        <v>103</v>
      </c>
      <c r="E1038">
        <v>44</v>
      </c>
    </row>
    <row r="1039" spans="1:5" x14ac:dyDescent="0.3">
      <c r="A1039" t="s">
        <v>15</v>
      </c>
      <c r="B1039">
        <v>2010</v>
      </c>
      <c r="C1039" t="str">
        <f>_xlfn.CONCAT(Table16[[#This Row],[STATE]],"-",Table16[[#This Row],[YEAR]])</f>
        <v>Jammu &amp; Kashmir-2010</v>
      </c>
      <c r="D1039" t="s">
        <v>143</v>
      </c>
      <c r="E1039">
        <v>6</v>
      </c>
    </row>
    <row r="1040" spans="1:5" x14ac:dyDescent="0.3">
      <c r="A1040" t="s">
        <v>15</v>
      </c>
      <c r="B1040">
        <v>2010</v>
      </c>
      <c r="C1040" t="str">
        <f>_xlfn.CONCAT(Table16[[#This Row],[STATE]],"-",Table16[[#This Row],[YEAR]])</f>
        <v>Jammu &amp; Kashmir-2010</v>
      </c>
      <c r="D1040" t="s">
        <v>163</v>
      </c>
      <c r="E1040">
        <v>4</v>
      </c>
    </row>
    <row r="1041" spans="1:5" x14ac:dyDescent="0.3">
      <c r="A1041" t="s">
        <v>15</v>
      </c>
      <c r="B1041">
        <v>2010</v>
      </c>
      <c r="C1041" t="str">
        <f>_xlfn.CONCAT(Table16[[#This Row],[STATE]],"-",Table16[[#This Row],[YEAR]])</f>
        <v>Jammu &amp; Kashmir-2010</v>
      </c>
      <c r="D1041" t="s">
        <v>170</v>
      </c>
      <c r="E1041">
        <v>30</v>
      </c>
    </row>
    <row r="1042" spans="1:5" x14ac:dyDescent="0.3">
      <c r="A1042" t="s">
        <v>15</v>
      </c>
      <c r="B1042">
        <v>2010</v>
      </c>
      <c r="C1042" t="str">
        <f>_xlfn.CONCAT(Table16[[#This Row],[STATE]],"-",Table16[[#This Row],[YEAR]])</f>
        <v>Jammu &amp; Kashmir-2010</v>
      </c>
      <c r="D1042" t="s">
        <v>479</v>
      </c>
      <c r="E1042">
        <v>109</v>
      </c>
    </row>
    <row r="1043" spans="1:5" x14ac:dyDescent="0.3">
      <c r="A1043" t="s">
        <v>15</v>
      </c>
      <c r="B1043">
        <v>2009</v>
      </c>
      <c r="C1043" t="str">
        <f>_xlfn.CONCAT(Table16[[#This Row],[STATE]],"-",Table16[[#This Row],[YEAR]])</f>
        <v>Jammu &amp; Kashmir-2009</v>
      </c>
      <c r="D1043" t="s">
        <v>480</v>
      </c>
      <c r="E1043">
        <v>6</v>
      </c>
    </row>
    <row r="1044" spans="1:5" x14ac:dyDescent="0.3">
      <c r="A1044" t="s">
        <v>15</v>
      </c>
      <c r="B1044">
        <v>2009</v>
      </c>
      <c r="C1044" t="str">
        <f>_xlfn.CONCAT(Table16[[#This Row],[STATE]],"-",Table16[[#This Row],[YEAR]])</f>
        <v>Jammu &amp; Kashmir-2009</v>
      </c>
      <c r="D1044" t="s">
        <v>110</v>
      </c>
      <c r="E1044">
        <v>20</v>
      </c>
    </row>
    <row r="1045" spans="1:5" x14ac:dyDescent="0.3">
      <c r="A1045" t="s">
        <v>15</v>
      </c>
      <c r="B1045">
        <v>2009</v>
      </c>
      <c r="C1045" t="str">
        <f>_xlfn.CONCAT(Table16[[#This Row],[STATE]],"-",Table16[[#This Row],[YEAR]])</f>
        <v>Jammu &amp; Kashmir-2009</v>
      </c>
      <c r="D1045" t="s">
        <v>140</v>
      </c>
      <c r="E1045">
        <v>78</v>
      </c>
    </row>
    <row r="1046" spans="1:5" x14ac:dyDescent="0.3">
      <c r="A1046" t="s">
        <v>15</v>
      </c>
      <c r="B1046">
        <v>2009</v>
      </c>
      <c r="C1046" t="str">
        <f>_xlfn.CONCAT(Table16[[#This Row],[STATE]],"-",Table16[[#This Row],[YEAR]])</f>
        <v>Jammu &amp; Kashmir-2009</v>
      </c>
      <c r="D1046" t="s">
        <v>477</v>
      </c>
      <c r="E1046">
        <v>16</v>
      </c>
    </row>
    <row r="1047" spans="1:5" x14ac:dyDescent="0.3">
      <c r="A1047" t="s">
        <v>15</v>
      </c>
      <c r="B1047">
        <v>2009</v>
      </c>
      <c r="C1047" t="str">
        <f>_xlfn.CONCAT(Table16[[#This Row],[STATE]],"-",Table16[[#This Row],[YEAR]])</f>
        <v>Jammu &amp; Kashmir-2009</v>
      </c>
      <c r="D1047" t="s">
        <v>481</v>
      </c>
      <c r="E1047">
        <v>450</v>
      </c>
    </row>
    <row r="1048" spans="1:5" x14ac:dyDescent="0.3">
      <c r="A1048" t="s">
        <v>15</v>
      </c>
      <c r="B1048">
        <v>2009</v>
      </c>
      <c r="C1048" t="str">
        <f>_xlfn.CONCAT(Table16[[#This Row],[STATE]],"-",Table16[[#This Row],[YEAR]])</f>
        <v>Jammu &amp; Kashmir-2009</v>
      </c>
      <c r="D1048" t="s">
        <v>186</v>
      </c>
      <c r="E1048">
        <v>16</v>
      </c>
    </row>
    <row r="1049" spans="1:5" x14ac:dyDescent="0.3">
      <c r="A1049" t="s">
        <v>15</v>
      </c>
      <c r="B1049">
        <v>2009</v>
      </c>
      <c r="C1049" t="str">
        <f>_xlfn.CONCAT(Table16[[#This Row],[STATE]],"-",Table16[[#This Row],[YEAR]])</f>
        <v>Jammu &amp; Kashmir-2009</v>
      </c>
      <c r="D1049" t="s">
        <v>103</v>
      </c>
      <c r="E1049">
        <v>25</v>
      </c>
    </row>
    <row r="1050" spans="1:5" x14ac:dyDescent="0.3">
      <c r="A1050" t="s">
        <v>15</v>
      </c>
      <c r="B1050">
        <v>2009</v>
      </c>
      <c r="C1050" t="str">
        <f>_xlfn.CONCAT(Table16[[#This Row],[STATE]],"-",Table16[[#This Row],[YEAR]])</f>
        <v>Jammu &amp; Kashmir-2009</v>
      </c>
      <c r="D1050" t="s">
        <v>173</v>
      </c>
      <c r="E1050">
        <v>26</v>
      </c>
    </row>
    <row r="1051" spans="1:5" x14ac:dyDescent="0.3">
      <c r="A1051" t="s">
        <v>15</v>
      </c>
      <c r="B1051">
        <v>2008</v>
      </c>
      <c r="C1051" t="str">
        <f>_xlfn.CONCAT(Table16[[#This Row],[STATE]],"-",Table16[[#This Row],[YEAR]])</f>
        <v>Jammu &amp; Kashmir-2008</v>
      </c>
      <c r="D1051" t="s">
        <v>123</v>
      </c>
      <c r="E1051">
        <v>3</v>
      </c>
    </row>
    <row r="1052" spans="1:5" x14ac:dyDescent="0.3">
      <c r="A1052" t="s">
        <v>15</v>
      </c>
      <c r="B1052">
        <v>2008</v>
      </c>
      <c r="C1052" t="str">
        <f>_xlfn.CONCAT(Table16[[#This Row],[STATE]],"-",Table16[[#This Row],[YEAR]])</f>
        <v>Jammu &amp; Kashmir-2008</v>
      </c>
      <c r="D1052" t="s">
        <v>110</v>
      </c>
      <c r="E1052">
        <v>4</v>
      </c>
    </row>
    <row r="1053" spans="1:5" x14ac:dyDescent="0.3">
      <c r="A1053" t="s">
        <v>15</v>
      </c>
      <c r="B1053">
        <v>2008</v>
      </c>
      <c r="C1053" t="str">
        <f>_xlfn.CONCAT(Table16[[#This Row],[STATE]],"-",Table16[[#This Row],[YEAR]])</f>
        <v>Jammu &amp; Kashmir-2008</v>
      </c>
      <c r="D1053" t="s">
        <v>186</v>
      </c>
      <c r="E1053">
        <v>58</v>
      </c>
    </row>
    <row r="1054" spans="1:5" x14ac:dyDescent="0.3">
      <c r="A1054" t="s">
        <v>15</v>
      </c>
      <c r="B1054">
        <v>2008</v>
      </c>
      <c r="C1054" t="str">
        <f>_xlfn.CONCAT(Table16[[#This Row],[STATE]],"-",Table16[[#This Row],[YEAR]])</f>
        <v>Jammu &amp; Kashmir-2008</v>
      </c>
      <c r="D1054" t="s">
        <v>103</v>
      </c>
      <c r="E1054">
        <v>29</v>
      </c>
    </row>
    <row r="1055" spans="1:5" x14ac:dyDescent="0.3">
      <c r="A1055" t="s">
        <v>15</v>
      </c>
      <c r="B1055">
        <v>2008</v>
      </c>
      <c r="C1055" t="str">
        <f>_xlfn.CONCAT(Table16[[#This Row],[STATE]],"-",Table16[[#This Row],[YEAR]])</f>
        <v>Jammu &amp; Kashmir-2008</v>
      </c>
      <c r="D1055" t="s">
        <v>143</v>
      </c>
      <c r="E1055">
        <v>10</v>
      </c>
    </row>
    <row r="1056" spans="1:5" x14ac:dyDescent="0.3">
      <c r="A1056" t="s">
        <v>15</v>
      </c>
      <c r="B1056">
        <v>2007</v>
      </c>
      <c r="C1056" t="str">
        <f>_xlfn.CONCAT(Table16[[#This Row],[STATE]],"-",Table16[[#This Row],[YEAR]])</f>
        <v>Jammu &amp; Kashmir-2007</v>
      </c>
      <c r="D1056" t="s">
        <v>123</v>
      </c>
      <c r="E1056">
        <v>4</v>
      </c>
    </row>
    <row r="1057" spans="1:5" x14ac:dyDescent="0.3">
      <c r="A1057" t="s">
        <v>15</v>
      </c>
      <c r="B1057">
        <v>2007</v>
      </c>
      <c r="C1057" t="str">
        <f>_xlfn.CONCAT(Table16[[#This Row],[STATE]],"-",Table16[[#This Row],[YEAR]])</f>
        <v>Jammu &amp; Kashmir-2007</v>
      </c>
      <c r="D1057" t="s">
        <v>110</v>
      </c>
      <c r="E1057">
        <v>10</v>
      </c>
    </row>
    <row r="1058" spans="1:5" x14ac:dyDescent="0.3">
      <c r="A1058" t="s">
        <v>15</v>
      </c>
      <c r="B1058">
        <v>2007</v>
      </c>
      <c r="C1058" t="str">
        <f>_xlfn.CONCAT(Table16[[#This Row],[STATE]],"-",Table16[[#This Row],[YEAR]])</f>
        <v>Jammu &amp; Kashmir-2007</v>
      </c>
      <c r="D1058" t="s">
        <v>471</v>
      </c>
      <c r="E1058">
        <v>1</v>
      </c>
    </row>
    <row r="1059" spans="1:5" x14ac:dyDescent="0.3">
      <c r="A1059" t="s">
        <v>15</v>
      </c>
      <c r="B1059">
        <v>2007</v>
      </c>
      <c r="C1059" t="str">
        <f>_xlfn.CONCAT(Table16[[#This Row],[STATE]],"-",Table16[[#This Row],[YEAR]])</f>
        <v>Jammu &amp; Kashmir-2007</v>
      </c>
      <c r="D1059" t="s">
        <v>259</v>
      </c>
      <c r="E1059">
        <v>57</v>
      </c>
    </row>
    <row r="1060" spans="1:5" x14ac:dyDescent="0.3">
      <c r="A1060" t="s">
        <v>15</v>
      </c>
      <c r="B1060">
        <v>2007</v>
      </c>
      <c r="C1060" t="str">
        <f>_xlfn.CONCAT(Table16[[#This Row],[STATE]],"-",Table16[[#This Row],[YEAR]])</f>
        <v>Jammu &amp; Kashmir-2007</v>
      </c>
      <c r="D1060" t="s">
        <v>103</v>
      </c>
      <c r="E1060">
        <v>25</v>
      </c>
    </row>
    <row r="1061" spans="1:5" x14ac:dyDescent="0.3">
      <c r="A1061" t="s">
        <v>15</v>
      </c>
      <c r="B1061">
        <v>2006</v>
      </c>
      <c r="C1061" t="str">
        <f>_xlfn.CONCAT(Table16[[#This Row],[STATE]],"-",Table16[[#This Row],[YEAR]])</f>
        <v>Jammu &amp; Kashmir-2006</v>
      </c>
      <c r="D1061" t="s">
        <v>480</v>
      </c>
      <c r="E1061">
        <v>9</v>
      </c>
    </row>
    <row r="1062" spans="1:5" x14ac:dyDescent="0.3">
      <c r="A1062" t="s">
        <v>15</v>
      </c>
      <c r="B1062">
        <v>2006</v>
      </c>
      <c r="C1062" t="str">
        <f>_xlfn.CONCAT(Table16[[#This Row],[STATE]],"-",Table16[[#This Row],[YEAR]])</f>
        <v>Jammu &amp; Kashmir-2006</v>
      </c>
      <c r="D1062" t="s">
        <v>110</v>
      </c>
      <c r="E1062">
        <v>27</v>
      </c>
    </row>
    <row r="1063" spans="1:5" x14ac:dyDescent="0.3">
      <c r="A1063" t="s">
        <v>15</v>
      </c>
      <c r="B1063">
        <v>2006</v>
      </c>
      <c r="C1063" t="str">
        <f>_xlfn.CONCAT(Table16[[#This Row],[STATE]],"-",Table16[[#This Row],[YEAR]])</f>
        <v>Jammu &amp; Kashmir-2006</v>
      </c>
      <c r="D1063" t="s">
        <v>482</v>
      </c>
      <c r="E1063">
        <v>3</v>
      </c>
    </row>
    <row r="1064" spans="1:5" x14ac:dyDescent="0.3">
      <c r="A1064" t="s">
        <v>15</v>
      </c>
      <c r="B1064">
        <v>2006</v>
      </c>
      <c r="C1064" t="str">
        <f>_xlfn.CONCAT(Table16[[#This Row],[STATE]],"-",Table16[[#This Row],[YEAR]])</f>
        <v>Jammu &amp; Kashmir-2006</v>
      </c>
      <c r="D1064" t="s">
        <v>97</v>
      </c>
      <c r="E1064">
        <v>2</v>
      </c>
    </row>
    <row r="1065" spans="1:5" x14ac:dyDescent="0.3">
      <c r="A1065" t="s">
        <v>15</v>
      </c>
      <c r="B1065">
        <v>2006</v>
      </c>
      <c r="C1065" t="str">
        <f>_xlfn.CONCAT(Table16[[#This Row],[STATE]],"-",Table16[[#This Row],[YEAR]])</f>
        <v>Jammu &amp; Kashmir-2006</v>
      </c>
      <c r="D1065" t="s">
        <v>109</v>
      </c>
      <c r="E1065">
        <v>2</v>
      </c>
    </row>
    <row r="1066" spans="1:5" x14ac:dyDescent="0.3">
      <c r="A1066" t="s">
        <v>15</v>
      </c>
      <c r="B1066">
        <v>2006</v>
      </c>
      <c r="C1066" t="str">
        <f>_xlfn.CONCAT(Table16[[#This Row],[STATE]],"-",Table16[[#This Row],[YEAR]])</f>
        <v>Jammu &amp; Kashmir-2006</v>
      </c>
      <c r="D1066" t="s">
        <v>186</v>
      </c>
      <c r="E1066">
        <v>121</v>
      </c>
    </row>
    <row r="1067" spans="1:5" x14ac:dyDescent="0.3">
      <c r="A1067" t="s">
        <v>15</v>
      </c>
      <c r="B1067">
        <v>2006</v>
      </c>
      <c r="C1067" t="str">
        <f>_xlfn.CONCAT(Table16[[#This Row],[STATE]],"-",Table16[[#This Row],[YEAR]])</f>
        <v>Jammu &amp; Kashmir-2006</v>
      </c>
      <c r="D1067" t="s">
        <v>103</v>
      </c>
      <c r="E1067">
        <v>22</v>
      </c>
    </row>
    <row r="1068" spans="1:5" x14ac:dyDescent="0.3">
      <c r="A1068" t="s">
        <v>15</v>
      </c>
      <c r="B1068">
        <v>2006</v>
      </c>
      <c r="C1068" t="str">
        <f>_xlfn.CONCAT(Table16[[#This Row],[STATE]],"-",Table16[[#This Row],[YEAR]])</f>
        <v>Jammu &amp; Kashmir-2006</v>
      </c>
      <c r="D1068" t="s">
        <v>483</v>
      </c>
      <c r="E1068">
        <v>22</v>
      </c>
    </row>
    <row r="1069" spans="1:5" x14ac:dyDescent="0.3">
      <c r="A1069" t="s">
        <v>15</v>
      </c>
      <c r="B1069">
        <v>2006</v>
      </c>
      <c r="C1069" t="str">
        <f>_xlfn.CONCAT(Table16[[#This Row],[STATE]],"-",Table16[[#This Row],[YEAR]])</f>
        <v>Jammu &amp; Kashmir-2006</v>
      </c>
      <c r="D1069" t="s">
        <v>116</v>
      </c>
      <c r="E1069">
        <v>18</v>
      </c>
    </row>
    <row r="1070" spans="1:5" x14ac:dyDescent="0.3">
      <c r="A1070" t="s">
        <v>15</v>
      </c>
      <c r="B1070">
        <v>2005</v>
      </c>
      <c r="C1070" t="str">
        <f>_xlfn.CONCAT(Table16[[#This Row],[STATE]],"-",Table16[[#This Row],[YEAR]])</f>
        <v>Jammu &amp; Kashmir-2005</v>
      </c>
      <c r="D1070" t="s">
        <v>123</v>
      </c>
      <c r="E1070">
        <v>47</v>
      </c>
    </row>
    <row r="1071" spans="1:5" x14ac:dyDescent="0.3">
      <c r="A1071" t="s">
        <v>15</v>
      </c>
      <c r="B1071">
        <v>2005</v>
      </c>
      <c r="C1071" t="str">
        <f>_xlfn.CONCAT(Table16[[#This Row],[STATE]],"-",Table16[[#This Row],[YEAR]])</f>
        <v>Jammu &amp; Kashmir-2005</v>
      </c>
      <c r="D1071" t="s">
        <v>110</v>
      </c>
      <c r="E1071">
        <v>60</v>
      </c>
    </row>
    <row r="1072" spans="1:5" x14ac:dyDescent="0.3">
      <c r="A1072" t="s">
        <v>15</v>
      </c>
      <c r="B1072">
        <v>2005</v>
      </c>
      <c r="C1072" t="str">
        <f>_xlfn.CONCAT(Table16[[#This Row],[STATE]],"-",Table16[[#This Row],[YEAR]])</f>
        <v>Jammu &amp; Kashmir-2005</v>
      </c>
      <c r="D1072" t="s">
        <v>482</v>
      </c>
      <c r="E1072">
        <v>37</v>
      </c>
    </row>
    <row r="1073" spans="1:5" x14ac:dyDescent="0.3">
      <c r="A1073" t="s">
        <v>15</v>
      </c>
      <c r="B1073">
        <v>2005</v>
      </c>
      <c r="C1073" t="str">
        <f>_xlfn.CONCAT(Table16[[#This Row],[STATE]],"-",Table16[[#This Row],[YEAR]])</f>
        <v>Jammu &amp; Kashmir-2005</v>
      </c>
      <c r="D1073" t="s">
        <v>484</v>
      </c>
      <c r="E1073">
        <v>30</v>
      </c>
    </row>
    <row r="1074" spans="1:5" x14ac:dyDescent="0.3">
      <c r="A1074" t="s">
        <v>15</v>
      </c>
      <c r="B1074">
        <v>2005</v>
      </c>
      <c r="C1074" t="str">
        <f>_xlfn.CONCAT(Table16[[#This Row],[STATE]],"-",Table16[[#This Row],[YEAR]])</f>
        <v>Jammu &amp; Kashmir-2005</v>
      </c>
      <c r="D1074" t="s">
        <v>471</v>
      </c>
      <c r="E1074">
        <v>62</v>
      </c>
    </row>
    <row r="1075" spans="1:5" x14ac:dyDescent="0.3">
      <c r="A1075" t="s">
        <v>15</v>
      </c>
      <c r="B1075">
        <v>2005</v>
      </c>
      <c r="C1075" t="str">
        <f>_xlfn.CONCAT(Table16[[#This Row],[STATE]],"-",Table16[[#This Row],[YEAR]])</f>
        <v>Jammu &amp; Kashmir-2005</v>
      </c>
      <c r="D1075" t="s">
        <v>97</v>
      </c>
      <c r="E1075">
        <v>5</v>
      </c>
    </row>
    <row r="1076" spans="1:5" x14ac:dyDescent="0.3">
      <c r="A1076" t="s">
        <v>15</v>
      </c>
      <c r="B1076">
        <v>2005</v>
      </c>
      <c r="C1076" t="str">
        <f>_xlfn.CONCAT(Table16[[#This Row],[STATE]],"-",Table16[[#This Row],[YEAR]])</f>
        <v>Jammu &amp; Kashmir-2005</v>
      </c>
      <c r="D1076" t="s">
        <v>109</v>
      </c>
      <c r="E1076">
        <v>2</v>
      </c>
    </row>
    <row r="1077" spans="1:5" x14ac:dyDescent="0.3">
      <c r="A1077" t="s">
        <v>15</v>
      </c>
      <c r="B1077">
        <v>2005</v>
      </c>
      <c r="C1077" t="str">
        <f>_xlfn.CONCAT(Table16[[#This Row],[STATE]],"-",Table16[[#This Row],[YEAR]])</f>
        <v>Jammu &amp; Kashmir-2005</v>
      </c>
      <c r="D1077" t="s">
        <v>186</v>
      </c>
      <c r="E1077">
        <v>152</v>
      </c>
    </row>
    <row r="1078" spans="1:5" x14ac:dyDescent="0.3">
      <c r="A1078" t="s">
        <v>15</v>
      </c>
      <c r="B1078">
        <v>2005</v>
      </c>
      <c r="C1078" t="str">
        <f>_xlfn.CONCAT(Table16[[#This Row],[STATE]],"-",Table16[[#This Row],[YEAR]])</f>
        <v>Jammu &amp; Kashmir-2005</v>
      </c>
      <c r="D1078" t="s">
        <v>103</v>
      </c>
      <c r="E1078">
        <v>64</v>
      </c>
    </row>
    <row r="1079" spans="1:5" x14ac:dyDescent="0.3">
      <c r="A1079" t="s">
        <v>15</v>
      </c>
      <c r="B1079">
        <v>2004</v>
      </c>
      <c r="C1079" t="str">
        <f>_xlfn.CONCAT(Table16[[#This Row],[STATE]],"-",Table16[[#This Row],[YEAR]])</f>
        <v>Jammu &amp; Kashmir-2004</v>
      </c>
      <c r="D1079" t="s">
        <v>123</v>
      </c>
      <c r="E1079">
        <v>64</v>
      </c>
    </row>
    <row r="1080" spans="1:5" x14ac:dyDescent="0.3">
      <c r="A1080" t="s">
        <v>15</v>
      </c>
      <c r="B1080">
        <v>2004</v>
      </c>
      <c r="C1080" t="str">
        <f>_xlfn.CONCAT(Table16[[#This Row],[STATE]],"-",Table16[[#This Row],[YEAR]])</f>
        <v>Jammu &amp; Kashmir-2004</v>
      </c>
      <c r="D1080" t="s">
        <v>110</v>
      </c>
      <c r="E1080">
        <v>50</v>
      </c>
    </row>
    <row r="1081" spans="1:5" x14ac:dyDescent="0.3">
      <c r="A1081" t="s">
        <v>15</v>
      </c>
      <c r="B1081">
        <v>2004</v>
      </c>
      <c r="C1081" t="str">
        <f>_xlfn.CONCAT(Table16[[#This Row],[STATE]],"-",Table16[[#This Row],[YEAR]])</f>
        <v>Jammu &amp; Kashmir-2004</v>
      </c>
      <c r="D1081" t="s">
        <v>482</v>
      </c>
      <c r="E1081">
        <v>28</v>
      </c>
    </row>
    <row r="1082" spans="1:5" x14ac:dyDescent="0.3">
      <c r="A1082" t="s">
        <v>15</v>
      </c>
      <c r="B1082">
        <v>2004</v>
      </c>
      <c r="C1082" t="str">
        <f>_xlfn.CONCAT(Table16[[#This Row],[STATE]],"-",Table16[[#This Row],[YEAR]])</f>
        <v>Jammu &amp; Kashmir-2004</v>
      </c>
      <c r="D1082" t="s">
        <v>471</v>
      </c>
      <c r="E1082">
        <v>59</v>
      </c>
    </row>
    <row r="1083" spans="1:5" x14ac:dyDescent="0.3">
      <c r="A1083" t="s">
        <v>15</v>
      </c>
      <c r="B1083">
        <v>2004</v>
      </c>
      <c r="C1083" t="str">
        <f>_xlfn.CONCAT(Table16[[#This Row],[STATE]],"-",Table16[[#This Row],[YEAR]])</f>
        <v>Jammu &amp; Kashmir-2004</v>
      </c>
      <c r="D1083" t="s">
        <v>97</v>
      </c>
      <c r="E1083">
        <v>22</v>
      </c>
    </row>
    <row r="1084" spans="1:5" x14ac:dyDescent="0.3">
      <c r="A1084" t="s">
        <v>15</v>
      </c>
      <c r="B1084">
        <v>2004</v>
      </c>
      <c r="C1084" t="str">
        <f>_xlfn.CONCAT(Table16[[#This Row],[STATE]],"-",Table16[[#This Row],[YEAR]])</f>
        <v>Jammu &amp; Kashmir-2004</v>
      </c>
      <c r="D1084" t="s">
        <v>186</v>
      </c>
      <c r="E1084">
        <v>69</v>
      </c>
    </row>
    <row r="1085" spans="1:5" x14ac:dyDescent="0.3">
      <c r="A1085" t="s">
        <v>15</v>
      </c>
      <c r="B1085">
        <v>2004</v>
      </c>
      <c r="C1085" t="str">
        <f>_xlfn.CONCAT(Table16[[#This Row],[STATE]],"-",Table16[[#This Row],[YEAR]])</f>
        <v>Jammu &amp; Kashmir-2004</v>
      </c>
      <c r="D1085" t="s">
        <v>103</v>
      </c>
      <c r="E1085">
        <v>100</v>
      </c>
    </row>
    <row r="1086" spans="1:5" x14ac:dyDescent="0.3">
      <c r="A1086" t="s">
        <v>15</v>
      </c>
      <c r="B1086">
        <v>2004</v>
      </c>
      <c r="C1086" t="str">
        <f>_xlfn.CONCAT(Table16[[#This Row],[STATE]],"-",Table16[[#This Row],[YEAR]])</f>
        <v>Jammu &amp; Kashmir-2004</v>
      </c>
      <c r="D1086" t="s">
        <v>116</v>
      </c>
      <c r="E1086">
        <v>35</v>
      </c>
    </row>
    <row r="1087" spans="1:5" x14ac:dyDescent="0.3">
      <c r="A1087" t="s">
        <v>15</v>
      </c>
      <c r="B1087">
        <v>2003</v>
      </c>
      <c r="C1087" t="str">
        <f>_xlfn.CONCAT(Table16[[#This Row],[STATE]],"-",Table16[[#This Row],[YEAR]])</f>
        <v>Jammu &amp; Kashmir-2003</v>
      </c>
      <c r="D1087" t="s">
        <v>123</v>
      </c>
      <c r="E1087">
        <v>7</v>
      </c>
    </row>
    <row r="1088" spans="1:5" x14ac:dyDescent="0.3">
      <c r="A1088" t="s">
        <v>15</v>
      </c>
      <c r="B1088">
        <v>2003</v>
      </c>
      <c r="C1088" t="str">
        <f>_xlfn.CONCAT(Table16[[#This Row],[STATE]],"-",Table16[[#This Row],[YEAR]])</f>
        <v>Jammu &amp; Kashmir-2003</v>
      </c>
      <c r="D1088" t="s">
        <v>110</v>
      </c>
      <c r="E1088">
        <v>117</v>
      </c>
    </row>
    <row r="1089" spans="1:5" x14ac:dyDescent="0.3">
      <c r="A1089" t="s">
        <v>15</v>
      </c>
      <c r="B1089">
        <v>2003</v>
      </c>
      <c r="C1089" t="str">
        <f>_xlfn.CONCAT(Table16[[#This Row],[STATE]],"-",Table16[[#This Row],[YEAR]])</f>
        <v>Jammu &amp; Kashmir-2003</v>
      </c>
      <c r="D1089" t="s">
        <v>482</v>
      </c>
      <c r="E1089">
        <v>56</v>
      </c>
    </row>
    <row r="1090" spans="1:5" x14ac:dyDescent="0.3">
      <c r="A1090" t="s">
        <v>15</v>
      </c>
      <c r="B1090">
        <v>2003</v>
      </c>
      <c r="C1090" t="str">
        <f>_xlfn.CONCAT(Table16[[#This Row],[STATE]],"-",Table16[[#This Row],[YEAR]])</f>
        <v>Jammu &amp; Kashmir-2003</v>
      </c>
      <c r="D1090" t="s">
        <v>471</v>
      </c>
      <c r="E1090">
        <v>50</v>
      </c>
    </row>
    <row r="1091" spans="1:5" x14ac:dyDescent="0.3">
      <c r="A1091" t="s">
        <v>15</v>
      </c>
      <c r="B1091">
        <v>2003</v>
      </c>
      <c r="C1091" t="str">
        <f>_xlfn.CONCAT(Table16[[#This Row],[STATE]],"-",Table16[[#This Row],[YEAR]])</f>
        <v>Jammu &amp; Kashmir-2003</v>
      </c>
      <c r="D1091" t="s">
        <v>97</v>
      </c>
      <c r="E1091">
        <v>6</v>
      </c>
    </row>
    <row r="1092" spans="1:5" x14ac:dyDescent="0.3">
      <c r="A1092" t="s">
        <v>15</v>
      </c>
      <c r="B1092">
        <v>2003</v>
      </c>
      <c r="C1092" t="str">
        <f>_xlfn.CONCAT(Table16[[#This Row],[STATE]],"-",Table16[[#This Row],[YEAR]])</f>
        <v>Jammu &amp; Kashmir-2003</v>
      </c>
      <c r="D1092" t="s">
        <v>186</v>
      </c>
      <c r="E1092">
        <v>187</v>
      </c>
    </row>
    <row r="1093" spans="1:5" x14ac:dyDescent="0.3">
      <c r="A1093" t="s">
        <v>15</v>
      </c>
      <c r="B1093">
        <v>2003</v>
      </c>
      <c r="C1093" t="str">
        <f>_xlfn.CONCAT(Table16[[#This Row],[STATE]],"-",Table16[[#This Row],[YEAR]])</f>
        <v>Jammu &amp; Kashmir-2003</v>
      </c>
      <c r="D1093" t="s">
        <v>103</v>
      </c>
      <c r="E1093">
        <v>50</v>
      </c>
    </row>
    <row r="1094" spans="1:5" x14ac:dyDescent="0.3">
      <c r="A1094" t="s">
        <v>15</v>
      </c>
      <c r="B1094">
        <v>2002</v>
      </c>
      <c r="C1094" t="str">
        <f>_xlfn.CONCAT(Table16[[#This Row],[STATE]],"-",Table16[[#This Row],[YEAR]])</f>
        <v>Jammu &amp; Kashmir-2002</v>
      </c>
      <c r="D1094" t="s">
        <v>123</v>
      </c>
      <c r="E1094">
        <v>122</v>
      </c>
    </row>
    <row r="1095" spans="1:5" x14ac:dyDescent="0.3">
      <c r="A1095" t="s">
        <v>15</v>
      </c>
      <c r="B1095">
        <v>2002</v>
      </c>
      <c r="C1095" t="str">
        <f>_xlfn.CONCAT(Table16[[#This Row],[STATE]],"-",Table16[[#This Row],[YEAR]])</f>
        <v>Jammu &amp; Kashmir-2002</v>
      </c>
      <c r="D1095" t="s">
        <v>110</v>
      </c>
      <c r="E1095">
        <v>88</v>
      </c>
    </row>
    <row r="1096" spans="1:5" x14ac:dyDescent="0.3">
      <c r="A1096" t="s">
        <v>16</v>
      </c>
      <c r="B1096">
        <v>2001</v>
      </c>
      <c r="C1096" t="str">
        <f>_xlfn.CONCAT(Table16[[#This Row],[STATE]],"-",Table16[[#This Row],[YEAR]])</f>
        <v>Jharkhand-2001</v>
      </c>
      <c r="D1096" t="s">
        <v>215</v>
      </c>
      <c r="E1096">
        <v>715</v>
      </c>
    </row>
    <row r="1097" spans="1:5" x14ac:dyDescent="0.3">
      <c r="A1097" t="s">
        <v>16</v>
      </c>
      <c r="B1097">
        <v>2001</v>
      </c>
      <c r="C1097" t="str">
        <f>_xlfn.CONCAT(Table16[[#This Row],[STATE]],"-",Table16[[#This Row],[YEAR]])</f>
        <v>Jharkhand-2001</v>
      </c>
      <c r="D1097" t="s">
        <v>182</v>
      </c>
      <c r="E1097">
        <v>864</v>
      </c>
    </row>
    <row r="1098" spans="1:5" x14ac:dyDescent="0.3">
      <c r="A1098" t="s">
        <v>16</v>
      </c>
      <c r="B1098">
        <v>2001</v>
      </c>
      <c r="C1098" t="str">
        <f>_xlfn.CONCAT(Table16[[#This Row],[STATE]],"-",Table16[[#This Row],[YEAR]])</f>
        <v>Jharkhand-2001</v>
      </c>
      <c r="D1098" t="s">
        <v>485</v>
      </c>
      <c r="E1098">
        <v>207</v>
      </c>
    </row>
    <row r="1099" spans="1:5" x14ac:dyDescent="0.3">
      <c r="A1099" t="s">
        <v>16</v>
      </c>
      <c r="B1099">
        <v>2001</v>
      </c>
      <c r="C1099" t="str">
        <f>_xlfn.CONCAT(Table16[[#This Row],[STATE]],"-",Table16[[#This Row],[YEAR]])</f>
        <v>Jharkhand-2001</v>
      </c>
      <c r="D1099" t="s">
        <v>185</v>
      </c>
      <c r="E1099">
        <v>475</v>
      </c>
    </row>
    <row r="1100" spans="1:5" x14ac:dyDescent="0.3">
      <c r="A1100" t="s">
        <v>16</v>
      </c>
      <c r="B1100">
        <v>2001</v>
      </c>
      <c r="C1100" t="str">
        <f>_xlfn.CONCAT(Table16[[#This Row],[STATE]],"-",Table16[[#This Row],[YEAR]])</f>
        <v>Jharkhand-2001</v>
      </c>
      <c r="D1100" t="s">
        <v>99</v>
      </c>
      <c r="E1100">
        <v>504</v>
      </c>
    </row>
    <row r="1101" spans="1:5" x14ac:dyDescent="0.3">
      <c r="A1101" t="s">
        <v>16</v>
      </c>
      <c r="B1101">
        <v>2002</v>
      </c>
      <c r="C1101" t="str">
        <f>_xlfn.CONCAT(Table16[[#This Row],[STATE]],"-",Table16[[#This Row],[YEAR]])</f>
        <v>Jharkhand-2002</v>
      </c>
      <c r="D1101" t="s">
        <v>103</v>
      </c>
      <c r="E1101">
        <v>54</v>
      </c>
    </row>
    <row r="1102" spans="1:5" x14ac:dyDescent="0.3">
      <c r="A1102" t="s">
        <v>16</v>
      </c>
      <c r="B1102">
        <v>2002</v>
      </c>
      <c r="C1102" t="str">
        <f>_xlfn.CONCAT(Table16[[#This Row],[STATE]],"-",Table16[[#This Row],[YEAR]])</f>
        <v>Jharkhand-2002</v>
      </c>
      <c r="D1102" t="s">
        <v>90</v>
      </c>
      <c r="E1102">
        <v>594</v>
      </c>
    </row>
    <row r="1103" spans="1:5" x14ac:dyDescent="0.3">
      <c r="A1103" t="s">
        <v>16</v>
      </c>
      <c r="B1103">
        <v>2002</v>
      </c>
      <c r="C1103" t="str">
        <f>_xlfn.CONCAT(Table16[[#This Row],[STATE]],"-",Table16[[#This Row],[YEAR]])</f>
        <v>Jharkhand-2002</v>
      </c>
      <c r="D1103" t="s">
        <v>151</v>
      </c>
      <c r="E1103">
        <v>45</v>
      </c>
    </row>
    <row r="1104" spans="1:5" x14ac:dyDescent="0.3">
      <c r="A1104" t="s">
        <v>16</v>
      </c>
      <c r="B1104">
        <v>2002</v>
      </c>
      <c r="C1104" t="str">
        <f>_xlfn.CONCAT(Table16[[#This Row],[STATE]],"-",Table16[[#This Row],[YEAR]])</f>
        <v>Jharkhand-2002</v>
      </c>
      <c r="D1104" t="s">
        <v>123</v>
      </c>
      <c r="E1104">
        <v>62</v>
      </c>
    </row>
    <row r="1105" spans="1:5" x14ac:dyDescent="0.3">
      <c r="A1105" t="s">
        <v>16</v>
      </c>
      <c r="B1105">
        <v>2002</v>
      </c>
      <c r="C1105" t="str">
        <f>_xlfn.CONCAT(Table16[[#This Row],[STATE]],"-",Table16[[#This Row],[YEAR]])</f>
        <v>Jharkhand-2002</v>
      </c>
      <c r="D1105" t="s">
        <v>187</v>
      </c>
      <c r="E1105">
        <v>15</v>
      </c>
    </row>
    <row r="1106" spans="1:5" x14ac:dyDescent="0.3">
      <c r="A1106" t="s">
        <v>16</v>
      </c>
      <c r="B1106">
        <v>2002</v>
      </c>
      <c r="C1106" t="str">
        <f>_xlfn.CONCAT(Table16[[#This Row],[STATE]],"-",Table16[[#This Row],[YEAR]])</f>
        <v>Jharkhand-2002</v>
      </c>
      <c r="D1106" t="s">
        <v>486</v>
      </c>
      <c r="E1106">
        <v>176</v>
      </c>
    </row>
    <row r="1107" spans="1:5" x14ac:dyDescent="0.3">
      <c r="A1107" t="s">
        <v>16</v>
      </c>
      <c r="B1107">
        <v>2002</v>
      </c>
      <c r="C1107" t="str">
        <f>_xlfn.CONCAT(Table16[[#This Row],[STATE]],"-",Table16[[#This Row],[YEAR]])</f>
        <v>Jharkhand-2002</v>
      </c>
      <c r="D1107" t="s">
        <v>182</v>
      </c>
      <c r="E1107">
        <v>667</v>
      </c>
    </row>
    <row r="1108" spans="1:5" x14ac:dyDescent="0.3">
      <c r="A1108" t="s">
        <v>16</v>
      </c>
      <c r="B1108">
        <v>2002</v>
      </c>
      <c r="C1108" t="str">
        <f>_xlfn.CONCAT(Table16[[#This Row],[STATE]],"-",Table16[[#This Row],[YEAR]])</f>
        <v>Jharkhand-2002</v>
      </c>
      <c r="D1108" t="s">
        <v>215</v>
      </c>
      <c r="E1108">
        <v>1082</v>
      </c>
    </row>
    <row r="1109" spans="1:5" x14ac:dyDescent="0.3">
      <c r="A1109" t="s">
        <v>16</v>
      </c>
      <c r="B1109">
        <v>2002</v>
      </c>
      <c r="C1109" t="str">
        <f>_xlfn.CONCAT(Table16[[#This Row],[STATE]],"-",Table16[[#This Row],[YEAR]])</f>
        <v>Jharkhand-2002</v>
      </c>
      <c r="D1109" t="s">
        <v>487</v>
      </c>
      <c r="E1109">
        <v>405</v>
      </c>
    </row>
    <row r="1110" spans="1:5" x14ac:dyDescent="0.3">
      <c r="A1110" t="s">
        <v>16</v>
      </c>
      <c r="B1110">
        <v>2002</v>
      </c>
      <c r="C1110" t="str">
        <f>_xlfn.CONCAT(Table16[[#This Row],[STATE]],"-",Table16[[#This Row],[YEAR]])</f>
        <v>Jharkhand-2002</v>
      </c>
      <c r="D1110" t="s">
        <v>201</v>
      </c>
      <c r="E1110">
        <v>124</v>
      </c>
    </row>
    <row r="1111" spans="1:5" x14ac:dyDescent="0.3">
      <c r="A1111" t="s">
        <v>16</v>
      </c>
      <c r="B1111">
        <v>2002</v>
      </c>
      <c r="C1111" t="str">
        <f>_xlfn.CONCAT(Table16[[#This Row],[STATE]],"-",Table16[[#This Row],[YEAR]])</f>
        <v>Jharkhand-2002</v>
      </c>
      <c r="D1111" t="s">
        <v>230</v>
      </c>
      <c r="E1111">
        <v>24</v>
      </c>
    </row>
    <row r="1112" spans="1:5" x14ac:dyDescent="0.3">
      <c r="A1112" t="s">
        <v>16</v>
      </c>
      <c r="B1112">
        <v>2002</v>
      </c>
      <c r="C1112" t="str">
        <f>_xlfn.CONCAT(Table16[[#This Row],[STATE]],"-",Table16[[#This Row],[YEAR]])</f>
        <v>Jharkhand-2002</v>
      </c>
      <c r="D1112" t="s">
        <v>488</v>
      </c>
      <c r="E1112">
        <v>15</v>
      </c>
    </row>
    <row r="1113" spans="1:5" x14ac:dyDescent="0.3">
      <c r="A1113" t="s">
        <v>16</v>
      </c>
      <c r="B1113">
        <v>2002</v>
      </c>
      <c r="C1113" t="str">
        <f>_xlfn.CONCAT(Table16[[#This Row],[STATE]],"-",Table16[[#This Row],[YEAR]])</f>
        <v>Jharkhand-2002</v>
      </c>
      <c r="D1113" t="s">
        <v>266</v>
      </c>
      <c r="E1113">
        <v>14</v>
      </c>
    </row>
    <row r="1114" spans="1:5" x14ac:dyDescent="0.3">
      <c r="A1114" t="s">
        <v>16</v>
      </c>
      <c r="B1114">
        <v>2002</v>
      </c>
      <c r="C1114" t="str">
        <f>_xlfn.CONCAT(Table16[[#This Row],[STATE]],"-",Table16[[#This Row],[YEAR]])</f>
        <v>Jharkhand-2002</v>
      </c>
      <c r="D1114" t="s">
        <v>489</v>
      </c>
      <c r="E1114">
        <v>35</v>
      </c>
    </row>
    <row r="1115" spans="1:5" x14ac:dyDescent="0.3">
      <c r="A1115" t="s">
        <v>16</v>
      </c>
      <c r="B1115">
        <v>2002</v>
      </c>
      <c r="C1115" t="str">
        <f>_xlfn.CONCAT(Table16[[#This Row],[STATE]],"-",Table16[[#This Row],[YEAR]])</f>
        <v>Jharkhand-2002</v>
      </c>
      <c r="D1115" t="s">
        <v>490</v>
      </c>
      <c r="E1115">
        <v>11</v>
      </c>
    </row>
    <row r="1116" spans="1:5" x14ac:dyDescent="0.3">
      <c r="A1116" t="s">
        <v>16</v>
      </c>
      <c r="B1116">
        <v>2003</v>
      </c>
      <c r="C1116" t="str">
        <f>_xlfn.CONCAT(Table16[[#This Row],[STATE]],"-",Table16[[#This Row],[YEAR]])</f>
        <v>Jharkhand-2003</v>
      </c>
      <c r="D1116" t="s">
        <v>491</v>
      </c>
      <c r="E1116">
        <v>133</v>
      </c>
    </row>
    <row r="1117" spans="1:5" x14ac:dyDescent="0.3">
      <c r="A1117" t="s">
        <v>16</v>
      </c>
      <c r="B1117">
        <v>2003</v>
      </c>
      <c r="C1117" t="str">
        <f>_xlfn.CONCAT(Table16[[#This Row],[STATE]],"-",Table16[[#This Row],[YEAR]])</f>
        <v>Jharkhand-2003</v>
      </c>
      <c r="D1117" t="s">
        <v>197</v>
      </c>
      <c r="E1117">
        <v>50</v>
      </c>
    </row>
    <row r="1118" spans="1:5" x14ac:dyDescent="0.3">
      <c r="A1118" t="s">
        <v>16</v>
      </c>
      <c r="B1118">
        <v>2003</v>
      </c>
      <c r="C1118" t="str">
        <f>_xlfn.CONCAT(Table16[[#This Row],[STATE]],"-",Table16[[#This Row],[YEAR]])</f>
        <v>Jharkhand-2003</v>
      </c>
      <c r="D1118" t="s">
        <v>122</v>
      </c>
      <c r="E1118">
        <v>15</v>
      </c>
    </row>
    <row r="1119" spans="1:5" x14ac:dyDescent="0.3">
      <c r="A1119" t="s">
        <v>16</v>
      </c>
      <c r="B1119">
        <v>2003</v>
      </c>
      <c r="C1119" t="str">
        <f>_xlfn.CONCAT(Table16[[#This Row],[STATE]],"-",Table16[[#This Row],[YEAR]])</f>
        <v>Jharkhand-2003</v>
      </c>
      <c r="D1119" t="s">
        <v>125</v>
      </c>
      <c r="E1119">
        <v>15</v>
      </c>
    </row>
    <row r="1120" spans="1:5" x14ac:dyDescent="0.3">
      <c r="A1120" t="s">
        <v>16</v>
      </c>
      <c r="B1120">
        <v>2003</v>
      </c>
      <c r="C1120" t="str">
        <f>_xlfn.CONCAT(Table16[[#This Row],[STATE]],"-",Table16[[#This Row],[YEAR]])</f>
        <v>Jharkhand-2003</v>
      </c>
      <c r="D1120" t="s">
        <v>123</v>
      </c>
      <c r="E1120">
        <v>45</v>
      </c>
    </row>
    <row r="1121" spans="1:5" x14ac:dyDescent="0.3">
      <c r="A1121" t="s">
        <v>16</v>
      </c>
      <c r="B1121">
        <v>2003</v>
      </c>
      <c r="C1121" t="str">
        <f>_xlfn.CONCAT(Table16[[#This Row],[STATE]],"-",Table16[[#This Row],[YEAR]])</f>
        <v>Jharkhand-2003</v>
      </c>
      <c r="D1121" t="s">
        <v>151</v>
      </c>
      <c r="E1121">
        <v>150</v>
      </c>
    </row>
    <row r="1122" spans="1:5" x14ac:dyDescent="0.3">
      <c r="A1122" t="s">
        <v>16</v>
      </c>
      <c r="B1122">
        <v>2003</v>
      </c>
      <c r="C1122" t="str">
        <f>_xlfn.CONCAT(Table16[[#This Row],[STATE]],"-",Table16[[#This Row],[YEAR]])</f>
        <v>Jharkhand-2003</v>
      </c>
      <c r="D1122" t="s">
        <v>230</v>
      </c>
      <c r="E1122">
        <v>42</v>
      </c>
    </row>
    <row r="1123" spans="1:5" x14ac:dyDescent="0.3">
      <c r="A1123" t="s">
        <v>16</v>
      </c>
      <c r="B1123">
        <v>2003</v>
      </c>
      <c r="C1123" t="str">
        <f>_xlfn.CONCAT(Table16[[#This Row],[STATE]],"-",Table16[[#This Row],[YEAR]])</f>
        <v>Jharkhand-2003</v>
      </c>
      <c r="D1123" t="s">
        <v>492</v>
      </c>
      <c r="E1123">
        <v>57</v>
      </c>
    </row>
    <row r="1124" spans="1:5" x14ac:dyDescent="0.3">
      <c r="A1124" t="s">
        <v>16</v>
      </c>
      <c r="B1124">
        <v>2003</v>
      </c>
      <c r="C1124" t="str">
        <f>_xlfn.CONCAT(Table16[[#This Row],[STATE]],"-",Table16[[#This Row],[YEAR]])</f>
        <v>Jharkhand-2003</v>
      </c>
      <c r="D1124" t="s">
        <v>208</v>
      </c>
      <c r="E1124">
        <v>676</v>
      </c>
    </row>
    <row r="1125" spans="1:5" x14ac:dyDescent="0.3">
      <c r="A1125" t="s">
        <v>16</v>
      </c>
      <c r="B1125">
        <v>2003</v>
      </c>
      <c r="C1125" t="str">
        <f>_xlfn.CONCAT(Table16[[#This Row],[STATE]],"-",Table16[[#This Row],[YEAR]])</f>
        <v>Jharkhand-2003</v>
      </c>
      <c r="D1125" t="s">
        <v>493</v>
      </c>
      <c r="E1125">
        <v>41</v>
      </c>
    </row>
    <row r="1126" spans="1:5" x14ac:dyDescent="0.3">
      <c r="A1126" t="s">
        <v>16</v>
      </c>
      <c r="B1126">
        <v>2003</v>
      </c>
      <c r="C1126" t="str">
        <f>_xlfn.CONCAT(Table16[[#This Row],[STATE]],"-",Table16[[#This Row],[YEAR]])</f>
        <v>Jharkhand-2003</v>
      </c>
      <c r="D1126" t="s">
        <v>494</v>
      </c>
      <c r="E1126">
        <v>25</v>
      </c>
    </row>
    <row r="1127" spans="1:5" x14ac:dyDescent="0.3">
      <c r="A1127" t="s">
        <v>16</v>
      </c>
      <c r="B1127">
        <v>2003</v>
      </c>
      <c r="C1127" t="str">
        <f>_xlfn.CONCAT(Table16[[#This Row],[STATE]],"-",Table16[[#This Row],[YEAR]])</f>
        <v>Jharkhand-2003</v>
      </c>
      <c r="D1127" t="s">
        <v>182</v>
      </c>
      <c r="E1127">
        <v>1175</v>
      </c>
    </row>
    <row r="1128" spans="1:5" x14ac:dyDescent="0.3">
      <c r="A1128" t="s">
        <v>16</v>
      </c>
      <c r="B1128">
        <v>2003</v>
      </c>
      <c r="C1128" t="str">
        <f>_xlfn.CONCAT(Table16[[#This Row],[STATE]],"-",Table16[[#This Row],[YEAR]])</f>
        <v>Jharkhand-2003</v>
      </c>
      <c r="D1128" t="s">
        <v>495</v>
      </c>
      <c r="E1128">
        <v>42</v>
      </c>
    </row>
    <row r="1129" spans="1:5" x14ac:dyDescent="0.3">
      <c r="A1129" t="s">
        <v>16</v>
      </c>
      <c r="B1129">
        <v>2003</v>
      </c>
      <c r="C1129" t="str">
        <f>_xlfn.CONCAT(Table16[[#This Row],[STATE]],"-",Table16[[#This Row],[YEAR]])</f>
        <v>Jharkhand-2003</v>
      </c>
      <c r="D1129" t="s">
        <v>496</v>
      </c>
      <c r="E1129">
        <v>30</v>
      </c>
    </row>
    <row r="1130" spans="1:5" x14ac:dyDescent="0.3">
      <c r="A1130" t="s">
        <v>16</v>
      </c>
      <c r="B1130">
        <v>2003</v>
      </c>
      <c r="C1130" t="str">
        <f>_xlfn.CONCAT(Table16[[#This Row],[STATE]],"-",Table16[[#This Row],[YEAR]])</f>
        <v>Jharkhand-2003</v>
      </c>
      <c r="D1130" t="s">
        <v>497</v>
      </c>
      <c r="E1130">
        <v>24</v>
      </c>
    </row>
    <row r="1131" spans="1:5" x14ac:dyDescent="0.3">
      <c r="A1131" t="s">
        <v>16</v>
      </c>
      <c r="B1131">
        <v>2003</v>
      </c>
      <c r="C1131" t="str">
        <f>_xlfn.CONCAT(Table16[[#This Row],[STATE]],"-",Table16[[#This Row],[YEAR]])</f>
        <v>Jharkhand-2003</v>
      </c>
      <c r="D1131" t="s">
        <v>281</v>
      </c>
      <c r="E1131">
        <v>35</v>
      </c>
    </row>
    <row r="1132" spans="1:5" x14ac:dyDescent="0.3">
      <c r="A1132" t="s">
        <v>16</v>
      </c>
      <c r="B1132">
        <v>2003</v>
      </c>
      <c r="C1132" t="str">
        <f>_xlfn.CONCAT(Table16[[#This Row],[STATE]],"-",Table16[[#This Row],[YEAR]])</f>
        <v>Jharkhand-2003</v>
      </c>
      <c r="D1132" t="s">
        <v>215</v>
      </c>
      <c r="E1132">
        <v>742</v>
      </c>
    </row>
    <row r="1133" spans="1:5" x14ac:dyDescent="0.3">
      <c r="A1133" t="s">
        <v>16</v>
      </c>
      <c r="B1133">
        <v>2003</v>
      </c>
      <c r="C1133" t="str">
        <f>_xlfn.CONCAT(Table16[[#This Row],[STATE]],"-",Table16[[#This Row],[YEAR]])</f>
        <v>Jharkhand-2003</v>
      </c>
      <c r="D1133" t="s">
        <v>498</v>
      </c>
      <c r="E1133">
        <v>76</v>
      </c>
    </row>
    <row r="1134" spans="1:5" x14ac:dyDescent="0.3">
      <c r="A1134" t="s">
        <v>16</v>
      </c>
      <c r="B1134">
        <v>2003</v>
      </c>
      <c r="C1134" t="str">
        <f>_xlfn.CONCAT(Table16[[#This Row],[STATE]],"-",Table16[[#This Row],[YEAR]])</f>
        <v>Jharkhand-2003</v>
      </c>
      <c r="D1134" t="s">
        <v>499</v>
      </c>
      <c r="E1134">
        <v>276</v>
      </c>
    </row>
    <row r="1135" spans="1:5" x14ac:dyDescent="0.3">
      <c r="A1135" t="s">
        <v>16</v>
      </c>
      <c r="B1135">
        <v>2003</v>
      </c>
      <c r="C1135" t="str">
        <f>_xlfn.CONCAT(Table16[[#This Row],[STATE]],"-",Table16[[#This Row],[YEAR]])</f>
        <v>Jharkhand-2003</v>
      </c>
      <c r="D1135" t="s">
        <v>212</v>
      </c>
      <c r="E1135">
        <v>172</v>
      </c>
    </row>
    <row r="1136" spans="1:5" x14ac:dyDescent="0.3">
      <c r="A1136" t="s">
        <v>16</v>
      </c>
      <c r="B1136">
        <v>2003</v>
      </c>
      <c r="C1136" t="str">
        <f>_xlfn.CONCAT(Table16[[#This Row],[STATE]],"-",Table16[[#This Row],[YEAR]])</f>
        <v>Jharkhand-2003</v>
      </c>
      <c r="D1136" t="s">
        <v>500</v>
      </c>
      <c r="E1136">
        <v>84</v>
      </c>
    </row>
    <row r="1137" spans="1:5" x14ac:dyDescent="0.3">
      <c r="A1137" t="s">
        <v>16</v>
      </c>
      <c r="B1137">
        <v>2003</v>
      </c>
      <c r="C1137" t="str">
        <f>_xlfn.CONCAT(Table16[[#This Row],[STATE]],"-",Table16[[#This Row],[YEAR]])</f>
        <v>Jharkhand-2003</v>
      </c>
      <c r="D1137" t="s">
        <v>266</v>
      </c>
      <c r="E1137">
        <v>20</v>
      </c>
    </row>
    <row r="1138" spans="1:5" x14ac:dyDescent="0.3">
      <c r="A1138" t="s">
        <v>16</v>
      </c>
      <c r="B1138">
        <v>2003</v>
      </c>
      <c r="C1138" t="str">
        <f>_xlfn.CONCAT(Table16[[#This Row],[STATE]],"-",Table16[[#This Row],[YEAR]])</f>
        <v>Jharkhand-2003</v>
      </c>
      <c r="D1138" t="s">
        <v>103</v>
      </c>
      <c r="E1138">
        <v>77</v>
      </c>
    </row>
    <row r="1139" spans="1:5" x14ac:dyDescent="0.3">
      <c r="A1139" t="s">
        <v>16</v>
      </c>
      <c r="B1139">
        <v>2003</v>
      </c>
      <c r="C1139" t="str">
        <f>_xlfn.CONCAT(Table16[[#This Row],[STATE]],"-",Table16[[#This Row],[YEAR]])</f>
        <v>Jharkhand-2003</v>
      </c>
      <c r="D1139" t="s">
        <v>90</v>
      </c>
      <c r="E1139">
        <v>48</v>
      </c>
    </row>
    <row r="1140" spans="1:5" x14ac:dyDescent="0.3">
      <c r="A1140" t="s">
        <v>16</v>
      </c>
      <c r="B1140">
        <v>2003</v>
      </c>
      <c r="C1140" t="str">
        <f>_xlfn.CONCAT(Table16[[#This Row],[STATE]],"-",Table16[[#This Row],[YEAR]])</f>
        <v>Jharkhand-2003</v>
      </c>
      <c r="D1140" t="s">
        <v>201</v>
      </c>
      <c r="E1140">
        <v>254</v>
      </c>
    </row>
    <row r="1141" spans="1:5" x14ac:dyDescent="0.3">
      <c r="A1141" t="s">
        <v>16</v>
      </c>
      <c r="B1141">
        <v>2003</v>
      </c>
      <c r="C1141" t="str">
        <f>_xlfn.CONCAT(Table16[[#This Row],[STATE]],"-",Table16[[#This Row],[YEAR]])</f>
        <v>Jharkhand-2003</v>
      </c>
      <c r="D1141" t="s">
        <v>501</v>
      </c>
      <c r="E1141">
        <v>102</v>
      </c>
    </row>
    <row r="1142" spans="1:5" x14ac:dyDescent="0.3">
      <c r="A1142" t="s">
        <v>16</v>
      </c>
      <c r="B1142">
        <v>2004</v>
      </c>
      <c r="C1142" t="str">
        <f>_xlfn.CONCAT(Table16[[#This Row],[STATE]],"-",Table16[[#This Row],[YEAR]])</f>
        <v>Jharkhand-2004</v>
      </c>
      <c r="D1142" t="s">
        <v>491</v>
      </c>
      <c r="E1142">
        <v>149</v>
      </c>
    </row>
    <row r="1143" spans="1:5" x14ac:dyDescent="0.3">
      <c r="A1143" t="s">
        <v>16</v>
      </c>
      <c r="B1143">
        <v>2004</v>
      </c>
      <c r="C1143" t="str">
        <f>_xlfn.CONCAT(Table16[[#This Row],[STATE]],"-",Table16[[#This Row],[YEAR]])</f>
        <v>Jharkhand-2004</v>
      </c>
      <c r="D1143" t="s">
        <v>197</v>
      </c>
      <c r="E1143">
        <v>50</v>
      </c>
    </row>
    <row r="1144" spans="1:5" x14ac:dyDescent="0.3">
      <c r="A1144" t="s">
        <v>16</v>
      </c>
      <c r="B1144">
        <v>2004</v>
      </c>
      <c r="C1144" t="str">
        <f>_xlfn.CONCAT(Table16[[#This Row],[STATE]],"-",Table16[[#This Row],[YEAR]])</f>
        <v>Jharkhand-2004</v>
      </c>
      <c r="D1144" t="s">
        <v>125</v>
      </c>
      <c r="E1144">
        <v>7</v>
      </c>
    </row>
    <row r="1145" spans="1:5" x14ac:dyDescent="0.3">
      <c r="A1145" t="s">
        <v>16</v>
      </c>
      <c r="B1145">
        <v>2004</v>
      </c>
      <c r="C1145" t="str">
        <f>_xlfn.CONCAT(Table16[[#This Row],[STATE]],"-",Table16[[#This Row],[YEAR]])</f>
        <v>Jharkhand-2004</v>
      </c>
      <c r="D1145" t="s">
        <v>502</v>
      </c>
      <c r="E1145">
        <v>97</v>
      </c>
    </row>
    <row r="1146" spans="1:5" x14ac:dyDescent="0.3">
      <c r="A1146" t="s">
        <v>16</v>
      </c>
      <c r="B1146">
        <v>2004</v>
      </c>
      <c r="C1146" t="str">
        <f>_xlfn.CONCAT(Table16[[#This Row],[STATE]],"-",Table16[[#This Row],[YEAR]])</f>
        <v>Jharkhand-2004</v>
      </c>
      <c r="D1146" t="s">
        <v>503</v>
      </c>
      <c r="E1146">
        <v>45</v>
      </c>
    </row>
    <row r="1147" spans="1:5" x14ac:dyDescent="0.3">
      <c r="A1147" t="s">
        <v>16</v>
      </c>
      <c r="B1147">
        <v>2004</v>
      </c>
      <c r="C1147" t="str">
        <f>_xlfn.CONCAT(Table16[[#This Row],[STATE]],"-",Table16[[#This Row],[YEAR]])</f>
        <v>Jharkhand-2004</v>
      </c>
      <c r="D1147" t="s">
        <v>230</v>
      </c>
      <c r="E1147">
        <v>12</v>
      </c>
    </row>
    <row r="1148" spans="1:5" x14ac:dyDescent="0.3">
      <c r="A1148" t="s">
        <v>16</v>
      </c>
      <c r="B1148">
        <v>2004</v>
      </c>
      <c r="C1148" t="str">
        <f>_xlfn.CONCAT(Table16[[#This Row],[STATE]],"-",Table16[[#This Row],[YEAR]])</f>
        <v>Jharkhand-2004</v>
      </c>
      <c r="D1148" t="s">
        <v>492</v>
      </c>
      <c r="E1148">
        <v>59</v>
      </c>
    </row>
    <row r="1149" spans="1:5" x14ac:dyDescent="0.3">
      <c r="A1149" t="s">
        <v>16</v>
      </c>
      <c r="B1149">
        <v>2004</v>
      </c>
      <c r="C1149" t="str">
        <f>_xlfn.CONCAT(Table16[[#This Row],[STATE]],"-",Table16[[#This Row],[YEAR]])</f>
        <v>Jharkhand-2004</v>
      </c>
      <c r="D1149" t="s">
        <v>90</v>
      </c>
      <c r="E1149">
        <v>735</v>
      </c>
    </row>
    <row r="1150" spans="1:5" x14ac:dyDescent="0.3">
      <c r="A1150" t="s">
        <v>16</v>
      </c>
      <c r="B1150">
        <v>2004</v>
      </c>
      <c r="C1150" t="str">
        <f>_xlfn.CONCAT(Table16[[#This Row],[STATE]],"-",Table16[[#This Row],[YEAR]])</f>
        <v>Jharkhand-2004</v>
      </c>
      <c r="D1150" t="s">
        <v>216</v>
      </c>
      <c r="E1150">
        <v>33</v>
      </c>
    </row>
    <row r="1151" spans="1:5" x14ac:dyDescent="0.3">
      <c r="A1151" t="s">
        <v>16</v>
      </c>
      <c r="B1151">
        <v>2004</v>
      </c>
      <c r="C1151" t="str">
        <f>_xlfn.CONCAT(Table16[[#This Row],[STATE]],"-",Table16[[#This Row],[YEAR]])</f>
        <v>Jharkhand-2004</v>
      </c>
      <c r="D1151" t="s">
        <v>504</v>
      </c>
      <c r="E1151">
        <v>60</v>
      </c>
    </row>
    <row r="1152" spans="1:5" x14ac:dyDescent="0.3">
      <c r="A1152" t="s">
        <v>16</v>
      </c>
      <c r="B1152">
        <v>2004</v>
      </c>
      <c r="C1152" t="str">
        <f>_xlfn.CONCAT(Table16[[#This Row],[STATE]],"-",Table16[[#This Row],[YEAR]])</f>
        <v>Jharkhand-2004</v>
      </c>
      <c r="D1152" t="s">
        <v>494</v>
      </c>
      <c r="E1152">
        <v>12</v>
      </c>
    </row>
    <row r="1153" spans="1:5" x14ac:dyDescent="0.3">
      <c r="A1153" t="s">
        <v>16</v>
      </c>
      <c r="B1153">
        <v>2004</v>
      </c>
      <c r="C1153" t="str">
        <f>_xlfn.CONCAT(Table16[[#This Row],[STATE]],"-",Table16[[#This Row],[YEAR]])</f>
        <v>Jharkhand-2004</v>
      </c>
      <c r="D1153" t="s">
        <v>182</v>
      </c>
      <c r="E1153">
        <v>1112</v>
      </c>
    </row>
    <row r="1154" spans="1:5" x14ac:dyDescent="0.3">
      <c r="A1154" t="s">
        <v>16</v>
      </c>
      <c r="B1154">
        <v>2004</v>
      </c>
      <c r="C1154" t="str">
        <f>_xlfn.CONCAT(Table16[[#This Row],[STATE]],"-",Table16[[#This Row],[YEAR]])</f>
        <v>Jharkhand-2004</v>
      </c>
      <c r="D1154" t="s">
        <v>505</v>
      </c>
      <c r="E1154">
        <v>89</v>
      </c>
    </row>
    <row r="1155" spans="1:5" x14ac:dyDescent="0.3">
      <c r="A1155" t="s">
        <v>16</v>
      </c>
      <c r="B1155">
        <v>2004</v>
      </c>
      <c r="C1155" t="str">
        <f>_xlfn.CONCAT(Table16[[#This Row],[STATE]],"-",Table16[[#This Row],[YEAR]])</f>
        <v>Jharkhand-2004</v>
      </c>
      <c r="D1155" t="s">
        <v>506</v>
      </c>
      <c r="E1155">
        <v>115</v>
      </c>
    </row>
    <row r="1156" spans="1:5" x14ac:dyDescent="0.3">
      <c r="A1156" t="s">
        <v>16</v>
      </c>
      <c r="B1156">
        <v>2004</v>
      </c>
      <c r="C1156" t="str">
        <f>_xlfn.CONCAT(Table16[[#This Row],[STATE]],"-",Table16[[#This Row],[YEAR]])</f>
        <v>Jharkhand-2004</v>
      </c>
      <c r="D1156" t="s">
        <v>507</v>
      </c>
      <c r="E1156">
        <v>30</v>
      </c>
    </row>
    <row r="1157" spans="1:5" x14ac:dyDescent="0.3">
      <c r="A1157" t="s">
        <v>16</v>
      </c>
      <c r="B1157">
        <v>2004</v>
      </c>
      <c r="C1157" t="str">
        <f>_xlfn.CONCAT(Table16[[#This Row],[STATE]],"-",Table16[[#This Row],[YEAR]])</f>
        <v>Jharkhand-2004</v>
      </c>
      <c r="D1157" t="s">
        <v>215</v>
      </c>
      <c r="E1157">
        <v>1182</v>
      </c>
    </row>
    <row r="1158" spans="1:5" x14ac:dyDescent="0.3">
      <c r="A1158" t="s">
        <v>16</v>
      </c>
      <c r="B1158">
        <v>2004</v>
      </c>
      <c r="C1158" t="str">
        <f>_xlfn.CONCAT(Table16[[#This Row],[STATE]],"-",Table16[[#This Row],[YEAR]])</f>
        <v>Jharkhand-2004</v>
      </c>
      <c r="D1158" t="s">
        <v>508</v>
      </c>
      <c r="E1158">
        <v>6</v>
      </c>
    </row>
    <row r="1159" spans="1:5" x14ac:dyDescent="0.3">
      <c r="A1159" t="s">
        <v>16</v>
      </c>
      <c r="B1159">
        <v>2004</v>
      </c>
      <c r="C1159" t="str">
        <f>_xlfn.CONCAT(Table16[[#This Row],[STATE]],"-",Table16[[#This Row],[YEAR]])</f>
        <v>Jharkhand-2004</v>
      </c>
      <c r="D1159" t="s">
        <v>498</v>
      </c>
      <c r="E1159">
        <v>15</v>
      </c>
    </row>
    <row r="1160" spans="1:5" x14ac:dyDescent="0.3">
      <c r="A1160" t="s">
        <v>16</v>
      </c>
      <c r="B1160">
        <v>2004</v>
      </c>
      <c r="C1160" t="str">
        <f>_xlfn.CONCAT(Table16[[#This Row],[STATE]],"-",Table16[[#This Row],[YEAR]])</f>
        <v>Jharkhand-2004</v>
      </c>
      <c r="D1160" t="s">
        <v>509</v>
      </c>
      <c r="E1160">
        <v>7</v>
      </c>
    </row>
    <row r="1161" spans="1:5" x14ac:dyDescent="0.3">
      <c r="A1161" t="s">
        <v>16</v>
      </c>
      <c r="B1161">
        <v>2004</v>
      </c>
      <c r="C1161" t="str">
        <f>_xlfn.CONCAT(Table16[[#This Row],[STATE]],"-",Table16[[#This Row],[YEAR]])</f>
        <v>Jharkhand-2004</v>
      </c>
      <c r="D1161" t="s">
        <v>510</v>
      </c>
      <c r="E1161">
        <v>150</v>
      </c>
    </row>
    <row r="1162" spans="1:5" x14ac:dyDescent="0.3">
      <c r="A1162" t="s">
        <v>16</v>
      </c>
      <c r="B1162">
        <v>2004</v>
      </c>
      <c r="C1162" t="str">
        <f>_xlfn.CONCAT(Table16[[#This Row],[STATE]],"-",Table16[[#This Row],[YEAR]])</f>
        <v>Jharkhand-2004</v>
      </c>
      <c r="D1162" t="s">
        <v>511</v>
      </c>
      <c r="E1162">
        <v>10</v>
      </c>
    </row>
    <row r="1163" spans="1:5" x14ac:dyDescent="0.3">
      <c r="A1163" t="s">
        <v>16</v>
      </c>
      <c r="B1163">
        <v>2004</v>
      </c>
      <c r="C1163" t="str">
        <f>_xlfn.CONCAT(Table16[[#This Row],[STATE]],"-",Table16[[#This Row],[YEAR]])</f>
        <v>Jharkhand-2004</v>
      </c>
      <c r="D1163" t="s">
        <v>266</v>
      </c>
      <c r="E1163">
        <v>9</v>
      </c>
    </row>
    <row r="1164" spans="1:5" x14ac:dyDescent="0.3">
      <c r="A1164" t="s">
        <v>16</v>
      </c>
      <c r="B1164">
        <v>2004</v>
      </c>
      <c r="C1164" t="str">
        <f>_xlfn.CONCAT(Table16[[#This Row],[STATE]],"-",Table16[[#This Row],[YEAR]])</f>
        <v>Jharkhand-2004</v>
      </c>
      <c r="D1164" t="s">
        <v>163</v>
      </c>
      <c r="E1164">
        <v>7</v>
      </c>
    </row>
    <row r="1165" spans="1:5" x14ac:dyDescent="0.3">
      <c r="A1165" t="s">
        <v>16</v>
      </c>
      <c r="B1165">
        <v>2004</v>
      </c>
      <c r="C1165" t="str">
        <f>_xlfn.CONCAT(Table16[[#This Row],[STATE]],"-",Table16[[#This Row],[YEAR]])</f>
        <v>Jharkhand-2004</v>
      </c>
      <c r="D1165" t="s">
        <v>512</v>
      </c>
      <c r="E1165">
        <v>5</v>
      </c>
    </row>
    <row r="1166" spans="1:5" x14ac:dyDescent="0.3">
      <c r="A1166" t="s">
        <v>16</v>
      </c>
      <c r="B1166">
        <v>2004</v>
      </c>
      <c r="C1166" t="str">
        <f>_xlfn.CONCAT(Table16[[#This Row],[STATE]],"-",Table16[[#This Row],[YEAR]])</f>
        <v>Jharkhand-2004</v>
      </c>
      <c r="D1166" t="s">
        <v>103</v>
      </c>
      <c r="E1166">
        <v>81</v>
      </c>
    </row>
    <row r="1167" spans="1:5" x14ac:dyDescent="0.3">
      <c r="A1167" t="s">
        <v>16</v>
      </c>
      <c r="B1167">
        <v>2004</v>
      </c>
      <c r="C1167" t="str">
        <f>_xlfn.CONCAT(Table16[[#This Row],[STATE]],"-",Table16[[#This Row],[YEAR]])</f>
        <v>Jharkhand-2004</v>
      </c>
      <c r="D1167" t="s">
        <v>90</v>
      </c>
      <c r="E1167">
        <v>108</v>
      </c>
    </row>
    <row r="1168" spans="1:5" x14ac:dyDescent="0.3">
      <c r="A1168" t="s">
        <v>16</v>
      </c>
      <c r="B1168">
        <v>2004</v>
      </c>
      <c r="C1168" t="str">
        <f>_xlfn.CONCAT(Table16[[#This Row],[STATE]],"-",Table16[[#This Row],[YEAR]])</f>
        <v>Jharkhand-2004</v>
      </c>
      <c r="D1168" t="s">
        <v>201</v>
      </c>
      <c r="E1168">
        <v>220</v>
      </c>
    </row>
    <row r="1169" spans="1:5" x14ac:dyDescent="0.3">
      <c r="A1169" t="s">
        <v>16</v>
      </c>
      <c r="B1169">
        <v>2005</v>
      </c>
      <c r="C1169" t="str">
        <f>_xlfn.CONCAT(Table16[[#This Row],[STATE]],"-",Table16[[#This Row],[YEAR]])</f>
        <v>Jharkhand-2005</v>
      </c>
      <c r="D1169" t="s">
        <v>216</v>
      </c>
      <c r="E1169">
        <v>8768</v>
      </c>
    </row>
    <row r="1170" spans="1:5" x14ac:dyDescent="0.3">
      <c r="A1170" t="s">
        <v>16</v>
      </c>
      <c r="B1170">
        <v>2005</v>
      </c>
      <c r="C1170" t="str">
        <f>_xlfn.CONCAT(Table16[[#This Row],[STATE]],"-",Table16[[#This Row],[YEAR]])</f>
        <v>Jharkhand-2005</v>
      </c>
      <c r="D1170" t="s">
        <v>351</v>
      </c>
      <c r="E1170">
        <v>282</v>
      </c>
    </row>
    <row r="1171" spans="1:5" x14ac:dyDescent="0.3">
      <c r="A1171" t="s">
        <v>16</v>
      </c>
      <c r="B1171">
        <v>2005</v>
      </c>
      <c r="C1171" t="str">
        <f>_xlfn.CONCAT(Table16[[#This Row],[STATE]],"-",Table16[[#This Row],[YEAR]])</f>
        <v>Jharkhand-2005</v>
      </c>
      <c r="D1171" t="s">
        <v>125</v>
      </c>
      <c r="E1171">
        <v>14</v>
      </c>
    </row>
    <row r="1172" spans="1:5" x14ac:dyDescent="0.3">
      <c r="A1172" t="s">
        <v>16</v>
      </c>
      <c r="B1172">
        <v>2005</v>
      </c>
      <c r="C1172" t="str">
        <f>_xlfn.CONCAT(Table16[[#This Row],[STATE]],"-",Table16[[#This Row],[YEAR]])</f>
        <v>Jharkhand-2005</v>
      </c>
      <c r="D1172" t="s">
        <v>123</v>
      </c>
      <c r="E1172">
        <v>85</v>
      </c>
    </row>
    <row r="1173" spans="1:5" x14ac:dyDescent="0.3">
      <c r="A1173" t="s">
        <v>16</v>
      </c>
      <c r="B1173">
        <v>2005</v>
      </c>
      <c r="C1173" t="str">
        <f>_xlfn.CONCAT(Table16[[#This Row],[STATE]],"-",Table16[[#This Row],[YEAR]])</f>
        <v>Jharkhand-2005</v>
      </c>
      <c r="D1173" t="s">
        <v>230</v>
      </c>
      <c r="E1173">
        <v>35</v>
      </c>
    </row>
    <row r="1174" spans="1:5" x14ac:dyDescent="0.3">
      <c r="A1174" t="s">
        <v>16</v>
      </c>
      <c r="B1174">
        <v>2005</v>
      </c>
      <c r="C1174" t="str">
        <f>_xlfn.CONCAT(Table16[[#This Row],[STATE]],"-",Table16[[#This Row],[YEAR]])</f>
        <v>Jharkhand-2005</v>
      </c>
      <c r="D1174" t="s">
        <v>501</v>
      </c>
      <c r="E1174">
        <v>98</v>
      </c>
    </row>
    <row r="1175" spans="1:5" x14ac:dyDescent="0.3">
      <c r="A1175" t="s">
        <v>16</v>
      </c>
      <c r="B1175">
        <v>2005</v>
      </c>
      <c r="C1175" t="str">
        <f>_xlfn.CONCAT(Table16[[#This Row],[STATE]],"-",Table16[[#This Row],[YEAR]])</f>
        <v>Jharkhand-2005</v>
      </c>
      <c r="D1175" t="s">
        <v>513</v>
      </c>
      <c r="E1175">
        <v>780</v>
      </c>
    </row>
    <row r="1176" spans="1:5" x14ac:dyDescent="0.3">
      <c r="A1176" t="s">
        <v>16</v>
      </c>
      <c r="B1176">
        <v>2005</v>
      </c>
      <c r="C1176" t="str">
        <f>_xlfn.CONCAT(Table16[[#This Row],[STATE]],"-",Table16[[#This Row],[YEAR]])</f>
        <v>Jharkhand-2005</v>
      </c>
      <c r="D1176" t="s">
        <v>514</v>
      </c>
      <c r="E1176">
        <v>20</v>
      </c>
    </row>
    <row r="1177" spans="1:5" x14ac:dyDescent="0.3">
      <c r="A1177" t="s">
        <v>16</v>
      </c>
      <c r="B1177">
        <v>2005</v>
      </c>
      <c r="C1177" t="str">
        <f>_xlfn.CONCAT(Table16[[#This Row],[STATE]],"-",Table16[[#This Row],[YEAR]])</f>
        <v>Jharkhand-2005</v>
      </c>
      <c r="D1177" t="s">
        <v>515</v>
      </c>
      <c r="E1177">
        <v>282</v>
      </c>
    </row>
    <row r="1178" spans="1:5" x14ac:dyDescent="0.3">
      <c r="A1178" t="s">
        <v>16</v>
      </c>
      <c r="B1178">
        <v>2005</v>
      </c>
      <c r="C1178" t="str">
        <f>_xlfn.CONCAT(Table16[[#This Row],[STATE]],"-",Table16[[#This Row],[YEAR]])</f>
        <v>Jharkhand-2005</v>
      </c>
      <c r="D1178" t="s">
        <v>516</v>
      </c>
      <c r="E1178">
        <v>238</v>
      </c>
    </row>
    <row r="1179" spans="1:5" x14ac:dyDescent="0.3">
      <c r="A1179" t="s">
        <v>16</v>
      </c>
      <c r="B1179">
        <v>2005</v>
      </c>
      <c r="C1179" t="str">
        <f>_xlfn.CONCAT(Table16[[#This Row],[STATE]],"-",Table16[[#This Row],[YEAR]])</f>
        <v>Jharkhand-2005</v>
      </c>
      <c r="D1179" t="s">
        <v>182</v>
      </c>
      <c r="E1179">
        <v>1446</v>
      </c>
    </row>
    <row r="1180" spans="1:5" x14ac:dyDescent="0.3">
      <c r="A1180" t="s">
        <v>16</v>
      </c>
      <c r="B1180">
        <v>2005</v>
      </c>
      <c r="C1180" t="str">
        <f>_xlfn.CONCAT(Table16[[#This Row],[STATE]],"-",Table16[[#This Row],[YEAR]])</f>
        <v>Jharkhand-2005</v>
      </c>
      <c r="D1180" t="s">
        <v>506</v>
      </c>
      <c r="E1180">
        <v>55</v>
      </c>
    </row>
    <row r="1181" spans="1:5" x14ac:dyDescent="0.3">
      <c r="A1181" t="s">
        <v>16</v>
      </c>
      <c r="B1181">
        <v>2005</v>
      </c>
      <c r="C1181" t="str">
        <f>_xlfn.CONCAT(Table16[[#This Row],[STATE]],"-",Table16[[#This Row],[YEAR]])</f>
        <v>Jharkhand-2005</v>
      </c>
      <c r="D1181" t="s">
        <v>517</v>
      </c>
      <c r="E1181">
        <v>112</v>
      </c>
    </row>
    <row r="1182" spans="1:5" x14ac:dyDescent="0.3">
      <c r="A1182" t="s">
        <v>16</v>
      </c>
      <c r="B1182">
        <v>2005</v>
      </c>
      <c r="C1182" t="str">
        <f>_xlfn.CONCAT(Table16[[#This Row],[STATE]],"-",Table16[[#This Row],[YEAR]])</f>
        <v>Jharkhand-2005</v>
      </c>
      <c r="D1182" t="s">
        <v>350</v>
      </c>
      <c r="E1182">
        <v>226</v>
      </c>
    </row>
    <row r="1183" spans="1:5" x14ac:dyDescent="0.3">
      <c r="A1183" t="s">
        <v>16</v>
      </c>
      <c r="B1183">
        <v>2005</v>
      </c>
      <c r="C1183" t="str">
        <f>_xlfn.CONCAT(Table16[[#This Row],[STATE]],"-",Table16[[#This Row],[YEAR]])</f>
        <v>Jharkhand-2005</v>
      </c>
      <c r="D1183" t="s">
        <v>281</v>
      </c>
      <c r="E1183">
        <v>35</v>
      </c>
    </row>
    <row r="1184" spans="1:5" x14ac:dyDescent="0.3">
      <c r="A1184" t="s">
        <v>16</v>
      </c>
      <c r="B1184">
        <v>2005</v>
      </c>
      <c r="C1184" t="str">
        <f>_xlfn.CONCAT(Table16[[#This Row],[STATE]],"-",Table16[[#This Row],[YEAR]])</f>
        <v>Jharkhand-2005</v>
      </c>
      <c r="D1184" t="s">
        <v>215</v>
      </c>
      <c r="E1184">
        <v>795</v>
      </c>
    </row>
    <row r="1185" spans="1:5" x14ac:dyDescent="0.3">
      <c r="A1185" t="s">
        <v>16</v>
      </c>
      <c r="B1185">
        <v>2005</v>
      </c>
      <c r="C1185" t="str">
        <f>_xlfn.CONCAT(Table16[[#This Row],[STATE]],"-",Table16[[#This Row],[YEAR]])</f>
        <v>Jharkhand-2005</v>
      </c>
      <c r="D1185" t="s">
        <v>209</v>
      </c>
      <c r="E1185">
        <v>282</v>
      </c>
    </row>
    <row r="1186" spans="1:5" x14ac:dyDescent="0.3">
      <c r="A1186" t="s">
        <v>16</v>
      </c>
      <c r="B1186">
        <v>2005</v>
      </c>
      <c r="C1186" t="str">
        <f>_xlfn.CONCAT(Table16[[#This Row],[STATE]],"-",Table16[[#This Row],[YEAR]])</f>
        <v>Jharkhand-2005</v>
      </c>
      <c r="D1186" t="s">
        <v>266</v>
      </c>
      <c r="E1186">
        <v>10</v>
      </c>
    </row>
    <row r="1187" spans="1:5" x14ac:dyDescent="0.3">
      <c r="A1187" t="s">
        <v>16</v>
      </c>
      <c r="B1187">
        <v>2005</v>
      </c>
      <c r="C1187" t="str">
        <f>_xlfn.CONCAT(Table16[[#This Row],[STATE]],"-",Table16[[#This Row],[YEAR]])</f>
        <v>Jharkhand-2005</v>
      </c>
      <c r="D1187" t="s">
        <v>518</v>
      </c>
      <c r="E1187">
        <v>226</v>
      </c>
    </row>
    <row r="1188" spans="1:5" x14ac:dyDescent="0.3">
      <c r="A1188" t="s">
        <v>16</v>
      </c>
      <c r="B1188">
        <v>2005</v>
      </c>
      <c r="C1188" t="str">
        <f>_xlfn.CONCAT(Table16[[#This Row],[STATE]],"-",Table16[[#This Row],[YEAR]])</f>
        <v>Jharkhand-2005</v>
      </c>
      <c r="D1188" t="s">
        <v>163</v>
      </c>
      <c r="E1188">
        <v>31</v>
      </c>
    </row>
    <row r="1189" spans="1:5" x14ac:dyDescent="0.3">
      <c r="A1189" t="s">
        <v>16</v>
      </c>
      <c r="B1189">
        <v>2005</v>
      </c>
      <c r="C1189" t="str">
        <f>_xlfn.CONCAT(Table16[[#This Row],[STATE]],"-",Table16[[#This Row],[YEAR]])</f>
        <v>Jharkhand-2005</v>
      </c>
      <c r="D1189" t="s">
        <v>103</v>
      </c>
      <c r="E1189">
        <v>129</v>
      </c>
    </row>
    <row r="1190" spans="1:5" x14ac:dyDescent="0.3">
      <c r="A1190" t="s">
        <v>16</v>
      </c>
      <c r="B1190">
        <v>2005</v>
      </c>
      <c r="C1190" t="str">
        <f>_xlfn.CONCAT(Table16[[#This Row],[STATE]],"-",Table16[[#This Row],[YEAR]])</f>
        <v>Jharkhand-2005</v>
      </c>
      <c r="D1190" t="s">
        <v>90</v>
      </c>
      <c r="E1190">
        <v>72</v>
      </c>
    </row>
    <row r="1191" spans="1:5" x14ac:dyDescent="0.3">
      <c r="A1191" t="s">
        <v>16</v>
      </c>
      <c r="B1191">
        <v>2005</v>
      </c>
      <c r="C1191" t="str">
        <f>_xlfn.CONCAT(Table16[[#This Row],[STATE]],"-",Table16[[#This Row],[YEAR]])</f>
        <v>Jharkhand-2005</v>
      </c>
      <c r="D1191" t="s">
        <v>519</v>
      </c>
      <c r="E1191">
        <v>545</v>
      </c>
    </row>
    <row r="1192" spans="1:5" x14ac:dyDescent="0.3">
      <c r="A1192" t="s">
        <v>16</v>
      </c>
      <c r="B1192">
        <v>2005</v>
      </c>
      <c r="C1192" t="str">
        <f>_xlfn.CONCAT(Table16[[#This Row],[STATE]],"-",Table16[[#This Row],[YEAR]])</f>
        <v>Jharkhand-2005</v>
      </c>
      <c r="D1192" t="s">
        <v>201</v>
      </c>
      <c r="E1192">
        <v>120</v>
      </c>
    </row>
    <row r="1193" spans="1:5" x14ac:dyDescent="0.3">
      <c r="A1193" t="s">
        <v>16</v>
      </c>
      <c r="B1193">
        <v>2005</v>
      </c>
      <c r="C1193" t="str">
        <f>_xlfn.CONCAT(Table16[[#This Row],[STATE]],"-",Table16[[#This Row],[YEAR]])</f>
        <v>Jharkhand-2005</v>
      </c>
      <c r="D1193" t="s">
        <v>520</v>
      </c>
      <c r="E1193">
        <v>25</v>
      </c>
    </row>
    <row r="1194" spans="1:5" x14ac:dyDescent="0.3">
      <c r="A1194" t="s">
        <v>16</v>
      </c>
      <c r="B1194">
        <v>2005</v>
      </c>
      <c r="C1194" t="str">
        <f>_xlfn.CONCAT(Table16[[#This Row],[STATE]],"-",Table16[[#This Row],[YEAR]])</f>
        <v>Jharkhand-2005</v>
      </c>
      <c r="D1194" t="s">
        <v>521</v>
      </c>
      <c r="E1194">
        <v>282</v>
      </c>
    </row>
    <row r="1195" spans="1:5" x14ac:dyDescent="0.3">
      <c r="A1195" t="s">
        <v>16</v>
      </c>
      <c r="B1195">
        <v>2006</v>
      </c>
      <c r="C1195" t="str">
        <f>_xlfn.CONCAT(Table16[[#This Row],[STATE]],"-",Table16[[#This Row],[YEAR]])</f>
        <v>Jharkhand-2006</v>
      </c>
      <c r="D1195" t="s">
        <v>522</v>
      </c>
      <c r="E1195">
        <v>19</v>
      </c>
    </row>
    <row r="1196" spans="1:5" x14ac:dyDescent="0.3">
      <c r="A1196" t="s">
        <v>16</v>
      </c>
      <c r="B1196">
        <v>2006</v>
      </c>
      <c r="C1196" t="str">
        <f>_xlfn.CONCAT(Table16[[#This Row],[STATE]],"-",Table16[[#This Row],[YEAR]])</f>
        <v>Jharkhand-2006</v>
      </c>
      <c r="D1196" t="s">
        <v>523</v>
      </c>
      <c r="E1196">
        <v>26</v>
      </c>
    </row>
    <row r="1197" spans="1:5" x14ac:dyDescent="0.3">
      <c r="A1197" t="s">
        <v>16</v>
      </c>
      <c r="B1197">
        <v>2006</v>
      </c>
      <c r="C1197" t="str">
        <f>_xlfn.CONCAT(Table16[[#This Row],[STATE]],"-",Table16[[#This Row],[YEAR]])</f>
        <v>Jharkhand-2006</v>
      </c>
      <c r="D1197" t="s">
        <v>524</v>
      </c>
      <c r="E1197">
        <v>85</v>
      </c>
    </row>
    <row r="1198" spans="1:5" x14ac:dyDescent="0.3">
      <c r="A1198" t="s">
        <v>16</v>
      </c>
      <c r="B1198">
        <v>2006</v>
      </c>
      <c r="C1198" t="str">
        <f>_xlfn.CONCAT(Table16[[#This Row],[STATE]],"-",Table16[[#This Row],[YEAR]])</f>
        <v>Jharkhand-2006</v>
      </c>
      <c r="D1198" t="s">
        <v>525</v>
      </c>
      <c r="E1198">
        <v>36</v>
      </c>
    </row>
    <row r="1199" spans="1:5" x14ac:dyDescent="0.3">
      <c r="A1199" t="s">
        <v>16</v>
      </c>
      <c r="B1199">
        <v>2006</v>
      </c>
      <c r="C1199" t="str">
        <f>_xlfn.CONCAT(Table16[[#This Row],[STATE]],"-",Table16[[#This Row],[YEAR]])</f>
        <v>Jharkhand-2006</v>
      </c>
      <c r="D1199" t="s">
        <v>502</v>
      </c>
      <c r="E1199">
        <v>85</v>
      </c>
    </row>
    <row r="1200" spans="1:5" x14ac:dyDescent="0.3">
      <c r="A1200" t="s">
        <v>16</v>
      </c>
      <c r="B1200">
        <v>2006</v>
      </c>
      <c r="C1200" t="str">
        <f>_xlfn.CONCAT(Table16[[#This Row],[STATE]],"-",Table16[[#This Row],[YEAR]])</f>
        <v>Jharkhand-2006</v>
      </c>
      <c r="D1200" t="s">
        <v>526</v>
      </c>
      <c r="E1200">
        <v>1</v>
      </c>
    </row>
    <row r="1201" spans="1:5" x14ac:dyDescent="0.3">
      <c r="A1201" t="s">
        <v>16</v>
      </c>
      <c r="B1201">
        <v>2006</v>
      </c>
      <c r="C1201" t="str">
        <f>_xlfn.CONCAT(Table16[[#This Row],[STATE]],"-",Table16[[#This Row],[YEAR]])</f>
        <v>Jharkhand-2006</v>
      </c>
      <c r="D1201" t="s">
        <v>527</v>
      </c>
      <c r="E1201">
        <v>61</v>
      </c>
    </row>
    <row r="1202" spans="1:5" x14ac:dyDescent="0.3">
      <c r="A1202" t="s">
        <v>16</v>
      </c>
      <c r="B1202">
        <v>2006</v>
      </c>
      <c r="C1202" t="str">
        <f>_xlfn.CONCAT(Table16[[#This Row],[STATE]],"-",Table16[[#This Row],[YEAR]])</f>
        <v>Jharkhand-2006</v>
      </c>
      <c r="D1202" t="s">
        <v>528</v>
      </c>
      <c r="E1202">
        <v>180</v>
      </c>
    </row>
    <row r="1203" spans="1:5" x14ac:dyDescent="0.3">
      <c r="A1203" t="s">
        <v>16</v>
      </c>
      <c r="B1203">
        <v>2006</v>
      </c>
      <c r="C1203" t="str">
        <f>_xlfn.CONCAT(Table16[[#This Row],[STATE]],"-",Table16[[#This Row],[YEAR]])</f>
        <v>Jharkhand-2006</v>
      </c>
      <c r="D1203" t="s">
        <v>230</v>
      </c>
      <c r="E1203">
        <v>86</v>
      </c>
    </row>
    <row r="1204" spans="1:5" x14ac:dyDescent="0.3">
      <c r="A1204" t="s">
        <v>16</v>
      </c>
      <c r="B1204">
        <v>2006</v>
      </c>
      <c r="C1204" t="str">
        <f>_xlfn.CONCAT(Table16[[#This Row],[STATE]],"-",Table16[[#This Row],[YEAR]])</f>
        <v>Jharkhand-2006</v>
      </c>
      <c r="D1204" t="s">
        <v>513</v>
      </c>
      <c r="E1204">
        <v>1140</v>
      </c>
    </row>
    <row r="1205" spans="1:5" x14ac:dyDescent="0.3">
      <c r="A1205" t="s">
        <v>16</v>
      </c>
      <c r="B1205">
        <v>2006</v>
      </c>
      <c r="C1205" t="str">
        <f>_xlfn.CONCAT(Table16[[#This Row],[STATE]],"-",Table16[[#This Row],[YEAR]])</f>
        <v>Jharkhand-2006</v>
      </c>
      <c r="D1205" t="s">
        <v>514</v>
      </c>
      <c r="E1205">
        <v>47</v>
      </c>
    </row>
    <row r="1206" spans="1:5" x14ac:dyDescent="0.3">
      <c r="A1206" t="s">
        <v>16</v>
      </c>
      <c r="B1206">
        <v>2006</v>
      </c>
      <c r="C1206" t="str">
        <f>_xlfn.CONCAT(Table16[[#This Row],[STATE]],"-",Table16[[#This Row],[YEAR]])</f>
        <v>Jharkhand-2006</v>
      </c>
      <c r="D1206" t="s">
        <v>529</v>
      </c>
      <c r="E1206">
        <v>44</v>
      </c>
    </row>
    <row r="1207" spans="1:5" x14ac:dyDescent="0.3">
      <c r="A1207" t="s">
        <v>16</v>
      </c>
      <c r="B1207">
        <v>2006</v>
      </c>
      <c r="C1207" t="str">
        <f>_xlfn.CONCAT(Table16[[#This Row],[STATE]],"-",Table16[[#This Row],[YEAR]])</f>
        <v>Jharkhand-2006</v>
      </c>
      <c r="D1207" t="s">
        <v>530</v>
      </c>
      <c r="E1207">
        <v>40</v>
      </c>
    </row>
    <row r="1208" spans="1:5" x14ac:dyDescent="0.3">
      <c r="A1208" t="s">
        <v>16</v>
      </c>
      <c r="B1208">
        <v>2006</v>
      </c>
      <c r="C1208" t="str">
        <f>_xlfn.CONCAT(Table16[[#This Row],[STATE]],"-",Table16[[#This Row],[YEAR]])</f>
        <v>Jharkhand-2006</v>
      </c>
      <c r="D1208" t="s">
        <v>531</v>
      </c>
      <c r="E1208">
        <v>812</v>
      </c>
    </row>
    <row r="1209" spans="1:5" x14ac:dyDescent="0.3">
      <c r="A1209" t="s">
        <v>16</v>
      </c>
      <c r="B1209">
        <v>2006</v>
      </c>
      <c r="C1209" t="str">
        <f>_xlfn.CONCAT(Table16[[#This Row],[STATE]],"-",Table16[[#This Row],[YEAR]])</f>
        <v>Jharkhand-2006</v>
      </c>
      <c r="D1209" t="s">
        <v>532</v>
      </c>
      <c r="E1209">
        <v>61</v>
      </c>
    </row>
    <row r="1210" spans="1:5" x14ac:dyDescent="0.3">
      <c r="A1210" t="s">
        <v>16</v>
      </c>
      <c r="B1210">
        <v>2006</v>
      </c>
      <c r="C1210" t="str">
        <f>_xlfn.CONCAT(Table16[[#This Row],[STATE]],"-",Table16[[#This Row],[YEAR]])</f>
        <v>Jharkhand-2006</v>
      </c>
      <c r="D1210" t="s">
        <v>533</v>
      </c>
      <c r="E1210">
        <v>1867</v>
      </c>
    </row>
    <row r="1211" spans="1:5" x14ac:dyDescent="0.3">
      <c r="A1211" t="s">
        <v>16</v>
      </c>
      <c r="B1211">
        <v>2006</v>
      </c>
      <c r="C1211" t="str">
        <f>_xlfn.CONCAT(Table16[[#This Row],[STATE]],"-",Table16[[#This Row],[YEAR]])</f>
        <v>Jharkhand-2006</v>
      </c>
      <c r="D1211" t="s">
        <v>534</v>
      </c>
      <c r="E1211">
        <v>224</v>
      </c>
    </row>
    <row r="1212" spans="1:5" x14ac:dyDescent="0.3">
      <c r="A1212" t="s">
        <v>16</v>
      </c>
      <c r="B1212">
        <v>2006</v>
      </c>
      <c r="C1212" t="str">
        <f>_xlfn.CONCAT(Table16[[#This Row],[STATE]],"-",Table16[[#This Row],[YEAR]])</f>
        <v>Jharkhand-2006</v>
      </c>
      <c r="D1212" t="s">
        <v>535</v>
      </c>
      <c r="E1212">
        <v>22</v>
      </c>
    </row>
    <row r="1213" spans="1:5" x14ac:dyDescent="0.3">
      <c r="A1213" t="s">
        <v>16</v>
      </c>
      <c r="B1213">
        <v>2006</v>
      </c>
      <c r="C1213" t="str">
        <f>_xlfn.CONCAT(Table16[[#This Row],[STATE]],"-",Table16[[#This Row],[YEAR]])</f>
        <v>Jharkhand-2006</v>
      </c>
      <c r="D1213" t="s">
        <v>536</v>
      </c>
      <c r="E1213">
        <v>20</v>
      </c>
    </row>
    <row r="1214" spans="1:5" x14ac:dyDescent="0.3">
      <c r="A1214" t="s">
        <v>16</v>
      </c>
      <c r="B1214">
        <v>2006</v>
      </c>
      <c r="C1214" t="str">
        <f>_xlfn.CONCAT(Table16[[#This Row],[STATE]],"-",Table16[[#This Row],[YEAR]])</f>
        <v>Jharkhand-2006</v>
      </c>
      <c r="D1214" t="s">
        <v>537</v>
      </c>
      <c r="E1214">
        <v>66</v>
      </c>
    </row>
    <row r="1215" spans="1:5" x14ac:dyDescent="0.3">
      <c r="A1215" t="s">
        <v>16</v>
      </c>
      <c r="B1215">
        <v>2006</v>
      </c>
      <c r="C1215" t="str">
        <f>_xlfn.CONCAT(Table16[[#This Row],[STATE]],"-",Table16[[#This Row],[YEAR]])</f>
        <v>Jharkhand-2006</v>
      </c>
      <c r="D1215" t="s">
        <v>209</v>
      </c>
      <c r="E1215">
        <v>178</v>
      </c>
    </row>
    <row r="1216" spans="1:5" x14ac:dyDescent="0.3">
      <c r="A1216" t="s">
        <v>16</v>
      </c>
      <c r="B1216">
        <v>2006</v>
      </c>
      <c r="C1216" t="str">
        <f>_xlfn.CONCAT(Table16[[#This Row],[STATE]],"-",Table16[[#This Row],[YEAR]])</f>
        <v>Jharkhand-2006</v>
      </c>
      <c r="D1216" t="s">
        <v>538</v>
      </c>
      <c r="E1216">
        <v>20</v>
      </c>
    </row>
    <row r="1217" spans="1:5" x14ac:dyDescent="0.3">
      <c r="A1217" t="s">
        <v>16</v>
      </c>
      <c r="B1217">
        <v>2006</v>
      </c>
      <c r="C1217" t="str">
        <f>_xlfn.CONCAT(Table16[[#This Row],[STATE]],"-",Table16[[#This Row],[YEAR]])</f>
        <v>Jharkhand-2006</v>
      </c>
      <c r="D1217" t="s">
        <v>266</v>
      </c>
      <c r="E1217">
        <v>8</v>
      </c>
    </row>
    <row r="1218" spans="1:5" x14ac:dyDescent="0.3">
      <c r="A1218" t="s">
        <v>16</v>
      </c>
      <c r="B1218">
        <v>2006</v>
      </c>
      <c r="C1218" t="str">
        <f>_xlfn.CONCAT(Table16[[#This Row],[STATE]],"-",Table16[[#This Row],[YEAR]])</f>
        <v>Jharkhand-2006</v>
      </c>
      <c r="D1218" t="s">
        <v>163</v>
      </c>
      <c r="E1218">
        <v>21</v>
      </c>
    </row>
    <row r="1219" spans="1:5" x14ac:dyDescent="0.3">
      <c r="A1219" t="s">
        <v>16</v>
      </c>
      <c r="B1219">
        <v>2006</v>
      </c>
      <c r="C1219" t="str">
        <f>_xlfn.CONCAT(Table16[[#This Row],[STATE]],"-",Table16[[#This Row],[YEAR]])</f>
        <v>Jharkhand-2006</v>
      </c>
      <c r="D1219" t="s">
        <v>103</v>
      </c>
      <c r="E1219">
        <v>228</v>
      </c>
    </row>
    <row r="1220" spans="1:5" x14ac:dyDescent="0.3">
      <c r="A1220" t="s">
        <v>16</v>
      </c>
      <c r="B1220">
        <v>2006</v>
      </c>
      <c r="C1220" t="str">
        <f>_xlfn.CONCAT(Table16[[#This Row],[STATE]],"-",Table16[[#This Row],[YEAR]])</f>
        <v>Jharkhand-2006</v>
      </c>
      <c r="D1220" t="s">
        <v>539</v>
      </c>
      <c r="E1220">
        <v>39</v>
      </c>
    </row>
    <row r="1221" spans="1:5" x14ac:dyDescent="0.3">
      <c r="A1221" t="s">
        <v>16</v>
      </c>
      <c r="B1221">
        <v>2006</v>
      </c>
      <c r="C1221" t="str">
        <f>_xlfn.CONCAT(Table16[[#This Row],[STATE]],"-",Table16[[#This Row],[YEAR]])</f>
        <v>Jharkhand-2006</v>
      </c>
      <c r="D1221" t="s">
        <v>90</v>
      </c>
      <c r="E1221">
        <v>85</v>
      </c>
    </row>
    <row r="1222" spans="1:5" x14ac:dyDescent="0.3">
      <c r="A1222" t="s">
        <v>16</v>
      </c>
      <c r="B1222">
        <v>2006</v>
      </c>
      <c r="C1222" t="str">
        <f>_xlfn.CONCAT(Table16[[#This Row],[STATE]],"-",Table16[[#This Row],[YEAR]])</f>
        <v>Jharkhand-2006</v>
      </c>
      <c r="D1222" t="s">
        <v>201</v>
      </c>
      <c r="E1222">
        <v>747</v>
      </c>
    </row>
    <row r="1223" spans="1:5" x14ac:dyDescent="0.3">
      <c r="A1223" t="s">
        <v>16</v>
      </c>
      <c r="B1223">
        <v>2006</v>
      </c>
      <c r="C1223" t="str">
        <f>_xlfn.CONCAT(Table16[[#This Row],[STATE]],"-",Table16[[#This Row],[YEAR]])</f>
        <v>Jharkhand-2006</v>
      </c>
      <c r="D1223" t="s">
        <v>99</v>
      </c>
      <c r="E1223">
        <v>82</v>
      </c>
    </row>
    <row r="1224" spans="1:5" x14ac:dyDescent="0.3">
      <c r="A1224" t="s">
        <v>16</v>
      </c>
      <c r="B1224">
        <v>2007</v>
      </c>
      <c r="C1224" t="str">
        <f>_xlfn.CONCAT(Table16[[#This Row],[STATE]],"-",Table16[[#This Row],[YEAR]])</f>
        <v>Jharkhand-2007</v>
      </c>
      <c r="D1224" t="s">
        <v>123</v>
      </c>
      <c r="E1224">
        <v>85</v>
      </c>
    </row>
    <row r="1225" spans="1:5" x14ac:dyDescent="0.3">
      <c r="A1225" t="s">
        <v>16</v>
      </c>
      <c r="B1225">
        <v>2007</v>
      </c>
      <c r="C1225" t="str">
        <f>_xlfn.CONCAT(Table16[[#This Row],[STATE]],"-",Table16[[#This Row],[YEAR]])</f>
        <v>Jharkhand-2007</v>
      </c>
      <c r="D1225" t="s">
        <v>230</v>
      </c>
      <c r="E1225">
        <v>0</v>
      </c>
    </row>
    <row r="1226" spans="1:5" x14ac:dyDescent="0.3">
      <c r="A1226" t="s">
        <v>16</v>
      </c>
      <c r="B1226">
        <v>2007</v>
      </c>
      <c r="C1226" t="str">
        <f>_xlfn.CONCAT(Table16[[#This Row],[STATE]],"-",Table16[[#This Row],[YEAR]])</f>
        <v>Jharkhand-2007</v>
      </c>
      <c r="D1226" t="s">
        <v>185</v>
      </c>
      <c r="E1226">
        <v>570</v>
      </c>
    </row>
    <row r="1227" spans="1:5" x14ac:dyDescent="0.3">
      <c r="A1227" t="s">
        <v>16</v>
      </c>
      <c r="B1227">
        <v>2007</v>
      </c>
      <c r="C1227" t="str">
        <f>_xlfn.CONCAT(Table16[[#This Row],[STATE]],"-",Table16[[#This Row],[YEAR]])</f>
        <v>Jharkhand-2007</v>
      </c>
      <c r="D1227" t="s">
        <v>514</v>
      </c>
      <c r="E1227">
        <v>12</v>
      </c>
    </row>
    <row r="1228" spans="1:5" x14ac:dyDescent="0.3">
      <c r="A1228" t="s">
        <v>16</v>
      </c>
      <c r="B1228">
        <v>2007</v>
      </c>
      <c r="C1228" t="str">
        <f>_xlfn.CONCAT(Table16[[#This Row],[STATE]],"-",Table16[[#This Row],[YEAR]])</f>
        <v>Jharkhand-2007</v>
      </c>
      <c r="D1228" t="s">
        <v>182</v>
      </c>
      <c r="E1228">
        <v>846</v>
      </c>
    </row>
    <row r="1229" spans="1:5" x14ac:dyDescent="0.3">
      <c r="A1229" t="s">
        <v>16</v>
      </c>
      <c r="B1229">
        <v>2007</v>
      </c>
      <c r="C1229" t="str">
        <f>_xlfn.CONCAT(Table16[[#This Row],[STATE]],"-",Table16[[#This Row],[YEAR]])</f>
        <v>Jharkhand-2007</v>
      </c>
      <c r="D1229" t="s">
        <v>540</v>
      </c>
      <c r="E1229">
        <v>12</v>
      </c>
    </row>
    <row r="1230" spans="1:5" x14ac:dyDescent="0.3">
      <c r="A1230" t="s">
        <v>16</v>
      </c>
      <c r="B1230">
        <v>2007</v>
      </c>
      <c r="C1230" t="str">
        <f>_xlfn.CONCAT(Table16[[#This Row],[STATE]],"-",Table16[[#This Row],[YEAR]])</f>
        <v>Jharkhand-2007</v>
      </c>
      <c r="D1230" t="s">
        <v>534</v>
      </c>
      <c r="E1230">
        <v>112</v>
      </c>
    </row>
    <row r="1231" spans="1:5" x14ac:dyDescent="0.3">
      <c r="A1231" t="s">
        <v>16</v>
      </c>
      <c r="B1231">
        <v>2007</v>
      </c>
      <c r="C1231" t="str">
        <f>_xlfn.CONCAT(Table16[[#This Row],[STATE]],"-",Table16[[#This Row],[YEAR]])</f>
        <v>Jharkhand-2007</v>
      </c>
      <c r="D1231" t="s">
        <v>101</v>
      </c>
      <c r="E1231">
        <v>160</v>
      </c>
    </row>
    <row r="1232" spans="1:5" x14ac:dyDescent="0.3">
      <c r="A1232" t="s">
        <v>16</v>
      </c>
      <c r="B1232">
        <v>2007</v>
      </c>
      <c r="C1232" t="str">
        <f>_xlfn.CONCAT(Table16[[#This Row],[STATE]],"-",Table16[[#This Row],[YEAR]])</f>
        <v>Jharkhand-2007</v>
      </c>
      <c r="D1232" t="s">
        <v>101</v>
      </c>
      <c r="E1232">
        <v>10</v>
      </c>
    </row>
    <row r="1233" spans="1:5" x14ac:dyDescent="0.3">
      <c r="A1233" t="s">
        <v>16</v>
      </c>
      <c r="B1233">
        <v>2007</v>
      </c>
      <c r="C1233" t="str">
        <f>_xlfn.CONCAT(Table16[[#This Row],[STATE]],"-",Table16[[#This Row],[YEAR]])</f>
        <v>Jharkhand-2007</v>
      </c>
      <c r="D1233" t="s">
        <v>541</v>
      </c>
      <c r="E1233">
        <v>20</v>
      </c>
    </row>
    <row r="1234" spans="1:5" x14ac:dyDescent="0.3">
      <c r="A1234" t="s">
        <v>16</v>
      </c>
      <c r="B1234">
        <v>2007</v>
      </c>
      <c r="C1234" t="str">
        <f>_xlfn.CONCAT(Table16[[#This Row],[STATE]],"-",Table16[[#This Row],[YEAR]])</f>
        <v>Jharkhand-2007</v>
      </c>
      <c r="D1234" t="s">
        <v>266</v>
      </c>
      <c r="E1234">
        <v>25</v>
      </c>
    </row>
    <row r="1235" spans="1:5" x14ac:dyDescent="0.3">
      <c r="A1235" t="s">
        <v>16</v>
      </c>
      <c r="B1235">
        <v>2007</v>
      </c>
      <c r="C1235" t="str">
        <f>_xlfn.CONCAT(Table16[[#This Row],[STATE]],"-",Table16[[#This Row],[YEAR]])</f>
        <v>Jharkhand-2007</v>
      </c>
      <c r="D1235" t="s">
        <v>102</v>
      </c>
      <c r="E1235">
        <v>25</v>
      </c>
    </row>
    <row r="1236" spans="1:5" x14ac:dyDescent="0.3">
      <c r="A1236" t="s">
        <v>16</v>
      </c>
      <c r="B1236">
        <v>2007</v>
      </c>
      <c r="C1236" t="str">
        <f>_xlfn.CONCAT(Table16[[#This Row],[STATE]],"-",Table16[[#This Row],[YEAR]])</f>
        <v>Jharkhand-2007</v>
      </c>
      <c r="D1236" t="s">
        <v>103</v>
      </c>
      <c r="E1236">
        <v>163</v>
      </c>
    </row>
    <row r="1237" spans="1:5" x14ac:dyDescent="0.3">
      <c r="A1237" t="s">
        <v>16</v>
      </c>
      <c r="B1237">
        <v>2007</v>
      </c>
      <c r="C1237" t="str">
        <f>_xlfn.CONCAT(Table16[[#This Row],[STATE]],"-",Table16[[#This Row],[YEAR]])</f>
        <v>Jharkhand-2007</v>
      </c>
      <c r="D1237" t="s">
        <v>90</v>
      </c>
      <c r="E1237">
        <v>28</v>
      </c>
    </row>
    <row r="1238" spans="1:5" x14ac:dyDescent="0.3">
      <c r="A1238" t="s">
        <v>16</v>
      </c>
      <c r="B1238">
        <v>2007</v>
      </c>
      <c r="C1238" t="str">
        <f>_xlfn.CONCAT(Table16[[#This Row],[STATE]],"-",Table16[[#This Row],[YEAR]])</f>
        <v>Jharkhand-2007</v>
      </c>
      <c r="D1238" t="s">
        <v>90</v>
      </c>
      <c r="E1238">
        <v>450</v>
      </c>
    </row>
    <row r="1239" spans="1:5" x14ac:dyDescent="0.3">
      <c r="A1239" t="s">
        <v>16</v>
      </c>
      <c r="B1239">
        <v>2007</v>
      </c>
      <c r="C1239" t="str">
        <f>_xlfn.CONCAT(Table16[[#This Row],[STATE]],"-",Table16[[#This Row],[YEAR]])</f>
        <v>Jharkhand-2007</v>
      </c>
      <c r="D1239" t="s">
        <v>219</v>
      </c>
      <c r="E1239">
        <v>518</v>
      </c>
    </row>
    <row r="1240" spans="1:5" x14ac:dyDescent="0.3">
      <c r="A1240" t="s">
        <v>16</v>
      </c>
      <c r="B1240">
        <v>2007</v>
      </c>
      <c r="C1240" t="str">
        <f>_xlfn.CONCAT(Table16[[#This Row],[STATE]],"-",Table16[[#This Row],[YEAR]])</f>
        <v>Jharkhand-2007</v>
      </c>
      <c r="D1240" t="s">
        <v>215</v>
      </c>
      <c r="E1240">
        <v>807</v>
      </c>
    </row>
    <row r="1241" spans="1:5" x14ac:dyDescent="0.3">
      <c r="A1241" t="s">
        <v>16</v>
      </c>
      <c r="B1241">
        <v>2007</v>
      </c>
      <c r="C1241" t="str">
        <f>_xlfn.CONCAT(Table16[[#This Row],[STATE]],"-",Table16[[#This Row],[YEAR]])</f>
        <v>Jharkhand-2007</v>
      </c>
      <c r="D1241" t="s">
        <v>101</v>
      </c>
      <c r="E1241">
        <v>50</v>
      </c>
    </row>
    <row r="1242" spans="1:5" x14ac:dyDescent="0.3">
      <c r="A1242" t="s">
        <v>16</v>
      </c>
      <c r="B1242">
        <v>2007</v>
      </c>
      <c r="C1242" t="str">
        <f>_xlfn.CONCAT(Table16[[#This Row],[STATE]],"-",Table16[[#This Row],[YEAR]])</f>
        <v>Jharkhand-2007</v>
      </c>
      <c r="D1242" t="s">
        <v>542</v>
      </c>
      <c r="E1242">
        <v>190</v>
      </c>
    </row>
    <row r="1243" spans="1:5" x14ac:dyDescent="0.3">
      <c r="A1243" t="s">
        <v>16</v>
      </c>
      <c r="B1243">
        <v>2008</v>
      </c>
      <c r="C1243" t="str">
        <f>_xlfn.CONCAT(Table16[[#This Row],[STATE]],"-",Table16[[#This Row],[YEAR]])</f>
        <v>Jharkhand-2008</v>
      </c>
      <c r="D1243" t="s">
        <v>543</v>
      </c>
      <c r="E1243">
        <v>10</v>
      </c>
    </row>
    <row r="1244" spans="1:5" x14ac:dyDescent="0.3">
      <c r="A1244" t="s">
        <v>16</v>
      </c>
      <c r="B1244">
        <v>2008</v>
      </c>
      <c r="C1244" t="str">
        <f>_xlfn.CONCAT(Table16[[#This Row],[STATE]],"-",Table16[[#This Row],[YEAR]])</f>
        <v>Jharkhand-2008</v>
      </c>
      <c r="D1244" t="s">
        <v>544</v>
      </c>
      <c r="E1244">
        <v>14</v>
      </c>
    </row>
    <row r="1245" spans="1:5" x14ac:dyDescent="0.3">
      <c r="A1245" t="s">
        <v>16</v>
      </c>
      <c r="B1245">
        <v>2008</v>
      </c>
      <c r="C1245" t="str">
        <f>_xlfn.CONCAT(Table16[[#This Row],[STATE]],"-",Table16[[#This Row],[YEAR]])</f>
        <v>Jharkhand-2008</v>
      </c>
      <c r="D1245" t="s">
        <v>545</v>
      </c>
      <c r="E1245">
        <v>18</v>
      </c>
    </row>
    <row r="1246" spans="1:5" x14ac:dyDescent="0.3">
      <c r="A1246" t="s">
        <v>16</v>
      </c>
      <c r="B1246">
        <v>2008</v>
      </c>
      <c r="C1246" t="str">
        <f>_xlfn.CONCAT(Table16[[#This Row],[STATE]],"-",Table16[[#This Row],[YEAR]])</f>
        <v>Jharkhand-2008</v>
      </c>
      <c r="D1246" t="s">
        <v>163</v>
      </c>
      <c r="E1246">
        <v>40</v>
      </c>
    </row>
    <row r="1247" spans="1:5" x14ac:dyDescent="0.3">
      <c r="A1247" t="s">
        <v>16</v>
      </c>
      <c r="B1247">
        <v>2008</v>
      </c>
      <c r="C1247" t="str">
        <f>_xlfn.CONCAT(Table16[[#This Row],[STATE]],"-",Table16[[#This Row],[YEAR]])</f>
        <v>Jharkhand-2008</v>
      </c>
      <c r="D1247" t="s">
        <v>502</v>
      </c>
      <c r="E1247">
        <v>85</v>
      </c>
    </row>
    <row r="1248" spans="1:5" x14ac:dyDescent="0.3">
      <c r="A1248" t="s">
        <v>16</v>
      </c>
      <c r="B1248">
        <v>2008</v>
      </c>
      <c r="C1248" t="str">
        <f>_xlfn.CONCAT(Table16[[#This Row],[STATE]],"-",Table16[[#This Row],[YEAR]])</f>
        <v>Jharkhand-2008</v>
      </c>
      <c r="D1248" t="s">
        <v>230</v>
      </c>
      <c r="E1248">
        <v>45</v>
      </c>
    </row>
    <row r="1249" spans="1:5" x14ac:dyDescent="0.3">
      <c r="A1249" t="s">
        <v>16</v>
      </c>
      <c r="B1249">
        <v>2008</v>
      </c>
      <c r="C1249" t="str">
        <f>_xlfn.CONCAT(Table16[[#This Row],[STATE]],"-",Table16[[#This Row],[YEAR]])</f>
        <v>Jharkhand-2008</v>
      </c>
      <c r="D1249" t="s">
        <v>546</v>
      </c>
      <c r="E1249">
        <v>370</v>
      </c>
    </row>
    <row r="1250" spans="1:5" x14ac:dyDescent="0.3">
      <c r="A1250" t="s">
        <v>16</v>
      </c>
      <c r="B1250">
        <v>2008</v>
      </c>
      <c r="C1250" t="str">
        <f>_xlfn.CONCAT(Table16[[#This Row],[STATE]],"-",Table16[[#This Row],[YEAR]])</f>
        <v>Jharkhand-2008</v>
      </c>
      <c r="D1250" t="s">
        <v>547</v>
      </c>
      <c r="E1250">
        <v>20</v>
      </c>
    </row>
    <row r="1251" spans="1:5" x14ac:dyDescent="0.3">
      <c r="A1251" t="s">
        <v>16</v>
      </c>
      <c r="B1251">
        <v>2008</v>
      </c>
      <c r="C1251" t="str">
        <f>_xlfn.CONCAT(Table16[[#This Row],[STATE]],"-",Table16[[#This Row],[YEAR]])</f>
        <v>Jharkhand-2008</v>
      </c>
      <c r="D1251" t="s">
        <v>548</v>
      </c>
      <c r="E1251">
        <v>44</v>
      </c>
    </row>
    <row r="1252" spans="1:5" x14ac:dyDescent="0.3">
      <c r="A1252" t="s">
        <v>16</v>
      </c>
      <c r="B1252">
        <v>2008</v>
      </c>
      <c r="C1252" t="str">
        <f>_xlfn.CONCAT(Table16[[#This Row],[STATE]],"-",Table16[[#This Row],[YEAR]])</f>
        <v>Jharkhand-2008</v>
      </c>
      <c r="D1252" t="s">
        <v>549</v>
      </c>
      <c r="E1252">
        <v>5</v>
      </c>
    </row>
    <row r="1253" spans="1:5" x14ac:dyDescent="0.3">
      <c r="A1253" t="s">
        <v>16</v>
      </c>
      <c r="B1253">
        <v>2008</v>
      </c>
      <c r="C1253" t="str">
        <f>_xlfn.CONCAT(Table16[[#This Row],[STATE]],"-",Table16[[#This Row],[YEAR]])</f>
        <v>Jharkhand-2008</v>
      </c>
      <c r="D1253" t="s">
        <v>151</v>
      </c>
      <c r="E1253">
        <v>10</v>
      </c>
    </row>
    <row r="1254" spans="1:5" x14ac:dyDescent="0.3">
      <c r="A1254" t="s">
        <v>16</v>
      </c>
      <c r="B1254">
        <v>2008</v>
      </c>
      <c r="C1254" t="str">
        <f>_xlfn.CONCAT(Table16[[#This Row],[STATE]],"-",Table16[[#This Row],[YEAR]])</f>
        <v>Jharkhand-2008</v>
      </c>
      <c r="D1254" t="s">
        <v>182</v>
      </c>
      <c r="E1254">
        <v>446</v>
      </c>
    </row>
    <row r="1255" spans="1:5" x14ac:dyDescent="0.3">
      <c r="A1255" t="s">
        <v>16</v>
      </c>
      <c r="B1255">
        <v>2008</v>
      </c>
      <c r="C1255" t="str">
        <f>_xlfn.CONCAT(Table16[[#This Row],[STATE]],"-",Table16[[#This Row],[YEAR]])</f>
        <v>Jharkhand-2008</v>
      </c>
      <c r="D1255" t="s">
        <v>550</v>
      </c>
      <c r="E1255">
        <v>20</v>
      </c>
    </row>
    <row r="1256" spans="1:5" x14ac:dyDescent="0.3">
      <c r="A1256" t="s">
        <v>16</v>
      </c>
      <c r="B1256">
        <v>2008</v>
      </c>
      <c r="C1256" t="str">
        <f>_xlfn.CONCAT(Table16[[#This Row],[STATE]],"-",Table16[[#This Row],[YEAR]])</f>
        <v>Jharkhand-2008</v>
      </c>
      <c r="D1256" t="s">
        <v>551</v>
      </c>
      <c r="E1256">
        <v>112</v>
      </c>
    </row>
    <row r="1257" spans="1:5" x14ac:dyDescent="0.3">
      <c r="A1257" t="s">
        <v>16</v>
      </c>
      <c r="B1257">
        <v>2008</v>
      </c>
      <c r="C1257" t="str">
        <f>_xlfn.CONCAT(Table16[[#This Row],[STATE]],"-",Table16[[#This Row],[YEAR]])</f>
        <v>Jharkhand-2008</v>
      </c>
      <c r="D1257" t="s">
        <v>357</v>
      </c>
      <c r="E1257">
        <v>14</v>
      </c>
    </row>
    <row r="1258" spans="1:5" x14ac:dyDescent="0.3">
      <c r="A1258" t="s">
        <v>16</v>
      </c>
      <c r="B1258">
        <v>2008</v>
      </c>
      <c r="C1258" t="str">
        <f>_xlfn.CONCAT(Table16[[#This Row],[STATE]],"-",Table16[[#This Row],[YEAR]])</f>
        <v>Jharkhand-2008</v>
      </c>
      <c r="D1258" t="s">
        <v>185</v>
      </c>
      <c r="E1258">
        <v>53</v>
      </c>
    </row>
    <row r="1259" spans="1:5" x14ac:dyDescent="0.3">
      <c r="A1259" t="s">
        <v>16</v>
      </c>
      <c r="B1259">
        <v>2008</v>
      </c>
      <c r="C1259" t="str">
        <f>_xlfn.CONCAT(Table16[[#This Row],[STATE]],"-",Table16[[#This Row],[YEAR]])</f>
        <v>Jharkhand-2008</v>
      </c>
      <c r="D1259" t="s">
        <v>323</v>
      </c>
      <c r="E1259">
        <v>18</v>
      </c>
    </row>
    <row r="1260" spans="1:5" x14ac:dyDescent="0.3">
      <c r="A1260" t="s">
        <v>16</v>
      </c>
      <c r="B1260">
        <v>2008</v>
      </c>
      <c r="C1260" t="str">
        <f>_xlfn.CONCAT(Table16[[#This Row],[STATE]],"-",Table16[[#This Row],[YEAR]])</f>
        <v>Jharkhand-2008</v>
      </c>
      <c r="D1260" t="s">
        <v>552</v>
      </c>
      <c r="E1260">
        <v>25</v>
      </c>
    </row>
    <row r="1261" spans="1:5" x14ac:dyDescent="0.3">
      <c r="A1261" t="s">
        <v>16</v>
      </c>
      <c r="B1261">
        <v>2008</v>
      </c>
      <c r="C1261" t="str">
        <f>_xlfn.CONCAT(Table16[[#This Row],[STATE]],"-",Table16[[#This Row],[YEAR]])</f>
        <v>Jharkhand-2008</v>
      </c>
      <c r="D1261" t="s">
        <v>553</v>
      </c>
      <c r="E1261">
        <v>16</v>
      </c>
    </row>
    <row r="1262" spans="1:5" x14ac:dyDescent="0.3">
      <c r="A1262" t="s">
        <v>16</v>
      </c>
      <c r="B1262">
        <v>2008</v>
      </c>
      <c r="C1262" t="str">
        <f>_xlfn.CONCAT(Table16[[#This Row],[STATE]],"-",Table16[[#This Row],[YEAR]])</f>
        <v>Jharkhand-2008</v>
      </c>
      <c r="D1262" t="s">
        <v>554</v>
      </c>
      <c r="E1262">
        <v>20</v>
      </c>
    </row>
    <row r="1263" spans="1:5" x14ac:dyDescent="0.3">
      <c r="A1263" t="s">
        <v>16</v>
      </c>
      <c r="B1263">
        <v>2008</v>
      </c>
      <c r="C1263" t="str">
        <f>_xlfn.CONCAT(Table16[[#This Row],[STATE]],"-",Table16[[#This Row],[YEAR]])</f>
        <v>Jharkhand-2008</v>
      </c>
      <c r="D1263" t="s">
        <v>483</v>
      </c>
      <c r="E1263">
        <v>50</v>
      </c>
    </row>
    <row r="1264" spans="1:5" x14ac:dyDescent="0.3">
      <c r="A1264" t="s">
        <v>16</v>
      </c>
      <c r="B1264">
        <v>2008</v>
      </c>
      <c r="C1264" t="str">
        <f>_xlfn.CONCAT(Table16[[#This Row],[STATE]],"-",Table16[[#This Row],[YEAR]])</f>
        <v>Jharkhand-2008</v>
      </c>
      <c r="D1264" t="s">
        <v>151</v>
      </c>
      <c r="E1264">
        <v>5</v>
      </c>
    </row>
    <row r="1265" spans="1:5" x14ac:dyDescent="0.3">
      <c r="A1265" t="s">
        <v>16</v>
      </c>
      <c r="B1265">
        <v>2008</v>
      </c>
      <c r="C1265" t="str">
        <f>_xlfn.CONCAT(Table16[[#This Row],[STATE]],"-",Table16[[#This Row],[YEAR]])</f>
        <v>Jharkhand-2008</v>
      </c>
      <c r="D1265" t="s">
        <v>151</v>
      </c>
      <c r="E1265">
        <v>160</v>
      </c>
    </row>
    <row r="1266" spans="1:5" x14ac:dyDescent="0.3">
      <c r="A1266" t="s">
        <v>16</v>
      </c>
      <c r="B1266">
        <v>2008</v>
      </c>
      <c r="C1266" t="str">
        <f>_xlfn.CONCAT(Table16[[#This Row],[STATE]],"-",Table16[[#This Row],[YEAR]])</f>
        <v>Jharkhand-2008</v>
      </c>
      <c r="D1266" t="s">
        <v>509</v>
      </c>
      <c r="E1266">
        <v>8</v>
      </c>
    </row>
    <row r="1267" spans="1:5" x14ac:dyDescent="0.3">
      <c r="A1267" t="s">
        <v>16</v>
      </c>
      <c r="B1267">
        <v>2008</v>
      </c>
      <c r="C1267" t="str">
        <f>_xlfn.CONCAT(Table16[[#This Row],[STATE]],"-",Table16[[#This Row],[YEAR]])</f>
        <v>Jharkhand-2008</v>
      </c>
      <c r="D1267" t="s">
        <v>555</v>
      </c>
      <c r="E1267">
        <v>15</v>
      </c>
    </row>
    <row r="1268" spans="1:5" x14ac:dyDescent="0.3">
      <c r="A1268" t="s">
        <v>16</v>
      </c>
      <c r="B1268">
        <v>2008</v>
      </c>
      <c r="C1268" t="str">
        <f>_xlfn.CONCAT(Table16[[#This Row],[STATE]],"-",Table16[[#This Row],[YEAR]])</f>
        <v>Jharkhand-2008</v>
      </c>
      <c r="D1268" t="s">
        <v>556</v>
      </c>
      <c r="E1268">
        <v>20</v>
      </c>
    </row>
    <row r="1269" spans="1:5" x14ac:dyDescent="0.3">
      <c r="A1269" t="s">
        <v>16</v>
      </c>
      <c r="B1269">
        <v>2008</v>
      </c>
      <c r="C1269" t="str">
        <f>_xlfn.CONCAT(Table16[[#This Row],[STATE]],"-",Table16[[#This Row],[YEAR]])</f>
        <v>Jharkhand-2008</v>
      </c>
      <c r="D1269" t="s">
        <v>541</v>
      </c>
      <c r="E1269">
        <v>20</v>
      </c>
    </row>
    <row r="1270" spans="1:5" x14ac:dyDescent="0.3">
      <c r="A1270" t="s">
        <v>16</v>
      </c>
      <c r="B1270">
        <v>2008</v>
      </c>
      <c r="C1270" t="str">
        <f>_xlfn.CONCAT(Table16[[#This Row],[STATE]],"-",Table16[[#This Row],[YEAR]])</f>
        <v>Jharkhand-2008</v>
      </c>
      <c r="D1270" t="s">
        <v>557</v>
      </c>
      <c r="E1270">
        <v>13</v>
      </c>
    </row>
    <row r="1271" spans="1:5" x14ac:dyDescent="0.3">
      <c r="A1271" t="s">
        <v>16</v>
      </c>
      <c r="B1271">
        <v>2008</v>
      </c>
      <c r="C1271" t="str">
        <f>_xlfn.CONCAT(Table16[[#This Row],[STATE]],"-",Table16[[#This Row],[YEAR]])</f>
        <v>Jharkhand-2008</v>
      </c>
      <c r="D1271" t="s">
        <v>558</v>
      </c>
      <c r="E1271">
        <v>30</v>
      </c>
    </row>
    <row r="1272" spans="1:5" x14ac:dyDescent="0.3">
      <c r="A1272" t="s">
        <v>16</v>
      </c>
      <c r="B1272">
        <v>2008</v>
      </c>
      <c r="C1272" t="str">
        <f>_xlfn.CONCAT(Table16[[#This Row],[STATE]],"-",Table16[[#This Row],[YEAR]])</f>
        <v>Jharkhand-2008</v>
      </c>
      <c r="D1272" t="s">
        <v>266</v>
      </c>
      <c r="E1272">
        <v>12</v>
      </c>
    </row>
    <row r="1273" spans="1:5" x14ac:dyDescent="0.3">
      <c r="A1273" t="s">
        <v>16</v>
      </c>
      <c r="B1273">
        <v>2008</v>
      </c>
      <c r="C1273" t="str">
        <f>_xlfn.CONCAT(Table16[[#This Row],[STATE]],"-",Table16[[#This Row],[YEAR]])</f>
        <v>Jharkhand-2008</v>
      </c>
      <c r="D1273" t="s">
        <v>163</v>
      </c>
      <c r="E1273">
        <v>5</v>
      </c>
    </row>
    <row r="1274" spans="1:5" x14ac:dyDescent="0.3">
      <c r="A1274" t="s">
        <v>16</v>
      </c>
      <c r="B1274">
        <v>2008</v>
      </c>
      <c r="C1274" t="str">
        <f>_xlfn.CONCAT(Table16[[#This Row],[STATE]],"-",Table16[[#This Row],[YEAR]])</f>
        <v>Jharkhand-2008</v>
      </c>
      <c r="D1274" t="s">
        <v>559</v>
      </c>
      <c r="E1274">
        <v>15</v>
      </c>
    </row>
    <row r="1275" spans="1:5" x14ac:dyDescent="0.3">
      <c r="A1275" t="s">
        <v>16</v>
      </c>
      <c r="B1275">
        <v>2008</v>
      </c>
      <c r="C1275" t="str">
        <f>_xlfn.CONCAT(Table16[[#This Row],[STATE]],"-",Table16[[#This Row],[YEAR]])</f>
        <v>Jharkhand-2008</v>
      </c>
      <c r="D1275" t="s">
        <v>560</v>
      </c>
      <c r="E1275">
        <v>21</v>
      </c>
    </row>
    <row r="1276" spans="1:5" x14ac:dyDescent="0.3">
      <c r="A1276" t="s">
        <v>16</v>
      </c>
      <c r="B1276">
        <v>2008</v>
      </c>
      <c r="C1276" t="str">
        <f>_xlfn.CONCAT(Table16[[#This Row],[STATE]],"-",Table16[[#This Row],[YEAR]])</f>
        <v>Jharkhand-2008</v>
      </c>
      <c r="D1276" t="s">
        <v>561</v>
      </c>
      <c r="E1276">
        <v>9</v>
      </c>
    </row>
    <row r="1277" spans="1:5" x14ac:dyDescent="0.3">
      <c r="A1277" t="s">
        <v>16</v>
      </c>
      <c r="B1277">
        <v>2008</v>
      </c>
      <c r="C1277" t="str">
        <f>_xlfn.CONCAT(Table16[[#This Row],[STATE]],"-",Table16[[#This Row],[YEAR]])</f>
        <v>Jharkhand-2008</v>
      </c>
      <c r="D1277" t="s">
        <v>103</v>
      </c>
      <c r="E1277">
        <v>152</v>
      </c>
    </row>
    <row r="1278" spans="1:5" x14ac:dyDescent="0.3">
      <c r="A1278" t="s">
        <v>16</v>
      </c>
      <c r="B1278">
        <v>2008</v>
      </c>
      <c r="C1278" t="str">
        <f>_xlfn.CONCAT(Table16[[#This Row],[STATE]],"-",Table16[[#This Row],[YEAR]])</f>
        <v>Jharkhand-2008</v>
      </c>
      <c r="D1278" t="s">
        <v>562</v>
      </c>
      <c r="E1278">
        <v>18</v>
      </c>
    </row>
    <row r="1279" spans="1:5" x14ac:dyDescent="0.3">
      <c r="A1279" t="s">
        <v>16</v>
      </c>
      <c r="B1279">
        <v>2008</v>
      </c>
      <c r="C1279" t="str">
        <f>_xlfn.CONCAT(Table16[[#This Row],[STATE]],"-",Table16[[#This Row],[YEAR]])</f>
        <v>Jharkhand-2008</v>
      </c>
      <c r="D1279" t="s">
        <v>90</v>
      </c>
      <c r="E1279">
        <v>349</v>
      </c>
    </row>
    <row r="1280" spans="1:5" x14ac:dyDescent="0.3">
      <c r="A1280" t="s">
        <v>16</v>
      </c>
      <c r="B1280">
        <v>2008</v>
      </c>
      <c r="C1280" t="str">
        <f>_xlfn.CONCAT(Table16[[#This Row],[STATE]],"-",Table16[[#This Row],[YEAR]])</f>
        <v>Jharkhand-2008</v>
      </c>
      <c r="D1280" t="s">
        <v>563</v>
      </c>
      <c r="E1280">
        <v>23</v>
      </c>
    </row>
    <row r="1281" spans="1:5" x14ac:dyDescent="0.3">
      <c r="A1281" t="s">
        <v>16</v>
      </c>
      <c r="B1281">
        <v>2008</v>
      </c>
      <c r="C1281" t="str">
        <f>_xlfn.CONCAT(Table16[[#This Row],[STATE]],"-",Table16[[#This Row],[YEAR]])</f>
        <v>Jharkhand-2008</v>
      </c>
      <c r="D1281" t="s">
        <v>143</v>
      </c>
      <c r="E1281">
        <v>18</v>
      </c>
    </row>
    <row r="1282" spans="1:5" x14ac:dyDescent="0.3">
      <c r="A1282" t="s">
        <v>16</v>
      </c>
      <c r="B1282">
        <v>2008</v>
      </c>
      <c r="C1282" t="str">
        <f>_xlfn.CONCAT(Table16[[#This Row],[STATE]],"-",Table16[[#This Row],[YEAR]])</f>
        <v>Jharkhand-2008</v>
      </c>
      <c r="D1282" t="s">
        <v>564</v>
      </c>
      <c r="E1282">
        <v>12</v>
      </c>
    </row>
    <row r="1283" spans="1:5" x14ac:dyDescent="0.3">
      <c r="A1283" t="s">
        <v>16</v>
      </c>
      <c r="B1283">
        <v>2008</v>
      </c>
      <c r="C1283" t="str">
        <f>_xlfn.CONCAT(Table16[[#This Row],[STATE]],"-",Table16[[#This Row],[YEAR]])</f>
        <v>Jharkhand-2008</v>
      </c>
      <c r="D1283" t="s">
        <v>286</v>
      </c>
      <c r="E1283">
        <v>10</v>
      </c>
    </row>
    <row r="1284" spans="1:5" x14ac:dyDescent="0.3">
      <c r="A1284" t="s">
        <v>16</v>
      </c>
      <c r="B1284">
        <v>2008</v>
      </c>
      <c r="C1284" t="str">
        <f>_xlfn.CONCAT(Table16[[#This Row],[STATE]],"-",Table16[[#This Row],[YEAR]])</f>
        <v>Jharkhand-2008</v>
      </c>
      <c r="D1284" t="s">
        <v>280</v>
      </c>
      <c r="E1284">
        <v>5</v>
      </c>
    </row>
    <row r="1285" spans="1:5" x14ac:dyDescent="0.3">
      <c r="A1285" t="s">
        <v>16</v>
      </c>
      <c r="B1285">
        <v>2009</v>
      </c>
      <c r="C1285" t="str">
        <f>_xlfn.CONCAT(Table16[[#This Row],[STATE]],"-",Table16[[#This Row],[YEAR]])</f>
        <v>Jharkhand-2009</v>
      </c>
      <c r="D1285" t="s">
        <v>565</v>
      </c>
      <c r="E1285">
        <v>12</v>
      </c>
    </row>
    <row r="1286" spans="1:5" x14ac:dyDescent="0.3">
      <c r="A1286" t="s">
        <v>16</v>
      </c>
      <c r="B1286">
        <v>2009</v>
      </c>
      <c r="C1286" t="str">
        <f>_xlfn.CONCAT(Table16[[#This Row],[STATE]],"-",Table16[[#This Row],[YEAR]])</f>
        <v>Jharkhand-2009</v>
      </c>
      <c r="D1286" t="s">
        <v>566</v>
      </c>
      <c r="E1286">
        <v>11</v>
      </c>
    </row>
    <row r="1287" spans="1:5" x14ac:dyDescent="0.3">
      <c r="A1287" t="s">
        <v>16</v>
      </c>
      <c r="B1287">
        <v>2009</v>
      </c>
      <c r="C1287" t="str">
        <f>_xlfn.CONCAT(Table16[[#This Row],[STATE]],"-",Table16[[#This Row],[YEAR]])</f>
        <v>Jharkhand-2009</v>
      </c>
      <c r="D1287" t="s">
        <v>567</v>
      </c>
      <c r="E1287">
        <v>20</v>
      </c>
    </row>
    <row r="1288" spans="1:5" x14ac:dyDescent="0.3">
      <c r="A1288" t="s">
        <v>16</v>
      </c>
      <c r="B1288">
        <v>2009</v>
      </c>
      <c r="C1288" t="str">
        <f>_xlfn.CONCAT(Table16[[#This Row],[STATE]],"-",Table16[[#This Row],[YEAR]])</f>
        <v>Jharkhand-2009</v>
      </c>
      <c r="D1288" t="s">
        <v>502</v>
      </c>
      <c r="E1288">
        <v>85</v>
      </c>
    </row>
    <row r="1289" spans="1:5" x14ac:dyDescent="0.3">
      <c r="A1289" t="s">
        <v>16</v>
      </c>
      <c r="B1289">
        <v>2009</v>
      </c>
      <c r="C1289" t="str">
        <f>_xlfn.CONCAT(Table16[[#This Row],[STATE]],"-",Table16[[#This Row],[YEAR]])</f>
        <v>Jharkhand-2009</v>
      </c>
      <c r="D1289" t="s">
        <v>568</v>
      </c>
      <c r="E1289">
        <v>16</v>
      </c>
    </row>
    <row r="1290" spans="1:5" x14ac:dyDescent="0.3">
      <c r="A1290" t="s">
        <v>16</v>
      </c>
      <c r="B1290">
        <v>2009</v>
      </c>
      <c r="C1290" t="str">
        <f>_xlfn.CONCAT(Table16[[#This Row],[STATE]],"-",Table16[[#This Row],[YEAR]])</f>
        <v>Jharkhand-2009</v>
      </c>
      <c r="D1290" t="s">
        <v>230</v>
      </c>
      <c r="E1290">
        <v>388</v>
      </c>
    </row>
    <row r="1291" spans="1:5" x14ac:dyDescent="0.3">
      <c r="A1291" t="s">
        <v>16</v>
      </c>
      <c r="B1291">
        <v>2009</v>
      </c>
      <c r="C1291" t="str">
        <f>_xlfn.CONCAT(Table16[[#This Row],[STATE]],"-",Table16[[#This Row],[YEAR]])</f>
        <v>Jharkhand-2009</v>
      </c>
      <c r="D1291" t="s">
        <v>569</v>
      </c>
      <c r="E1291">
        <v>4</v>
      </c>
    </row>
    <row r="1292" spans="1:5" x14ac:dyDescent="0.3">
      <c r="A1292" t="s">
        <v>16</v>
      </c>
      <c r="B1292">
        <v>2009</v>
      </c>
      <c r="C1292" t="str">
        <f>_xlfn.CONCAT(Table16[[#This Row],[STATE]],"-",Table16[[#This Row],[YEAR]])</f>
        <v>Jharkhand-2009</v>
      </c>
      <c r="D1292" t="s">
        <v>548</v>
      </c>
      <c r="E1292">
        <v>45</v>
      </c>
    </row>
    <row r="1293" spans="1:5" x14ac:dyDescent="0.3">
      <c r="A1293" t="s">
        <v>16</v>
      </c>
      <c r="B1293">
        <v>2009</v>
      </c>
      <c r="C1293" t="str">
        <f>_xlfn.CONCAT(Table16[[#This Row],[STATE]],"-",Table16[[#This Row],[YEAR]])</f>
        <v>Jharkhand-2009</v>
      </c>
      <c r="D1293" t="s">
        <v>564</v>
      </c>
      <c r="E1293">
        <v>28</v>
      </c>
    </row>
    <row r="1294" spans="1:5" x14ac:dyDescent="0.3">
      <c r="A1294" t="s">
        <v>16</v>
      </c>
      <c r="B1294">
        <v>2009</v>
      </c>
      <c r="C1294" t="str">
        <f>_xlfn.CONCAT(Table16[[#This Row],[STATE]],"-",Table16[[#This Row],[YEAR]])</f>
        <v>Jharkhand-2009</v>
      </c>
      <c r="D1294" t="s">
        <v>570</v>
      </c>
      <c r="E1294">
        <v>15</v>
      </c>
    </row>
    <row r="1295" spans="1:5" x14ac:dyDescent="0.3">
      <c r="A1295" t="s">
        <v>16</v>
      </c>
      <c r="B1295">
        <v>2009</v>
      </c>
      <c r="C1295" t="str">
        <f>_xlfn.CONCAT(Table16[[#This Row],[STATE]],"-",Table16[[#This Row],[YEAR]])</f>
        <v>Jharkhand-2009</v>
      </c>
      <c r="D1295" t="s">
        <v>182</v>
      </c>
      <c r="E1295">
        <v>1466</v>
      </c>
    </row>
    <row r="1296" spans="1:5" x14ac:dyDescent="0.3">
      <c r="A1296" t="s">
        <v>16</v>
      </c>
      <c r="B1296">
        <v>2009</v>
      </c>
      <c r="C1296" t="str">
        <f>_xlfn.CONCAT(Table16[[#This Row],[STATE]],"-",Table16[[#This Row],[YEAR]])</f>
        <v>Jharkhand-2009</v>
      </c>
      <c r="D1296" t="s">
        <v>571</v>
      </c>
      <c r="E1296">
        <v>14</v>
      </c>
    </row>
    <row r="1297" spans="1:5" x14ac:dyDescent="0.3">
      <c r="A1297" t="s">
        <v>16</v>
      </c>
      <c r="B1297">
        <v>2009</v>
      </c>
      <c r="C1297" t="str">
        <f>_xlfn.CONCAT(Table16[[#This Row],[STATE]],"-",Table16[[#This Row],[YEAR]])</f>
        <v>Jharkhand-2009</v>
      </c>
      <c r="D1297" t="s">
        <v>499</v>
      </c>
      <c r="E1297">
        <v>303</v>
      </c>
    </row>
    <row r="1298" spans="1:5" x14ac:dyDescent="0.3">
      <c r="A1298" t="s">
        <v>16</v>
      </c>
      <c r="B1298">
        <v>2009</v>
      </c>
      <c r="C1298" t="str">
        <f>_xlfn.CONCAT(Table16[[#This Row],[STATE]],"-",Table16[[#This Row],[YEAR]])</f>
        <v>Jharkhand-2009</v>
      </c>
      <c r="D1298" t="s">
        <v>323</v>
      </c>
      <c r="E1298">
        <v>18</v>
      </c>
    </row>
    <row r="1299" spans="1:5" x14ac:dyDescent="0.3">
      <c r="A1299" t="s">
        <v>16</v>
      </c>
      <c r="B1299">
        <v>2009</v>
      </c>
      <c r="C1299" t="str">
        <f>_xlfn.CONCAT(Table16[[#This Row],[STATE]],"-",Table16[[#This Row],[YEAR]])</f>
        <v>Jharkhand-2009</v>
      </c>
      <c r="D1299" t="s">
        <v>572</v>
      </c>
      <c r="E1299">
        <v>27</v>
      </c>
    </row>
    <row r="1300" spans="1:5" x14ac:dyDescent="0.3">
      <c r="A1300" t="s">
        <v>16</v>
      </c>
      <c r="B1300">
        <v>2009</v>
      </c>
      <c r="C1300" t="str">
        <f>_xlfn.CONCAT(Table16[[#This Row],[STATE]],"-",Table16[[#This Row],[YEAR]])</f>
        <v>Jharkhand-2009</v>
      </c>
      <c r="D1300" t="s">
        <v>286</v>
      </c>
      <c r="E1300">
        <v>10</v>
      </c>
    </row>
    <row r="1301" spans="1:5" x14ac:dyDescent="0.3">
      <c r="A1301" t="s">
        <v>16</v>
      </c>
      <c r="B1301">
        <v>2009</v>
      </c>
      <c r="C1301" t="str">
        <f>_xlfn.CONCAT(Table16[[#This Row],[STATE]],"-",Table16[[#This Row],[YEAR]])</f>
        <v>Jharkhand-2009</v>
      </c>
      <c r="D1301" t="s">
        <v>553</v>
      </c>
      <c r="E1301">
        <v>16</v>
      </c>
    </row>
    <row r="1302" spans="1:5" x14ac:dyDescent="0.3">
      <c r="A1302" t="s">
        <v>16</v>
      </c>
      <c r="B1302">
        <v>2009</v>
      </c>
      <c r="C1302" t="str">
        <f>_xlfn.CONCAT(Table16[[#This Row],[STATE]],"-",Table16[[#This Row],[YEAR]])</f>
        <v>Jharkhand-2009</v>
      </c>
      <c r="D1302" t="s">
        <v>483</v>
      </c>
      <c r="E1302">
        <v>90</v>
      </c>
    </row>
    <row r="1303" spans="1:5" x14ac:dyDescent="0.3">
      <c r="A1303" t="s">
        <v>16</v>
      </c>
      <c r="B1303">
        <v>2009</v>
      </c>
      <c r="C1303" t="str">
        <f>_xlfn.CONCAT(Table16[[#This Row],[STATE]],"-",Table16[[#This Row],[YEAR]])</f>
        <v>Jharkhand-2009</v>
      </c>
      <c r="D1303" t="s">
        <v>573</v>
      </c>
      <c r="E1303">
        <v>42</v>
      </c>
    </row>
    <row r="1304" spans="1:5" x14ac:dyDescent="0.3">
      <c r="A1304" t="s">
        <v>16</v>
      </c>
      <c r="B1304">
        <v>2009</v>
      </c>
      <c r="C1304" t="str">
        <f>_xlfn.CONCAT(Table16[[#This Row],[STATE]],"-",Table16[[#This Row],[YEAR]])</f>
        <v>Jharkhand-2009</v>
      </c>
      <c r="D1304" t="s">
        <v>245</v>
      </c>
      <c r="E1304">
        <v>190</v>
      </c>
    </row>
    <row r="1305" spans="1:5" x14ac:dyDescent="0.3">
      <c r="A1305" t="s">
        <v>16</v>
      </c>
      <c r="B1305">
        <v>2009</v>
      </c>
      <c r="C1305" t="str">
        <f>_xlfn.CONCAT(Table16[[#This Row],[STATE]],"-",Table16[[#This Row],[YEAR]])</f>
        <v>Jharkhand-2009</v>
      </c>
      <c r="D1305" t="s">
        <v>557</v>
      </c>
      <c r="E1305">
        <v>15</v>
      </c>
    </row>
    <row r="1306" spans="1:5" x14ac:dyDescent="0.3">
      <c r="A1306" t="s">
        <v>16</v>
      </c>
      <c r="B1306">
        <v>2009</v>
      </c>
      <c r="C1306" t="str">
        <f>_xlfn.CONCAT(Table16[[#This Row],[STATE]],"-",Table16[[#This Row],[YEAR]])</f>
        <v>Jharkhand-2009</v>
      </c>
      <c r="D1306" t="s">
        <v>266</v>
      </c>
      <c r="E1306">
        <v>12</v>
      </c>
    </row>
    <row r="1307" spans="1:5" x14ac:dyDescent="0.3">
      <c r="A1307" t="s">
        <v>16</v>
      </c>
      <c r="B1307">
        <v>2009</v>
      </c>
      <c r="C1307" t="str">
        <f>_xlfn.CONCAT(Table16[[#This Row],[STATE]],"-",Table16[[#This Row],[YEAR]])</f>
        <v>Jharkhand-2009</v>
      </c>
      <c r="D1307" t="s">
        <v>280</v>
      </c>
      <c r="E1307">
        <v>28</v>
      </c>
    </row>
    <row r="1308" spans="1:5" x14ac:dyDescent="0.3">
      <c r="A1308" t="s">
        <v>16</v>
      </c>
      <c r="B1308">
        <v>2009</v>
      </c>
      <c r="C1308" t="str">
        <f>_xlfn.CONCAT(Table16[[#This Row],[STATE]],"-",Table16[[#This Row],[YEAR]])</f>
        <v>Jharkhand-2009</v>
      </c>
      <c r="D1308" t="s">
        <v>574</v>
      </c>
      <c r="E1308">
        <v>33</v>
      </c>
    </row>
    <row r="1309" spans="1:5" x14ac:dyDescent="0.3">
      <c r="A1309" t="s">
        <v>16</v>
      </c>
      <c r="B1309">
        <v>2009</v>
      </c>
      <c r="C1309" t="str">
        <f>_xlfn.CONCAT(Table16[[#This Row],[STATE]],"-",Table16[[#This Row],[YEAR]])</f>
        <v>Jharkhand-2009</v>
      </c>
      <c r="D1309" t="s">
        <v>163</v>
      </c>
      <c r="E1309">
        <v>94</v>
      </c>
    </row>
    <row r="1310" spans="1:5" x14ac:dyDescent="0.3">
      <c r="A1310" t="s">
        <v>16</v>
      </c>
      <c r="B1310">
        <v>2009</v>
      </c>
      <c r="C1310" t="str">
        <f>_xlfn.CONCAT(Table16[[#This Row],[STATE]],"-",Table16[[#This Row],[YEAR]])</f>
        <v>Jharkhand-2009</v>
      </c>
      <c r="D1310" t="s">
        <v>575</v>
      </c>
      <c r="E1310">
        <v>22</v>
      </c>
    </row>
    <row r="1311" spans="1:5" x14ac:dyDescent="0.3">
      <c r="A1311" t="s">
        <v>16</v>
      </c>
      <c r="B1311">
        <v>2009</v>
      </c>
      <c r="C1311" t="str">
        <f>_xlfn.CONCAT(Table16[[#This Row],[STATE]],"-",Table16[[#This Row],[YEAR]])</f>
        <v>Jharkhand-2009</v>
      </c>
      <c r="D1311" t="s">
        <v>576</v>
      </c>
      <c r="E1311">
        <v>21</v>
      </c>
    </row>
    <row r="1312" spans="1:5" x14ac:dyDescent="0.3">
      <c r="A1312" t="s">
        <v>16</v>
      </c>
      <c r="B1312">
        <v>2009</v>
      </c>
      <c r="C1312" t="str">
        <f>_xlfn.CONCAT(Table16[[#This Row],[STATE]],"-",Table16[[#This Row],[YEAR]])</f>
        <v>Jharkhand-2009</v>
      </c>
      <c r="D1312" t="s">
        <v>103</v>
      </c>
      <c r="E1312">
        <v>257</v>
      </c>
    </row>
    <row r="1313" spans="1:5" x14ac:dyDescent="0.3">
      <c r="A1313" t="s">
        <v>16</v>
      </c>
      <c r="B1313">
        <v>2009</v>
      </c>
      <c r="C1313" t="str">
        <f>_xlfn.CONCAT(Table16[[#This Row],[STATE]],"-",Table16[[#This Row],[YEAR]])</f>
        <v>Jharkhand-2009</v>
      </c>
      <c r="D1313" t="s">
        <v>577</v>
      </c>
      <c r="E1313">
        <v>12</v>
      </c>
    </row>
    <row r="1314" spans="1:5" x14ac:dyDescent="0.3">
      <c r="A1314" t="s">
        <v>16</v>
      </c>
      <c r="B1314">
        <v>2009</v>
      </c>
      <c r="C1314" t="str">
        <f>_xlfn.CONCAT(Table16[[#This Row],[STATE]],"-",Table16[[#This Row],[YEAR]])</f>
        <v>Jharkhand-2009</v>
      </c>
      <c r="D1314" t="s">
        <v>90</v>
      </c>
      <c r="E1314">
        <v>378</v>
      </c>
    </row>
    <row r="1315" spans="1:5" x14ac:dyDescent="0.3">
      <c r="A1315" t="s">
        <v>16</v>
      </c>
      <c r="B1315">
        <v>2009</v>
      </c>
      <c r="C1315" t="str">
        <f>_xlfn.CONCAT(Table16[[#This Row],[STATE]],"-",Table16[[#This Row],[YEAR]])</f>
        <v>Jharkhand-2009</v>
      </c>
      <c r="D1315" t="s">
        <v>578</v>
      </c>
      <c r="E1315">
        <v>42</v>
      </c>
    </row>
    <row r="1316" spans="1:5" x14ac:dyDescent="0.3">
      <c r="A1316" t="s">
        <v>16</v>
      </c>
      <c r="B1316">
        <v>2009</v>
      </c>
      <c r="C1316" t="str">
        <f>_xlfn.CONCAT(Table16[[#This Row],[STATE]],"-",Table16[[#This Row],[YEAR]])</f>
        <v>Jharkhand-2009</v>
      </c>
      <c r="D1316" t="s">
        <v>563</v>
      </c>
      <c r="E1316">
        <v>23</v>
      </c>
    </row>
    <row r="1317" spans="1:5" x14ac:dyDescent="0.3">
      <c r="A1317" t="s">
        <v>16</v>
      </c>
      <c r="B1317">
        <v>2009</v>
      </c>
      <c r="C1317" t="str">
        <f>_xlfn.CONCAT(Table16[[#This Row],[STATE]],"-",Table16[[#This Row],[YEAR]])</f>
        <v>Jharkhand-2009</v>
      </c>
      <c r="D1317" t="s">
        <v>185</v>
      </c>
      <c r="E1317">
        <v>1214</v>
      </c>
    </row>
    <row r="1318" spans="1:5" x14ac:dyDescent="0.3">
      <c r="A1318" t="s">
        <v>16</v>
      </c>
      <c r="B1318">
        <v>2009</v>
      </c>
      <c r="C1318" t="str">
        <f>_xlfn.CONCAT(Table16[[#This Row],[STATE]],"-",Table16[[#This Row],[YEAR]])</f>
        <v>Jharkhand-2009</v>
      </c>
      <c r="D1318" t="s">
        <v>579</v>
      </c>
      <c r="E1318">
        <v>22</v>
      </c>
    </row>
    <row r="1319" spans="1:5" x14ac:dyDescent="0.3">
      <c r="A1319" t="s">
        <v>16</v>
      </c>
      <c r="B1319">
        <v>2010</v>
      </c>
      <c r="C1319" t="str">
        <f>_xlfn.CONCAT(Table16[[#This Row],[STATE]],"-",Table16[[#This Row],[YEAR]])</f>
        <v>Jharkhand-2010</v>
      </c>
      <c r="D1319" t="s">
        <v>580</v>
      </c>
      <c r="E1319">
        <v>23</v>
      </c>
    </row>
    <row r="1320" spans="1:5" x14ac:dyDescent="0.3">
      <c r="A1320" t="s">
        <v>16</v>
      </c>
      <c r="B1320">
        <v>2010</v>
      </c>
      <c r="C1320" t="str">
        <f>_xlfn.CONCAT(Table16[[#This Row],[STATE]],"-",Table16[[#This Row],[YEAR]])</f>
        <v>Jharkhand-2010</v>
      </c>
      <c r="D1320" t="s">
        <v>581</v>
      </c>
      <c r="E1320">
        <v>7</v>
      </c>
    </row>
    <row r="1321" spans="1:5" x14ac:dyDescent="0.3">
      <c r="A1321" t="s">
        <v>16</v>
      </c>
      <c r="B1321">
        <v>2010</v>
      </c>
      <c r="C1321" t="str">
        <f>_xlfn.CONCAT(Table16[[#This Row],[STATE]],"-",Table16[[#This Row],[YEAR]])</f>
        <v>Jharkhand-2010</v>
      </c>
      <c r="D1321" t="s">
        <v>582</v>
      </c>
      <c r="E1321">
        <v>40</v>
      </c>
    </row>
    <row r="1322" spans="1:5" x14ac:dyDescent="0.3">
      <c r="A1322" t="s">
        <v>16</v>
      </c>
      <c r="B1322">
        <v>2010</v>
      </c>
      <c r="C1322" t="str">
        <f>_xlfn.CONCAT(Table16[[#This Row],[STATE]],"-",Table16[[#This Row],[YEAR]])</f>
        <v>Jharkhand-2010</v>
      </c>
      <c r="D1322" t="s">
        <v>583</v>
      </c>
      <c r="E1322">
        <v>55</v>
      </c>
    </row>
    <row r="1323" spans="1:5" x14ac:dyDescent="0.3">
      <c r="A1323" t="s">
        <v>16</v>
      </c>
      <c r="B1323">
        <v>2010</v>
      </c>
      <c r="C1323" t="str">
        <f>_xlfn.CONCAT(Table16[[#This Row],[STATE]],"-",Table16[[#This Row],[YEAR]])</f>
        <v>Jharkhand-2010</v>
      </c>
      <c r="D1323" t="s">
        <v>567</v>
      </c>
      <c r="E1323">
        <v>28</v>
      </c>
    </row>
    <row r="1324" spans="1:5" x14ac:dyDescent="0.3">
      <c r="A1324" t="s">
        <v>16</v>
      </c>
      <c r="B1324">
        <v>2010</v>
      </c>
      <c r="C1324" t="str">
        <f>_xlfn.CONCAT(Table16[[#This Row],[STATE]],"-",Table16[[#This Row],[YEAR]])</f>
        <v>Jharkhand-2010</v>
      </c>
      <c r="D1324" t="s">
        <v>502</v>
      </c>
      <c r="E1324">
        <v>65</v>
      </c>
    </row>
    <row r="1325" spans="1:5" x14ac:dyDescent="0.3">
      <c r="A1325" t="s">
        <v>16</v>
      </c>
      <c r="B1325">
        <v>2010</v>
      </c>
      <c r="C1325" t="str">
        <f>_xlfn.CONCAT(Table16[[#This Row],[STATE]],"-",Table16[[#This Row],[YEAR]])</f>
        <v>Jharkhand-2010</v>
      </c>
      <c r="D1325" t="s">
        <v>584</v>
      </c>
      <c r="E1325">
        <v>370</v>
      </c>
    </row>
    <row r="1326" spans="1:5" x14ac:dyDescent="0.3">
      <c r="A1326" t="s">
        <v>16</v>
      </c>
      <c r="B1326">
        <v>2010</v>
      </c>
      <c r="C1326" t="str">
        <f>_xlfn.CONCAT(Table16[[#This Row],[STATE]],"-",Table16[[#This Row],[YEAR]])</f>
        <v>Jharkhand-2010</v>
      </c>
      <c r="D1326" t="s">
        <v>230</v>
      </c>
      <c r="E1326">
        <v>531</v>
      </c>
    </row>
    <row r="1327" spans="1:5" x14ac:dyDescent="0.3">
      <c r="A1327" t="s">
        <v>16</v>
      </c>
      <c r="B1327">
        <v>2010</v>
      </c>
      <c r="C1327" t="str">
        <f>_xlfn.CONCAT(Table16[[#This Row],[STATE]],"-",Table16[[#This Row],[YEAR]])</f>
        <v>Jharkhand-2010</v>
      </c>
      <c r="D1327" t="s">
        <v>569</v>
      </c>
      <c r="E1327">
        <v>3</v>
      </c>
    </row>
    <row r="1328" spans="1:5" x14ac:dyDescent="0.3">
      <c r="A1328" t="s">
        <v>16</v>
      </c>
      <c r="B1328">
        <v>2010</v>
      </c>
      <c r="C1328" t="str">
        <f>_xlfn.CONCAT(Table16[[#This Row],[STATE]],"-",Table16[[#This Row],[YEAR]])</f>
        <v>Jharkhand-2010</v>
      </c>
      <c r="D1328" t="s">
        <v>564</v>
      </c>
      <c r="E1328">
        <v>12</v>
      </c>
    </row>
    <row r="1329" spans="1:5" x14ac:dyDescent="0.3">
      <c r="A1329" t="s">
        <v>16</v>
      </c>
      <c r="B1329">
        <v>2010</v>
      </c>
      <c r="C1329" t="str">
        <f>_xlfn.CONCAT(Table16[[#This Row],[STATE]],"-",Table16[[#This Row],[YEAR]])</f>
        <v>Jharkhand-2010</v>
      </c>
      <c r="D1329" t="s">
        <v>570</v>
      </c>
      <c r="E1329">
        <v>10</v>
      </c>
    </row>
    <row r="1330" spans="1:5" x14ac:dyDescent="0.3">
      <c r="A1330" t="s">
        <v>16</v>
      </c>
      <c r="B1330">
        <v>2010</v>
      </c>
      <c r="C1330" t="str">
        <f>_xlfn.CONCAT(Table16[[#This Row],[STATE]],"-",Table16[[#This Row],[YEAR]])</f>
        <v>Jharkhand-2010</v>
      </c>
      <c r="D1330" t="s">
        <v>182</v>
      </c>
      <c r="E1330">
        <v>275</v>
      </c>
    </row>
    <row r="1331" spans="1:5" x14ac:dyDescent="0.3">
      <c r="A1331" t="s">
        <v>16</v>
      </c>
      <c r="B1331">
        <v>2010</v>
      </c>
      <c r="C1331" t="str">
        <f>_xlfn.CONCAT(Table16[[#This Row],[STATE]],"-",Table16[[#This Row],[YEAR]])</f>
        <v>Jharkhand-2010</v>
      </c>
      <c r="D1331" t="s">
        <v>585</v>
      </c>
      <c r="E1331">
        <v>205</v>
      </c>
    </row>
    <row r="1332" spans="1:5" x14ac:dyDescent="0.3">
      <c r="A1332" t="s">
        <v>16</v>
      </c>
      <c r="B1332">
        <v>2010</v>
      </c>
      <c r="C1332" t="str">
        <f>_xlfn.CONCAT(Table16[[#This Row],[STATE]],"-",Table16[[#This Row],[YEAR]])</f>
        <v>Jharkhand-2010</v>
      </c>
      <c r="D1332" t="s">
        <v>572</v>
      </c>
      <c r="E1332">
        <v>26</v>
      </c>
    </row>
    <row r="1333" spans="1:5" x14ac:dyDescent="0.3">
      <c r="A1333" t="s">
        <v>16</v>
      </c>
      <c r="B1333">
        <v>2010</v>
      </c>
      <c r="C1333" t="str">
        <f>_xlfn.CONCAT(Table16[[#This Row],[STATE]],"-",Table16[[#This Row],[YEAR]])</f>
        <v>Jharkhand-2010</v>
      </c>
      <c r="D1333" t="s">
        <v>286</v>
      </c>
      <c r="E1333">
        <v>13</v>
      </c>
    </row>
    <row r="1334" spans="1:5" x14ac:dyDescent="0.3">
      <c r="A1334" t="s">
        <v>16</v>
      </c>
      <c r="B1334">
        <v>2010</v>
      </c>
      <c r="C1334" t="str">
        <f>_xlfn.CONCAT(Table16[[#This Row],[STATE]],"-",Table16[[#This Row],[YEAR]])</f>
        <v>Jharkhand-2010</v>
      </c>
      <c r="D1334" t="s">
        <v>483</v>
      </c>
      <c r="E1334">
        <v>37</v>
      </c>
    </row>
    <row r="1335" spans="1:5" x14ac:dyDescent="0.3">
      <c r="A1335" t="s">
        <v>16</v>
      </c>
      <c r="B1335">
        <v>2010</v>
      </c>
      <c r="C1335" t="str">
        <f>_xlfn.CONCAT(Table16[[#This Row],[STATE]],"-",Table16[[#This Row],[YEAR]])</f>
        <v>Jharkhand-2010</v>
      </c>
      <c r="D1335" t="s">
        <v>586</v>
      </c>
      <c r="E1335">
        <v>45</v>
      </c>
    </row>
    <row r="1336" spans="1:5" x14ac:dyDescent="0.3">
      <c r="A1336" t="s">
        <v>16</v>
      </c>
      <c r="B1336">
        <v>2010</v>
      </c>
      <c r="C1336" t="str">
        <f>_xlfn.CONCAT(Table16[[#This Row],[STATE]],"-",Table16[[#This Row],[YEAR]])</f>
        <v>Jharkhand-2010</v>
      </c>
      <c r="D1336" t="s">
        <v>225</v>
      </c>
      <c r="E1336">
        <v>140</v>
      </c>
    </row>
    <row r="1337" spans="1:5" x14ac:dyDescent="0.3">
      <c r="A1337" t="s">
        <v>16</v>
      </c>
      <c r="B1337">
        <v>2010</v>
      </c>
      <c r="C1337" t="str">
        <f>_xlfn.CONCAT(Table16[[#This Row],[STATE]],"-",Table16[[#This Row],[YEAR]])</f>
        <v>Jharkhand-2010</v>
      </c>
      <c r="D1337" t="s">
        <v>225</v>
      </c>
      <c r="E1337">
        <v>10</v>
      </c>
    </row>
    <row r="1338" spans="1:5" x14ac:dyDescent="0.3">
      <c r="A1338" t="s">
        <v>16</v>
      </c>
      <c r="B1338">
        <v>2010</v>
      </c>
      <c r="C1338" t="str">
        <f>_xlfn.CONCAT(Table16[[#This Row],[STATE]],"-",Table16[[#This Row],[YEAR]])</f>
        <v>Jharkhand-2010</v>
      </c>
      <c r="D1338" t="s">
        <v>587</v>
      </c>
      <c r="E1338">
        <v>15</v>
      </c>
    </row>
    <row r="1339" spans="1:5" x14ac:dyDescent="0.3">
      <c r="A1339" t="s">
        <v>16</v>
      </c>
      <c r="B1339">
        <v>2010</v>
      </c>
      <c r="C1339" t="str">
        <f>_xlfn.CONCAT(Table16[[#This Row],[STATE]],"-",Table16[[#This Row],[YEAR]])</f>
        <v>Jharkhand-2010</v>
      </c>
      <c r="D1339" t="s">
        <v>588</v>
      </c>
      <c r="E1339">
        <v>7</v>
      </c>
    </row>
    <row r="1340" spans="1:5" x14ac:dyDescent="0.3">
      <c r="A1340" t="s">
        <v>16</v>
      </c>
      <c r="B1340">
        <v>2010</v>
      </c>
      <c r="C1340" t="str">
        <f>_xlfn.CONCAT(Table16[[#This Row],[STATE]],"-",Table16[[#This Row],[YEAR]])</f>
        <v>Jharkhand-2010</v>
      </c>
      <c r="D1340" t="s">
        <v>280</v>
      </c>
      <c r="E1340">
        <v>25</v>
      </c>
    </row>
    <row r="1341" spans="1:5" x14ac:dyDescent="0.3">
      <c r="A1341" t="s">
        <v>16</v>
      </c>
      <c r="B1341">
        <v>2010</v>
      </c>
      <c r="C1341" t="str">
        <f>_xlfn.CONCAT(Table16[[#This Row],[STATE]],"-",Table16[[#This Row],[YEAR]])</f>
        <v>Jharkhand-2010</v>
      </c>
      <c r="D1341" t="s">
        <v>589</v>
      </c>
      <c r="E1341">
        <v>23</v>
      </c>
    </row>
    <row r="1342" spans="1:5" x14ac:dyDescent="0.3">
      <c r="A1342" t="s">
        <v>16</v>
      </c>
      <c r="B1342">
        <v>2010</v>
      </c>
      <c r="C1342" t="str">
        <f>_xlfn.CONCAT(Table16[[#This Row],[STATE]],"-",Table16[[#This Row],[YEAR]])</f>
        <v>Jharkhand-2010</v>
      </c>
      <c r="D1342" t="s">
        <v>163</v>
      </c>
      <c r="E1342">
        <v>10</v>
      </c>
    </row>
    <row r="1343" spans="1:5" x14ac:dyDescent="0.3">
      <c r="A1343" t="s">
        <v>16</v>
      </c>
      <c r="B1343">
        <v>2010</v>
      </c>
      <c r="C1343" t="str">
        <f>_xlfn.CONCAT(Table16[[#This Row],[STATE]],"-",Table16[[#This Row],[YEAR]])</f>
        <v>Jharkhand-2010</v>
      </c>
      <c r="D1343" t="s">
        <v>575</v>
      </c>
      <c r="E1343">
        <v>30</v>
      </c>
    </row>
    <row r="1344" spans="1:5" x14ac:dyDescent="0.3">
      <c r="A1344" t="s">
        <v>16</v>
      </c>
      <c r="B1344">
        <v>2010</v>
      </c>
      <c r="C1344" t="str">
        <f>_xlfn.CONCAT(Table16[[#This Row],[STATE]],"-",Table16[[#This Row],[YEAR]])</f>
        <v>Jharkhand-2010</v>
      </c>
      <c r="D1344" t="s">
        <v>424</v>
      </c>
      <c r="E1344">
        <v>10</v>
      </c>
    </row>
    <row r="1345" spans="1:5" x14ac:dyDescent="0.3">
      <c r="A1345" t="s">
        <v>16</v>
      </c>
      <c r="B1345">
        <v>2010</v>
      </c>
      <c r="C1345" t="str">
        <f>_xlfn.CONCAT(Table16[[#This Row],[STATE]],"-",Table16[[#This Row],[YEAR]])</f>
        <v>Jharkhand-2010</v>
      </c>
      <c r="D1345" t="s">
        <v>103</v>
      </c>
      <c r="E1345">
        <v>162</v>
      </c>
    </row>
    <row r="1346" spans="1:5" x14ac:dyDescent="0.3">
      <c r="A1346" t="s">
        <v>16</v>
      </c>
      <c r="B1346">
        <v>2010</v>
      </c>
      <c r="C1346" t="str">
        <f>_xlfn.CONCAT(Table16[[#This Row],[STATE]],"-",Table16[[#This Row],[YEAR]])</f>
        <v>Jharkhand-2010</v>
      </c>
      <c r="D1346" t="s">
        <v>330</v>
      </c>
      <c r="E1346">
        <v>45</v>
      </c>
    </row>
    <row r="1347" spans="1:5" x14ac:dyDescent="0.3">
      <c r="A1347" t="s">
        <v>16</v>
      </c>
      <c r="B1347">
        <v>2010</v>
      </c>
      <c r="C1347" t="str">
        <f>_xlfn.CONCAT(Table16[[#This Row],[STATE]],"-",Table16[[#This Row],[YEAR]])</f>
        <v>Jharkhand-2010</v>
      </c>
      <c r="D1347" t="s">
        <v>562</v>
      </c>
      <c r="E1347">
        <v>22</v>
      </c>
    </row>
    <row r="1348" spans="1:5" x14ac:dyDescent="0.3">
      <c r="A1348" t="s">
        <v>16</v>
      </c>
      <c r="B1348">
        <v>2010</v>
      </c>
      <c r="C1348" t="str">
        <f>_xlfn.CONCAT(Table16[[#This Row],[STATE]],"-",Table16[[#This Row],[YEAR]])</f>
        <v>Jharkhand-2010</v>
      </c>
      <c r="D1348" t="s">
        <v>90</v>
      </c>
      <c r="E1348">
        <v>393</v>
      </c>
    </row>
    <row r="1349" spans="1:5" x14ac:dyDescent="0.3">
      <c r="A1349" t="s">
        <v>16</v>
      </c>
      <c r="B1349">
        <v>2010</v>
      </c>
      <c r="C1349" t="str">
        <f>_xlfn.CONCAT(Table16[[#This Row],[STATE]],"-",Table16[[#This Row],[YEAR]])</f>
        <v>Jharkhand-2010</v>
      </c>
      <c r="D1349" t="s">
        <v>590</v>
      </c>
      <c r="E1349">
        <v>11</v>
      </c>
    </row>
    <row r="1350" spans="1:5" x14ac:dyDescent="0.3">
      <c r="A1350" t="s">
        <v>16</v>
      </c>
      <c r="B1350">
        <v>2011</v>
      </c>
      <c r="C1350" t="str">
        <f>_xlfn.CONCAT(Table16[[#This Row],[STATE]],"-",Table16[[#This Row],[YEAR]])</f>
        <v>Jharkhand-2011</v>
      </c>
      <c r="D1350" t="s">
        <v>582</v>
      </c>
      <c r="E1350">
        <v>80</v>
      </c>
    </row>
    <row r="1351" spans="1:5" x14ac:dyDescent="0.3">
      <c r="A1351" t="s">
        <v>16</v>
      </c>
      <c r="B1351">
        <v>2011</v>
      </c>
      <c r="C1351" t="str">
        <f>_xlfn.CONCAT(Table16[[#This Row],[STATE]],"-",Table16[[#This Row],[YEAR]])</f>
        <v>Jharkhand-2011</v>
      </c>
      <c r="D1351" t="s">
        <v>591</v>
      </c>
      <c r="E1351">
        <v>125</v>
      </c>
    </row>
    <row r="1352" spans="1:5" x14ac:dyDescent="0.3">
      <c r="A1352" t="s">
        <v>16</v>
      </c>
      <c r="B1352">
        <v>2011</v>
      </c>
      <c r="C1352" t="str">
        <f>_xlfn.CONCAT(Table16[[#This Row],[STATE]],"-",Table16[[#This Row],[YEAR]])</f>
        <v>Jharkhand-2011</v>
      </c>
      <c r="D1352" t="s">
        <v>583</v>
      </c>
      <c r="E1352">
        <v>45</v>
      </c>
    </row>
    <row r="1353" spans="1:5" x14ac:dyDescent="0.3">
      <c r="A1353" t="s">
        <v>16</v>
      </c>
      <c r="B1353">
        <v>2011</v>
      </c>
      <c r="C1353" t="str">
        <f>_xlfn.CONCAT(Table16[[#This Row],[STATE]],"-",Table16[[#This Row],[YEAR]])</f>
        <v>Jharkhand-2011</v>
      </c>
      <c r="D1353" t="s">
        <v>567</v>
      </c>
      <c r="E1353">
        <v>30</v>
      </c>
    </row>
    <row r="1354" spans="1:5" x14ac:dyDescent="0.3">
      <c r="A1354" t="s">
        <v>16</v>
      </c>
      <c r="B1354">
        <v>2011</v>
      </c>
      <c r="C1354" t="str">
        <f>_xlfn.CONCAT(Table16[[#This Row],[STATE]],"-",Table16[[#This Row],[YEAR]])</f>
        <v>Jharkhand-2011</v>
      </c>
      <c r="D1354" t="s">
        <v>123</v>
      </c>
      <c r="E1354">
        <v>10</v>
      </c>
    </row>
    <row r="1355" spans="1:5" x14ac:dyDescent="0.3">
      <c r="A1355" t="s">
        <v>16</v>
      </c>
      <c r="B1355">
        <v>2011</v>
      </c>
      <c r="C1355" t="str">
        <f>_xlfn.CONCAT(Table16[[#This Row],[STATE]],"-",Table16[[#This Row],[YEAR]])</f>
        <v>Jharkhand-2011</v>
      </c>
      <c r="D1355" t="s">
        <v>502</v>
      </c>
      <c r="E1355">
        <v>36</v>
      </c>
    </row>
    <row r="1356" spans="1:5" x14ac:dyDescent="0.3">
      <c r="A1356" t="s">
        <v>16</v>
      </c>
      <c r="B1356">
        <v>2011</v>
      </c>
      <c r="C1356" t="str">
        <f>_xlfn.CONCAT(Table16[[#This Row],[STATE]],"-",Table16[[#This Row],[YEAR]])</f>
        <v>Jharkhand-2011</v>
      </c>
      <c r="D1356" t="s">
        <v>230</v>
      </c>
      <c r="E1356">
        <v>323</v>
      </c>
    </row>
    <row r="1357" spans="1:5" x14ac:dyDescent="0.3">
      <c r="A1357" t="s">
        <v>16</v>
      </c>
      <c r="B1357">
        <v>2011</v>
      </c>
      <c r="C1357" t="str">
        <f>_xlfn.CONCAT(Table16[[#This Row],[STATE]],"-",Table16[[#This Row],[YEAR]])</f>
        <v>Jharkhand-2011</v>
      </c>
      <c r="D1357" t="s">
        <v>592</v>
      </c>
      <c r="E1357">
        <v>309</v>
      </c>
    </row>
    <row r="1358" spans="1:5" x14ac:dyDescent="0.3">
      <c r="A1358" t="s">
        <v>16</v>
      </c>
      <c r="B1358">
        <v>2011</v>
      </c>
      <c r="C1358" t="str">
        <f>_xlfn.CONCAT(Table16[[#This Row],[STATE]],"-",Table16[[#This Row],[YEAR]])</f>
        <v>Jharkhand-2011</v>
      </c>
      <c r="D1358" t="s">
        <v>593</v>
      </c>
      <c r="E1358">
        <v>65</v>
      </c>
    </row>
    <row r="1359" spans="1:5" x14ac:dyDescent="0.3">
      <c r="A1359" t="s">
        <v>16</v>
      </c>
      <c r="B1359">
        <v>2011</v>
      </c>
      <c r="C1359" t="str">
        <f>_xlfn.CONCAT(Table16[[#This Row],[STATE]],"-",Table16[[#This Row],[YEAR]])</f>
        <v>Jharkhand-2011</v>
      </c>
      <c r="D1359" t="s">
        <v>569</v>
      </c>
      <c r="E1359">
        <v>5</v>
      </c>
    </row>
    <row r="1360" spans="1:5" x14ac:dyDescent="0.3">
      <c r="A1360" t="s">
        <v>16</v>
      </c>
      <c r="B1360">
        <v>2011</v>
      </c>
      <c r="C1360" t="str">
        <f>_xlfn.CONCAT(Table16[[#This Row],[STATE]],"-",Table16[[#This Row],[YEAR]])</f>
        <v>Jharkhand-2011</v>
      </c>
      <c r="D1360" t="s">
        <v>548</v>
      </c>
      <c r="E1360">
        <v>35</v>
      </c>
    </row>
    <row r="1361" spans="1:5" x14ac:dyDescent="0.3">
      <c r="A1361" t="s">
        <v>16</v>
      </c>
      <c r="B1361">
        <v>2011</v>
      </c>
      <c r="C1361" t="str">
        <f>_xlfn.CONCAT(Table16[[#This Row],[STATE]],"-",Table16[[#This Row],[YEAR]])</f>
        <v>Jharkhand-2011</v>
      </c>
      <c r="D1361" t="s">
        <v>594</v>
      </c>
      <c r="E1361">
        <v>140</v>
      </c>
    </row>
    <row r="1362" spans="1:5" x14ac:dyDescent="0.3">
      <c r="A1362" t="s">
        <v>16</v>
      </c>
      <c r="B1362">
        <v>2011</v>
      </c>
      <c r="C1362" t="str">
        <f>_xlfn.CONCAT(Table16[[#This Row],[STATE]],"-",Table16[[#This Row],[YEAR]])</f>
        <v>Jharkhand-2011</v>
      </c>
      <c r="D1362" t="s">
        <v>564</v>
      </c>
      <c r="E1362">
        <v>9</v>
      </c>
    </row>
    <row r="1363" spans="1:5" x14ac:dyDescent="0.3">
      <c r="A1363" t="s">
        <v>16</v>
      </c>
      <c r="B1363">
        <v>2011</v>
      </c>
      <c r="C1363" t="str">
        <f>_xlfn.CONCAT(Table16[[#This Row],[STATE]],"-",Table16[[#This Row],[YEAR]])</f>
        <v>Jharkhand-2011</v>
      </c>
      <c r="D1363" t="s">
        <v>570</v>
      </c>
      <c r="E1363">
        <v>20</v>
      </c>
    </row>
    <row r="1364" spans="1:5" x14ac:dyDescent="0.3">
      <c r="A1364" t="s">
        <v>16</v>
      </c>
      <c r="B1364">
        <v>2011</v>
      </c>
      <c r="C1364" t="str">
        <f>_xlfn.CONCAT(Table16[[#This Row],[STATE]],"-",Table16[[#This Row],[YEAR]])</f>
        <v>Jharkhand-2011</v>
      </c>
      <c r="D1364" t="s">
        <v>182</v>
      </c>
      <c r="E1364">
        <v>305</v>
      </c>
    </row>
    <row r="1365" spans="1:5" x14ac:dyDescent="0.3">
      <c r="A1365" t="s">
        <v>16</v>
      </c>
      <c r="B1365">
        <v>2011</v>
      </c>
      <c r="C1365" t="str">
        <f>_xlfn.CONCAT(Table16[[#This Row],[STATE]],"-",Table16[[#This Row],[YEAR]])</f>
        <v>Jharkhand-2011</v>
      </c>
      <c r="D1365" t="s">
        <v>595</v>
      </c>
      <c r="E1365">
        <v>27</v>
      </c>
    </row>
    <row r="1366" spans="1:5" x14ac:dyDescent="0.3">
      <c r="A1366" t="s">
        <v>16</v>
      </c>
      <c r="B1366">
        <v>2011</v>
      </c>
      <c r="C1366" t="str">
        <f>_xlfn.CONCAT(Table16[[#This Row],[STATE]],"-",Table16[[#This Row],[YEAR]])</f>
        <v>Jharkhand-2011</v>
      </c>
      <c r="D1366" t="s">
        <v>596</v>
      </c>
      <c r="E1366">
        <v>75</v>
      </c>
    </row>
    <row r="1367" spans="1:5" x14ac:dyDescent="0.3">
      <c r="A1367" t="s">
        <v>16</v>
      </c>
      <c r="B1367">
        <v>2011</v>
      </c>
      <c r="C1367" t="str">
        <f>_xlfn.CONCAT(Table16[[#This Row],[STATE]],"-",Table16[[#This Row],[YEAR]])</f>
        <v>Jharkhand-2011</v>
      </c>
      <c r="D1367" t="s">
        <v>572</v>
      </c>
      <c r="E1367">
        <v>24</v>
      </c>
    </row>
    <row r="1368" spans="1:5" x14ac:dyDescent="0.3">
      <c r="A1368" t="s">
        <v>16</v>
      </c>
      <c r="B1368">
        <v>2011</v>
      </c>
      <c r="C1368" t="str">
        <f>_xlfn.CONCAT(Table16[[#This Row],[STATE]],"-",Table16[[#This Row],[YEAR]])</f>
        <v>Jharkhand-2011</v>
      </c>
      <c r="D1368" t="s">
        <v>286</v>
      </c>
      <c r="E1368">
        <v>9</v>
      </c>
    </row>
    <row r="1369" spans="1:5" x14ac:dyDescent="0.3">
      <c r="A1369" t="s">
        <v>16</v>
      </c>
      <c r="B1369">
        <v>2011</v>
      </c>
      <c r="C1369" t="str">
        <f>_xlfn.CONCAT(Table16[[#This Row],[STATE]],"-",Table16[[#This Row],[YEAR]])</f>
        <v>Jharkhand-2011</v>
      </c>
      <c r="D1369" t="s">
        <v>597</v>
      </c>
      <c r="E1369">
        <v>85</v>
      </c>
    </row>
    <row r="1370" spans="1:5" x14ac:dyDescent="0.3">
      <c r="A1370" t="s">
        <v>16</v>
      </c>
      <c r="B1370">
        <v>2011</v>
      </c>
      <c r="C1370" t="str">
        <f>_xlfn.CONCAT(Table16[[#This Row],[STATE]],"-",Table16[[#This Row],[YEAR]])</f>
        <v>Jharkhand-2011</v>
      </c>
      <c r="D1370" t="s">
        <v>483</v>
      </c>
      <c r="E1370">
        <v>17</v>
      </c>
    </row>
    <row r="1371" spans="1:5" x14ac:dyDescent="0.3">
      <c r="A1371" t="s">
        <v>16</v>
      </c>
      <c r="B1371">
        <v>2011</v>
      </c>
      <c r="C1371" t="str">
        <f>_xlfn.CONCAT(Table16[[#This Row],[STATE]],"-",Table16[[#This Row],[YEAR]])</f>
        <v>Jharkhand-2011</v>
      </c>
      <c r="D1371" t="s">
        <v>151</v>
      </c>
      <c r="E1371">
        <v>8</v>
      </c>
    </row>
    <row r="1372" spans="1:5" x14ac:dyDescent="0.3">
      <c r="A1372" t="s">
        <v>16</v>
      </c>
      <c r="B1372">
        <v>2011</v>
      </c>
      <c r="C1372" t="str">
        <f>_xlfn.CONCAT(Table16[[#This Row],[STATE]],"-",Table16[[#This Row],[YEAR]])</f>
        <v>Jharkhand-2011</v>
      </c>
      <c r="D1372" t="s">
        <v>245</v>
      </c>
      <c r="E1372">
        <v>72</v>
      </c>
    </row>
    <row r="1373" spans="1:5" x14ac:dyDescent="0.3">
      <c r="A1373" t="s">
        <v>16</v>
      </c>
      <c r="B1373">
        <v>2011</v>
      </c>
      <c r="C1373" t="str">
        <f>_xlfn.CONCAT(Table16[[#This Row],[STATE]],"-",Table16[[#This Row],[YEAR]])</f>
        <v>Jharkhand-2011</v>
      </c>
      <c r="D1373" t="s">
        <v>598</v>
      </c>
      <c r="E1373">
        <v>12</v>
      </c>
    </row>
    <row r="1374" spans="1:5" x14ac:dyDescent="0.3">
      <c r="A1374" t="s">
        <v>16</v>
      </c>
      <c r="B1374">
        <v>2011</v>
      </c>
      <c r="C1374" t="str">
        <f>_xlfn.CONCAT(Table16[[#This Row],[STATE]],"-",Table16[[#This Row],[YEAR]])</f>
        <v>Jharkhand-2011</v>
      </c>
      <c r="D1374" t="s">
        <v>557</v>
      </c>
      <c r="E1374">
        <v>15</v>
      </c>
    </row>
    <row r="1375" spans="1:5" x14ac:dyDescent="0.3">
      <c r="A1375" t="s">
        <v>16</v>
      </c>
      <c r="B1375">
        <v>2011</v>
      </c>
      <c r="C1375" t="str">
        <f>_xlfn.CONCAT(Table16[[#This Row],[STATE]],"-",Table16[[#This Row],[YEAR]])</f>
        <v>Jharkhand-2011</v>
      </c>
      <c r="D1375" t="s">
        <v>588</v>
      </c>
      <c r="E1375">
        <v>12</v>
      </c>
    </row>
    <row r="1376" spans="1:5" x14ac:dyDescent="0.3">
      <c r="A1376" t="s">
        <v>16</v>
      </c>
      <c r="B1376">
        <v>2011</v>
      </c>
      <c r="C1376" t="str">
        <f>_xlfn.CONCAT(Table16[[#This Row],[STATE]],"-",Table16[[#This Row],[YEAR]])</f>
        <v>Jharkhand-2011</v>
      </c>
      <c r="D1376" t="s">
        <v>589</v>
      </c>
      <c r="E1376">
        <v>22</v>
      </c>
    </row>
    <row r="1377" spans="1:5" x14ac:dyDescent="0.3">
      <c r="A1377" t="s">
        <v>16</v>
      </c>
      <c r="B1377">
        <v>2011</v>
      </c>
      <c r="C1377" t="str">
        <f>_xlfn.CONCAT(Table16[[#This Row],[STATE]],"-",Table16[[#This Row],[YEAR]])</f>
        <v>Jharkhand-2011</v>
      </c>
      <c r="D1377" t="s">
        <v>163</v>
      </c>
      <c r="E1377">
        <v>18</v>
      </c>
    </row>
    <row r="1378" spans="1:5" x14ac:dyDescent="0.3">
      <c r="A1378" t="s">
        <v>16</v>
      </c>
      <c r="B1378">
        <v>2011</v>
      </c>
      <c r="C1378" t="str">
        <f>_xlfn.CONCAT(Table16[[#This Row],[STATE]],"-",Table16[[#This Row],[YEAR]])</f>
        <v>Jharkhand-2011</v>
      </c>
      <c r="D1378" t="s">
        <v>560</v>
      </c>
      <c r="E1378">
        <v>32</v>
      </c>
    </row>
    <row r="1379" spans="1:5" x14ac:dyDescent="0.3">
      <c r="A1379" t="s">
        <v>16</v>
      </c>
      <c r="B1379">
        <v>2011</v>
      </c>
      <c r="C1379" t="str">
        <f>_xlfn.CONCAT(Table16[[#This Row],[STATE]],"-",Table16[[#This Row],[YEAR]])</f>
        <v>Jharkhand-2011</v>
      </c>
      <c r="D1379" t="s">
        <v>599</v>
      </c>
      <c r="E1379">
        <v>19</v>
      </c>
    </row>
    <row r="1380" spans="1:5" x14ac:dyDescent="0.3">
      <c r="A1380" t="s">
        <v>16</v>
      </c>
      <c r="B1380">
        <v>2011</v>
      </c>
      <c r="C1380" t="str">
        <f>_xlfn.CONCAT(Table16[[#This Row],[STATE]],"-",Table16[[#This Row],[YEAR]])</f>
        <v>Jharkhand-2011</v>
      </c>
      <c r="D1380" t="s">
        <v>561</v>
      </c>
      <c r="E1380">
        <v>25</v>
      </c>
    </row>
    <row r="1381" spans="1:5" x14ac:dyDescent="0.3">
      <c r="A1381" t="s">
        <v>16</v>
      </c>
      <c r="B1381">
        <v>2011</v>
      </c>
      <c r="C1381" t="str">
        <f>_xlfn.CONCAT(Table16[[#This Row],[STATE]],"-",Table16[[#This Row],[YEAR]])</f>
        <v>Jharkhand-2011</v>
      </c>
      <c r="D1381" t="s">
        <v>103</v>
      </c>
      <c r="E1381">
        <v>210</v>
      </c>
    </row>
    <row r="1382" spans="1:5" x14ac:dyDescent="0.3">
      <c r="A1382" t="s">
        <v>16</v>
      </c>
      <c r="B1382">
        <v>2011</v>
      </c>
      <c r="C1382" t="str">
        <f>_xlfn.CONCAT(Table16[[#This Row],[STATE]],"-",Table16[[#This Row],[YEAR]])</f>
        <v>Jharkhand-2011</v>
      </c>
      <c r="D1382" t="s">
        <v>600</v>
      </c>
      <c r="E1382">
        <v>7</v>
      </c>
    </row>
    <row r="1383" spans="1:5" x14ac:dyDescent="0.3">
      <c r="A1383" t="s">
        <v>16</v>
      </c>
      <c r="B1383">
        <v>2011</v>
      </c>
      <c r="C1383" t="str">
        <f>_xlfn.CONCAT(Table16[[#This Row],[STATE]],"-",Table16[[#This Row],[YEAR]])</f>
        <v>Jharkhand-2011</v>
      </c>
      <c r="D1383" t="s">
        <v>90</v>
      </c>
      <c r="E1383">
        <v>396</v>
      </c>
    </row>
    <row r="1384" spans="1:5" x14ac:dyDescent="0.3">
      <c r="A1384" t="s">
        <v>16</v>
      </c>
      <c r="B1384">
        <v>2011</v>
      </c>
      <c r="C1384" t="str">
        <f>_xlfn.CONCAT(Table16[[#This Row],[STATE]],"-",Table16[[#This Row],[YEAR]])</f>
        <v>Jharkhand-2011</v>
      </c>
      <c r="D1384" t="s">
        <v>90</v>
      </c>
      <c r="E1384">
        <v>43</v>
      </c>
    </row>
    <row r="1385" spans="1:5" x14ac:dyDescent="0.3">
      <c r="A1385" t="s">
        <v>16</v>
      </c>
      <c r="B1385">
        <v>2012</v>
      </c>
      <c r="C1385" t="str">
        <f>_xlfn.CONCAT(Table16[[#This Row],[STATE]],"-",Table16[[#This Row],[YEAR]])</f>
        <v>Jharkhand-2012</v>
      </c>
      <c r="D1385" t="s">
        <v>230</v>
      </c>
      <c r="E1385">
        <v>376</v>
      </c>
    </row>
    <row r="1386" spans="1:5" x14ac:dyDescent="0.3">
      <c r="A1386" t="s">
        <v>16</v>
      </c>
      <c r="B1386">
        <v>2012</v>
      </c>
      <c r="C1386" t="str">
        <f>_xlfn.CONCAT(Table16[[#This Row],[STATE]],"-",Table16[[#This Row],[YEAR]])</f>
        <v>Jharkhand-2012</v>
      </c>
      <c r="D1386" t="s">
        <v>601</v>
      </c>
      <c r="E1386">
        <v>138</v>
      </c>
    </row>
    <row r="1387" spans="1:5" x14ac:dyDescent="0.3">
      <c r="A1387" t="s">
        <v>16</v>
      </c>
      <c r="B1387">
        <v>2012</v>
      </c>
      <c r="C1387" t="str">
        <f>_xlfn.CONCAT(Table16[[#This Row],[STATE]],"-",Table16[[#This Row],[YEAR]])</f>
        <v>Jharkhand-2012</v>
      </c>
      <c r="D1387" t="s">
        <v>602</v>
      </c>
      <c r="E1387">
        <v>72</v>
      </c>
    </row>
    <row r="1388" spans="1:5" x14ac:dyDescent="0.3">
      <c r="A1388" t="s">
        <v>16</v>
      </c>
      <c r="B1388">
        <v>2012</v>
      </c>
      <c r="C1388" t="str">
        <f>_xlfn.CONCAT(Table16[[#This Row],[STATE]],"-",Table16[[#This Row],[YEAR]])</f>
        <v>Jharkhand-2012</v>
      </c>
      <c r="D1388" t="s">
        <v>603</v>
      </c>
      <c r="E1388">
        <v>35</v>
      </c>
    </row>
    <row r="1389" spans="1:5" x14ac:dyDescent="0.3">
      <c r="A1389" t="s">
        <v>16</v>
      </c>
      <c r="B1389">
        <v>2012</v>
      </c>
      <c r="C1389" t="str">
        <f>_xlfn.CONCAT(Table16[[#This Row],[STATE]],"-",Table16[[#This Row],[YEAR]])</f>
        <v>Jharkhand-2012</v>
      </c>
      <c r="D1389" t="s">
        <v>604</v>
      </c>
      <c r="E1389">
        <v>91</v>
      </c>
    </row>
    <row r="1390" spans="1:5" x14ac:dyDescent="0.3">
      <c r="A1390" t="s">
        <v>16</v>
      </c>
      <c r="B1390">
        <v>2012</v>
      </c>
      <c r="C1390" t="str">
        <f>_xlfn.CONCAT(Table16[[#This Row],[STATE]],"-",Table16[[#This Row],[YEAR]])</f>
        <v>Jharkhand-2012</v>
      </c>
      <c r="D1390" t="s">
        <v>605</v>
      </c>
      <c r="E1390">
        <v>20</v>
      </c>
    </row>
    <row r="1391" spans="1:5" x14ac:dyDescent="0.3">
      <c r="A1391" t="s">
        <v>16</v>
      </c>
      <c r="B1391">
        <v>2012</v>
      </c>
      <c r="C1391" t="str">
        <f>_xlfn.CONCAT(Table16[[#This Row],[STATE]],"-",Table16[[#This Row],[YEAR]])</f>
        <v>Jharkhand-2012</v>
      </c>
      <c r="D1391" t="s">
        <v>606</v>
      </c>
      <c r="E1391">
        <v>15</v>
      </c>
    </row>
    <row r="1392" spans="1:5" x14ac:dyDescent="0.3">
      <c r="A1392" t="s">
        <v>16</v>
      </c>
      <c r="B1392">
        <v>2012</v>
      </c>
      <c r="C1392" t="str">
        <f>_xlfn.CONCAT(Table16[[#This Row],[STATE]],"-",Table16[[#This Row],[YEAR]])</f>
        <v>Jharkhand-2012</v>
      </c>
      <c r="D1392" t="s">
        <v>607</v>
      </c>
      <c r="E1392">
        <v>42</v>
      </c>
    </row>
    <row r="1393" spans="1:5" x14ac:dyDescent="0.3">
      <c r="A1393" t="s">
        <v>16</v>
      </c>
      <c r="B1393">
        <v>2012</v>
      </c>
      <c r="C1393" t="str">
        <f>_xlfn.CONCAT(Table16[[#This Row],[STATE]],"-",Table16[[#This Row],[YEAR]])</f>
        <v>Jharkhand-2012</v>
      </c>
      <c r="D1393" t="s">
        <v>592</v>
      </c>
      <c r="E1393">
        <v>309</v>
      </c>
    </row>
    <row r="1394" spans="1:5" x14ac:dyDescent="0.3">
      <c r="A1394" t="s">
        <v>16</v>
      </c>
      <c r="B1394">
        <v>2012</v>
      </c>
      <c r="C1394" t="str">
        <f>_xlfn.CONCAT(Table16[[#This Row],[STATE]],"-",Table16[[#This Row],[YEAR]])</f>
        <v>Jharkhand-2012</v>
      </c>
      <c r="D1394" t="s">
        <v>163</v>
      </c>
      <c r="E1394">
        <v>106</v>
      </c>
    </row>
    <row r="1395" spans="1:5" x14ac:dyDescent="0.3">
      <c r="A1395" t="s">
        <v>16</v>
      </c>
      <c r="B1395">
        <v>2012</v>
      </c>
      <c r="C1395" t="str">
        <f>_xlfn.CONCAT(Table16[[#This Row],[STATE]],"-",Table16[[#This Row],[YEAR]])</f>
        <v>Jharkhand-2012</v>
      </c>
      <c r="D1395" t="s">
        <v>123</v>
      </c>
      <c r="E1395">
        <v>75</v>
      </c>
    </row>
    <row r="1396" spans="1:5" x14ac:dyDescent="0.3">
      <c r="A1396" t="s">
        <v>16</v>
      </c>
      <c r="B1396">
        <v>2012</v>
      </c>
      <c r="C1396" t="str">
        <f>_xlfn.CONCAT(Table16[[#This Row],[STATE]],"-",Table16[[#This Row],[YEAR]])</f>
        <v>Jharkhand-2012</v>
      </c>
      <c r="D1396" t="s">
        <v>192</v>
      </c>
      <c r="E1396">
        <v>10</v>
      </c>
    </row>
    <row r="1397" spans="1:5" x14ac:dyDescent="0.3">
      <c r="A1397" t="s">
        <v>16</v>
      </c>
      <c r="B1397">
        <v>2012</v>
      </c>
      <c r="C1397" t="str">
        <f>_xlfn.CONCAT(Table16[[#This Row],[STATE]],"-",Table16[[#This Row],[YEAR]])</f>
        <v>Jharkhand-2012</v>
      </c>
      <c r="D1397" t="s">
        <v>597</v>
      </c>
      <c r="E1397">
        <v>105</v>
      </c>
    </row>
    <row r="1398" spans="1:5" x14ac:dyDescent="0.3">
      <c r="A1398" t="s">
        <v>16</v>
      </c>
      <c r="B1398">
        <v>2012</v>
      </c>
      <c r="C1398" t="str">
        <f>_xlfn.CONCAT(Table16[[#This Row],[STATE]],"-",Table16[[#This Row],[YEAR]])</f>
        <v>Jharkhand-2012</v>
      </c>
      <c r="D1398" t="s">
        <v>103</v>
      </c>
      <c r="E1398">
        <v>224</v>
      </c>
    </row>
    <row r="1399" spans="1:5" x14ac:dyDescent="0.3">
      <c r="A1399" t="s">
        <v>16</v>
      </c>
      <c r="B1399">
        <v>2012</v>
      </c>
      <c r="C1399" t="str">
        <f>_xlfn.CONCAT(Table16[[#This Row],[STATE]],"-",Table16[[#This Row],[YEAR]])</f>
        <v>Jharkhand-2012</v>
      </c>
      <c r="D1399" t="s">
        <v>182</v>
      </c>
      <c r="E1399">
        <v>377</v>
      </c>
    </row>
    <row r="1400" spans="1:5" x14ac:dyDescent="0.3">
      <c r="A1400" t="s">
        <v>16</v>
      </c>
      <c r="B1400">
        <v>2012</v>
      </c>
      <c r="C1400" t="str">
        <f>_xlfn.CONCAT(Table16[[#This Row],[STATE]],"-",Table16[[#This Row],[YEAR]])</f>
        <v>Jharkhand-2012</v>
      </c>
      <c r="D1400" t="s">
        <v>608</v>
      </c>
      <c r="E1400">
        <v>20</v>
      </c>
    </row>
    <row r="1401" spans="1:5" x14ac:dyDescent="0.3">
      <c r="A1401" t="s">
        <v>16</v>
      </c>
      <c r="B1401">
        <v>2012</v>
      </c>
      <c r="C1401" t="str">
        <f>_xlfn.CONCAT(Table16[[#This Row],[STATE]],"-",Table16[[#This Row],[YEAR]])</f>
        <v>Jharkhand-2012</v>
      </c>
      <c r="D1401" t="s">
        <v>570</v>
      </c>
      <c r="E1401">
        <v>30</v>
      </c>
    </row>
    <row r="1402" spans="1:5" x14ac:dyDescent="0.3">
      <c r="A1402" t="s">
        <v>16</v>
      </c>
      <c r="B1402">
        <v>2012</v>
      </c>
      <c r="C1402" t="str">
        <f>_xlfn.CONCAT(Table16[[#This Row],[STATE]],"-",Table16[[#This Row],[YEAR]])</f>
        <v>Jharkhand-2012</v>
      </c>
      <c r="D1402" t="s">
        <v>567</v>
      </c>
      <c r="E1402">
        <v>35</v>
      </c>
    </row>
    <row r="1403" spans="1:5" x14ac:dyDescent="0.3">
      <c r="A1403" t="s">
        <v>16</v>
      </c>
      <c r="B1403">
        <v>2012</v>
      </c>
      <c r="C1403" t="str">
        <f>_xlfn.CONCAT(Table16[[#This Row],[STATE]],"-",Table16[[#This Row],[YEAR]])</f>
        <v>Jharkhand-2012</v>
      </c>
      <c r="D1403" t="s">
        <v>323</v>
      </c>
      <c r="E1403">
        <v>35</v>
      </c>
    </row>
    <row r="1404" spans="1:5" x14ac:dyDescent="0.3">
      <c r="A1404" t="s">
        <v>16</v>
      </c>
      <c r="B1404">
        <v>2012</v>
      </c>
      <c r="C1404" t="str">
        <f>_xlfn.CONCAT(Table16[[#This Row],[STATE]],"-",Table16[[#This Row],[YEAR]])</f>
        <v>Jharkhand-2012</v>
      </c>
      <c r="D1404" t="s">
        <v>90</v>
      </c>
      <c r="E1404">
        <v>357</v>
      </c>
    </row>
    <row r="1405" spans="1:5" x14ac:dyDescent="0.3">
      <c r="A1405" t="s">
        <v>16</v>
      </c>
      <c r="B1405">
        <v>2012</v>
      </c>
      <c r="C1405" t="str">
        <f>_xlfn.CONCAT(Table16[[#This Row],[STATE]],"-",Table16[[#This Row],[YEAR]])</f>
        <v>Jharkhand-2012</v>
      </c>
      <c r="D1405" t="s">
        <v>266</v>
      </c>
      <c r="E1405">
        <v>30</v>
      </c>
    </row>
    <row r="1406" spans="1:5" x14ac:dyDescent="0.3">
      <c r="A1406" t="s">
        <v>16</v>
      </c>
      <c r="B1406">
        <v>2012</v>
      </c>
      <c r="C1406" t="str">
        <f>_xlfn.CONCAT(Table16[[#This Row],[STATE]],"-",Table16[[#This Row],[YEAR]])</f>
        <v>Jharkhand-2012</v>
      </c>
      <c r="D1406" t="s">
        <v>609</v>
      </c>
      <c r="E1406">
        <v>10</v>
      </c>
    </row>
    <row r="1407" spans="1:5" x14ac:dyDescent="0.3">
      <c r="A1407" t="s">
        <v>16</v>
      </c>
      <c r="B1407">
        <v>2012</v>
      </c>
      <c r="C1407" t="str">
        <f>_xlfn.CONCAT(Table16[[#This Row],[STATE]],"-",Table16[[#This Row],[YEAR]])</f>
        <v>Jharkhand-2012</v>
      </c>
      <c r="D1407" t="s">
        <v>564</v>
      </c>
      <c r="E1407">
        <v>15</v>
      </c>
    </row>
    <row r="1408" spans="1:5" x14ac:dyDescent="0.3">
      <c r="A1408" t="s">
        <v>16</v>
      </c>
      <c r="B1408">
        <v>2012</v>
      </c>
      <c r="C1408" t="str">
        <f>_xlfn.CONCAT(Table16[[#This Row],[STATE]],"-",Table16[[#This Row],[YEAR]])</f>
        <v>Jharkhand-2012</v>
      </c>
      <c r="D1408" t="s">
        <v>610</v>
      </c>
      <c r="E1408">
        <v>15</v>
      </c>
    </row>
    <row r="1409" spans="1:5" x14ac:dyDescent="0.3">
      <c r="A1409" t="s">
        <v>16</v>
      </c>
      <c r="B1409">
        <v>2012</v>
      </c>
      <c r="C1409" t="str">
        <f>_xlfn.CONCAT(Table16[[#This Row],[STATE]],"-",Table16[[#This Row],[YEAR]])</f>
        <v>Jharkhand-2012</v>
      </c>
      <c r="D1409" t="s">
        <v>611</v>
      </c>
      <c r="E1409">
        <v>21</v>
      </c>
    </row>
    <row r="1410" spans="1:5" x14ac:dyDescent="0.3">
      <c r="A1410" t="s">
        <v>16</v>
      </c>
      <c r="B1410">
        <v>2012</v>
      </c>
      <c r="C1410" t="str">
        <f>_xlfn.CONCAT(Table16[[#This Row],[STATE]],"-",Table16[[#This Row],[YEAR]])</f>
        <v>Jharkhand-2012</v>
      </c>
      <c r="D1410" t="s">
        <v>612</v>
      </c>
      <c r="E1410">
        <v>15</v>
      </c>
    </row>
    <row r="1411" spans="1:5" x14ac:dyDescent="0.3">
      <c r="A1411" t="s">
        <v>16</v>
      </c>
      <c r="B1411">
        <v>2012</v>
      </c>
      <c r="C1411" t="str">
        <f>_xlfn.CONCAT(Table16[[#This Row],[STATE]],"-",Table16[[#This Row],[YEAR]])</f>
        <v>Jharkhand-2012</v>
      </c>
      <c r="D1411" t="s">
        <v>613</v>
      </c>
      <c r="E1411">
        <v>10</v>
      </c>
    </row>
    <row r="1412" spans="1:5" x14ac:dyDescent="0.3">
      <c r="A1412" t="s">
        <v>16</v>
      </c>
      <c r="B1412">
        <v>2012</v>
      </c>
      <c r="C1412" t="str">
        <f>_xlfn.CONCAT(Table16[[#This Row],[STATE]],"-",Table16[[#This Row],[YEAR]])</f>
        <v>Jharkhand-2012</v>
      </c>
      <c r="D1412" t="s">
        <v>562</v>
      </c>
      <c r="E1412">
        <v>17</v>
      </c>
    </row>
    <row r="1413" spans="1:5" x14ac:dyDescent="0.3">
      <c r="A1413" t="s">
        <v>17</v>
      </c>
      <c r="B1413">
        <v>2001</v>
      </c>
      <c r="C1413" t="str">
        <f>_xlfn.CONCAT(Table16[[#This Row],[STATE]],"-",Table16[[#This Row],[YEAR]])</f>
        <v>Karnataka-2001</v>
      </c>
      <c r="D1413" t="s">
        <v>123</v>
      </c>
      <c r="E1413">
        <v>92</v>
      </c>
    </row>
    <row r="1414" spans="1:5" x14ac:dyDescent="0.3">
      <c r="A1414" t="s">
        <v>17</v>
      </c>
      <c r="B1414">
        <v>2001</v>
      </c>
      <c r="C1414" t="str">
        <f>_xlfn.CONCAT(Table16[[#This Row],[STATE]],"-",Table16[[#This Row],[YEAR]])</f>
        <v>Karnataka-2001</v>
      </c>
      <c r="D1414" t="s">
        <v>90</v>
      </c>
      <c r="E1414">
        <v>32</v>
      </c>
    </row>
    <row r="1415" spans="1:5" x14ac:dyDescent="0.3">
      <c r="A1415" t="s">
        <v>17</v>
      </c>
      <c r="B1415">
        <v>2001</v>
      </c>
      <c r="C1415" t="str">
        <f>_xlfn.CONCAT(Table16[[#This Row],[STATE]],"-",Table16[[#This Row],[YEAR]])</f>
        <v>Karnataka-2001</v>
      </c>
      <c r="D1415" t="s">
        <v>103</v>
      </c>
      <c r="E1415">
        <v>56</v>
      </c>
    </row>
    <row r="1416" spans="1:5" x14ac:dyDescent="0.3">
      <c r="A1416" t="s">
        <v>17</v>
      </c>
      <c r="B1416">
        <v>2001</v>
      </c>
      <c r="C1416" t="str">
        <f>_xlfn.CONCAT(Table16[[#This Row],[STATE]],"-",Table16[[#This Row],[YEAR]])</f>
        <v>Karnataka-2001</v>
      </c>
      <c r="D1416" t="s">
        <v>614</v>
      </c>
      <c r="E1416">
        <v>42</v>
      </c>
    </row>
    <row r="1417" spans="1:5" x14ac:dyDescent="0.3">
      <c r="A1417" t="s">
        <v>17</v>
      </c>
      <c r="B1417">
        <v>2001</v>
      </c>
      <c r="C1417" t="str">
        <f>_xlfn.CONCAT(Table16[[#This Row],[STATE]],"-",Table16[[#This Row],[YEAR]])</f>
        <v>Karnataka-2001</v>
      </c>
      <c r="D1417" t="s">
        <v>615</v>
      </c>
      <c r="E1417">
        <v>40</v>
      </c>
    </row>
    <row r="1418" spans="1:5" x14ac:dyDescent="0.3">
      <c r="A1418" t="s">
        <v>17</v>
      </c>
      <c r="B1418">
        <v>2001</v>
      </c>
      <c r="C1418" t="str">
        <f>_xlfn.CONCAT(Table16[[#This Row],[STATE]],"-",Table16[[#This Row],[YEAR]])</f>
        <v>Karnataka-2001</v>
      </c>
      <c r="D1418" t="s">
        <v>245</v>
      </c>
      <c r="E1418">
        <v>55</v>
      </c>
    </row>
    <row r="1419" spans="1:5" x14ac:dyDescent="0.3">
      <c r="A1419" t="s">
        <v>17</v>
      </c>
      <c r="B1419">
        <v>2001</v>
      </c>
      <c r="C1419" t="str">
        <f>_xlfn.CONCAT(Table16[[#This Row],[STATE]],"-",Table16[[#This Row],[YEAR]])</f>
        <v>Karnataka-2001</v>
      </c>
      <c r="D1419" t="s">
        <v>616</v>
      </c>
      <c r="E1419">
        <v>77</v>
      </c>
    </row>
    <row r="1420" spans="1:5" x14ac:dyDescent="0.3">
      <c r="A1420" t="s">
        <v>17</v>
      </c>
      <c r="B1420">
        <v>2001</v>
      </c>
      <c r="C1420" t="str">
        <f>_xlfn.CONCAT(Table16[[#This Row],[STATE]],"-",Table16[[#This Row],[YEAR]])</f>
        <v>Karnataka-2001</v>
      </c>
      <c r="D1420" t="s">
        <v>617</v>
      </c>
      <c r="E1420">
        <v>16</v>
      </c>
    </row>
    <row r="1421" spans="1:5" x14ac:dyDescent="0.3">
      <c r="A1421" t="s">
        <v>17</v>
      </c>
      <c r="B1421">
        <v>2001</v>
      </c>
      <c r="C1421" t="str">
        <f>_xlfn.CONCAT(Table16[[#This Row],[STATE]],"-",Table16[[#This Row],[YEAR]])</f>
        <v>Karnataka-2001</v>
      </c>
      <c r="D1421" t="s">
        <v>618</v>
      </c>
      <c r="E1421">
        <v>7</v>
      </c>
    </row>
    <row r="1422" spans="1:5" x14ac:dyDescent="0.3">
      <c r="A1422" t="s">
        <v>17</v>
      </c>
      <c r="B1422">
        <v>2002</v>
      </c>
      <c r="C1422" t="str">
        <f>_xlfn.CONCAT(Table16[[#This Row],[STATE]],"-",Table16[[#This Row],[YEAR]])</f>
        <v>Karnataka-2002</v>
      </c>
      <c r="D1422" t="s">
        <v>123</v>
      </c>
      <c r="E1422">
        <v>103</v>
      </c>
    </row>
    <row r="1423" spans="1:5" x14ac:dyDescent="0.3">
      <c r="A1423" t="s">
        <v>17</v>
      </c>
      <c r="B1423">
        <v>2002</v>
      </c>
      <c r="C1423" t="str">
        <f>_xlfn.CONCAT(Table16[[#This Row],[STATE]],"-",Table16[[#This Row],[YEAR]])</f>
        <v>Karnataka-2002</v>
      </c>
      <c r="D1423" t="s">
        <v>90</v>
      </c>
      <c r="E1423">
        <v>87</v>
      </c>
    </row>
    <row r="1424" spans="1:5" x14ac:dyDescent="0.3">
      <c r="A1424" t="s">
        <v>17</v>
      </c>
      <c r="B1424">
        <v>2002</v>
      </c>
      <c r="C1424" t="str">
        <f>_xlfn.CONCAT(Table16[[#This Row],[STATE]],"-",Table16[[#This Row],[YEAR]])</f>
        <v>Karnataka-2002</v>
      </c>
      <c r="D1424" t="s">
        <v>103</v>
      </c>
      <c r="E1424">
        <v>63</v>
      </c>
    </row>
    <row r="1425" spans="1:5" x14ac:dyDescent="0.3">
      <c r="A1425" t="s">
        <v>17</v>
      </c>
      <c r="B1425">
        <v>2002</v>
      </c>
      <c r="C1425" t="str">
        <f>_xlfn.CONCAT(Table16[[#This Row],[STATE]],"-",Table16[[#This Row],[YEAR]])</f>
        <v>Karnataka-2002</v>
      </c>
      <c r="D1425" t="s">
        <v>614</v>
      </c>
      <c r="E1425">
        <v>57</v>
      </c>
    </row>
    <row r="1426" spans="1:5" x14ac:dyDescent="0.3">
      <c r="A1426" t="s">
        <v>17</v>
      </c>
      <c r="B1426">
        <v>2002</v>
      </c>
      <c r="C1426" t="str">
        <f>_xlfn.CONCAT(Table16[[#This Row],[STATE]],"-",Table16[[#This Row],[YEAR]])</f>
        <v>Karnataka-2002</v>
      </c>
      <c r="D1426" t="s">
        <v>615</v>
      </c>
      <c r="E1426">
        <v>61</v>
      </c>
    </row>
    <row r="1427" spans="1:5" x14ac:dyDescent="0.3">
      <c r="A1427" t="s">
        <v>17</v>
      </c>
      <c r="B1427">
        <v>2002</v>
      </c>
      <c r="C1427" t="str">
        <f>_xlfn.CONCAT(Table16[[#This Row],[STATE]],"-",Table16[[#This Row],[YEAR]])</f>
        <v>Karnataka-2002</v>
      </c>
      <c r="D1427" t="s">
        <v>412</v>
      </c>
      <c r="E1427">
        <v>56</v>
      </c>
    </row>
    <row r="1428" spans="1:5" x14ac:dyDescent="0.3">
      <c r="A1428" t="s">
        <v>17</v>
      </c>
      <c r="B1428">
        <v>2002</v>
      </c>
      <c r="C1428" t="str">
        <f>_xlfn.CONCAT(Table16[[#This Row],[STATE]],"-",Table16[[#This Row],[YEAR]])</f>
        <v>Karnataka-2002</v>
      </c>
      <c r="D1428" t="s">
        <v>616</v>
      </c>
      <c r="E1428">
        <v>89</v>
      </c>
    </row>
    <row r="1429" spans="1:5" x14ac:dyDescent="0.3">
      <c r="A1429" t="s">
        <v>17</v>
      </c>
      <c r="B1429">
        <v>2002</v>
      </c>
      <c r="C1429" t="str">
        <f>_xlfn.CONCAT(Table16[[#This Row],[STATE]],"-",Table16[[#This Row],[YEAR]])</f>
        <v>Karnataka-2002</v>
      </c>
      <c r="D1429" t="s">
        <v>617</v>
      </c>
      <c r="E1429">
        <v>12</v>
      </c>
    </row>
    <row r="1430" spans="1:5" x14ac:dyDescent="0.3">
      <c r="A1430" t="s">
        <v>17</v>
      </c>
      <c r="B1430">
        <v>2002</v>
      </c>
      <c r="C1430" t="str">
        <f>_xlfn.CONCAT(Table16[[#This Row],[STATE]],"-",Table16[[#This Row],[YEAR]])</f>
        <v>Karnataka-2002</v>
      </c>
      <c r="D1430" t="s">
        <v>619</v>
      </c>
      <c r="E1430">
        <v>8</v>
      </c>
    </row>
    <row r="1431" spans="1:5" x14ac:dyDescent="0.3">
      <c r="A1431" t="s">
        <v>17</v>
      </c>
      <c r="B1431">
        <v>2002</v>
      </c>
      <c r="C1431" t="str">
        <f>_xlfn.CONCAT(Table16[[#This Row],[STATE]],"-",Table16[[#This Row],[YEAR]])</f>
        <v>Karnataka-2002</v>
      </c>
      <c r="D1431" t="s">
        <v>620</v>
      </c>
      <c r="E1431">
        <v>4</v>
      </c>
    </row>
    <row r="1432" spans="1:5" x14ac:dyDescent="0.3">
      <c r="A1432" t="s">
        <v>17</v>
      </c>
      <c r="B1432">
        <v>2003</v>
      </c>
      <c r="C1432" t="str">
        <f>_xlfn.CONCAT(Table16[[#This Row],[STATE]],"-",Table16[[#This Row],[YEAR]])</f>
        <v>Karnataka-2003</v>
      </c>
      <c r="D1432" t="s">
        <v>123</v>
      </c>
      <c r="E1432">
        <v>117</v>
      </c>
    </row>
    <row r="1433" spans="1:5" x14ac:dyDescent="0.3">
      <c r="A1433" t="s">
        <v>17</v>
      </c>
      <c r="B1433">
        <v>2003</v>
      </c>
      <c r="C1433" t="str">
        <f>_xlfn.CONCAT(Table16[[#This Row],[STATE]],"-",Table16[[#This Row],[YEAR]])</f>
        <v>Karnataka-2003</v>
      </c>
      <c r="D1433" t="s">
        <v>123</v>
      </c>
      <c r="E1433">
        <v>137</v>
      </c>
    </row>
    <row r="1434" spans="1:5" x14ac:dyDescent="0.3">
      <c r="A1434" t="s">
        <v>17</v>
      </c>
      <c r="B1434">
        <v>2003</v>
      </c>
      <c r="C1434" t="str">
        <f>_xlfn.CONCAT(Table16[[#This Row],[STATE]],"-",Table16[[#This Row],[YEAR]])</f>
        <v>Karnataka-2003</v>
      </c>
      <c r="D1434" t="s">
        <v>621</v>
      </c>
      <c r="E1434">
        <v>116</v>
      </c>
    </row>
    <row r="1435" spans="1:5" x14ac:dyDescent="0.3">
      <c r="A1435" t="s">
        <v>17</v>
      </c>
      <c r="B1435">
        <v>2003</v>
      </c>
      <c r="C1435" t="str">
        <f>_xlfn.CONCAT(Table16[[#This Row],[STATE]],"-",Table16[[#This Row],[YEAR]])</f>
        <v>Karnataka-2003</v>
      </c>
      <c r="D1435" t="s">
        <v>103</v>
      </c>
      <c r="E1435">
        <v>51</v>
      </c>
    </row>
    <row r="1436" spans="1:5" x14ac:dyDescent="0.3">
      <c r="A1436" t="s">
        <v>17</v>
      </c>
      <c r="B1436">
        <v>2003</v>
      </c>
      <c r="C1436" t="str">
        <f>_xlfn.CONCAT(Table16[[#This Row],[STATE]],"-",Table16[[#This Row],[YEAR]])</f>
        <v>Karnataka-2003</v>
      </c>
      <c r="D1436" t="s">
        <v>622</v>
      </c>
      <c r="E1436">
        <v>43</v>
      </c>
    </row>
    <row r="1437" spans="1:5" x14ac:dyDescent="0.3">
      <c r="A1437" t="s">
        <v>17</v>
      </c>
      <c r="B1437">
        <v>2003</v>
      </c>
      <c r="C1437" t="str">
        <f>_xlfn.CONCAT(Table16[[#This Row],[STATE]],"-",Table16[[#This Row],[YEAR]])</f>
        <v>Karnataka-2003</v>
      </c>
      <c r="D1437" t="s">
        <v>141</v>
      </c>
      <c r="E1437">
        <v>38</v>
      </c>
    </row>
    <row r="1438" spans="1:5" x14ac:dyDescent="0.3">
      <c r="A1438" t="s">
        <v>17</v>
      </c>
      <c r="B1438">
        <v>2003</v>
      </c>
      <c r="C1438" t="str">
        <f>_xlfn.CONCAT(Table16[[#This Row],[STATE]],"-",Table16[[#This Row],[YEAR]])</f>
        <v>Karnataka-2003</v>
      </c>
      <c r="D1438" t="s">
        <v>623</v>
      </c>
      <c r="E1438">
        <v>23</v>
      </c>
    </row>
    <row r="1439" spans="1:5" x14ac:dyDescent="0.3">
      <c r="A1439" t="s">
        <v>17</v>
      </c>
      <c r="B1439">
        <v>2003</v>
      </c>
      <c r="C1439" t="str">
        <f>_xlfn.CONCAT(Table16[[#This Row],[STATE]],"-",Table16[[#This Row],[YEAR]])</f>
        <v>Karnataka-2003</v>
      </c>
      <c r="D1439" t="s">
        <v>223</v>
      </c>
      <c r="E1439">
        <v>36</v>
      </c>
    </row>
    <row r="1440" spans="1:5" x14ac:dyDescent="0.3">
      <c r="A1440" t="s">
        <v>17</v>
      </c>
      <c r="B1440">
        <v>2003</v>
      </c>
      <c r="C1440" t="str">
        <f>_xlfn.CONCAT(Table16[[#This Row],[STATE]],"-",Table16[[#This Row],[YEAR]])</f>
        <v>Karnataka-2003</v>
      </c>
      <c r="D1440" t="s">
        <v>151</v>
      </c>
      <c r="E1440">
        <v>49</v>
      </c>
    </row>
    <row r="1441" spans="1:5" x14ac:dyDescent="0.3">
      <c r="A1441" t="s">
        <v>17</v>
      </c>
      <c r="B1441">
        <v>2003</v>
      </c>
      <c r="C1441" t="str">
        <f>_xlfn.CONCAT(Table16[[#This Row],[STATE]],"-",Table16[[#This Row],[YEAR]])</f>
        <v>Karnataka-2003</v>
      </c>
      <c r="D1441" t="s">
        <v>122</v>
      </c>
      <c r="E1441">
        <v>42</v>
      </c>
    </row>
    <row r="1442" spans="1:5" x14ac:dyDescent="0.3">
      <c r="A1442" t="s">
        <v>17</v>
      </c>
      <c r="B1442">
        <v>2003</v>
      </c>
      <c r="C1442" t="str">
        <f>_xlfn.CONCAT(Table16[[#This Row],[STATE]],"-",Table16[[#This Row],[YEAR]])</f>
        <v>Karnataka-2003</v>
      </c>
      <c r="D1442" t="s">
        <v>351</v>
      </c>
      <c r="E1442">
        <v>12</v>
      </c>
    </row>
    <row r="1443" spans="1:5" x14ac:dyDescent="0.3">
      <c r="A1443" t="s">
        <v>17</v>
      </c>
      <c r="B1443">
        <v>2003</v>
      </c>
      <c r="C1443" t="str">
        <f>_xlfn.CONCAT(Table16[[#This Row],[STATE]],"-",Table16[[#This Row],[YEAR]])</f>
        <v>Karnataka-2003</v>
      </c>
      <c r="D1443" t="s">
        <v>624</v>
      </c>
      <c r="E1443">
        <v>5</v>
      </c>
    </row>
    <row r="1444" spans="1:5" x14ac:dyDescent="0.3">
      <c r="A1444" t="s">
        <v>17</v>
      </c>
      <c r="B1444">
        <v>2004</v>
      </c>
      <c r="C1444" t="str">
        <f>_xlfn.CONCAT(Table16[[#This Row],[STATE]],"-",Table16[[#This Row],[YEAR]])</f>
        <v>Karnataka-2004</v>
      </c>
      <c r="D1444" t="s">
        <v>351</v>
      </c>
      <c r="E1444">
        <v>14</v>
      </c>
    </row>
    <row r="1445" spans="1:5" x14ac:dyDescent="0.3">
      <c r="A1445" t="s">
        <v>17</v>
      </c>
      <c r="B1445">
        <v>2004</v>
      </c>
      <c r="C1445" t="str">
        <f>_xlfn.CONCAT(Table16[[#This Row],[STATE]],"-",Table16[[#This Row],[YEAR]])</f>
        <v>Karnataka-2004</v>
      </c>
      <c r="D1445" t="s">
        <v>625</v>
      </c>
      <c r="E1445">
        <v>44</v>
      </c>
    </row>
    <row r="1446" spans="1:5" x14ac:dyDescent="0.3">
      <c r="A1446" t="s">
        <v>17</v>
      </c>
      <c r="B1446">
        <v>2004</v>
      </c>
      <c r="C1446" t="str">
        <f>_xlfn.CONCAT(Table16[[#This Row],[STATE]],"-",Table16[[#This Row],[YEAR]])</f>
        <v>Karnataka-2004</v>
      </c>
      <c r="D1446" t="s">
        <v>123</v>
      </c>
      <c r="E1446">
        <v>212</v>
      </c>
    </row>
    <row r="1447" spans="1:5" x14ac:dyDescent="0.3">
      <c r="A1447" t="s">
        <v>17</v>
      </c>
      <c r="B1447">
        <v>2004</v>
      </c>
      <c r="C1447" t="str">
        <f>_xlfn.CONCAT(Table16[[#This Row],[STATE]],"-",Table16[[#This Row],[YEAR]])</f>
        <v>Karnataka-2004</v>
      </c>
      <c r="D1447" t="s">
        <v>287</v>
      </c>
      <c r="E1447">
        <v>107</v>
      </c>
    </row>
    <row r="1448" spans="1:5" x14ac:dyDescent="0.3">
      <c r="A1448" t="s">
        <v>17</v>
      </c>
      <c r="B1448">
        <v>2004</v>
      </c>
      <c r="C1448" t="str">
        <f>_xlfn.CONCAT(Table16[[#This Row],[STATE]],"-",Table16[[#This Row],[YEAR]])</f>
        <v>Karnataka-2004</v>
      </c>
      <c r="D1448" t="s">
        <v>151</v>
      </c>
      <c r="E1448">
        <v>51</v>
      </c>
    </row>
    <row r="1449" spans="1:5" x14ac:dyDescent="0.3">
      <c r="A1449" t="s">
        <v>17</v>
      </c>
      <c r="B1449">
        <v>2004</v>
      </c>
      <c r="C1449" t="str">
        <f>_xlfn.CONCAT(Table16[[#This Row],[STATE]],"-",Table16[[#This Row],[YEAR]])</f>
        <v>Karnataka-2004</v>
      </c>
      <c r="D1449" t="s">
        <v>103</v>
      </c>
      <c r="E1449">
        <v>59</v>
      </c>
    </row>
    <row r="1450" spans="1:5" x14ac:dyDescent="0.3">
      <c r="A1450" t="s">
        <v>17</v>
      </c>
      <c r="B1450">
        <v>2004</v>
      </c>
      <c r="C1450" t="str">
        <f>_xlfn.CONCAT(Table16[[#This Row],[STATE]],"-",Table16[[#This Row],[YEAR]])</f>
        <v>Karnataka-2004</v>
      </c>
      <c r="D1450" t="s">
        <v>624</v>
      </c>
      <c r="E1450">
        <v>8</v>
      </c>
    </row>
    <row r="1451" spans="1:5" x14ac:dyDescent="0.3">
      <c r="A1451" t="s">
        <v>17</v>
      </c>
      <c r="B1451">
        <v>2004</v>
      </c>
      <c r="C1451" t="str">
        <f>_xlfn.CONCAT(Table16[[#This Row],[STATE]],"-",Table16[[#This Row],[YEAR]])</f>
        <v>Karnataka-2004</v>
      </c>
      <c r="D1451" t="s">
        <v>626</v>
      </c>
      <c r="E1451">
        <v>42</v>
      </c>
    </row>
    <row r="1452" spans="1:5" x14ac:dyDescent="0.3">
      <c r="A1452" t="s">
        <v>17</v>
      </c>
      <c r="B1452">
        <v>2004</v>
      </c>
      <c r="C1452" t="str">
        <f>_xlfn.CONCAT(Table16[[#This Row],[STATE]],"-",Table16[[#This Row],[YEAR]])</f>
        <v>Karnataka-2004</v>
      </c>
      <c r="D1452" t="s">
        <v>627</v>
      </c>
      <c r="E1452">
        <v>25</v>
      </c>
    </row>
    <row r="1453" spans="1:5" x14ac:dyDescent="0.3">
      <c r="A1453" t="s">
        <v>17</v>
      </c>
      <c r="B1453">
        <v>2004</v>
      </c>
      <c r="C1453" t="str">
        <f>_xlfn.CONCAT(Table16[[#This Row],[STATE]],"-",Table16[[#This Row],[YEAR]])</f>
        <v>Karnataka-2004</v>
      </c>
      <c r="D1453" t="s">
        <v>628</v>
      </c>
      <c r="E1453">
        <v>107</v>
      </c>
    </row>
    <row r="1454" spans="1:5" x14ac:dyDescent="0.3">
      <c r="A1454" t="s">
        <v>17</v>
      </c>
      <c r="B1454">
        <v>2004</v>
      </c>
      <c r="C1454" t="str">
        <f>_xlfn.CONCAT(Table16[[#This Row],[STATE]],"-",Table16[[#This Row],[YEAR]])</f>
        <v>Karnataka-2004</v>
      </c>
      <c r="D1454" t="s">
        <v>141</v>
      </c>
      <c r="E1454">
        <v>36</v>
      </c>
    </row>
    <row r="1455" spans="1:5" x14ac:dyDescent="0.3">
      <c r="A1455" t="s">
        <v>17</v>
      </c>
      <c r="B1455">
        <v>2004</v>
      </c>
      <c r="C1455" t="str">
        <f>_xlfn.CONCAT(Table16[[#This Row],[STATE]],"-",Table16[[#This Row],[YEAR]])</f>
        <v>Karnataka-2004</v>
      </c>
      <c r="D1455" t="s">
        <v>223</v>
      </c>
      <c r="E1455">
        <v>37</v>
      </c>
    </row>
    <row r="1456" spans="1:5" x14ac:dyDescent="0.3">
      <c r="A1456" t="s">
        <v>17</v>
      </c>
      <c r="B1456">
        <v>2005</v>
      </c>
      <c r="C1456" t="str">
        <f>_xlfn.CONCAT(Table16[[#This Row],[STATE]],"-",Table16[[#This Row],[YEAR]])</f>
        <v>Karnataka-2005</v>
      </c>
      <c r="D1456" t="s">
        <v>414</v>
      </c>
      <c r="E1456">
        <v>88</v>
      </c>
    </row>
    <row r="1457" spans="1:5" x14ac:dyDescent="0.3">
      <c r="A1457" t="s">
        <v>17</v>
      </c>
      <c r="B1457">
        <v>2005</v>
      </c>
      <c r="C1457" t="str">
        <f>_xlfn.CONCAT(Table16[[#This Row],[STATE]],"-",Table16[[#This Row],[YEAR]])</f>
        <v>Karnataka-2005</v>
      </c>
      <c r="D1457" t="s">
        <v>103</v>
      </c>
      <c r="E1457">
        <v>214</v>
      </c>
    </row>
    <row r="1458" spans="1:5" x14ac:dyDescent="0.3">
      <c r="A1458" t="s">
        <v>17</v>
      </c>
      <c r="B1458">
        <v>2005</v>
      </c>
      <c r="C1458" t="str">
        <f>_xlfn.CONCAT(Table16[[#This Row],[STATE]],"-",Table16[[#This Row],[YEAR]])</f>
        <v>Karnataka-2005</v>
      </c>
      <c r="D1458" t="s">
        <v>122</v>
      </c>
      <c r="E1458">
        <v>44</v>
      </c>
    </row>
    <row r="1459" spans="1:5" x14ac:dyDescent="0.3">
      <c r="A1459" t="s">
        <v>17</v>
      </c>
      <c r="B1459">
        <v>2005</v>
      </c>
      <c r="C1459" t="str">
        <f>_xlfn.CONCAT(Table16[[#This Row],[STATE]],"-",Table16[[#This Row],[YEAR]])</f>
        <v>Karnataka-2005</v>
      </c>
      <c r="D1459" t="s">
        <v>629</v>
      </c>
      <c r="E1459">
        <v>12</v>
      </c>
    </row>
    <row r="1460" spans="1:5" x14ac:dyDescent="0.3">
      <c r="A1460" t="s">
        <v>17</v>
      </c>
      <c r="B1460">
        <v>2005</v>
      </c>
      <c r="C1460" t="str">
        <f>_xlfn.CONCAT(Table16[[#This Row],[STATE]],"-",Table16[[#This Row],[YEAR]])</f>
        <v>Karnataka-2005</v>
      </c>
      <c r="D1460" t="s">
        <v>630</v>
      </c>
      <c r="E1460">
        <v>47</v>
      </c>
    </row>
    <row r="1461" spans="1:5" x14ac:dyDescent="0.3">
      <c r="A1461" t="s">
        <v>17</v>
      </c>
      <c r="B1461">
        <v>2005</v>
      </c>
      <c r="C1461" t="str">
        <f>_xlfn.CONCAT(Table16[[#This Row],[STATE]],"-",Table16[[#This Row],[YEAR]])</f>
        <v>Karnataka-2005</v>
      </c>
      <c r="D1461" t="s">
        <v>631</v>
      </c>
      <c r="E1461">
        <v>68</v>
      </c>
    </row>
    <row r="1462" spans="1:5" x14ac:dyDescent="0.3">
      <c r="A1462" t="s">
        <v>17</v>
      </c>
      <c r="B1462">
        <v>2005</v>
      </c>
      <c r="C1462" t="str">
        <f>_xlfn.CONCAT(Table16[[#This Row],[STATE]],"-",Table16[[#This Row],[YEAR]])</f>
        <v>Karnataka-2005</v>
      </c>
      <c r="D1462" t="s">
        <v>632</v>
      </c>
      <c r="E1462">
        <v>54</v>
      </c>
    </row>
    <row r="1463" spans="1:5" x14ac:dyDescent="0.3">
      <c r="A1463" t="s">
        <v>17</v>
      </c>
      <c r="B1463">
        <v>2005</v>
      </c>
      <c r="C1463" t="str">
        <f>_xlfn.CONCAT(Table16[[#This Row],[STATE]],"-",Table16[[#This Row],[YEAR]])</f>
        <v>Karnataka-2005</v>
      </c>
      <c r="D1463" t="s">
        <v>633</v>
      </c>
      <c r="E1463">
        <v>54</v>
      </c>
    </row>
    <row r="1464" spans="1:5" x14ac:dyDescent="0.3">
      <c r="A1464" t="s">
        <v>17</v>
      </c>
      <c r="B1464">
        <v>2005</v>
      </c>
      <c r="C1464" t="str">
        <f>_xlfn.CONCAT(Table16[[#This Row],[STATE]],"-",Table16[[#This Row],[YEAR]])</f>
        <v>Karnataka-2005</v>
      </c>
      <c r="D1464" t="s">
        <v>634</v>
      </c>
      <c r="E1464">
        <v>5</v>
      </c>
    </row>
    <row r="1465" spans="1:5" x14ac:dyDescent="0.3">
      <c r="A1465" t="s">
        <v>17</v>
      </c>
      <c r="B1465">
        <v>2005</v>
      </c>
      <c r="C1465" t="str">
        <f>_xlfn.CONCAT(Table16[[#This Row],[STATE]],"-",Table16[[#This Row],[YEAR]])</f>
        <v>Karnataka-2005</v>
      </c>
      <c r="D1465" t="s">
        <v>635</v>
      </c>
      <c r="E1465">
        <v>30</v>
      </c>
    </row>
    <row r="1466" spans="1:5" x14ac:dyDescent="0.3">
      <c r="A1466" t="s">
        <v>17</v>
      </c>
      <c r="B1466">
        <v>2005</v>
      </c>
      <c r="C1466" t="str">
        <f>_xlfn.CONCAT(Table16[[#This Row],[STATE]],"-",Table16[[#This Row],[YEAR]])</f>
        <v>Karnataka-2005</v>
      </c>
      <c r="D1466" t="s">
        <v>351</v>
      </c>
      <c r="E1466">
        <v>22</v>
      </c>
    </row>
    <row r="1467" spans="1:5" x14ac:dyDescent="0.3">
      <c r="A1467" t="s">
        <v>17</v>
      </c>
      <c r="B1467">
        <v>2005</v>
      </c>
      <c r="C1467" t="str">
        <f>_xlfn.CONCAT(Table16[[#This Row],[STATE]],"-",Table16[[#This Row],[YEAR]])</f>
        <v>Karnataka-2005</v>
      </c>
      <c r="D1467" t="s">
        <v>287</v>
      </c>
      <c r="E1467">
        <v>107</v>
      </c>
    </row>
    <row r="1468" spans="1:5" x14ac:dyDescent="0.3">
      <c r="A1468" t="s">
        <v>17</v>
      </c>
      <c r="B1468">
        <v>2005</v>
      </c>
      <c r="C1468" t="str">
        <f>_xlfn.CONCAT(Table16[[#This Row],[STATE]],"-",Table16[[#This Row],[YEAR]])</f>
        <v>Karnataka-2005</v>
      </c>
      <c r="D1468" t="s">
        <v>624</v>
      </c>
      <c r="E1468">
        <v>4</v>
      </c>
    </row>
    <row r="1469" spans="1:5" x14ac:dyDescent="0.3">
      <c r="A1469" t="s">
        <v>17</v>
      </c>
      <c r="B1469">
        <v>2006</v>
      </c>
      <c r="C1469" t="str">
        <f>_xlfn.CONCAT(Table16[[#This Row],[STATE]],"-",Table16[[#This Row],[YEAR]])</f>
        <v>Karnataka-2006</v>
      </c>
      <c r="D1469" t="s">
        <v>103</v>
      </c>
      <c r="E1469">
        <v>252</v>
      </c>
    </row>
    <row r="1470" spans="1:5" x14ac:dyDescent="0.3">
      <c r="A1470" t="s">
        <v>17</v>
      </c>
      <c r="B1470">
        <v>2006</v>
      </c>
      <c r="C1470" t="str">
        <f>_xlfn.CONCAT(Table16[[#This Row],[STATE]],"-",Table16[[#This Row],[YEAR]])</f>
        <v>Karnataka-2006</v>
      </c>
      <c r="D1470" t="s">
        <v>123</v>
      </c>
      <c r="E1470">
        <v>97</v>
      </c>
    </row>
    <row r="1471" spans="1:5" x14ac:dyDescent="0.3">
      <c r="A1471" t="s">
        <v>17</v>
      </c>
      <c r="B1471">
        <v>2006</v>
      </c>
      <c r="C1471" t="str">
        <f>_xlfn.CONCAT(Table16[[#This Row],[STATE]],"-",Table16[[#This Row],[YEAR]])</f>
        <v>Karnataka-2006</v>
      </c>
      <c r="D1471" t="s">
        <v>622</v>
      </c>
      <c r="E1471">
        <v>49</v>
      </c>
    </row>
    <row r="1472" spans="1:5" x14ac:dyDescent="0.3">
      <c r="A1472" t="s">
        <v>17</v>
      </c>
      <c r="B1472">
        <v>2006</v>
      </c>
      <c r="C1472" t="str">
        <f>_xlfn.CONCAT(Table16[[#This Row],[STATE]],"-",Table16[[#This Row],[YEAR]])</f>
        <v>Karnataka-2006</v>
      </c>
      <c r="D1472" t="s">
        <v>141</v>
      </c>
      <c r="E1472">
        <v>52</v>
      </c>
    </row>
    <row r="1473" spans="1:5" x14ac:dyDescent="0.3">
      <c r="A1473" t="s">
        <v>17</v>
      </c>
      <c r="B1473">
        <v>2006</v>
      </c>
      <c r="C1473" t="str">
        <f>_xlfn.CONCAT(Table16[[#This Row],[STATE]],"-",Table16[[#This Row],[YEAR]])</f>
        <v>Karnataka-2006</v>
      </c>
      <c r="D1473" t="s">
        <v>636</v>
      </c>
      <c r="E1473">
        <v>37</v>
      </c>
    </row>
    <row r="1474" spans="1:5" x14ac:dyDescent="0.3">
      <c r="A1474" t="s">
        <v>17</v>
      </c>
      <c r="B1474">
        <v>2006</v>
      </c>
      <c r="C1474" t="str">
        <f>_xlfn.CONCAT(Table16[[#This Row],[STATE]],"-",Table16[[#This Row],[YEAR]])</f>
        <v>Karnataka-2006</v>
      </c>
      <c r="D1474" t="s">
        <v>223</v>
      </c>
      <c r="E1474">
        <v>24</v>
      </c>
    </row>
    <row r="1475" spans="1:5" x14ac:dyDescent="0.3">
      <c r="A1475" t="s">
        <v>17</v>
      </c>
      <c r="B1475">
        <v>2006</v>
      </c>
      <c r="C1475" t="str">
        <f>_xlfn.CONCAT(Table16[[#This Row],[STATE]],"-",Table16[[#This Row],[YEAR]])</f>
        <v>Karnataka-2006</v>
      </c>
      <c r="D1475" t="s">
        <v>637</v>
      </c>
      <c r="E1475">
        <v>37</v>
      </c>
    </row>
    <row r="1476" spans="1:5" x14ac:dyDescent="0.3">
      <c r="A1476" t="s">
        <v>17</v>
      </c>
      <c r="B1476">
        <v>2006</v>
      </c>
      <c r="C1476" t="str">
        <f>_xlfn.CONCAT(Table16[[#This Row],[STATE]],"-",Table16[[#This Row],[YEAR]])</f>
        <v>Karnataka-2006</v>
      </c>
      <c r="D1476" t="s">
        <v>638</v>
      </c>
      <c r="E1476">
        <v>37</v>
      </c>
    </row>
    <row r="1477" spans="1:5" x14ac:dyDescent="0.3">
      <c r="A1477" t="s">
        <v>17</v>
      </c>
      <c r="B1477">
        <v>2006</v>
      </c>
      <c r="C1477" t="str">
        <f>_xlfn.CONCAT(Table16[[#This Row],[STATE]],"-",Table16[[#This Row],[YEAR]])</f>
        <v>Karnataka-2006</v>
      </c>
      <c r="D1477" t="s">
        <v>287</v>
      </c>
      <c r="E1477">
        <v>32</v>
      </c>
    </row>
    <row r="1478" spans="1:5" x14ac:dyDescent="0.3">
      <c r="A1478" t="s">
        <v>17</v>
      </c>
      <c r="B1478">
        <v>2006</v>
      </c>
      <c r="C1478" t="str">
        <f>_xlfn.CONCAT(Table16[[#This Row],[STATE]],"-",Table16[[#This Row],[YEAR]])</f>
        <v>Karnataka-2006</v>
      </c>
      <c r="D1478" t="s">
        <v>624</v>
      </c>
      <c r="E1478">
        <v>12</v>
      </c>
    </row>
    <row r="1479" spans="1:5" x14ac:dyDescent="0.3">
      <c r="A1479" t="s">
        <v>17</v>
      </c>
      <c r="B1479">
        <v>2006</v>
      </c>
      <c r="C1479" t="str">
        <f>_xlfn.CONCAT(Table16[[#This Row],[STATE]],"-",Table16[[#This Row],[YEAR]])</f>
        <v>Karnataka-2006</v>
      </c>
      <c r="D1479" t="s">
        <v>639</v>
      </c>
      <c r="E1479">
        <v>24</v>
      </c>
    </row>
    <row r="1480" spans="1:5" x14ac:dyDescent="0.3">
      <c r="A1480" t="s">
        <v>17</v>
      </c>
      <c r="B1480">
        <v>2006</v>
      </c>
      <c r="C1480" t="str">
        <f>_xlfn.CONCAT(Table16[[#This Row],[STATE]],"-",Table16[[#This Row],[YEAR]])</f>
        <v>Karnataka-2006</v>
      </c>
      <c r="D1480" t="s">
        <v>640</v>
      </c>
      <c r="E1480">
        <v>37</v>
      </c>
    </row>
    <row r="1481" spans="1:5" x14ac:dyDescent="0.3">
      <c r="A1481" t="s">
        <v>17</v>
      </c>
      <c r="B1481">
        <v>2006</v>
      </c>
      <c r="C1481" t="str">
        <f>_xlfn.CONCAT(Table16[[#This Row],[STATE]],"-",Table16[[#This Row],[YEAR]])</f>
        <v>Karnataka-2006</v>
      </c>
      <c r="D1481" t="s">
        <v>641</v>
      </c>
      <c r="E1481">
        <v>10</v>
      </c>
    </row>
    <row r="1482" spans="1:5" x14ac:dyDescent="0.3">
      <c r="A1482" t="s">
        <v>17</v>
      </c>
      <c r="B1482">
        <v>2006</v>
      </c>
      <c r="C1482" t="str">
        <f>_xlfn.CONCAT(Table16[[#This Row],[STATE]],"-",Table16[[#This Row],[YEAR]])</f>
        <v>Karnataka-2006</v>
      </c>
      <c r="D1482" t="s">
        <v>642</v>
      </c>
      <c r="E1482">
        <v>12</v>
      </c>
    </row>
    <row r="1483" spans="1:5" x14ac:dyDescent="0.3">
      <c r="A1483" t="s">
        <v>17</v>
      </c>
      <c r="B1483">
        <v>2006</v>
      </c>
      <c r="C1483" t="str">
        <f>_xlfn.CONCAT(Table16[[#This Row],[STATE]],"-",Table16[[#This Row],[YEAR]])</f>
        <v>Karnataka-2006</v>
      </c>
      <c r="D1483" t="s">
        <v>286</v>
      </c>
      <c r="E1483">
        <v>10</v>
      </c>
    </row>
    <row r="1484" spans="1:5" x14ac:dyDescent="0.3">
      <c r="A1484" t="s">
        <v>17</v>
      </c>
      <c r="B1484">
        <v>2006</v>
      </c>
      <c r="C1484" t="str">
        <f>_xlfn.CONCAT(Table16[[#This Row],[STATE]],"-",Table16[[#This Row],[YEAR]])</f>
        <v>Karnataka-2006</v>
      </c>
      <c r="D1484" t="s">
        <v>317</v>
      </c>
      <c r="E1484">
        <v>12</v>
      </c>
    </row>
    <row r="1485" spans="1:5" x14ac:dyDescent="0.3">
      <c r="A1485" t="s">
        <v>17</v>
      </c>
      <c r="B1485">
        <v>2006</v>
      </c>
      <c r="C1485" t="str">
        <f>_xlfn.CONCAT(Table16[[#This Row],[STATE]],"-",Table16[[#This Row],[YEAR]])</f>
        <v>Karnataka-2006</v>
      </c>
      <c r="D1485" t="s">
        <v>532</v>
      </c>
      <c r="E1485">
        <v>33</v>
      </c>
    </row>
    <row r="1486" spans="1:5" x14ac:dyDescent="0.3">
      <c r="A1486" t="s">
        <v>17</v>
      </c>
      <c r="B1486">
        <v>2006</v>
      </c>
      <c r="C1486" t="str">
        <f>_xlfn.CONCAT(Table16[[#This Row],[STATE]],"-",Table16[[#This Row],[YEAR]])</f>
        <v>Karnataka-2006</v>
      </c>
      <c r="D1486" t="s">
        <v>632</v>
      </c>
      <c r="E1486">
        <v>22</v>
      </c>
    </row>
    <row r="1487" spans="1:5" x14ac:dyDescent="0.3">
      <c r="A1487" t="s">
        <v>17</v>
      </c>
      <c r="B1487">
        <v>2006</v>
      </c>
      <c r="C1487" t="str">
        <f>_xlfn.CONCAT(Table16[[#This Row],[STATE]],"-",Table16[[#This Row],[YEAR]])</f>
        <v>Karnataka-2006</v>
      </c>
      <c r="D1487" t="s">
        <v>643</v>
      </c>
      <c r="E1487">
        <v>37</v>
      </c>
    </row>
    <row r="1488" spans="1:5" x14ac:dyDescent="0.3">
      <c r="A1488" t="s">
        <v>17</v>
      </c>
      <c r="B1488">
        <v>2007</v>
      </c>
      <c r="C1488" t="str">
        <f>_xlfn.CONCAT(Table16[[#This Row],[STATE]],"-",Table16[[#This Row],[YEAR]])</f>
        <v>Karnataka-2007</v>
      </c>
      <c r="D1488" t="s">
        <v>351</v>
      </c>
      <c r="E1488">
        <v>31</v>
      </c>
    </row>
    <row r="1489" spans="1:5" x14ac:dyDescent="0.3">
      <c r="A1489" t="s">
        <v>17</v>
      </c>
      <c r="B1489">
        <v>2007</v>
      </c>
      <c r="C1489" t="str">
        <f>_xlfn.CONCAT(Table16[[#This Row],[STATE]],"-",Table16[[#This Row],[YEAR]])</f>
        <v>Karnataka-2007</v>
      </c>
      <c r="D1489" t="s">
        <v>189</v>
      </c>
      <c r="E1489">
        <v>48</v>
      </c>
    </row>
    <row r="1490" spans="1:5" x14ac:dyDescent="0.3">
      <c r="A1490" t="s">
        <v>17</v>
      </c>
      <c r="B1490">
        <v>2007</v>
      </c>
      <c r="C1490" t="str">
        <f>_xlfn.CONCAT(Table16[[#This Row],[STATE]],"-",Table16[[#This Row],[YEAR]])</f>
        <v>Karnataka-2007</v>
      </c>
      <c r="D1490" t="s">
        <v>123</v>
      </c>
      <c r="E1490">
        <v>873</v>
      </c>
    </row>
    <row r="1491" spans="1:5" x14ac:dyDescent="0.3">
      <c r="A1491" t="s">
        <v>17</v>
      </c>
      <c r="B1491">
        <v>2007</v>
      </c>
      <c r="C1491" t="str">
        <f>_xlfn.CONCAT(Table16[[#This Row],[STATE]],"-",Table16[[#This Row],[YEAR]])</f>
        <v>Karnataka-2007</v>
      </c>
      <c r="D1491" t="s">
        <v>626</v>
      </c>
      <c r="E1491">
        <v>38</v>
      </c>
    </row>
    <row r="1492" spans="1:5" x14ac:dyDescent="0.3">
      <c r="A1492" t="s">
        <v>17</v>
      </c>
      <c r="B1492">
        <v>2007</v>
      </c>
      <c r="C1492" t="str">
        <f>_xlfn.CONCAT(Table16[[#This Row],[STATE]],"-",Table16[[#This Row],[YEAR]])</f>
        <v>Karnataka-2007</v>
      </c>
      <c r="D1492" t="s">
        <v>644</v>
      </c>
      <c r="E1492">
        <v>10</v>
      </c>
    </row>
    <row r="1493" spans="1:5" x14ac:dyDescent="0.3">
      <c r="A1493" t="s">
        <v>17</v>
      </c>
      <c r="B1493">
        <v>2007</v>
      </c>
      <c r="C1493" t="str">
        <f>_xlfn.CONCAT(Table16[[#This Row],[STATE]],"-",Table16[[#This Row],[YEAR]])</f>
        <v>Karnataka-2007</v>
      </c>
      <c r="D1493" t="s">
        <v>140</v>
      </c>
      <c r="E1493">
        <v>12</v>
      </c>
    </row>
    <row r="1494" spans="1:5" x14ac:dyDescent="0.3">
      <c r="A1494" t="s">
        <v>17</v>
      </c>
      <c r="B1494">
        <v>2007</v>
      </c>
      <c r="C1494" t="str">
        <f>_xlfn.CONCAT(Table16[[#This Row],[STATE]],"-",Table16[[#This Row],[YEAR]])</f>
        <v>Karnataka-2007</v>
      </c>
      <c r="D1494" t="s">
        <v>642</v>
      </c>
      <c r="E1494">
        <v>5</v>
      </c>
    </row>
    <row r="1495" spans="1:5" x14ac:dyDescent="0.3">
      <c r="A1495" t="s">
        <v>17</v>
      </c>
      <c r="B1495">
        <v>2007</v>
      </c>
      <c r="C1495" t="str">
        <f>_xlfn.CONCAT(Table16[[#This Row],[STATE]],"-",Table16[[#This Row],[YEAR]])</f>
        <v>Karnataka-2007</v>
      </c>
      <c r="D1495" t="s">
        <v>532</v>
      </c>
      <c r="E1495">
        <v>22</v>
      </c>
    </row>
    <row r="1496" spans="1:5" x14ac:dyDescent="0.3">
      <c r="A1496" t="s">
        <v>17</v>
      </c>
      <c r="B1496">
        <v>2007</v>
      </c>
      <c r="C1496" t="str">
        <f>_xlfn.CONCAT(Table16[[#This Row],[STATE]],"-",Table16[[#This Row],[YEAR]])</f>
        <v>Karnataka-2007</v>
      </c>
      <c r="D1496" t="s">
        <v>636</v>
      </c>
      <c r="E1496">
        <v>45</v>
      </c>
    </row>
    <row r="1497" spans="1:5" x14ac:dyDescent="0.3">
      <c r="A1497" t="s">
        <v>17</v>
      </c>
      <c r="B1497">
        <v>2007</v>
      </c>
      <c r="C1497" t="str">
        <f>_xlfn.CONCAT(Table16[[#This Row],[STATE]],"-",Table16[[#This Row],[YEAR]])</f>
        <v>Karnataka-2007</v>
      </c>
      <c r="D1497" t="s">
        <v>287</v>
      </c>
      <c r="E1497">
        <v>87</v>
      </c>
    </row>
    <row r="1498" spans="1:5" x14ac:dyDescent="0.3">
      <c r="A1498" t="s">
        <v>17</v>
      </c>
      <c r="B1498">
        <v>2007</v>
      </c>
      <c r="C1498" t="str">
        <f>_xlfn.CONCAT(Table16[[#This Row],[STATE]],"-",Table16[[#This Row],[YEAR]])</f>
        <v>Karnataka-2007</v>
      </c>
      <c r="D1498" t="s">
        <v>640</v>
      </c>
      <c r="E1498">
        <v>12</v>
      </c>
    </row>
    <row r="1499" spans="1:5" x14ac:dyDescent="0.3">
      <c r="A1499" t="s">
        <v>17</v>
      </c>
      <c r="B1499">
        <v>2007</v>
      </c>
      <c r="C1499" t="str">
        <f>_xlfn.CONCAT(Table16[[#This Row],[STATE]],"-",Table16[[#This Row],[YEAR]])</f>
        <v>Karnataka-2007</v>
      </c>
      <c r="D1499" t="s">
        <v>645</v>
      </c>
      <c r="E1499">
        <v>94</v>
      </c>
    </row>
    <row r="1500" spans="1:5" x14ac:dyDescent="0.3">
      <c r="A1500" t="s">
        <v>17</v>
      </c>
      <c r="B1500">
        <v>2007</v>
      </c>
      <c r="C1500" t="str">
        <f>_xlfn.CONCAT(Table16[[#This Row],[STATE]],"-",Table16[[#This Row],[YEAR]])</f>
        <v>Karnataka-2007</v>
      </c>
      <c r="D1500" t="s">
        <v>102</v>
      </c>
      <c r="E1500">
        <v>76</v>
      </c>
    </row>
    <row r="1501" spans="1:5" x14ac:dyDescent="0.3">
      <c r="A1501" t="s">
        <v>17</v>
      </c>
      <c r="B1501">
        <v>2007</v>
      </c>
      <c r="C1501" t="str">
        <f>_xlfn.CONCAT(Table16[[#This Row],[STATE]],"-",Table16[[#This Row],[YEAR]])</f>
        <v>Karnataka-2007</v>
      </c>
      <c r="D1501" t="s">
        <v>103</v>
      </c>
      <c r="E1501">
        <v>248</v>
      </c>
    </row>
    <row r="1502" spans="1:5" x14ac:dyDescent="0.3">
      <c r="A1502" t="s">
        <v>17</v>
      </c>
      <c r="B1502">
        <v>2007</v>
      </c>
      <c r="C1502" t="str">
        <f>_xlfn.CONCAT(Table16[[#This Row],[STATE]],"-",Table16[[#This Row],[YEAR]])</f>
        <v>Karnataka-2007</v>
      </c>
      <c r="D1502" t="s">
        <v>646</v>
      </c>
      <c r="E1502">
        <v>24</v>
      </c>
    </row>
    <row r="1503" spans="1:5" x14ac:dyDescent="0.3">
      <c r="A1503" t="s">
        <v>17</v>
      </c>
      <c r="B1503">
        <v>2007</v>
      </c>
      <c r="C1503" t="str">
        <f>_xlfn.CONCAT(Table16[[#This Row],[STATE]],"-",Table16[[#This Row],[YEAR]])</f>
        <v>Karnataka-2007</v>
      </c>
      <c r="D1503" t="s">
        <v>286</v>
      </c>
      <c r="E1503">
        <v>10</v>
      </c>
    </row>
    <row r="1504" spans="1:5" x14ac:dyDescent="0.3">
      <c r="A1504" t="s">
        <v>17</v>
      </c>
      <c r="B1504">
        <v>2007</v>
      </c>
      <c r="C1504" t="str">
        <f>_xlfn.CONCAT(Table16[[#This Row],[STATE]],"-",Table16[[#This Row],[YEAR]])</f>
        <v>Karnataka-2007</v>
      </c>
      <c r="D1504" t="s">
        <v>141</v>
      </c>
      <c r="E1504">
        <v>78</v>
      </c>
    </row>
    <row r="1505" spans="1:5" x14ac:dyDescent="0.3">
      <c r="A1505" t="s">
        <v>17</v>
      </c>
      <c r="B1505">
        <v>2007</v>
      </c>
      <c r="C1505" t="str">
        <f>_xlfn.CONCAT(Table16[[#This Row],[STATE]],"-",Table16[[#This Row],[YEAR]])</f>
        <v>Karnataka-2007</v>
      </c>
      <c r="D1505" t="s">
        <v>632</v>
      </c>
      <c r="E1505">
        <v>10</v>
      </c>
    </row>
    <row r="1506" spans="1:5" x14ac:dyDescent="0.3">
      <c r="A1506" t="s">
        <v>17</v>
      </c>
      <c r="B1506">
        <v>2007</v>
      </c>
      <c r="C1506" t="str">
        <f>_xlfn.CONCAT(Table16[[#This Row],[STATE]],"-",Table16[[#This Row],[YEAR]])</f>
        <v>Karnataka-2007</v>
      </c>
      <c r="D1506" t="s">
        <v>223</v>
      </c>
      <c r="E1506">
        <v>16</v>
      </c>
    </row>
    <row r="1507" spans="1:5" x14ac:dyDescent="0.3">
      <c r="A1507" t="s">
        <v>17</v>
      </c>
      <c r="B1507">
        <v>2008</v>
      </c>
      <c r="C1507" t="str">
        <f>_xlfn.CONCAT(Table16[[#This Row],[STATE]],"-",Table16[[#This Row],[YEAR]])</f>
        <v>Karnataka-2008</v>
      </c>
      <c r="D1507" t="s">
        <v>351</v>
      </c>
      <c r="E1507">
        <v>37</v>
      </c>
    </row>
    <row r="1508" spans="1:5" x14ac:dyDescent="0.3">
      <c r="A1508" t="s">
        <v>17</v>
      </c>
      <c r="B1508">
        <v>2008</v>
      </c>
      <c r="C1508" t="str">
        <f>_xlfn.CONCAT(Table16[[#This Row],[STATE]],"-",Table16[[#This Row],[YEAR]])</f>
        <v>Karnataka-2008</v>
      </c>
      <c r="D1508" t="s">
        <v>122</v>
      </c>
      <c r="E1508">
        <v>43</v>
      </c>
    </row>
    <row r="1509" spans="1:5" x14ac:dyDescent="0.3">
      <c r="A1509" t="s">
        <v>17</v>
      </c>
      <c r="B1509">
        <v>2008</v>
      </c>
      <c r="C1509" t="str">
        <f>_xlfn.CONCAT(Table16[[#This Row],[STATE]],"-",Table16[[#This Row],[YEAR]])</f>
        <v>Karnataka-2008</v>
      </c>
      <c r="D1509" t="s">
        <v>642</v>
      </c>
      <c r="E1509">
        <v>2</v>
      </c>
    </row>
    <row r="1510" spans="1:5" x14ac:dyDescent="0.3">
      <c r="A1510" t="s">
        <v>17</v>
      </c>
      <c r="B1510">
        <v>2008</v>
      </c>
      <c r="C1510" t="str">
        <f>_xlfn.CONCAT(Table16[[#This Row],[STATE]],"-",Table16[[#This Row],[YEAR]])</f>
        <v>Karnataka-2008</v>
      </c>
      <c r="D1510" t="s">
        <v>636</v>
      </c>
      <c r="E1510">
        <v>31</v>
      </c>
    </row>
    <row r="1511" spans="1:5" x14ac:dyDescent="0.3">
      <c r="A1511" t="s">
        <v>17</v>
      </c>
      <c r="B1511">
        <v>2008</v>
      </c>
      <c r="C1511" t="str">
        <f>_xlfn.CONCAT(Table16[[#This Row],[STATE]],"-",Table16[[#This Row],[YEAR]])</f>
        <v>Karnataka-2008</v>
      </c>
      <c r="D1511" t="s">
        <v>287</v>
      </c>
      <c r="E1511">
        <v>93</v>
      </c>
    </row>
    <row r="1512" spans="1:5" x14ac:dyDescent="0.3">
      <c r="A1512" t="s">
        <v>17</v>
      </c>
      <c r="B1512">
        <v>2008</v>
      </c>
      <c r="C1512" t="str">
        <f>_xlfn.CONCAT(Table16[[#This Row],[STATE]],"-",Table16[[#This Row],[YEAR]])</f>
        <v>Karnataka-2008</v>
      </c>
      <c r="D1512" t="s">
        <v>103</v>
      </c>
      <c r="E1512">
        <v>237</v>
      </c>
    </row>
    <row r="1513" spans="1:5" x14ac:dyDescent="0.3">
      <c r="A1513" t="s">
        <v>17</v>
      </c>
      <c r="B1513">
        <v>2008</v>
      </c>
      <c r="C1513" t="str">
        <f>_xlfn.CONCAT(Table16[[#This Row],[STATE]],"-",Table16[[#This Row],[YEAR]])</f>
        <v>Karnataka-2008</v>
      </c>
      <c r="D1513" t="s">
        <v>123</v>
      </c>
      <c r="E1513">
        <v>49</v>
      </c>
    </row>
    <row r="1514" spans="1:5" x14ac:dyDescent="0.3">
      <c r="A1514" t="s">
        <v>17</v>
      </c>
      <c r="B1514">
        <v>2008</v>
      </c>
      <c r="C1514" t="str">
        <f>_xlfn.CONCAT(Table16[[#This Row],[STATE]],"-",Table16[[#This Row],[YEAR]])</f>
        <v>Karnataka-2008</v>
      </c>
      <c r="D1514" t="s">
        <v>140</v>
      </c>
      <c r="E1514">
        <v>10</v>
      </c>
    </row>
    <row r="1515" spans="1:5" x14ac:dyDescent="0.3">
      <c r="A1515" t="s">
        <v>17</v>
      </c>
      <c r="B1515">
        <v>2008</v>
      </c>
      <c r="C1515" t="str">
        <f>_xlfn.CONCAT(Table16[[#This Row],[STATE]],"-",Table16[[#This Row],[YEAR]])</f>
        <v>Karnataka-2008</v>
      </c>
      <c r="D1515" t="s">
        <v>286</v>
      </c>
      <c r="E1515">
        <v>10</v>
      </c>
    </row>
    <row r="1516" spans="1:5" x14ac:dyDescent="0.3">
      <c r="A1516" t="s">
        <v>17</v>
      </c>
      <c r="B1516">
        <v>2008</v>
      </c>
      <c r="C1516" t="str">
        <f>_xlfn.CONCAT(Table16[[#This Row],[STATE]],"-",Table16[[#This Row],[YEAR]])</f>
        <v>Karnataka-2008</v>
      </c>
      <c r="D1516" t="s">
        <v>141</v>
      </c>
      <c r="E1516">
        <v>67</v>
      </c>
    </row>
    <row r="1517" spans="1:5" x14ac:dyDescent="0.3">
      <c r="A1517" t="s">
        <v>17</v>
      </c>
      <c r="B1517">
        <v>2008</v>
      </c>
      <c r="C1517" t="str">
        <f>_xlfn.CONCAT(Table16[[#This Row],[STATE]],"-",Table16[[#This Row],[YEAR]])</f>
        <v>Karnataka-2008</v>
      </c>
      <c r="D1517" t="s">
        <v>151</v>
      </c>
      <c r="E1517">
        <v>59</v>
      </c>
    </row>
    <row r="1518" spans="1:5" x14ac:dyDescent="0.3">
      <c r="A1518" t="s">
        <v>17</v>
      </c>
      <c r="B1518">
        <v>2008</v>
      </c>
      <c r="C1518" t="str">
        <f>_xlfn.CONCAT(Table16[[#This Row],[STATE]],"-",Table16[[#This Row],[YEAR]])</f>
        <v>Karnataka-2008</v>
      </c>
      <c r="D1518" t="s">
        <v>632</v>
      </c>
      <c r="E1518">
        <v>4</v>
      </c>
    </row>
    <row r="1519" spans="1:5" x14ac:dyDescent="0.3">
      <c r="A1519" t="s">
        <v>17</v>
      </c>
      <c r="B1519">
        <v>2008</v>
      </c>
      <c r="C1519" t="str">
        <f>_xlfn.CONCAT(Table16[[#This Row],[STATE]],"-",Table16[[#This Row],[YEAR]])</f>
        <v>Karnataka-2008</v>
      </c>
      <c r="D1519" t="s">
        <v>223</v>
      </c>
      <c r="E1519">
        <v>16</v>
      </c>
    </row>
    <row r="1520" spans="1:5" x14ac:dyDescent="0.3">
      <c r="A1520" t="s">
        <v>17</v>
      </c>
      <c r="B1520">
        <v>2008</v>
      </c>
      <c r="C1520" t="str">
        <f>_xlfn.CONCAT(Table16[[#This Row],[STATE]],"-",Table16[[#This Row],[YEAR]])</f>
        <v>Karnataka-2008</v>
      </c>
      <c r="D1520" t="s">
        <v>646</v>
      </c>
      <c r="E1520">
        <v>32</v>
      </c>
    </row>
    <row r="1521" spans="1:5" x14ac:dyDescent="0.3">
      <c r="A1521" t="s">
        <v>17</v>
      </c>
      <c r="B1521">
        <v>2008</v>
      </c>
      <c r="C1521" t="str">
        <f>_xlfn.CONCAT(Table16[[#This Row],[STATE]],"-",Table16[[#This Row],[YEAR]])</f>
        <v>Karnataka-2008</v>
      </c>
      <c r="D1521" t="s">
        <v>644</v>
      </c>
      <c r="E1521">
        <v>5</v>
      </c>
    </row>
    <row r="1522" spans="1:5" x14ac:dyDescent="0.3">
      <c r="A1522" t="s">
        <v>17</v>
      </c>
      <c r="B1522">
        <v>2009</v>
      </c>
      <c r="C1522" t="str">
        <f>_xlfn.CONCAT(Table16[[#This Row],[STATE]],"-",Table16[[#This Row],[YEAR]])</f>
        <v>Karnataka-2009</v>
      </c>
      <c r="D1522" t="s">
        <v>639</v>
      </c>
      <c r="E1522">
        <v>43</v>
      </c>
    </row>
    <row r="1523" spans="1:5" x14ac:dyDescent="0.3">
      <c r="A1523" t="s">
        <v>17</v>
      </c>
      <c r="B1523">
        <v>2009</v>
      </c>
      <c r="C1523" t="str">
        <f>_xlfn.CONCAT(Table16[[#This Row],[STATE]],"-",Table16[[#This Row],[YEAR]])</f>
        <v>Karnataka-2009</v>
      </c>
      <c r="D1523" t="s">
        <v>647</v>
      </c>
      <c r="E1523">
        <v>56</v>
      </c>
    </row>
    <row r="1524" spans="1:5" x14ac:dyDescent="0.3">
      <c r="A1524" t="s">
        <v>17</v>
      </c>
      <c r="B1524">
        <v>2009</v>
      </c>
      <c r="C1524" t="str">
        <f>_xlfn.CONCAT(Table16[[#This Row],[STATE]],"-",Table16[[#This Row],[YEAR]])</f>
        <v>Karnataka-2009</v>
      </c>
      <c r="D1524" t="s">
        <v>642</v>
      </c>
      <c r="E1524">
        <v>4</v>
      </c>
    </row>
    <row r="1525" spans="1:5" x14ac:dyDescent="0.3">
      <c r="A1525" t="s">
        <v>17</v>
      </c>
      <c r="B1525">
        <v>2009</v>
      </c>
      <c r="C1525" t="str">
        <f>_xlfn.CONCAT(Table16[[#This Row],[STATE]],"-",Table16[[#This Row],[YEAR]])</f>
        <v>Karnataka-2009</v>
      </c>
      <c r="D1525" t="s">
        <v>636</v>
      </c>
      <c r="E1525">
        <v>19</v>
      </c>
    </row>
    <row r="1526" spans="1:5" x14ac:dyDescent="0.3">
      <c r="A1526" t="s">
        <v>17</v>
      </c>
      <c r="B1526">
        <v>2009</v>
      </c>
      <c r="C1526" t="str">
        <f>_xlfn.CONCAT(Table16[[#This Row],[STATE]],"-",Table16[[#This Row],[YEAR]])</f>
        <v>Karnataka-2009</v>
      </c>
      <c r="D1526" t="s">
        <v>287</v>
      </c>
      <c r="E1526">
        <v>130</v>
      </c>
    </row>
    <row r="1527" spans="1:5" x14ac:dyDescent="0.3">
      <c r="A1527" t="s">
        <v>17</v>
      </c>
      <c r="B1527">
        <v>2009</v>
      </c>
      <c r="C1527" t="str">
        <f>_xlfn.CONCAT(Table16[[#This Row],[STATE]],"-",Table16[[#This Row],[YEAR]])</f>
        <v>Karnataka-2009</v>
      </c>
      <c r="D1527" t="s">
        <v>103</v>
      </c>
      <c r="E1527">
        <v>188</v>
      </c>
    </row>
    <row r="1528" spans="1:5" x14ac:dyDescent="0.3">
      <c r="A1528" t="s">
        <v>17</v>
      </c>
      <c r="B1528">
        <v>2009</v>
      </c>
      <c r="C1528" t="str">
        <f>_xlfn.CONCAT(Table16[[#This Row],[STATE]],"-",Table16[[#This Row],[YEAR]])</f>
        <v>Karnataka-2009</v>
      </c>
      <c r="D1528" t="s">
        <v>123</v>
      </c>
      <c r="E1528">
        <v>72</v>
      </c>
    </row>
    <row r="1529" spans="1:5" x14ac:dyDescent="0.3">
      <c r="A1529" t="s">
        <v>17</v>
      </c>
      <c r="B1529">
        <v>2009</v>
      </c>
      <c r="C1529" t="str">
        <f>_xlfn.CONCAT(Table16[[#This Row],[STATE]],"-",Table16[[#This Row],[YEAR]])</f>
        <v>Karnataka-2009</v>
      </c>
      <c r="D1529" t="s">
        <v>140</v>
      </c>
      <c r="E1529">
        <v>8</v>
      </c>
    </row>
    <row r="1530" spans="1:5" x14ac:dyDescent="0.3">
      <c r="A1530" t="s">
        <v>17</v>
      </c>
      <c r="B1530">
        <v>2009</v>
      </c>
      <c r="C1530" t="str">
        <f>_xlfn.CONCAT(Table16[[#This Row],[STATE]],"-",Table16[[#This Row],[YEAR]])</f>
        <v>Karnataka-2009</v>
      </c>
      <c r="D1530" t="s">
        <v>286</v>
      </c>
      <c r="E1530">
        <v>4</v>
      </c>
    </row>
    <row r="1531" spans="1:5" x14ac:dyDescent="0.3">
      <c r="A1531" t="s">
        <v>17</v>
      </c>
      <c r="B1531">
        <v>2009</v>
      </c>
      <c r="C1531" t="str">
        <f>_xlfn.CONCAT(Table16[[#This Row],[STATE]],"-",Table16[[#This Row],[YEAR]])</f>
        <v>Karnataka-2009</v>
      </c>
      <c r="D1531" t="s">
        <v>141</v>
      </c>
      <c r="E1531">
        <v>76</v>
      </c>
    </row>
    <row r="1532" spans="1:5" x14ac:dyDescent="0.3">
      <c r="A1532" t="s">
        <v>17</v>
      </c>
      <c r="B1532">
        <v>2009</v>
      </c>
      <c r="C1532" t="str">
        <f>_xlfn.CONCAT(Table16[[#This Row],[STATE]],"-",Table16[[#This Row],[YEAR]])</f>
        <v>Karnataka-2009</v>
      </c>
      <c r="D1532" t="s">
        <v>245</v>
      </c>
      <c r="E1532">
        <v>86</v>
      </c>
    </row>
    <row r="1533" spans="1:5" x14ac:dyDescent="0.3">
      <c r="A1533" t="s">
        <v>17</v>
      </c>
      <c r="B1533">
        <v>2009</v>
      </c>
      <c r="C1533" t="str">
        <f>_xlfn.CONCAT(Table16[[#This Row],[STATE]],"-",Table16[[#This Row],[YEAR]])</f>
        <v>Karnataka-2009</v>
      </c>
      <c r="D1533" t="s">
        <v>632</v>
      </c>
      <c r="E1533">
        <v>4</v>
      </c>
    </row>
    <row r="1534" spans="1:5" x14ac:dyDescent="0.3">
      <c r="A1534" t="s">
        <v>17</v>
      </c>
      <c r="B1534">
        <v>2009</v>
      </c>
      <c r="C1534" t="str">
        <f>_xlfn.CONCAT(Table16[[#This Row],[STATE]],"-",Table16[[#This Row],[YEAR]])</f>
        <v>Karnataka-2009</v>
      </c>
      <c r="D1534" t="s">
        <v>223</v>
      </c>
      <c r="E1534">
        <v>16</v>
      </c>
    </row>
    <row r="1535" spans="1:5" x14ac:dyDescent="0.3">
      <c r="A1535" t="s">
        <v>17</v>
      </c>
      <c r="B1535">
        <v>2009</v>
      </c>
      <c r="C1535" t="str">
        <f>_xlfn.CONCAT(Table16[[#This Row],[STATE]],"-",Table16[[#This Row],[YEAR]])</f>
        <v>Karnataka-2009</v>
      </c>
      <c r="D1535" t="s">
        <v>648</v>
      </c>
      <c r="E1535">
        <v>33</v>
      </c>
    </row>
    <row r="1536" spans="1:5" x14ac:dyDescent="0.3">
      <c r="A1536" t="s">
        <v>17</v>
      </c>
      <c r="B1536">
        <v>2009</v>
      </c>
      <c r="C1536" t="str">
        <f>_xlfn.CONCAT(Table16[[#This Row],[STATE]],"-",Table16[[#This Row],[YEAR]])</f>
        <v>Karnataka-2009</v>
      </c>
      <c r="D1536" t="s">
        <v>644</v>
      </c>
      <c r="E1536">
        <v>4</v>
      </c>
    </row>
    <row r="1537" spans="1:5" x14ac:dyDescent="0.3">
      <c r="A1537" t="s">
        <v>17</v>
      </c>
      <c r="B1537">
        <v>2009</v>
      </c>
      <c r="C1537" t="str">
        <f>_xlfn.CONCAT(Table16[[#This Row],[STATE]],"-",Table16[[#This Row],[YEAR]])</f>
        <v>Karnataka-2009</v>
      </c>
      <c r="D1537" t="s">
        <v>649</v>
      </c>
      <c r="E1537">
        <v>35</v>
      </c>
    </row>
    <row r="1538" spans="1:5" x14ac:dyDescent="0.3">
      <c r="A1538" t="s">
        <v>17</v>
      </c>
      <c r="B1538">
        <v>2010</v>
      </c>
      <c r="C1538" t="str">
        <f>_xlfn.CONCAT(Table16[[#This Row],[STATE]],"-",Table16[[#This Row],[YEAR]])</f>
        <v>Karnataka-2010</v>
      </c>
      <c r="D1538" t="s">
        <v>639</v>
      </c>
      <c r="E1538">
        <v>47</v>
      </c>
    </row>
    <row r="1539" spans="1:5" x14ac:dyDescent="0.3">
      <c r="A1539" t="s">
        <v>17</v>
      </c>
      <c r="B1539">
        <v>2010</v>
      </c>
      <c r="C1539" t="str">
        <f>_xlfn.CONCAT(Table16[[#This Row],[STATE]],"-",Table16[[#This Row],[YEAR]])</f>
        <v>Karnataka-2010</v>
      </c>
      <c r="D1539" t="s">
        <v>650</v>
      </c>
      <c r="E1539">
        <v>51</v>
      </c>
    </row>
    <row r="1540" spans="1:5" x14ac:dyDescent="0.3">
      <c r="A1540" t="s">
        <v>17</v>
      </c>
      <c r="B1540">
        <v>2010</v>
      </c>
      <c r="C1540" t="str">
        <f>_xlfn.CONCAT(Table16[[#This Row],[STATE]],"-",Table16[[#This Row],[YEAR]])</f>
        <v>Karnataka-2010</v>
      </c>
      <c r="D1540" t="s">
        <v>642</v>
      </c>
      <c r="E1540">
        <v>4</v>
      </c>
    </row>
    <row r="1541" spans="1:5" x14ac:dyDescent="0.3">
      <c r="A1541" t="s">
        <v>17</v>
      </c>
      <c r="B1541">
        <v>2010</v>
      </c>
      <c r="C1541" t="str">
        <f>_xlfn.CONCAT(Table16[[#This Row],[STATE]],"-",Table16[[#This Row],[YEAR]])</f>
        <v>Karnataka-2010</v>
      </c>
      <c r="D1541" t="s">
        <v>636</v>
      </c>
      <c r="E1541">
        <v>27</v>
      </c>
    </row>
    <row r="1542" spans="1:5" x14ac:dyDescent="0.3">
      <c r="A1542" t="s">
        <v>17</v>
      </c>
      <c r="B1542">
        <v>2010</v>
      </c>
      <c r="C1542" t="str">
        <f>_xlfn.CONCAT(Table16[[#This Row],[STATE]],"-",Table16[[#This Row],[YEAR]])</f>
        <v>Karnataka-2010</v>
      </c>
      <c r="D1542" t="s">
        <v>287</v>
      </c>
      <c r="E1542">
        <v>134</v>
      </c>
    </row>
    <row r="1543" spans="1:5" x14ac:dyDescent="0.3">
      <c r="A1543" t="s">
        <v>17</v>
      </c>
      <c r="B1543">
        <v>2010</v>
      </c>
      <c r="C1543" t="str">
        <f>_xlfn.CONCAT(Table16[[#This Row],[STATE]],"-",Table16[[#This Row],[YEAR]])</f>
        <v>Karnataka-2010</v>
      </c>
      <c r="D1543" t="s">
        <v>103</v>
      </c>
      <c r="E1543">
        <v>78</v>
      </c>
    </row>
    <row r="1544" spans="1:5" x14ac:dyDescent="0.3">
      <c r="A1544" t="s">
        <v>17</v>
      </c>
      <c r="B1544">
        <v>2010</v>
      </c>
      <c r="C1544" t="str">
        <f>_xlfn.CONCAT(Table16[[#This Row],[STATE]],"-",Table16[[#This Row],[YEAR]])</f>
        <v>Karnataka-2010</v>
      </c>
      <c r="D1544" t="s">
        <v>123</v>
      </c>
      <c r="E1544">
        <v>61</v>
      </c>
    </row>
    <row r="1545" spans="1:5" x14ac:dyDescent="0.3">
      <c r="A1545" t="s">
        <v>17</v>
      </c>
      <c r="B1545">
        <v>2010</v>
      </c>
      <c r="C1545" t="str">
        <f>_xlfn.CONCAT(Table16[[#This Row],[STATE]],"-",Table16[[#This Row],[YEAR]])</f>
        <v>Karnataka-2010</v>
      </c>
      <c r="D1545" t="s">
        <v>317</v>
      </c>
      <c r="E1545">
        <v>5</v>
      </c>
    </row>
    <row r="1546" spans="1:5" x14ac:dyDescent="0.3">
      <c r="A1546" t="s">
        <v>17</v>
      </c>
      <c r="B1546">
        <v>2010</v>
      </c>
      <c r="C1546" t="str">
        <f>_xlfn.CONCAT(Table16[[#This Row],[STATE]],"-",Table16[[#This Row],[YEAR]])</f>
        <v>Karnataka-2010</v>
      </c>
      <c r="D1546" t="s">
        <v>286</v>
      </c>
      <c r="E1546">
        <v>5</v>
      </c>
    </row>
    <row r="1547" spans="1:5" x14ac:dyDescent="0.3">
      <c r="A1547" t="s">
        <v>17</v>
      </c>
      <c r="B1547">
        <v>2010</v>
      </c>
      <c r="C1547" t="str">
        <f>_xlfn.CONCAT(Table16[[#This Row],[STATE]],"-",Table16[[#This Row],[YEAR]])</f>
        <v>Karnataka-2010</v>
      </c>
      <c r="D1547" t="s">
        <v>141</v>
      </c>
      <c r="E1547">
        <v>38</v>
      </c>
    </row>
    <row r="1548" spans="1:5" x14ac:dyDescent="0.3">
      <c r="A1548" t="s">
        <v>17</v>
      </c>
      <c r="B1548">
        <v>2010</v>
      </c>
      <c r="C1548" t="str">
        <f>_xlfn.CONCAT(Table16[[#This Row],[STATE]],"-",Table16[[#This Row],[YEAR]])</f>
        <v>Karnataka-2010</v>
      </c>
      <c r="D1548" t="s">
        <v>225</v>
      </c>
      <c r="E1548">
        <v>88</v>
      </c>
    </row>
    <row r="1549" spans="1:5" x14ac:dyDescent="0.3">
      <c r="A1549" t="s">
        <v>17</v>
      </c>
      <c r="B1549">
        <v>2010</v>
      </c>
      <c r="C1549" t="str">
        <f>_xlfn.CONCAT(Table16[[#This Row],[STATE]],"-",Table16[[#This Row],[YEAR]])</f>
        <v>Karnataka-2010</v>
      </c>
      <c r="D1549" t="s">
        <v>632</v>
      </c>
      <c r="E1549">
        <v>2</v>
      </c>
    </row>
    <row r="1550" spans="1:5" x14ac:dyDescent="0.3">
      <c r="A1550" t="s">
        <v>17</v>
      </c>
      <c r="B1550">
        <v>2010</v>
      </c>
      <c r="C1550" t="str">
        <f>_xlfn.CONCAT(Table16[[#This Row],[STATE]],"-",Table16[[#This Row],[YEAR]])</f>
        <v>Karnataka-2010</v>
      </c>
      <c r="D1550" t="s">
        <v>223</v>
      </c>
      <c r="E1550">
        <v>7</v>
      </c>
    </row>
    <row r="1551" spans="1:5" x14ac:dyDescent="0.3">
      <c r="A1551" t="s">
        <v>17</v>
      </c>
      <c r="B1551">
        <v>2010</v>
      </c>
      <c r="C1551" t="str">
        <f>_xlfn.CONCAT(Table16[[#This Row],[STATE]],"-",Table16[[#This Row],[YEAR]])</f>
        <v>Karnataka-2010</v>
      </c>
      <c r="D1551" t="s">
        <v>646</v>
      </c>
      <c r="E1551">
        <v>12</v>
      </c>
    </row>
    <row r="1552" spans="1:5" x14ac:dyDescent="0.3">
      <c r="A1552" t="s">
        <v>17</v>
      </c>
      <c r="B1552">
        <v>2011</v>
      </c>
      <c r="C1552" t="str">
        <f>_xlfn.CONCAT(Table16[[#This Row],[STATE]],"-",Table16[[#This Row],[YEAR]])</f>
        <v>Karnataka-2011</v>
      </c>
      <c r="D1552" t="s">
        <v>651</v>
      </c>
      <c r="E1552">
        <v>198</v>
      </c>
    </row>
    <row r="1553" spans="1:5" x14ac:dyDescent="0.3">
      <c r="A1553" t="s">
        <v>17</v>
      </c>
      <c r="B1553">
        <v>2011</v>
      </c>
      <c r="C1553" t="str">
        <f>_xlfn.CONCAT(Table16[[#This Row],[STATE]],"-",Table16[[#This Row],[YEAR]])</f>
        <v>Karnataka-2011</v>
      </c>
      <c r="D1553" t="s">
        <v>351</v>
      </c>
      <c r="E1553">
        <v>47</v>
      </c>
    </row>
    <row r="1554" spans="1:5" x14ac:dyDescent="0.3">
      <c r="A1554" t="s">
        <v>17</v>
      </c>
      <c r="B1554">
        <v>2011</v>
      </c>
      <c r="C1554" t="str">
        <f>_xlfn.CONCAT(Table16[[#This Row],[STATE]],"-",Table16[[#This Row],[YEAR]])</f>
        <v>Karnataka-2011</v>
      </c>
      <c r="D1554" t="s">
        <v>192</v>
      </c>
      <c r="E1554">
        <v>49</v>
      </c>
    </row>
    <row r="1555" spans="1:5" x14ac:dyDescent="0.3">
      <c r="A1555" t="s">
        <v>17</v>
      </c>
      <c r="B1555">
        <v>2011</v>
      </c>
      <c r="C1555" t="str">
        <f>_xlfn.CONCAT(Table16[[#This Row],[STATE]],"-",Table16[[#This Row],[YEAR]])</f>
        <v>Karnataka-2011</v>
      </c>
      <c r="D1555" t="s">
        <v>623</v>
      </c>
      <c r="E1555">
        <v>10</v>
      </c>
    </row>
    <row r="1556" spans="1:5" x14ac:dyDescent="0.3">
      <c r="A1556" t="s">
        <v>17</v>
      </c>
      <c r="B1556">
        <v>2011</v>
      </c>
      <c r="C1556" t="str">
        <f>_xlfn.CONCAT(Table16[[#This Row],[STATE]],"-",Table16[[#This Row],[YEAR]])</f>
        <v>Karnataka-2011</v>
      </c>
      <c r="D1556" t="s">
        <v>287</v>
      </c>
      <c r="E1556">
        <v>114</v>
      </c>
    </row>
    <row r="1557" spans="1:5" x14ac:dyDescent="0.3">
      <c r="A1557" t="s">
        <v>17</v>
      </c>
      <c r="B1557">
        <v>2011</v>
      </c>
      <c r="C1557" t="str">
        <f>_xlfn.CONCAT(Table16[[#This Row],[STATE]],"-",Table16[[#This Row],[YEAR]])</f>
        <v>Karnataka-2011</v>
      </c>
      <c r="D1557" t="s">
        <v>103</v>
      </c>
      <c r="E1557">
        <v>178</v>
      </c>
    </row>
    <row r="1558" spans="1:5" x14ac:dyDescent="0.3">
      <c r="A1558" t="s">
        <v>17</v>
      </c>
      <c r="B1558">
        <v>2011</v>
      </c>
      <c r="C1558" t="str">
        <f>_xlfn.CONCAT(Table16[[#This Row],[STATE]],"-",Table16[[#This Row],[YEAR]])</f>
        <v>Karnataka-2011</v>
      </c>
      <c r="D1558" t="s">
        <v>123</v>
      </c>
      <c r="E1558">
        <v>67</v>
      </c>
    </row>
    <row r="1559" spans="1:5" x14ac:dyDescent="0.3">
      <c r="A1559" t="s">
        <v>17</v>
      </c>
      <c r="B1559">
        <v>2011</v>
      </c>
      <c r="C1559" t="str">
        <f>_xlfn.CONCAT(Table16[[#This Row],[STATE]],"-",Table16[[#This Row],[YEAR]])</f>
        <v>Karnataka-2011</v>
      </c>
      <c r="D1559" t="s">
        <v>141</v>
      </c>
      <c r="E1559">
        <v>29</v>
      </c>
    </row>
    <row r="1560" spans="1:5" x14ac:dyDescent="0.3">
      <c r="A1560" t="s">
        <v>17</v>
      </c>
      <c r="B1560">
        <v>2011</v>
      </c>
      <c r="C1560" t="str">
        <f>_xlfn.CONCAT(Table16[[#This Row],[STATE]],"-",Table16[[#This Row],[YEAR]])</f>
        <v>Karnataka-2011</v>
      </c>
      <c r="D1560" t="s">
        <v>412</v>
      </c>
      <c r="E1560">
        <v>36</v>
      </c>
    </row>
    <row r="1561" spans="1:5" x14ac:dyDescent="0.3">
      <c r="A1561" t="s">
        <v>17</v>
      </c>
      <c r="B1561">
        <v>2011</v>
      </c>
      <c r="C1561" t="str">
        <f>_xlfn.CONCAT(Table16[[#This Row],[STATE]],"-",Table16[[#This Row],[YEAR]])</f>
        <v>Karnataka-2011</v>
      </c>
      <c r="D1561" t="s">
        <v>646</v>
      </c>
      <c r="E1561">
        <v>28</v>
      </c>
    </row>
    <row r="1562" spans="1:5" x14ac:dyDescent="0.3">
      <c r="A1562" t="s">
        <v>17</v>
      </c>
      <c r="B1562">
        <v>2011</v>
      </c>
      <c r="C1562" t="str">
        <f>_xlfn.CONCAT(Table16[[#This Row],[STATE]],"-",Table16[[#This Row],[YEAR]])</f>
        <v>Karnataka-2011</v>
      </c>
      <c r="D1562" t="s">
        <v>582</v>
      </c>
      <c r="E1562">
        <v>12</v>
      </c>
    </row>
    <row r="1563" spans="1:5" x14ac:dyDescent="0.3">
      <c r="A1563" t="s">
        <v>17</v>
      </c>
      <c r="B1563">
        <v>2011</v>
      </c>
      <c r="C1563" t="str">
        <f>_xlfn.CONCAT(Table16[[#This Row],[STATE]],"-",Table16[[#This Row],[YEAR]])</f>
        <v>Karnataka-2011</v>
      </c>
      <c r="D1563" t="s">
        <v>286</v>
      </c>
      <c r="E1563">
        <v>3</v>
      </c>
    </row>
    <row r="1564" spans="1:5" x14ac:dyDescent="0.3">
      <c r="A1564" t="s">
        <v>17</v>
      </c>
      <c r="B1564">
        <v>2012</v>
      </c>
      <c r="C1564" t="str">
        <f>_xlfn.CONCAT(Table16[[#This Row],[STATE]],"-",Table16[[#This Row],[YEAR]])</f>
        <v>Karnataka-2012</v>
      </c>
      <c r="D1564" t="s">
        <v>652</v>
      </c>
      <c r="E1564">
        <v>76</v>
      </c>
    </row>
    <row r="1565" spans="1:5" x14ac:dyDescent="0.3">
      <c r="A1565" t="s">
        <v>17</v>
      </c>
      <c r="B1565">
        <v>2012</v>
      </c>
      <c r="C1565" t="str">
        <f>_xlfn.CONCAT(Table16[[#This Row],[STATE]],"-",Table16[[#This Row],[YEAR]])</f>
        <v>Karnataka-2012</v>
      </c>
      <c r="D1565" t="s">
        <v>103</v>
      </c>
      <c r="E1565">
        <v>82</v>
      </c>
    </row>
    <row r="1566" spans="1:5" x14ac:dyDescent="0.3">
      <c r="A1566" t="s">
        <v>17</v>
      </c>
      <c r="B1566">
        <v>2012</v>
      </c>
      <c r="C1566" t="str">
        <f>_xlfn.CONCAT(Table16[[#This Row],[STATE]],"-",Table16[[#This Row],[YEAR]])</f>
        <v>Karnataka-2012</v>
      </c>
      <c r="D1566" t="s">
        <v>123</v>
      </c>
      <c r="E1566">
        <v>44</v>
      </c>
    </row>
    <row r="1567" spans="1:5" x14ac:dyDescent="0.3">
      <c r="A1567" t="s">
        <v>17</v>
      </c>
      <c r="B1567">
        <v>2012</v>
      </c>
      <c r="C1567" t="str">
        <f>_xlfn.CONCAT(Table16[[#This Row],[STATE]],"-",Table16[[#This Row],[YEAR]])</f>
        <v>Karnataka-2012</v>
      </c>
      <c r="D1567" t="s">
        <v>653</v>
      </c>
      <c r="E1567">
        <v>32</v>
      </c>
    </row>
    <row r="1568" spans="1:5" x14ac:dyDescent="0.3">
      <c r="A1568" t="s">
        <v>17</v>
      </c>
      <c r="B1568">
        <v>2012</v>
      </c>
      <c r="C1568" t="str">
        <f>_xlfn.CONCAT(Table16[[#This Row],[STATE]],"-",Table16[[#This Row],[YEAR]])</f>
        <v>Karnataka-2012</v>
      </c>
      <c r="D1568" t="s">
        <v>141</v>
      </c>
      <c r="E1568">
        <v>19</v>
      </c>
    </row>
    <row r="1569" spans="1:5" x14ac:dyDescent="0.3">
      <c r="A1569" t="s">
        <v>17</v>
      </c>
      <c r="B1569">
        <v>2012</v>
      </c>
      <c r="C1569" t="str">
        <f>_xlfn.CONCAT(Table16[[#This Row],[STATE]],"-",Table16[[#This Row],[YEAR]])</f>
        <v>Karnataka-2012</v>
      </c>
      <c r="D1569" t="s">
        <v>623</v>
      </c>
      <c r="E1569">
        <v>9</v>
      </c>
    </row>
    <row r="1570" spans="1:5" x14ac:dyDescent="0.3">
      <c r="A1570" t="s">
        <v>17</v>
      </c>
      <c r="B1570">
        <v>2012</v>
      </c>
      <c r="C1570" t="str">
        <f>_xlfn.CONCAT(Table16[[#This Row],[STATE]],"-",Table16[[#This Row],[YEAR]])</f>
        <v>Karnataka-2012</v>
      </c>
      <c r="D1570" t="s">
        <v>223</v>
      </c>
      <c r="E1570">
        <v>21</v>
      </c>
    </row>
    <row r="1571" spans="1:5" x14ac:dyDescent="0.3">
      <c r="A1571" t="s">
        <v>17</v>
      </c>
      <c r="B1571">
        <v>2012</v>
      </c>
      <c r="C1571" t="str">
        <f>_xlfn.CONCAT(Table16[[#This Row],[STATE]],"-",Table16[[#This Row],[YEAR]])</f>
        <v>Karnataka-2012</v>
      </c>
      <c r="D1571" t="s">
        <v>637</v>
      </c>
      <c r="E1571">
        <v>36</v>
      </c>
    </row>
    <row r="1572" spans="1:5" x14ac:dyDescent="0.3">
      <c r="A1572" t="s">
        <v>17</v>
      </c>
      <c r="B1572">
        <v>2012</v>
      </c>
      <c r="C1572" t="str">
        <f>_xlfn.CONCAT(Table16[[#This Row],[STATE]],"-",Table16[[#This Row],[YEAR]])</f>
        <v>Karnataka-2012</v>
      </c>
      <c r="D1572" t="s">
        <v>654</v>
      </c>
      <c r="E1572">
        <v>18</v>
      </c>
    </row>
    <row r="1573" spans="1:5" x14ac:dyDescent="0.3">
      <c r="A1573" t="s">
        <v>17</v>
      </c>
      <c r="B1573">
        <v>2012</v>
      </c>
      <c r="C1573" t="str">
        <f>_xlfn.CONCAT(Table16[[#This Row],[STATE]],"-",Table16[[#This Row],[YEAR]])</f>
        <v>Karnataka-2012</v>
      </c>
      <c r="D1573" t="s">
        <v>286</v>
      </c>
      <c r="E1573">
        <v>16</v>
      </c>
    </row>
    <row r="1574" spans="1:5" x14ac:dyDescent="0.3">
      <c r="A1574" t="s">
        <v>17</v>
      </c>
      <c r="B1574">
        <v>2012</v>
      </c>
      <c r="C1574" t="str">
        <f>_xlfn.CONCAT(Table16[[#This Row],[STATE]],"-",Table16[[#This Row],[YEAR]])</f>
        <v>Karnataka-2012</v>
      </c>
      <c r="D1574" t="s">
        <v>317</v>
      </c>
      <c r="E1574">
        <v>10</v>
      </c>
    </row>
    <row r="1575" spans="1:5" x14ac:dyDescent="0.3">
      <c r="A1575" t="s">
        <v>17</v>
      </c>
      <c r="B1575">
        <v>2012</v>
      </c>
      <c r="C1575" t="str">
        <f>_xlfn.CONCAT(Table16[[#This Row],[STATE]],"-",Table16[[#This Row],[YEAR]])</f>
        <v>Karnataka-2012</v>
      </c>
      <c r="D1575" t="s">
        <v>143</v>
      </c>
      <c r="E1575">
        <v>18</v>
      </c>
    </row>
    <row r="1576" spans="1:5" x14ac:dyDescent="0.3">
      <c r="A1576" t="s">
        <v>17</v>
      </c>
      <c r="B1576">
        <v>2012</v>
      </c>
      <c r="C1576" t="str">
        <f>_xlfn.CONCAT(Table16[[#This Row],[STATE]],"-",Table16[[#This Row],[YEAR]])</f>
        <v>Karnataka-2012</v>
      </c>
      <c r="D1576" t="s">
        <v>582</v>
      </c>
      <c r="E1576">
        <v>36</v>
      </c>
    </row>
    <row r="1577" spans="1:5" x14ac:dyDescent="0.3">
      <c r="A1577" t="s">
        <v>17</v>
      </c>
      <c r="B1577">
        <v>2012</v>
      </c>
      <c r="C1577" t="str">
        <f>_xlfn.CONCAT(Table16[[#This Row],[STATE]],"-",Table16[[#This Row],[YEAR]])</f>
        <v>Karnataka-2012</v>
      </c>
      <c r="D1577" t="s">
        <v>406</v>
      </c>
      <c r="E1577">
        <v>78</v>
      </c>
    </row>
    <row r="1578" spans="1:5" x14ac:dyDescent="0.3">
      <c r="A1578" t="s">
        <v>17</v>
      </c>
      <c r="B1578">
        <v>2012</v>
      </c>
      <c r="C1578" t="str">
        <f>_xlfn.CONCAT(Table16[[#This Row],[STATE]],"-",Table16[[#This Row],[YEAR]])</f>
        <v>Karnataka-2012</v>
      </c>
      <c r="D1578" t="s">
        <v>655</v>
      </c>
      <c r="E1578">
        <v>26</v>
      </c>
    </row>
    <row r="1579" spans="1:5" x14ac:dyDescent="0.3">
      <c r="A1579" t="s">
        <v>17</v>
      </c>
      <c r="B1579">
        <v>2012</v>
      </c>
      <c r="C1579" t="str">
        <f>_xlfn.CONCAT(Table16[[#This Row],[STATE]],"-",Table16[[#This Row],[YEAR]])</f>
        <v>Karnataka-2012</v>
      </c>
      <c r="D1579" t="s">
        <v>646</v>
      </c>
      <c r="E1579">
        <v>16</v>
      </c>
    </row>
    <row r="1580" spans="1:5" x14ac:dyDescent="0.3">
      <c r="A1580" t="s">
        <v>17</v>
      </c>
      <c r="B1580">
        <v>2012</v>
      </c>
      <c r="C1580" t="str">
        <f>_xlfn.CONCAT(Table16[[#This Row],[STATE]],"-",Table16[[#This Row],[YEAR]])</f>
        <v>Karnataka-2012</v>
      </c>
      <c r="D1580" t="s">
        <v>287</v>
      </c>
      <c r="E1580">
        <v>48</v>
      </c>
    </row>
    <row r="1581" spans="1:5" x14ac:dyDescent="0.3">
      <c r="A1581" t="s">
        <v>17</v>
      </c>
      <c r="B1581">
        <v>2012</v>
      </c>
      <c r="C1581" t="str">
        <f>_xlfn.CONCAT(Table16[[#This Row],[STATE]],"-",Table16[[#This Row],[YEAR]])</f>
        <v>Karnataka-2012</v>
      </c>
      <c r="D1581" t="s">
        <v>656</v>
      </c>
      <c r="E1581">
        <v>24</v>
      </c>
    </row>
    <row r="1582" spans="1:5" x14ac:dyDescent="0.3">
      <c r="A1582" t="s">
        <v>18</v>
      </c>
      <c r="B1582">
        <v>2001</v>
      </c>
      <c r="C1582" t="str">
        <f>_xlfn.CONCAT(Table16[[#This Row],[STATE]],"-",Table16[[#This Row],[YEAR]])</f>
        <v>Kerala-2001</v>
      </c>
      <c r="D1582" t="s">
        <v>123</v>
      </c>
      <c r="E1582">
        <v>1646</v>
      </c>
    </row>
    <row r="1583" spans="1:5" x14ac:dyDescent="0.3">
      <c r="A1583" t="s">
        <v>18</v>
      </c>
      <c r="B1583">
        <v>2001</v>
      </c>
      <c r="C1583" t="str">
        <f>_xlfn.CONCAT(Table16[[#This Row],[STATE]],"-",Table16[[#This Row],[YEAR]])</f>
        <v>Kerala-2001</v>
      </c>
      <c r="D1583" t="s">
        <v>122</v>
      </c>
      <c r="E1583">
        <v>345</v>
      </c>
    </row>
    <row r="1584" spans="1:5" x14ac:dyDescent="0.3">
      <c r="A1584" t="s">
        <v>18</v>
      </c>
      <c r="B1584">
        <v>2001</v>
      </c>
      <c r="C1584" t="str">
        <f>_xlfn.CONCAT(Table16[[#This Row],[STATE]],"-",Table16[[#This Row],[YEAR]])</f>
        <v>Kerala-2001</v>
      </c>
      <c r="D1584" t="s">
        <v>197</v>
      </c>
      <c r="E1584">
        <v>245</v>
      </c>
    </row>
    <row r="1585" spans="1:5" x14ac:dyDescent="0.3">
      <c r="A1585" t="s">
        <v>18</v>
      </c>
      <c r="B1585">
        <v>2001</v>
      </c>
      <c r="C1585" t="str">
        <f>_xlfn.CONCAT(Table16[[#This Row],[STATE]],"-",Table16[[#This Row],[YEAR]])</f>
        <v>Kerala-2001</v>
      </c>
      <c r="D1585" t="s">
        <v>657</v>
      </c>
      <c r="E1585">
        <v>816</v>
      </c>
    </row>
    <row r="1586" spans="1:5" x14ac:dyDescent="0.3">
      <c r="A1586" t="s">
        <v>18</v>
      </c>
      <c r="B1586">
        <v>2001</v>
      </c>
      <c r="C1586" t="str">
        <f>_xlfn.CONCAT(Table16[[#This Row],[STATE]],"-",Table16[[#This Row],[YEAR]])</f>
        <v>Kerala-2001</v>
      </c>
      <c r="D1586" t="s">
        <v>91</v>
      </c>
      <c r="E1586">
        <v>3717</v>
      </c>
    </row>
    <row r="1587" spans="1:5" x14ac:dyDescent="0.3">
      <c r="A1587" t="s">
        <v>18</v>
      </c>
      <c r="B1587">
        <v>2001</v>
      </c>
      <c r="C1587" t="str">
        <f>_xlfn.CONCAT(Table16[[#This Row],[STATE]],"-",Table16[[#This Row],[YEAR]])</f>
        <v>Kerala-2001</v>
      </c>
      <c r="D1587" t="s">
        <v>658</v>
      </c>
      <c r="E1587">
        <v>125</v>
      </c>
    </row>
    <row r="1588" spans="1:5" x14ac:dyDescent="0.3">
      <c r="A1588" t="s">
        <v>18</v>
      </c>
      <c r="B1588">
        <v>2001</v>
      </c>
      <c r="C1588" t="str">
        <f>_xlfn.CONCAT(Table16[[#This Row],[STATE]],"-",Table16[[#This Row],[YEAR]])</f>
        <v>Kerala-2001</v>
      </c>
      <c r="D1588" t="s">
        <v>659</v>
      </c>
      <c r="E1588">
        <v>30</v>
      </c>
    </row>
    <row r="1589" spans="1:5" x14ac:dyDescent="0.3">
      <c r="A1589" t="s">
        <v>18</v>
      </c>
      <c r="B1589">
        <v>2001</v>
      </c>
      <c r="C1589" t="str">
        <f>_xlfn.CONCAT(Table16[[#This Row],[STATE]],"-",Table16[[#This Row],[YEAR]])</f>
        <v>Kerala-2001</v>
      </c>
      <c r="D1589" t="s">
        <v>96</v>
      </c>
      <c r="E1589">
        <v>586</v>
      </c>
    </row>
    <row r="1590" spans="1:5" x14ac:dyDescent="0.3">
      <c r="A1590" t="s">
        <v>18</v>
      </c>
      <c r="B1590">
        <v>2001</v>
      </c>
      <c r="C1590" t="str">
        <f>_xlfn.CONCAT(Table16[[#This Row],[STATE]],"-",Table16[[#This Row],[YEAR]])</f>
        <v>Kerala-2001</v>
      </c>
      <c r="D1590" t="s">
        <v>90</v>
      </c>
      <c r="E1590">
        <v>7949</v>
      </c>
    </row>
    <row r="1591" spans="1:5" x14ac:dyDescent="0.3">
      <c r="A1591" t="s">
        <v>18</v>
      </c>
      <c r="B1591">
        <v>2002</v>
      </c>
      <c r="C1591" t="str">
        <f>_xlfn.CONCAT(Table16[[#This Row],[STATE]],"-",Table16[[#This Row],[YEAR]])</f>
        <v>Kerala-2002</v>
      </c>
      <c r="D1591" t="s">
        <v>123</v>
      </c>
      <c r="E1591">
        <v>1710</v>
      </c>
    </row>
    <row r="1592" spans="1:5" x14ac:dyDescent="0.3">
      <c r="A1592" t="s">
        <v>18</v>
      </c>
      <c r="B1592">
        <v>2002</v>
      </c>
      <c r="C1592" t="str">
        <f>_xlfn.CONCAT(Table16[[#This Row],[STATE]],"-",Table16[[#This Row],[YEAR]])</f>
        <v>Kerala-2002</v>
      </c>
      <c r="D1592" t="s">
        <v>187</v>
      </c>
      <c r="E1592">
        <v>350</v>
      </c>
    </row>
    <row r="1593" spans="1:5" x14ac:dyDescent="0.3">
      <c r="A1593" t="s">
        <v>18</v>
      </c>
      <c r="B1593">
        <v>2002</v>
      </c>
      <c r="C1593" t="str">
        <f>_xlfn.CONCAT(Table16[[#This Row],[STATE]],"-",Table16[[#This Row],[YEAR]])</f>
        <v>Kerala-2002</v>
      </c>
      <c r="D1593" t="s">
        <v>197</v>
      </c>
      <c r="E1593">
        <v>260</v>
      </c>
    </row>
    <row r="1594" spans="1:5" x14ac:dyDescent="0.3">
      <c r="A1594" t="s">
        <v>18</v>
      </c>
      <c r="B1594">
        <v>2002</v>
      </c>
      <c r="C1594" t="str">
        <f>_xlfn.CONCAT(Table16[[#This Row],[STATE]],"-",Table16[[#This Row],[YEAR]])</f>
        <v>Kerala-2002</v>
      </c>
      <c r="D1594" t="s">
        <v>90</v>
      </c>
      <c r="E1594">
        <v>8018</v>
      </c>
    </row>
    <row r="1595" spans="1:5" x14ac:dyDescent="0.3">
      <c r="A1595" t="s">
        <v>18</v>
      </c>
      <c r="B1595">
        <v>2002</v>
      </c>
      <c r="C1595" t="str">
        <f>_xlfn.CONCAT(Table16[[#This Row],[STATE]],"-",Table16[[#This Row],[YEAR]])</f>
        <v>Kerala-2002</v>
      </c>
      <c r="D1595" t="s">
        <v>657</v>
      </c>
      <c r="E1595">
        <v>826</v>
      </c>
    </row>
    <row r="1596" spans="1:5" x14ac:dyDescent="0.3">
      <c r="A1596" t="s">
        <v>18</v>
      </c>
      <c r="B1596">
        <v>2002</v>
      </c>
      <c r="C1596" t="str">
        <f>_xlfn.CONCAT(Table16[[#This Row],[STATE]],"-",Table16[[#This Row],[YEAR]])</f>
        <v>Kerala-2002</v>
      </c>
      <c r="D1596" t="s">
        <v>96</v>
      </c>
      <c r="E1596">
        <v>615</v>
      </c>
    </row>
    <row r="1597" spans="1:5" x14ac:dyDescent="0.3">
      <c r="A1597" t="s">
        <v>18</v>
      </c>
      <c r="B1597">
        <v>2002</v>
      </c>
      <c r="C1597" t="str">
        <f>_xlfn.CONCAT(Table16[[#This Row],[STATE]],"-",Table16[[#This Row],[YEAR]])</f>
        <v>Kerala-2002</v>
      </c>
      <c r="D1597" t="s">
        <v>91</v>
      </c>
      <c r="E1597">
        <v>3612</v>
      </c>
    </row>
    <row r="1598" spans="1:5" x14ac:dyDescent="0.3">
      <c r="A1598" t="s">
        <v>18</v>
      </c>
      <c r="B1598">
        <v>2002</v>
      </c>
      <c r="C1598" t="str">
        <f>_xlfn.CONCAT(Table16[[#This Row],[STATE]],"-",Table16[[#This Row],[YEAR]])</f>
        <v>Kerala-2002</v>
      </c>
      <c r="D1598" t="s">
        <v>658</v>
      </c>
      <c r="E1598">
        <v>142</v>
      </c>
    </row>
    <row r="1599" spans="1:5" x14ac:dyDescent="0.3">
      <c r="A1599" t="s">
        <v>18</v>
      </c>
      <c r="B1599">
        <v>2002</v>
      </c>
      <c r="C1599" t="str">
        <f>_xlfn.CONCAT(Table16[[#This Row],[STATE]],"-",Table16[[#This Row],[YEAR]])</f>
        <v>Kerala-2002</v>
      </c>
      <c r="D1599" t="s">
        <v>660</v>
      </c>
      <c r="E1599">
        <v>560</v>
      </c>
    </row>
    <row r="1600" spans="1:5" x14ac:dyDescent="0.3">
      <c r="A1600" t="s">
        <v>18</v>
      </c>
      <c r="B1600">
        <v>2003</v>
      </c>
      <c r="C1600" t="str">
        <f>_xlfn.CONCAT(Table16[[#This Row],[STATE]],"-",Table16[[#This Row],[YEAR]])</f>
        <v>Kerala-2003</v>
      </c>
      <c r="D1600" t="s">
        <v>123</v>
      </c>
      <c r="E1600">
        <v>268</v>
      </c>
    </row>
    <row r="1601" spans="1:5" x14ac:dyDescent="0.3">
      <c r="A1601" t="s">
        <v>18</v>
      </c>
      <c r="B1601">
        <v>2003</v>
      </c>
      <c r="C1601" t="str">
        <f>_xlfn.CONCAT(Table16[[#This Row],[STATE]],"-",Table16[[#This Row],[YEAR]])</f>
        <v>Kerala-2003</v>
      </c>
      <c r="D1601" t="s">
        <v>122</v>
      </c>
      <c r="E1601">
        <v>359</v>
      </c>
    </row>
    <row r="1602" spans="1:5" x14ac:dyDescent="0.3">
      <c r="A1602" t="s">
        <v>18</v>
      </c>
      <c r="B1602">
        <v>2003</v>
      </c>
      <c r="C1602" t="str">
        <f>_xlfn.CONCAT(Table16[[#This Row],[STATE]],"-",Table16[[#This Row],[YEAR]])</f>
        <v>Kerala-2003</v>
      </c>
      <c r="D1602" t="s">
        <v>197</v>
      </c>
      <c r="E1602">
        <v>273</v>
      </c>
    </row>
    <row r="1603" spans="1:5" x14ac:dyDescent="0.3">
      <c r="A1603" t="s">
        <v>18</v>
      </c>
      <c r="B1603">
        <v>2003</v>
      </c>
      <c r="C1603" t="str">
        <f>_xlfn.CONCAT(Table16[[#This Row],[STATE]],"-",Table16[[#This Row],[YEAR]])</f>
        <v>Kerala-2003</v>
      </c>
      <c r="D1603" t="s">
        <v>90</v>
      </c>
      <c r="E1603">
        <v>7863</v>
      </c>
    </row>
    <row r="1604" spans="1:5" x14ac:dyDescent="0.3">
      <c r="A1604" t="s">
        <v>18</v>
      </c>
      <c r="B1604">
        <v>2003</v>
      </c>
      <c r="C1604" t="str">
        <f>_xlfn.CONCAT(Table16[[#This Row],[STATE]],"-",Table16[[#This Row],[YEAR]])</f>
        <v>Kerala-2003</v>
      </c>
      <c r="D1604" t="s">
        <v>657</v>
      </c>
      <c r="E1604">
        <v>826</v>
      </c>
    </row>
    <row r="1605" spans="1:5" x14ac:dyDescent="0.3">
      <c r="A1605" t="s">
        <v>18</v>
      </c>
      <c r="B1605">
        <v>2003</v>
      </c>
      <c r="C1605" t="str">
        <f>_xlfn.CONCAT(Table16[[#This Row],[STATE]],"-",Table16[[#This Row],[YEAR]])</f>
        <v>Kerala-2003</v>
      </c>
      <c r="D1605" t="s">
        <v>96</v>
      </c>
      <c r="E1605">
        <v>826</v>
      </c>
    </row>
    <row r="1606" spans="1:5" x14ac:dyDescent="0.3">
      <c r="A1606" t="s">
        <v>18</v>
      </c>
      <c r="B1606">
        <v>2003</v>
      </c>
      <c r="C1606" t="str">
        <f>_xlfn.CONCAT(Table16[[#This Row],[STATE]],"-",Table16[[#This Row],[YEAR]])</f>
        <v>Kerala-2003</v>
      </c>
      <c r="D1606" t="s">
        <v>103</v>
      </c>
      <c r="E1606">
        <v>3683</v>
      </c>
    </row>
    <row r="1607" spans="1:5" x14ac:dyDescent="0.3">
      <c r="A1607" t="s">
        <v>18</v>
      </c>
      <c r="B1607">
        <v>2003</v>
      </c>
      <c r="C1607" t="str">
        <f>_xlfn.CONCAT(Table16[[#This Row],[STATE]],"-",Table16[[#This Row],[YEAR]])</f>
        <v>Kerala-2003</v>
      </c>
      <c r="D1607" t="s">
        <v>658</v>
      </c>
      <c r="E1607">
        <v>142</v>
      </c>
    </row>
    <row r="1608" spans="1:5" x14ac:dyDescent="0.3">
      <c r="A1608" t="s">
        <v>18</v>
      </c>
      <c r="B1608">
        <v>2004</v>
      </c>
      <c r="C1608" t="str">
        <f>_xlfn.CONCAT(Table16[[#This Row],[STATE]],"-",Table16[[#This Row],[YEAR]])</f>
        <v>Kerala-2004</v>
      </c>
      <c r="D1608" t="s">
        <v>123</v>
      </c>
      <c r="E1608">
        <v>280</v>
      </c>
    </row>
    <row r="1609" spans="1:5" x14ac:dyDescent="0.3">
      <c r="A1609" t="s">
        <v>18</v>
      </c>
      <c r="B1609">
        <v>2004</v>
      </c>
      <c r="C1609" t="str">
        <f>_xlfn.CONCAT(Table16[[#This Row],[STATE]],"-",Table16[[#This Row],[YEAR]])</f>
        <v>Kerala-2004</v>
      </c>
      <c r="D1609" t="s">
        <v>122</v>
      </c>
      <c r="E1609">
        <v>350</v>
      </c>
    </row>
    <row r="1610" spans="1:5" x14ac:dyDescent="0.3">
      <c r="A1610" t="s">
        <v>18</v>
      </c>
      <c r="B1610">
        <v>2004</v>
      </c>
      <c r="C1610" t="str">
        <f>_xlfn.CONCAT(Table16[[#This Row],[STATE]],"-",Table16[[#This Row],[YEAR]])</f>
        <v>Kerala-2004</v>
      </c>
      <c r="D1610" t="s">
        <v>216</v>
      </c>
      <c r="E1610">
        <v>275</v>
      </c>
    </row>
    <row r="1611" spans="1:5" x14ac:dyDescent="0.3">
      <c r="A1611" t="s">
        <v>18</v>
      </c>
      <c r="B1611">
        <v>2004</v>
      </c>
      <c r="C1611" t="str">
        <f>_xlfn.CONCAT(Table16[[#This Row],[STATE]],"-",Table16[[#This Row],[YEAR]])</f>
        <v>Kerala-2004</v>
      </c>
      <c r="D1611" t="s">
        <v>90</v>
      </c>
      <c r="E1611">
        <v>7893</v>
      </c>
    </row>
    <row r="1612" spans="1:5" x14ac:dyDescent="0.3">
      <c r="A1612" t="s">
        <v>18</v>
      </c>
      <c r="B1612">
        <v>2004</v>
      </c>
      <c r="C1612" t="str">
        <f>_xlfn.CONCAT(Table16[[#This Row],[STATE]],"-",Table16[[#This Row],[YEAR]])</f>
        <v>Kerala-2004</v>
      </c>
      <c r="D1612" t="s">
        <v>657</v>
      </c>
      <c r="E1612">
        <v>826</v>
      </c>
    </row>
    <row r="1613" spans="1:5" x14ac:dyDescent="0.3">
      <c r="A1613" t="s">
        <v>18</v>
      </c>
      <c r="B1613">
        <v>2004</v>
      </c>
      <c r="C1613" t="str">
        <f>_xlfn.CONCAT(Table16[[#This Row],[STATE]],"-",Table16[[#This Row],[YEAR]])</f>
        <v>Kerala-2004</v>
      </c>
      <c r="D1613" t="s">
        <v>96</v>
      </c>
      <c r="E1613">
        <v>673</v>
      </c>
    </row>
    <row r="1614" spans="1:5" x14ac:dyDescent="0.3">
      <c r="A1614" t="s">
        <v>18</v>
      </c>
      <c r="B1614">
        <v>2004</v>
      </c>
      <c r="C1614" t="str">
        <f>_xlfn.CONCAT(Table16[[#This Row],[STATE]],"-",Table16[[#This Row],[YEAR]])</f>
        <v>Kerala-2004</v>
      </c>
      <c r="D1614" t="s">
        <v>103</v>
      </c>
      <c r="E1614">
        <v>3684</v>
      </c>
    </row>
    <row r="1615" spans="1:5" x14ac:dyDescent="0.3">
      <c r="A1615" t="s">
        <v>18</v>
      </c>
      <c r="B1615">
        <v>2004</v>
      </c>
      <c r="C1615" t="str">
        <f>_xlfn.CONCAT(Table16[[#This Row],[STATE]],"-",Table16[[#This Row],[YEAR]])</f>
        <v>Kerala-2004</v>
      </c>
      <c r="D1615" t="s">
        <v>658</v>
      </c>
      <c r="E1615">
        <v>145</v>
      </c>
    </row>
    <row r="1616" spans="1:5" x14ac:dyDescent="0.3">
      <c r="A1616" t="s">
        <v>18</v>
      </c>
      <c r="B1616">
        <v>2005</v>
      </c>
      <c r="C1616" t="str">
        <f>_xlfn.CONCAT(Table16[[#This Row],[STATE]],"-",Table16[[#This Row],[YEAR]])</f>
        <v>Kerala-2005</v>
      </c>
      <c r="D1616" t="s">
        <v>123</v>
      </c>
      <c r="E1616">
        <v>280</v>
      </c>
    </row>
    <row r="1617" spans="1:5" x14ac:dyDescent="0.3">
      <c r="A1617" t="s">
        <v>18</v>
      </c>
      <c r="B1617">
        <v>2005</v>
      </c>
      <c r="C1617" t="str">
        <f>_xlfn.CONCAT(Table16[[#This Row],[STATE]],"-",Table16[[#This Row],[YEAR]])</f>
        <v>Kerala-2005</v>
      </c>
      <c r="D1617" t="s">
        <v>122</v>
      </c>
      <c r="E1617">
        <v>350</v>
      </c>
    </row>
    <row r="1618" spans="1:5" x14ac:dyDescent="0.3">
      <c r="A1618" t="s">
        <v>18</v>
      </c>
      <c r="B1618">
        <v>2005</v>
      </c>
      <c r="C1618" t="str">
        <f>_xlfn.CONCAT(Table16[[#This Row],[STATE]],"-",Table16[[#This Row],[YEAR]])</f>
        <v>Kerala-2005</v>
      </c>
      <c r="D1618" t="s">
        <v>216</v>
      </c>
      <c r="E1618">
        <v>275</v>
      </c>
    </row>
    <row r="1619" spans="1:5" x14ac:dyDescent="0.3">
      <c r="A1619" t="s">
        <v>18</v>
      </c>
      <c r="B1619">
        <v>2005</v>
      </c>
      <c r="C1619" t="str">
        <f>_xlfn.CONCAT(Table16[[#This Row],[STATE]],"-",Table16[[#This Row],[YEAR]])</f>
        <v>Kerala-2005</v>
      </c>
      <c r="D1619" t="s">
        <v>90</v>
      </c>
      <c r="E1619">
        <v>7893</v>
      </c>
    </row>
    <row r="1620" spans="1:5" x14ac:dyDescent="0.3">
      <c r="A1620" t="s">
        <v>18</v>
      </c>
      <c r="B1620">
        <v>2005</v>
      </c>
      <c r="C1620" t="str">
        <f>_xlfn.CONCAT(Table16[[#This Row],[STATE]],"-",Table16[[#This Row],[YEAR]])</f>
        <v>Kerala-2005</v>
      </c>
      <c r="D1620" t="s">
        <v>657</v>
      </c>
      <c r="E1620">
        <v>832</v>
      </c>
    </row>
    <row r="1621" spans="1:5" x14ac:dyDescent="0.3">
      <c r="A1621" t="s">
        <v>18</v>
      </c>
      <c r="B1621">
        <v>2005</v>
      </c>
      <c r="C1621" t="str">
        <f>_xlfn.CONCAT(Table16[[#This Row],[STATE]],"-",Table16[[#This Row],[YEAR]])</f>
        <v>Kerala-2005</v>
      </c>
      <c r="D1621" t="s">
        <v>96</v>
      </c>
      <c r="E1621">
        <v>678</v>
      </c>
    </row>
    <row r="1622" spans="1:5" x14ac:dyDescent="0.3">
      <c r="A1622" t="s">
        <v>18</v>
      </c>
      <c r="B1622">
        <v>2005</v>
      </c>
      <c r="C1622" t="str">
        <f>_xlfn.CONCAT(Table16[[#This Row],[STATE]],"-",Table16[[#This Row],[YEAR]])</f>
        <v>Kerala-2005</v>
      </c>
      <c r="D1622" t="s">
        <v>103</v>
      </c>
      <c r="E1622">
        <v>3692</v>
      </c>
    </row>
    <row r="1623" spans="1:5" x14ac:dyDescent="0.3">
      <c r="A1623" t="s">
        <v>18</v>
      </c>
      <c r="B1623">
        <v>2005</v>
      </c>
      <c r="C1623" t="str">
        <f>_xlfn.CONCAT(Table16[[#This Row],[STATE]],"-",Table16[[#This Row],[YEAR]])</f>
        <v>Kerala-2005</v>
      </c>
      <c r="D1623" t="s">
        <v>658</v>
      </c>
      <c r="E1623">
        <v>143</v>
      </c>
    </row>
    <row r="1624" spans="1:5" x14ac:dyDescent="0.3">
      <c r="A1624" t="s">
        <v>18</v>
      </c>
      <c r="B1624">
        <v>2005</v>
      </c>
      <c r="C1624" t="str">
        <f>_xlfn.CONCAT(Table16[[#This Row],[STATE]],"-",Table16[[#This Row],[YEAR]])</f>
        <v>Kerala-2005</v>
      </c>
      <c r="D1624" t="s">
        <v>368</v>
      </c>
      <c r="E1624">
        <v>1</v>
      </c>
    </row>
    <row r="1625" spans="1:5" x14ac:dyDescent="0.3">
      <c r="A1625" t="s">
        <v>18</v>
      </c>
      <c r="B1625">
        <v>2006</v>
      </c>
      <c r="C1625" t="str">
        <f>_xlfn.CONCAT(Table16[[#This Row],[STATE]],"-",Table16[[#This Row],[YEAR]])</f>
        <v>Kerala-2006</v>
      </c>
      <c r="D1625" t="s">
        <v>123</v>
      </c>
      <c r="E1625">
        <v>180</v>
      </c>
    </row>
    <row r="1626" spans="1:5" x14ac:dyDescent="0.3">
      <c r="A1626" t="s">
        <v>18</v>
      </c>
      <c r="B1626">
        <v>2006</v>
      </c>
      <c r="C1626" t="str">
        <f>_xlfn.CONCAT(Table16[[#This Row],[STATE]],"-",Table16[[#This Row],[YEAR]])</f>
        <v>Kerala-2006</v>
      </c>
      <c r="D1626" t="s">
        <v>122</v>
      </c>
      <c r="E1626">
        <v>235</v>
      </c>
    </row>
    <row r="1627" spans="1:5" x14ac:dyDescent="0.3">
      <c r="A1627" t="s">
        <v>18</v>
      </c>
      <c r="B1627">
        <v>2006</v>
      </c>
      <c r="C1627" t="str">
        <f>_xlfn.CONCAT(Table16[[#This Row],[STATE]],"-",Table16[[#This Row],[YEAR]])</f>
        <v>Kerala-2006</v>
      </c>
      <c r="D1627" t="s">
        <v>90</v>
      </c>
      <c r="E1627">
        <v>260</v>
      </c>
    </row>
    <row r="1628" spans="1:5" x14ac:dyDescent="0.3">
      <c r="A1628" t="s">
        <v>18</v>
      </c>
      <c r="B1628">
        <v>2006</v>
      </c>
      <c r="C1628" t="str">
        <f>_xlfn.CONCAT(Table16[[#This Row],[STATE]],"-",Table16[[#This Row],[YEAR]])</f>
        <v>Kerala-2006</v>
      </c>
      <c r="D1628" t="s">
        <v>96</v>
      </c>
      <c r="E1628">
        <v>400</v>
      </c>
    </row>
    <row r="1629" spans="1:5" x14ac:dyDescent="0.3">
      <c r="A1629" t="s">
        <v>18</v>
      </c>
      <c r="B1629">
        <v>2006</v>
      </c>
      <c r="C1629" t="str">
        <f>_xlfn.CONCAT(Table16[[#This Row],[STATE]],"-",Table16[[#This Row],[YEAR]])</f>
        <v>Kerala-2006</v>
      </c>
      <c r="D1629" t="s">
        <v>103</v>
      </c>
      <c r="E1629">
        <v>700</v>
      </c>
    </row>
    <row r="1630" spans="1:5" x14ac:dyDescent="0.3">
      <c r="A1630" t="s">
        <v>18</v>
      </c>
      <c r="B1630">
        <v>2006</v>
      </c>
      <c r="C1630" t="str">
        <f>_xlfn.CONCAT(Table16[[#This Row],[STATE]],"-",Table16[[#This Row],[YEAR]])</f>
        <v>Kerala-2006</v>
      </c>
      <c r="D1630" t="s">
        <v>658</v>
      </c>
      <c r="E1630">
        <v>75</v>
      </c>
    </row>
    <row r="1631" spans="1:5" x14ac:dyDescent="0.3">
      <c r="A1631" t="s">
        <v>18</v>
      </c>
      <c r="B1631">
        <v>2006</v>
      </c>
      <c r="C1631" t="str">
        <f>_xlfn.CONCAT(Table16[[#This Row],[STATE]],"-",Table16[[#This Row],[YEAR]])</f>
        <v>Kerala-2006</v>
      </c>
      <c r="D1631" t="s">
        <v>197</v>
      </c>
      <c r="E1631">
        <v>210</v>
      </c>
    </row>
    <row r="1632" spans="1:5" x14ac:dyDescent="0.3">
      <c r="A1632" t="s">
        <v>18</v>
      </c>
      <c r="B1632">
        <v>2007</v>
      </c>
      <c r="C1632" t="str">
        <f>_xlfn.CONCAT(Table16[[#This Row],[STATE]],"-",Table16[[#This Row],[YEAR]])</f>
        <v>Kerala-2007</v>
      </c>
      <c r="D1632" t="s">
        <v>123</v>
      </c>
      <c r="E1632">
        <v>250</v>
      </c>
    </row>
    <row r="1633" spans="1:5" x14ac:dyDescent="0.3">
      <c r="A1633" t="s">
        <v>18</v>
      </c>
      <c r="B1633">
        <v>2007</v>
      </c>
      <c r="C1633" t="str">
        <f>_xlfn.CONCAT(Table16[[#This Row],[STATE]],"-",Table16[[#This Row],[YEAR]])</f>
        <v>Kerala-2007</v>
      </c>
      <c r="D1633" t="s">
        <v>189</v>
      </c>
      <c r="E1633">
        <v>200</v>
      </c>
    </row>
    <row r="1634" spans="1:5" x14ac:dyDescent="0.3">
      <c r="A1634" t="s">
        <v>18</v>
      </c>
      <c r="B1634">
        <v>2007</v>
      </c>
      <c r="C1634" t="str">
        <f>_xlfn.CONCAT(Table16[[#This Row],[STATE]],"-",Table16[[#This Row],[YEAR]])</f>
        <v>Kerala-2007</v>
      </c>
      <c r="D1634" t="s">
        <v>90</v>
      </c>
      <c r="E1634">
        <v>300</v>
      </c>
    </row>
    <row r="1635" spans="1:5" x14ac:dyDescent="0.3">
      <c r="A1635" t="s">
        <v>18</v>
      </c>
      <c r="B1635">
        <v>2007</v>
      </c>
      <c r="C1635" t="str">
        <f>_xlfn.CONCAT(Table16[[#This Row],[STATE]],"-",Table16[[#This Row],[YEAR]])</f>
        <v>Kerala-2007</v>
      </c>
      <c r="D1635" t="s">
        <v>96</v>
      </c>
      <c r="E1635">
        <v>500</v>
      </c>
    </row>
    <row r="1636" spans="1:5" x14ac:dyDescent="0.3">
      <c r="A1636" t="s">
        <v>18</v>
      </c>
      <c r="B1636">
        <v>2007</v>
      </c>
      <c r="C1636" t="str">
        <f>_xlfn.CONCAT(Table16[[#This Row],[STATE]],"-",Table16[[#This Row],[YEAR]])</f>
        <v>Kerala-2007</v>
      </c>
      <c r="D1636" t="s">
        <v>103</v>
      </c>
      <c r="E1636">
        <v>100</v>
      </c>
    </row>
    <row r="1637" spans="1:5" x14ac:dyDescent="0.3">
      <c r="A1637" t="s">
        <v>18</v>
      </c>
      <c r="B1637">
        <v>2007</v>
      </c>
      <c r="C1637" t="str">
        <f>_xlfn.CONCAT(Table16[[#This Row],[STATE]],"-",Table16[[#This Row],[YEAR]])</f>
        <v>Kerala-2007</v>
      </c>
      <c r="D1637" t="s">
        <v>658</v>
      </c>
      <c r="E1637">
        <v>500</v>
      </c>
    </row>
    <row r="1638" spans="1:5" x14ac:dyDescent="0.3">
      <c r="A1638" t="s">
        <v>18</v>
      </c>
      <c r="B1638">
        <v>2007</v>
      </c>
      <c r="C1638" t="str">
        <f>_xlfn.CONCAT(Table16[[#This Row],[STATE]],"-",Table16[[#This Row],[YEAR]])</f>
        <v>Kerala-2007</v>
      </c>
      <c r="D1638" t="s">
        <v>197</v>
      </c>
      <c r="E1638">
        <v>300</v>
      </c>
    </row>
    <row r="1639" spans="1:5" x14ac:dyDescent="0.3">
      <c r="A1639" t="s">
        <v>18</v>
      </c>
      <c r="B1639">
        <v>2008</v>
      </c>
      <c r="C1639" t="str">
        <f>_xlfn.CONCAT(Table16[[#This Row],[STATE]],"-",Table16[[#This Row],[YEAR]])</f>
        <v>Kerala-2008</v>
      </c>
      <c r="D1639" t="s">
        <v>123</v>
      </c>
      <c r="E1639">
        <v>750</v>
      </c>
    </row>
    <row r="1640" spans="1:5" x14ac:dyDescent="0.3">
      <c r="A1640" t="s">
        <v>18</v>
      </c>
      <c r="B1640">
        <v>2008</v>
      </c>
      <c r="C1640" t="str">
        <f>_xlfn.CONCAT(Table16[[#This Row],[STATE]],"-",Table16[[#This Row],[YEAR]])</f>
        <v>Kerala-2008</v>
      </c>
      <c r="D1640" t="s">
        <v>122</v>
      </c>
      <c r="E1640">
        <v>250</v>
      </c>
    </row>
    <row r="1641" spans="1:5" x14ac:dyDescent="0.3">
      <c r="A1641" t="s">
        <v>18</v>
      </c>
      <c r="B1641">
        <v>2008</v>
      </c>
      <c r="C1641" t="str">
        <f>_xlfn.CONCAT(Table16[[#This Row],[STATE]],"-",Table16[[#This Row],[YEAR]])</f>
        <v>Kerala-2008</v>
      </c>
      <c r="D1641" t="s">
        <v>90</v>
      </c>
      <c r="E1641">
        <v>350</v>
      </c>
    </row>
    <row r="1642" spans="1:5" x14ac:dyDescent="0.3">
      <c r="A1642" t="s">
        <v>18</v>
      </c>
      <c r="B1642">
        <v>2008</v>
      </c>
      <c r="C1642" t="str">
        <f>_xlfn.CONCAT(Table16[[#This Row],[STATE]],"-",Table16[[#This Row],[YEAR]])</f>
        <v>Kerala-2008</v>
      </c>
      <c r="D1642" t="s">
        <v>96</v>
      </c>
      <c r="E1642">
        <v>700</v>
      </c>
    </row>
    <row r="1643" spans="1:5" x14ac:dyDescent="0.3">
      <c r="A1643" t="s">
        <v>18</v>
      </c>
      <c r="B1643">
        <v>2008</v>
      </c>
      <c r="C1643" t="str">
        <f>_xlfn.CONCAT(Table16[[#This Row],[STATE]],"-",Table16[[#This Row],[YEAR]])</f>
        <v>Kerala-2008</v>
      </c>
      <c r="D1643" t="s">
        <v>103</v>
      </c>
      <c r="E1643">
        <v>150</v>
      </c>
    </row>
    <row r="1644" spans="1:5" x14ac:dyDescent="0.3">
      <c r="A1644" t="s">
        <v>18</v>
      </c>
      <c r="B1644">
        <v>2008</v>
      </c>
      <c r="C1644" t="str">
        <f>_xlfn.CONCAT(Table16[[#This Row],[STATE]],"-",Table16[[#This Row],[YEAR]])</f>
        <v>Kerala-2008</v>
      </c>
      <c r="D1644" t="s">
        <v>658</v>
      </c>
      <c r="E1644">
        <v>300</v>
      </c>
    </row>
    <row r="1645" spans="1:5" x14ac:dyDescent="0.3">
      <c r="A1645" t="s">
        <v>18</v>
      </c>
      <c r="B1645">
        <v>2008</v>
      </c>
      <c r="C1645" t="str">
        <f>_xlfn.CONCAT(Table16[[#This Row],[STATE]],"-",Table16[[#This Row],[YEAR]])</f>
        <v>Kerala-2008</v>
      </c>
      <c r="D1645" t="s">
        <v>197</v>
      </c>
      <c r="E1645">
        <v>350</v>
      </c>
    </row>
    <row r="1646" spans="1:5" x14ac:dyDescent="0.3">
      <c r="A1646" t="s">
        <v>18</v>
      </c>
      <c r="B1646">
        <v>2009</v>
      </c>
      <c r="C1646" t="str">
        <f>_xlfn.CONCAT(Table16[[#This Row],[STATE]],"-",Table16[[#This Row],[YEAR]])</f>
        <v>Kerala-2009</v>
      </c>
      <c r="D1646" t="s">
        <v>123</v>
      </c>
      <c r="E1646">
        <v>60</v>
      </c>
    </row>
    <row r="1647" spans="1:5" x14ac:dyDescent="0.3">
      <c r="A1647" t="s">
        <v>18</v>
      </c>
      <c r="B1647">
        <v>2009</v>
      </c>
      <c r="C1647" t="str">
        <f>_xlfn.CONCAT(Table16[[#This Row],[STATE]],"-",Table16[[#This Row],[YEAR]])</f>
        <v>Kerala-2009</v>
      </c>
      <c r="D1647" t="s">
        <v>192</v>
      </c>
      <c r="E1647">
        <v>35</v>
      </c>
    </row>
    <row r="1648" spans="1:5" x14ac:dyDescent="0.3">
      <c r="A1648" t="s">
        <v>18</v>
      </c>
      <c r="B1648">
        <v>2009</v>
      </c>
      <c r="C1648" t="str">
        <f>_xlfn.CONCAT(Table16[[#This Row],[STATE]],"-",Table16[[#This Row],[YEAR]])</f>
        <v>Kerala-2009</v>
      </c>
      <c r="D1648" t="s">
        <v>90</v>
      </c>
      <c r="E1648">
        <v>100</v>
      </c>
    </row>
    <row r="1649" spans="1:5" x14ac:dyDescent="0.3">
      <c r="A1649" t="s">
        <v>18</v>
      </c>
      <c r="B1649">
        <v>2009</v>
      </c>
      <c r="C1649" t="str">
        <f>_xlfn.CONCAT(Table16[[#This Row],[STATE]],"-",Table16[[#This Row],[YEAR]])</f>
        <v>Kerala-2009</v>
      </c>
      <c r="D1649" t="s">
        <v>96</v>
      </c>
      <c r="E1649">
        <v>75</v>
      </c>
    </row>
    <row r="1650" spans="1:5" x14ac:dyDescent="0.3">
      <c r="A1650" t="s">
        <v>18</v>
      </c>
      <c r="B1650">
        <v>2009</v>
      </c>
      <c r="C1650" t="str">
        <f>_xlfn.CONCAT(Table16[[#This Row],[STATE]],"-",Table16[[#This Row],[YEAR]])</f>
        <v>Kerala-2009</v>
      </c>
      <c r="D1650" t="s">
        <v>103</v>
      </c>
      <c r="E1650">
        <v>60</v>
      </c>
    </row>
    <row r="1651" spans="1:5" x14ac:dyDescent="0.3">
      <c r="A1651" t="s">
        <v>18</v>
      </c>
      <c r="B1651">
        <v>2009</v>
      </c>
      <c r="C1651" t="str">
        <f>_xlfn.CONCAT(Table16[[#This Row],[STATE]],"-",Table16[[#This Row],[YEAR]])</f>
        <v>Kerala-2009</v>
      </c>
      <c r="D1651" t="s">
        <v>658</v>
      </c>
      <c r="E1651">
        <v>340</v>
      </c>
    </row>
    <row r="1652" spans="1:5" x14ac:dyDescent="0.3">
      <c r="A1652" t="s">
        <v>18</v>
      </c>
      <c r="B1652">
        <v>2009</v>
      </c>
      <c r="C1652" t="str">
        <f>_xlfn.CONCAT(Table16[[#This Row],[STATE]],"-",Table16[[#This Row],[YEAR]])</f>
        <v>Kerala-2009</v>
      </c>
      <c r="D1652" t="s">
        <v>197</v>
      </c>
      <c r="E1652">
        <v>1125</v>
      </c>
    </row>
    <row r="1653" spans="1:5" x14ac:dyDescent="0.3">
      <c r="A1653" t="s">
        <v>18</v>
      </c>
      <c r="B1653">
        <v>2010</v>
      </c>
      <c r="C1653" t="str">
        <f>_xlfn.CONCAT(Table16[[#This Row],[STATE]],"-",Table16[[#This Row],[YEAR]])</f>
        <v>Kerala-2010</v>
      </c>
      <c r="D1653" t="s">
        <v>123</v>
      </c>
      <c r="E1653">
        <v>75</v>
      </c>
    </row>
    <row r="1654" spans="1:5" x14ac:dyDescent="0.3">
      <c r="A1654" t="s">
        <v>18</v>
      </c>
      <c r="B1654">
        <v>2010</v>
      </c>
      <c r="C1654" t="str">
        <f>_xlfn.CONCAT(Table16[[#This Row],[STATE]],"-",Table16[[#This Row],[YEAR]])</f>
        <v>Kerala-2010</v>
      </c>
      <c r="D1654" t="s">
        <v>192</v>
      </c>
      <c r="E1654">
        <v>45</v>
      </c>
    </row>
    <row r="1655" spans="1:5" x14ac:dyDescent="0.3">
      <c r="A1655" t="s">
        <v>18</v>
      </c>
      <c r="B1655">
        <v>2010</v>
      </c>
      <c r="C1655" t="str">
        <f>_xlfn.CONCAT(Table16[[#This Row],[STATE]],"-",Table16[[#This Row],[YEAR]])</f>
        <v>Kerala-2010</v>
      </c>
      <c r="D1655" t="s">
        <v>90</v>
      </c>
      <c r="E1655">
        <v>100</v>
      </c>
    </row>
    <row r="1656" spans="1:5" x14ac:dyDescent="0.3">
      <c r="A1656" t="s">
        <v>18</v>
      </c>
      <c r="B1656">
        <v>2010</v>
      </c>
      <c r="C1656" t="str">
        <f>_xlfn.CONCAT(Table16[[#This Row],[STATE]],"-",Table16[[#This Row],[YEAR]])</f>
        <v>Kerala-2010</v>
      </c>
      <c r="D1656" t="s">
        <v>96</v>
      </c>
      <c r="E1656">
        <v>50</v>
      </c>
    </row>
    <row r="1657" spans="1:5" x14ac:dyDescent="0.3">
      <c r="A1657" t="s">
        <v>18</v>
      </c>
      <c r="B1657">
        <v>2010</v>
      </c>
      <c r="C1657" t="str">
        <f>_xlfn.CONCAT(Table16[[#This Row],[STATE]],"-",Table16[[#This Row],[YEAR]])</f>
        <v>Kerala-2010</v>
      </c>
      <c r="D1657" t="s">
        <v>103</v>
      </c>
      <c r="E1657">
        <v>60</v>
      </c>
    </row>
    <row r="1658" spans="1:5" x14ac:dyDescent="0.3">
      <c r="A1658" t="s">
        <v>18</v>
      </c>
      <c r="B1658">
        <v>2010</v>
      </c>
      <c r="C1658" t="str">
        <f>_xlfn.CONCAT(Table16[[#This Row],[STATE]],"-",Table16[[#This Row],[YEAR]])</f>
        <v>Kerala-2010</v>
      </c>
      <c r="D1658" t="s">
        <v>658</v>
      </c>
      <c r="E1658">
        <v>300</v>
      </c>
    </row>
    <row r="1659" spans="1:5" x14ac:dyDescent="0.3">
      <c r="A1659" t="s">
        <v>18</v>
      </c>
      <c r="B1659">
        <v>2010</v>
      </c>
      <c r="C1659" t="str">
        <f>_xlfn.CONCAT(Table16[[#This Row],[STATE]],"-",Table16[[#This Row],[YEAR]])</f>
        <v>Kerala-2010</v>
      </c>
      <c r="D1659" t="s">
        <v>197</v>
      </c>
      <c r="E1659">
        <v>1200</v>
      </c>
    </row>
    <row r="1660" spans="1:5" x14ac:dyDescent="0.3">
      <c r="A1660" t="s">
        <v>18</v>
      </c>
      <c r="B1660">
        <v>2011</v>
      </c>
      <c r="C1660" t="str">
        <f>_xlfn.CONCAT(Table16[[#This Row],[STATE]],"-",Table16[[#This Row],[YEAR]])</f>
        <v>Kerala-2011</v>
      </c>
      <c r="D1660" t="s">
        <v>661</v>
      </c>
      <c r="E1660">
        <v>220</v>
      </c>
    </row>
    <row r="1661" spans="1:5" x14ac:dyDescent="0.3">
      <c r="A1661" t="s">
        <v>18</v>
      </c>
      <c r="B1661">
        <v>2011</v>
      </c>
      <c r="C1661" t="str">
        <f>_xlfn.CONCAT(Table16[[#This Row],[STATE]],"-",Table16[[#This Row],[YEAR]])</f>
        <v>Kerala-2011</v>
      </c>
      <c r="D1661" t="s">
        <v>662</v>
      </c>
      <c r="E1661">
        <v>60</v>
      </c>
    </row>
    <row r="1662" spans="1:5" x14ac:dyDescent="0.3">
      <c r="A1662" t="s">
        <v>18</v>
      </c>
      <c r="B1662">
        <v>2011</v>
      </c>
      <c r="C1662" t="str">
        <f>_xlfn.CONCAT(Table16[[#This Row],[STATE]],"-",Table16[[#This Row],[YEAR]])</f>
        <v>Kerala-2011</v>
      </c>
      <c r="D1662" t="s">
        <v>350</v>
      </c>
      <c r="E1662">
        <v>100</v>
      </c>
    </row>
    <row r="1663" spans="1:5" x14ac:dyDescent="0.3">
      <c r="A1663" t="s">
        <v>18</v>
      </c>
      <c r="B1663">
        <v>2011</v>
      </c>
      <c r="C1663" t="str">
        <f>_xlfn.CONCAT(Table16[[#This Row],[STATE]],"-",Table16[[#This Row],[YEAR]])</f>
        <v>Kerala-2011</v>
      </c>
      <c r="D1663" t="s">
        <v>96</v>
      </c>
      <c r="E1663">
        <v>25</v>
      </c>
    </row>
    <row r="1664" spans="1:5" x14ac:dyDescent="0.3">
      <c r="A1664" t="s">
        <v>18</v>
      </c>
      <c r="B1664">
        <v>2011</v>
      </c>
      <c r="C1664" t="str">
        <f>_xlfn.CONCAT(Table16[[#This Row],[STATE]],"-",Table16[[#This Row],[YEAR]])</f>
        <v>Kerala-2011</v>
      </c>
      <c r="D1664" t="s">
        <v>103</v>
      </c>
      <c r="E1664">
        <v>22</v>
      </c>
    </row>
    <row r="1665" spans="1:5" x14ac:dyDescent="0.3">
      <c r="A1665" t="s">
        <v>18</v>
      </c>
      <c r="B1665">
        <v>2011</v>
      </c>
      <c r="C1665" t="str">
        <f>_xlfn.CONCAT(Table16[[#This Row],[STATE]],"-",Table16[[#This Row],[YEAR]])</f>
        <v>Kerala-2011</v>
      </c>
      <c r="D1665" t="s">
        <v>663</v>
      </c>
      <c r="E1665">
        <v>180</v>
      </c>
    </row>
    <row r="1666" spans="1:5" x14ac:dyDescent="0.3">
      <c r="A1666" t="s">
        <v>18</v>
      </c>
      <c r="B1666">
        <v>2011</v>
      </c>
      <c r="C1666" t="str">
        <f>_xlfn.CONCAT(Table16[[#This Row],[STATE]],"-",Table16[[#This Row],[YEAR]])</f>
        <v>Kerala-2011</v>
      </c>
      <c r="D1666" t="s">
        <v>90</v>
      </c>
      <c r="E1666">
        <v>35</v>
      </c>
    </row>
    <row r="1667" spans="1:5" x14ac:dyDescent="0.3">
      <c r="A1667" t="s">
        <v>18</v>
      </c>
      <c r="B1667">
        <v>2011</v>
      </c>
      <c r="C1667" t="str">
        <f>_xlfn.CONCAT(Table16[[#This Row],[STATE]],"-",Table16[[#This Row],[YEAR]])</f>
        <v>Kerala-2011</v>
      </c>
      <c r="D1667" t="s">
        <v>357</v>
      </c>
      <c r="E1667">
        <v>28</v>
      </c>
    </row>
    <row r="1668" spans="1:5" x14ac:dyDescent="0.3">
      <c r="A1668" t="s">
        <v>18</v>
      </c>
      <c r="B1668">
        <v>2011</v>
      </c>
      <c r="C1668" t="str">
        <f>_xlfn.CONCAT(Table16[[#This Row],[STATE]],"-",Table16[[#This Row],[YEAR]])</f>
        <v>Kerala-2011</v>
      </c>
      <c r="D1668" t="s">
        <v>230</v>
      </c>
      <c r="E1668">
        <v>68</v>
      </c>
    </row>
    <row r="1669" spans="1:5" x14ac:dyDescent="0.3">
      <c r="A1669" t="s">
        <v>18</v>
      </c>
      <c r="B1669">
        <v>2011</v>
      </c>
      <c r="C1669" t="str">
        <f>_xlfn.CONCAT(Table16[[#This Row],[STATE]],"-",Table16[[#This Row],[YEAR]])</f>
        <v>Kerala-2011</v>
      </c>
      <c r="D1669" t="s">
        <v>658</v>
      </c>
      <c r="E1669">
        <v>103</v>
      </c>
    </row>
    <row r="1670" spans="1:5" x14ac:dyDescent="0.3">
      <c r="A1670" t="s">
        <v>18</v>
      </c>
      <c r="B1670">
        <v>2011</v>
      </c>
      <c r="C1670" t="str">
        <f>_xlfn.CONCAT(Table16[[#This Row],[STATE]],"-",Table16[[#This Row],[YEAR]])</f>
        <v>Kerala-2011</v>
      </c>
      <c r="D1670" t="s">
        <v>197</v>
      </c>
      <c r="E1670">
        <v>306</v>
      </c>
    </row>
    <row r="1671" spans="1:5" x14ac:dyDescent="0.3">
      <c r="A1671" t="s">
        <v>18</v>
      </c>
      <c r="B1671">
        <v>2011</v>
      </c>
      <c r="C1671" t="str">
        <f>_xlfn.CONCAT(Table16[[#This Row],[STATE]],"-",Table16[[#This Row],[YEAR]])</f>
        <v>Kerala-2011</v>
      </c>
      <c r="D1671" t="s">
        <v>664</v>
      </c>
      <c r="E1671">
        <v>60</v>
      </c>
    </row>
    <row r="1672" spans="1:5" x14ac:dyDescent="0.3">
      <c r="A1672" t="s">
        <v>18</v>
      </c>
      <c r="B1672">
        <v>2011</v>
      </c>
      <c r="C1672" t="str">
        <f>_xlfn.CONCAT(Table16[[#This Row],[STATE]],"-",Table16[[#This Row],[YEAR]])</f>
        <v>Kerala-2011</v>
      </c>
      <c r="D1672" t="s">
        <v>254</v>
      </c>
      <c r="E1672">
        <v>10</v>
      </c>
    </row>
    <row r="1673" spans="1:5" x14ac:dyDescent="0.3">
      <c r="A1673" t="s">
        <v>18</v>
      </c>
      <c r="B1673">
        <v>2011</v>
      </c>
      <c r="C1673" t="str">
        <f>_xlfn.CONCAT(Table16[[#This Row],[STATE]],"-",Table16[[#This Row],[YEAR]])</f>
        <v>Kerala-2011</v>
      </c>
      <c r="D1673" t="s">
        <v>665</v>
      </c>
      <c r="E1673">
        <v>12</v>
      </c>
    </row>
    <row r="1674" spans="1:5" x14ac:dyDescent="0.3">
      <c r="A1674" t="s">
        <v>18</v>
      </c>
      <c r="B1674">
        <v>2011</v>
      </c>
      <c r="C1674" t="str">
        <f>_xlfn.CONCAT(Table16[[#This Row],[STATE]],"-",Table16[[#This Row],[YEAR]])</f>
        <v>Kerala-2011</v>
      </c>
      <c r="D1674" t="s">
        <v>666</v>
      </c>
      <c r="E1674">
        <v>12</v>
      </c>
    </row>
    <row r="1675" spans="1:5" x14ac:dyDescent="0.3">
      <c r="A1675" t="s">
        <v>18</v>
      </c>
      <c r="B1675">
        <v>2011</v>
      </c>
      <c r="C1675" t="str">
        <f>_xlfn.CONCAT(Table16[[#This Row],[STATE]],"-",Table16[[#This Row],[YEAR]])</f>
        <v>Kerala-2011</v>
      </c>
      <c r="D1675" t="s">
        <v>667</v>
      </c>
      <c r="E1675">
        <v>6</v>
      </c>
    </row>
    <row r="1676" spans="1:5" x14ac:dyDescent="0.3">
      <c r="A1676" t="s">
        <v>18</v>
      </c>
      <c r="B1676">
        <v>2011</v>
      </c>
      <c r="C1676" t="str">
        <f>_xlfn.CONCAT(Table16[[#This Row],[STATE]],"-",Table16[[#This Row],[YEAR]])</f>
        <v>Kerala-2011</v>
      </c>
      <c r="D1676" t="s">
        <v>182</v>
      </c>
      <c r="E1676">
        <v>4</v>
      </c>
    </row>
    <row r="1677" spans="1:5" x14ac:dyDescent="0.3">
      <c r="A1677" t="s">
        <v>18</v>
      </c>
      <c r="B1677">
        <v>2011</v>
      </c>
      <c r="C1677" t="str">
        <f>_xlfn.CONCAT(Table16[[#This Row],[STATE]],"-",Table16[[#This Row],[YEAR]])</f>
        <v>Kerala-2011</v>
      </c>
      <c r="D1677" t="s">
        <v>381</v>
      </c>
      <c r="E1677">
        <v>10</v>
      </c>
    </row>
    <row r="1678" spans="1:5" x14ac:dyDescent="0.3">
      <c r="A1678" t="s">
        <v>18</v>
      </c>
      <c r="B1678">
        <v>2011</v>
      </c>
      <c r="C1678" t="str">
        <f>_xlfn.CONCAT(Table16[[#This Row],[STATE]],"-",Table16[[#This Row],[YEAR]])</f>
        <v>Kerala-2011</v>
      </c>
      <c r="D1678" t="s">
        <v>668</v>
      </c>
      <c r="E1678">
        <v>160</v>
      </c>
    </row>
    <row r="1679" spans="1:5" x14ac:dyDescent="0.3">
      <c r="A1679" t="s">
        <v>18</v>
      </c>
      <c r="B1679">
        <v>2012</v>
      </c>
      <c r="C1679" t="str">
        <f>_xlfn.CONCAT(Table16[[#This Row],[STATE]],"-",Table16[[#This Row],[YEAR]])</f>
        <v>Kerala-2012</v>
      </c>
      <c r="D1679" t="s">
        <v>669</v>
      </c>
      <c r="E1679">
        <v>100</v>
      </c>
    </row>
    <row r="1680" spans="1:5" x14ac:dyDescent="0.3">
      <c r="A1680" t="s">
        <v>18</v>
      </c>
      <c r="B1680">
        <v>2012</v>
      </c>
      <c r="C1680" t="str">
        <f>_xlfn.CONCAT(Table16[[#This Row],[STATE]],"-",Table16[[#This Row],[YEAR]])</f>
        <v>Kerala-2012</v>
      </c>
      <c r="D1680" t="s">
        <v>141</v>
      </c>
      <c r="E1680">
        <v>25</v>
      </c>
    </row>
    <row r="1681" spans="1:5" x14ac:dyDescent="0.3">
      <c r="A1681" t="s">
        <v>18</v>
      </c>
      <c r="B1681">
        <v>2012</v>
      </c>
      <c r="C1681" t="str">
        <f>_xlfn.CONCAT(Table16[[#This Row],[STATE]],"-",Table16[[#This Row],[YEAR]])</f>
        <v>Kerala-2012</v>
      </c>
      <c r="D1681" t="s">
        <v>670</v>
      </c>
      <c r="E1681">
        <v>30</v>
      </c>
    </row>
    <row r="1682" spans="1:5" x14ac:dyDescent="0.3">
      <c r="A1682" t="s">
        <v>18</v>
      </c>
      <c r="B1682">
        <v>2012</v>
      </c>
      <c r="C1682" t="str">
        <f>_xlfn.CONCAT(Table16[[#This Row],[STATE]],"-",Table16[[#This Row],[YEAR]])</f>
        <v>Kerala-2012</v>
      </c>
      <c r="D1682" t="s">
        <v>671</v>
      </c>
      <c r="E1682">
        <v>50</v>
      </c>
    </row>
    <row r="1683" spans="1:5" x14ac:dyDescent="0.3">
      <c r="A1683" t="s">
        <v>18</v>
      </c>
      <c r="B1683">
        <v>2012</v>
      </c>
      <c r="C1683" t="str">
        <f>_xlfn.CONCAT(Table16[[#This Row],[STATE]],"-",Table16[[#This Row],[YEAR]])</f>
        <v>Kerala-2012</v>
      </c>
      <c r="D1683" t="s">
        <v>446</v>
      </c>
      <c r="E1683">
        <v>125</v>
      </c>
    </row>
    <row r="1684" spans="1:5" x14ac:dyDescent="0.3">
      <c r="A1684" t="s">
        <v>18</v>
      </c>
      <c r="B1684">
        <v>2012</v>
      </c>
      <c r="C1684" t="str">
        <f>_xlfn.CONCAT(Table16[[#This Row],[STATE]],"-",Table16[[#This Row],[YEAR]])</f>
        <v>Kerala-2012</v>
      </c>
      <c r="D1684" t="s">
        <v>672</v>
      </c>
      <c r="E1684">
        <v>25</v>
      </c>
    </row>
    <row r="1685" spans="1:5" x14ac:dyDescent="0.3">
      <c r="A1685" t="s">
        <v>18</v>
      </c>
      <c r="B1685">
        <v>2012</v>
      </c>
      <c r="C1685" t="str">
        <f>_xlfn.CONCAT(Table16[[#This Row],[STATE]],"-",Table16[[#This Row],[YEAR]])</f>
        <v>Kerala-2012</v>
      </c>
      <c r="D1685" t="s">
        <v>673</v>
      </c>
      <c r="E1685">
        <v>50</v>
      </c>
    </row>
    <row r="1686" spans="1:5" x14ac:dyDescent="0.3">
      <c r="A1686" t="s">
        <v>18</v>
      </c>
      <c r="B1686">
        <v>2012</v>
      </c>
      <c r="C1686" t="str">
        <f>_xlfn.CONCAT(Table16[[#This Row],[STATE]],"-",Table16[[#This Row],[YEAR]])</f>
        <v>Kerala-2012</v>
      </c>
      <c r="D1686" t="s">
        <v>661</v>
      </c>
      <c r="E1686">
        <v>250</v>
      </c>
    </row>
    <row r="1687" spans="1:5" x14ac:dyDescent="0.3">
      <c r="A1687" t="s">
        <v>18</v>
      </c>
      <c r="B1687">
        <v>2012</v>
      </c>
      <c r="C1687" t="str">
        <f>_xlfn.CONCAT(Table16[[#This Row],[STATE]],"-",Table16[[#This Row],[YEAR]])</f>
        <v>Kerala-2012</v>
      </c>
      <c r="D1687" t="s">
        <v>123</v>
      </c>
      <c r="E1687">
        <v>40</v>
      </c>
    </row>
    <row r="1688" spans="1:5" x14ac:dyDescent="0.3">
      <c r="A1688" t="s">
        <v>18</v>
      </c>
      <c r="B1688">
        <v>2012</v>
      </c>
      <c r="C1688" t="str">
        <f>_xlfn.CONCAT(Table16[[#This Row],[STATE]],"-",Table16[[#This Row],[YEAR]])</f>
        <v>Kerala-2012</v>
      </c>
      <c r="D1688" t="s">
        <v>350</v>
      </c>
      <c r="E1688">
        <v>75</v>
      </c>
    </row>
    <row r="1689" spans="1:5" x14ac:dyDescent="0.3">
      <c r="A1689" t="s">
        <v>18</v>
      </c>
      <c r="B1689">
        <v>2012</v>
      </c>
      <c r="C1689" t="str">
        <f>_xlfn.CONCAT(Table16[[#This Row],[STATE]],"-",Table16[[#This Row],[YEAR]])</f>
        <v>Kerala-2012</v>
      </c>
      <c r="D1689" t="s">
        <v>96</v>
      </c>
      <c r="E1689">
        <v>15</v>
      </c>
    </row>
    <row r="1690" spans="1:5" x14ac:dyDescent="0.3">
      <c r="A1690" t="s">
        <v>18</v>
      </c>
      <c r="B1690">
        <v>2012</v>
      </c>
      <c r="C1690" t="str">
        <f>_xlfn.CONCAT(Table16[[#This Row],[STATE]],"-",Table16[[#This Row],[YEAR]])</f>
        <v>Kerala-2012</v>
      </c>
      <c r="D1690" t="s">
        <v>103</v>
      </c>
      <c r="E1690">
        <v>20</v>
      </c>
    </row>
    <row r="1691" spans="1:5" x14ac:dyDescent="0.3">
      <c r="A1691" t="s">
        <v>18</v>
      </c>
      <c r="B1691">
        <v>2012</v>
      </c>
      <c r="C1691" t="str">
        <f>_xlfn.CONCAT(Table16[[#This Row],[STATE]],"-",Table16[[#This Row],[YEAR]])</f>
        <v>Kerala-2012</v>
      </c>
      <c r="D1691" t="s">
        <v>663</v>
      </c>
      <c r="E1691">
        <v>300</v>
      </c>
    </row>
    <row r="1692" spans="1:5" x14ac:dyDescent="0.3">
      <c r="A1692" t="s">
        <v>18</v>
      </c>
      <c r="B1692">
        <v>2012</v>
      </c>
      <c r="C1692" t="str">
        <f>_xlfn.CONCAT(Table16[[#This Row],[STATE]],"-",Table16[[#This Row],[YEAR]])</f>
        <v>Kerala-2012</v>
      </c>
      <c r="D1692" t="s">
        <v>90</v>
      </c>
      <c r="E1692">
        <v>20</v>
      </c>
    </row>
    <row r="1693" spans="1:5" x14ac:dyDescent="0.3">
      <c r="A1693" t="s">
        <v>18</v>
      </c>
      <c r="B1693">
        <v>2012</v>
      </c>
      <c r="C1693" t="str">
        <f>_xlfn.CONCAT(Table16[[#This Row],[STATE]],"-",Table16[[#This Row],[YEAR]])</f>
        <v>Kerala-2012</v>
      </c>
      <c r="D1693" t="s">
        <v>230</v>
      </c>
      <c r="E1693">
        <v>125</v>
      </c>
    </row>
    <row r="1694" spans="1:5" x14ac:dyDescent="0.3">
      <c r="A1694" t="s">
        <v>18</v>
      </c>
      <c r="B1694">
        <v>2012</v>
      </c>
      <c r="C1694" t="str">
        <f>_xlfn.CONCAT(Table16[[#This Row],[STATE]],"-",Table16[[#This Row],[YEAR]])</f>
        <v>Kerala-2012</v>
      </c>
      <c r="D1694" t="s">
        <v>664</v>
      </c>
      <c r="E1694">
        <v>75</v>
      </c>
    </row>
    <row r="1695" spans="1:5" x14ac:dyDescent="0.3">
      <c r="A1695" t="s">
        <v>18</v>
      </c>
      <c r="B1695">
        <v>2012</v>
      </c>
      <c r="C1695" t="str">
        <f>_xlfn.CONCAT(Table16[[#This Row],[STATE]],"-",Table16[[#This Row],[YEAR]])</f>
        <v>Kerala-2012</v>
      </c>
      <c r="D1695" t="s">
        <v>674</v>
      </c>
      <c r="E1695">
        <v>5</v>
      </c>
    </row>
    <row r="1696" spans="1:5" x14ac:dyDescent="0.3">
      <c r="A1696" t="s">
        <v>18</v>
      </c>
      <c r="B1696">
        <v>2012</v>
      </c>
      <c r="C1696" t="str">
        <f>_xlfn.CONCAT(Table16[[#This Row],[STATE]],"-",Table16[[#This Row],[YEAR]])</f>
        <v>Kerala-2012</v>
      </c>
      <c r="D1696" t="s">
        <v>381</v>
      </c>
      <c r="E1696">
        <v>10</v>
      </c>
    </row>
    <row r="1697" spans="1:5" x14ac:dyDescent="0.3">
      <c r="A1697" t="s">
        <v>18</v>
      </c>
      <c r="B1697">
        <v>2012</v>
      </c>
      <c r="C1697" t="str">
        <f>_xlfn.CONCAT(Table16[[#This Row],[STATE]],"-",Table16[[#This Row],[YEAR]])</f>
        <v>Kerala-2012</v>
      </c>
      <c r="D1697" t="s">
        <v>675</v>
      </c>
      <c r="E1697">
        <v>25</v>
      </c>
    </row>
    <row r="1698" spans="1:5" x14ac:dyDescent="0.3">
      <c r="A1698" t="s">
        <v>18</v>
      </c>
      <c r="B1698">
        <v>2012</v>
      </c>
      <c r="C1698" t="str">
        <f>_xlfn.CONCAT(Table16[[#This Row],[STATE]],"-",Table16[[#This Row],[YEAR]])</f>
        <v>Kerala-2012</v>
      </c>
      <c r="D1698" t="s">
        <v>253</v>
      </c>
      <c r="E1698">
        <v>10</v>
      </c>
    </row>
    <row r="1699" spans="1:5" x14ac:dyDescent="0.3">
      <c r="A1699" t="s">
        <v>18</v>
      </c>
      <c r="B1699">
        <v>2012</v>
      </c>
      <c r="C1699" t="str">
        <f>_xlfn.CONCAT(Table16[[#This Row],[STATE]],"-",Table16[[#This Row],[YEAR]])</f>
        <v>Kerala-2012</v>
      </c>
      <c r="D1699" t="s">
        <v>676</v>
      </c>
      <c r="E1699">
        <v>50</v>
      </c>
    </row>
    <row r="1700" spans="1:5" x14ac:dyDescent="0.3">
      <c r="A1700" t="s">
        <v>18</v>
      </c>
      <c r="B1700">
        <v>2012</v>
      </c>
      <c r="C1700" t="str">
        <f>_xlfn.CONCAT(Table16[[#This Row],[STATE]],"-",Table16[[#This Row],[YEAR]])</f>
        <v>Kerala-2012</v>
      </c>
      <c r="D1700" t="s">
        <v>677</v>
      </c>
      <c r="E1700">
        <v>5</v>
      </c>
    </row>
    <row r="1701" spans="1:5" x14ac:dyDescent="0.3">
      <c r="A1701" t="s">
        <v>19</v>
      </c>
      <c r="B1701">
        <v>2001</v>
      </c>
      <c r="C1701" t="str">
        <f>_xlfn.CONCAT(Table16[[#This Row],[STATE]],"-",Table16[[#This Row],[YEAR]])</f>
        <v>Madhya Pradesh-2001</v>
      </c>
      <c r="D1701" t="s">
        <v>197</v>
      </c>
      <c r="E1701">
        <v>250</v>
      </c>
    </row>
    <row r="1702" spans="1:5" x14ac:dyDescent="0.3">
      <c r="A1702" t="s">
        <v>19</v>
      </c>
      <c r="B1702">
        <v>2001</v>
      </c>
      <c r="C1702" t="str">
        <f>_xlfn.CONCAT(Table16[[#This Row],[STATE]],"-",Table16[[#This Row],[YEAR]])</f>
        <v>Madhya Pradesh-2001</v>
      </c>
      <c r="D1702" t="s">
        <v>678</v>
      </c>
      <c r="E1702">
        <v>40</v>
      </c>
    </row>
    <row r="1703" spans="1:5" x14ac:dyDescent="0.3">
      <c r="A1703" t="s">
        <v>19</v>
      </c>
      <c r="B1703">
        <v>2001</v>
      </c>
      <c r="C1703" t="str">
        <f>_xlfn.CONCAT(Table16[[#This Row],[STATE]],"-",Table16[[#This Row],[YEAR]])</f>
        <v>Madhya Pradesh-2001</v>
      </c>
      <c r="D1703" t="s">
        <v>122</v>
      </c>
      <c r="E1703">
        <v>50</v>
      </c>
    </row>
    <row r="1704" spans="1:5" x14ac:dyDescent="0.3">
      <c r="A1704" t="s">
        <v>19</v>
      </c>
      <c r="B1704">
        <v>2001</v>
      </c>
      <c r="C1704" t="str">
        <f>_xlfn.CONCAT(Table16[[#This Row],[STATE]],"-",Table16[[#This Row],[YEAR]])</f>
        <v>Madhya Pradesh-2001</v>
      </c>
      <c r="D1704" t="s">
        <v>292</v>
      </c>
      <c r="E1704">
        <v>40</v>
      </c>
    </row>
    <row r="1705" spans="1:5" x14ac:dyDescent="0.3">
      <c r="A1705" t="s">
        <v>19</v>
      </c>
      <c r="B1705">
        <v>2001</v>
      </c>
      <c r="C1705" t="str">
        <f>_xlfn.CONCAT(Table16[[#This Row],[STATE]],"-",Table16[[#This Row],[YEAR]])</f>
        <v>Madhya Pradesh-2001</v>
      </c>
      <c r="D1705" t="s">
        <v>679</v>
      </c>
      <c r="E1705">
        <v>40</v>
      </c>
    </row>
    <row r="1706" spans="1:5" x14ac:dyDescent="0.3">
      <c r="A1706" t="s">
        <v>19</v>
      </c>
      <c r="B1706">
        <v>2001</v>
      </c>
      <c r="C1706" t="str">
        <f>_xlfn.CONCAT(Table16[[#This Row],[STATE]],"-",Table16[[#This Row],[YEAR]])</f>
        <v>Madhya Pradesh-2001</v>
      </c>
      <c r="D1706" t="s">
        <v>123</v>
      </c>
      <c r="E1706">
        <v>42</v>
      </c>
    </row>
    <row r="1707" spans="1:5" x14ac:dyDescent="0.3">
      <c r="A1707" t="s">
        <v>19</v>
      </c>
      <c r="B1707">
        <v>2001</v>
      </c>
      <c r="C1707" t="str">
        <f>_xlfn.CONCAT(Table16[[#This Row],[STATE]],"-",Table16[[#This Row],[YEAR]])</f>
        <v>Madhya Pradesh-2001</v>
      </c>
      <c r="D1707" t="s">
        <v>680</v>
      </c>
      <c r="E1707">
        <v>10</v>
      </c>
    </row>
    <row r="1708" spans="1:5" x14ac:dyDescent="0.3">
      <c r="A1708" t="s">
        <v>19</v>
      </c>
      <c r="B1708">
        <v>2001</v>
      </c>
      <c r="C1708" t="str">
        <f>_xlfn.CONCAT(Table16[[#This Row],[STATE]],"-",Table16[[#This Row],[YEAR]])</f>
        <v>Madhya Pradesh-2001</v>
      </c>
      <c r="D1708" t="s">
        <v>681</v>
      </c>
      <c r="E1708">
        <v>20</v>
      </c>
    </row>
    <row r="1709" spans="1:5" x14ac:dyDescent="0.3">
      <c r="A1709" t="s">
        <v>19</v>
      </c>
      <c r="B1709">
        <v>2001</v>
      </c>
      <c r="C1709" t="str">
        <f>_xlfn.CONCAT(Table16[[#This Row],[STATE]],"-",Table16[[#This Row],[YEAR]])</f>
        <v>Madhya Pradesh-2001</v>
      </c>
      <c r="D1709" t="s">
        <v>682</v>
      </c>
      <c r="E1709">
        <v>20</v>
      </c>
    </row>
    <row r="1710" spans="1:5" x14ac:dyDescent="0.3">
      <c r="A1710" t="s">
        <v>19</v>
      </c>
      <c r="B1710">
        <v>2001</v>
      </c>
      <c r="C1710" t="str">
        <f>_xlfn.CONCAT(Table16[[#This Row],[STATE]],"-",Table16[[#This Row],[YEAR]])</f>
        <v>Madhya Pradesh-2001</v>
      </c>
      <c r="D1710" t="s">
        <v>683</v>
      </c>
      <c r="E1710">
        <v>30</v>
      </c>
    </row>
    <row r="1711" spans="1:5" x14ac:dyDescent="0.3">
      <c r="A1711" t="s">
        <v>19</v>
      </c>
      <c r="B1711">
        <v>2001</v>
      </c>
      <c r="C1711" t="str">
        <f>_xlfn.CONCAT(Table16[[#This Row],[STATE]],"-",Table16[[#This Row],[YEAR]])</f>
        <v>Madhya Pradesh-2001</v>
      </c>
      <c r="D1711" t="s">
        <v>684</v>
      </c>
      <c r="E1711">
        <v>196</v>
      </c>
    </row>
    <row r="1712" spans="1:5" x14ac:dyDescent="0.3">
      <c r="A1712" t="s">
        <v>19</v>
      </c>
      <c r="B1712">
        <v>2001</v>
      </c>
      <c r="C1712" t="str">
        <f>_xlfn.CONCAT(Table16[[#This Row],[STATE]],"-",Table16[[#This Row],[YEAR]])</f>
        <v>Madhya Pradesh-2001</v>
      </c>
      <c r="D1712" t="s">
        <v>266</v>
      </c>
      <c r="E1712">
        <v>20</v>
      </c>
    </row>
    <row r="1713" spans="1:5" x14ac:dyDescent="0.3">
      <c r="A1713" t="s">
        <v>19</v>
      </c>
      <c r="B1713">
        <v>2001</v>
      </c>
      <c r="C1713" t="str">
        <f>_xlfn.CONCAT(Table16[[#This Row],[STATE]],"-",Table16[[#This Row],[YEAR]])</f>
        <v>Madhya Pradesh-2001</v>
      </c>
      <c r="D1713" t="s">
        <v>685</v>
      </c>
      <c r="E1713">
        <v>40</v>
      </c>
    </row>
    <row r="1714" spans="1:5" x14ac:dyDescent="0.3">
      <c r="A1714" t="s">
        <v>19</v>
      </c>
      <c r="B1714">
        <v>2001</v>
      </c>
      <c r="C1714" t="str">
        <f>_xlfn.CONCAT(Table16[[#This Row],[STATE]],"-",Table16[[#This Row],[YEAR]])</f>
        <v>Madhya Pradesh-2001</v>
      </c>
      <c r="D1714" t="s">
        <v>686</v>
      </c>
      <c r="E1714">
        <v>40</v>
      </c>
    </row>
    <row r="1715" spans="1:5" x14ac:dyDescent="0.3">
      <c r="A1715" t="s">
        <v>19</v>
      </c>
      <c r="B1715">
        <v>2001</v>
      </c>
      <c r="C1715" t="str">
        <f>_xlfn.CONCAT(Table16[[#This Row],[STATE]],"-",Table16[[#This Row],[YEAR]])</f>
        <v>Madhya Pradesh-2001</v>
      </c>
      <c r="D1715" t="s">
        <v>687</v>
      </c>
      <c r="E1715">
        <v>118</v>
      </c>
    </row>
    <row r="1716" spans="1:5" x14ac:dyDescent="0.3">
      <c r="A1716" t="s">
        <v>19</v>
      </c>
      <c r="B1716">
        <v>2001</v>
      </c>
      <c r="C1716" t="str">
        <f>_xlfn.CONCAT(Table16[[#This Row],[STATE]],"-",Table16[[#This Row],[YEAR]])</f>
        <v>Madhya Pradesh-2001</v>
      </c>
      <c r="D1716" t="s">
        <v>688</v>
      </c>
      <c r="E1716">
        <v>12</v>
      </c>
    </row>
    <row r="1717" spans="1:5" x14ac:dyDescent="0.3">
      <c r="A1717" t="s">
        <v>19</v>
      </c>
      <c r="B1717">
        <v>2001</v>
      </c>
      <c r="C1717" t="str">
        <f>_xlfn.CONCAT(Table16[[#This Row],[STATE]],"-",Table16[[#This Row],[YEAR]])</f>
        <v>Madhya Pradesh-2001</v>
      </c>
      <c r="D1717" t="s">
        <v>90</v>
      </c>
      <c r="E1717">
        <v>786</v>
      </c>
    </row>
    <row r="1718" spans="1:5" x14ac:dyDescent="0.3">
      <c r="A1718" t="s">
        <v>19</v>
      </c>
      <c r="B1718">
        <v>2001</v>
      </c>
      <c r="C1718" t="str">
        <f>_xlfn.CONCAT(Table16[[#This Row],[STATE]],"-",Table16[[#This Row],[YEAR]])</f>
        <v>Madhya Pradesh-2001</v>
      </c>
      <c r="D1718" t="s">
        <v>170</v>
      </c>
      <c r="E1718">
        <v>20</v>
      </c>
    </row>
    <row r="1719" spans="1:5" x14ac:dyDescent="0.3">
      <c r="A1719" t="s">
        <v>19</v>
      </c>
      <c r="B1719">
        <v>2002</v>
      </c>
      <c r="C1719" t="str">
        <f>_xlfn.CONCAT(Table16[[#This Row],[STATE]],"-",Table16[[#This Row],[YEAR]])</f>
        <v>Madhya Pradesh-2002</v>
      </c>
      <c r="D1719" t="s">
        <v>197</v>
      </c>
      <c r="E1719">
        <v>280</v>
      </c>
    </row>
    <row r="1720" spans="1:5" x14ac:dyDescent="0.3">
      <c r="A1720" t="s">
        <v>19</v>
      </c>
      <c r="B1720">
        <v>2002</v>
      </c>
      <c r="C1720" t="str">
        <f>_xlfn.CONCAT(Table16[[#This Row],[STATE]],"-",Table16[[#This Row],[YEAR]])</f>
        <v>Madhya Pradesh-2002</v>
      </c>
      <c r="D1720" t="s">
        <v>678</v>
      </c>
      <c r="E1720">
        <v>40</v>
      </c>
    </row>
    <row r="1721" spans="1:5" x14ac:dyDescent="0.3">
      <c r="A1721" t="s">
        <v>19</v>
      </c>
      <c r="B1721">
        <v>2002</v>
      </c>
      <c r="C1721" t="str">
        <f>_xlfn.CONCAT(Table16[[#This Row],[STATE]],"-",Table16[[#This Row],[YEAR]])</f>
        <v>Madhya Pradesh-2002</v>
      </c>
      <c r="D1721" t="s">
        <v>187</v>
      </c>
      <c r="E1721">
        <v>60</v>
      </c>
    </row>
    <row r="1722" spans="1:5" x14ac:dyDescent="0.3">
      <c r="A1722" t="s">
        <v>19</v>
      </c>
      <c r="B1722">
        <v>2002</v>
      </c>
      <c r="C1722" t="str">
        <f>_xlfn.CONCAT(Table16[[#This Row],[STATE]],"-",Table16[[#This Row],[YEAR]])</f>
        <v>Madhya Pradesh-2002</v>
      </c>
      <c r="D1722" t="s">
        <v>292</v>
      </c>
      <c r="E1722">
        <v>40</v>
      </c>
    </row>
    <row r="1723" spans="1:5" x14ac:dyDescent="0.3">
      <c r="A1723" t="s">
        <v>19</v>
      </c>
      <c r="B1723">
        <v>2002</v>
      </c>
      <c r="C1723" t="str">
        <f>_xlfn.CONCAT(Table16[[#This Row],[STATE]],"-",Table16[[#This Row],[YEAR]])</f>
        <v>Madhya Pradesh-2002</v>
      </c>
      <c r="D1723" t="s">
        <v>689</v>
      </c>
      <c r="E1723">
        <v>40</v>
      </c>
    </row>
    <row r="1724" spans="1:5" x14ac:dyDescent="0.3">
      <c r="A1724" t="s">
        <v>19</v>
      </c>
      <c r="B1724">
        <v>2002</v>
      </c>
      <c r="C1724" t="str">
        <f>_xlfn.CONCAT(Table16[[#This Row],[STATE]],"-",Table16[[#This Row],[YEAR]])</f>
        <v>Madhya Pradesh-2002</v>
      </c>
      <c r="D1724" t="s">
        <v>690</v>
      </c>
      <c r="E1724">
        <v>175</v>
      </c>
    </row>
    <row r="1725" spans="1:5" x14ac:dyDescent="0.3">
      <c r="A1725" t="s">
        <v>19</v>
      </c>
      <c r="B1725">
        <v>2002</v>
      </c>
      <c r="C1725" t="str">
        <f>_xlfn.CONCAT(Table16[[#This Row],[STATE]],"-",Table16[[#This Row],[YEAR]])</f>
        <v>Madhya Pradesh-2002</v>
      </c>
      <c r="D1725" t="s">
        <v>680</v>
      </c>
      <c r="E1725">
        <v>30</v>
      </c>
    </row>
    <row r="1726" spans="1:5" x14ac:dyDescent="0.3">
      <c r="A1726" t="s">
        <v>19</v>
      </c>
      <c r="B1726">
        <v>2002</v>
      </c>
      <c r="C1726" t="str">
        <f>_xlfn.CONCAT(Table16[[#This Row],[STATE]],"-",Table16[[#This Row],[YEAR]])</f>
        <v>Madhya Pradesh-2002</v>
      </c>
      <c r="D1726" t="s">
        <v>681</v>
      </c>
      <c r="E1726">
        <v>25</v>
      </c>
    </row>
    <row r="1727" spans="1:5" x14ac:dyDescent="0.3">
      <c r="A1727" t="s">
        <v>19</v>
      </c>
      <c r="B1727">
        <v>2002</v>
      </c>
      <c r="C1727" t="str">
        <f>_xlfn.CONCAT(Table16[[#This Row],[STATE]],"-",Table16[[#This Row],[YEAR]])</f>
        <v>Madhya Pradesh-2002</v>
      </c>
      <c r="D1727" t="s">
        <v>471</v>
      </c>
      <c r="E1727">
        <v>75</v>
      </c>
    </row>
    <row r="1728" spans="1:5" x14ac:dyDescent="0.3">
      <c r="A1728" t="s">
        <v>19</v>
      </c>
      <c r="B1728">
        <v>2002</v>
      </c>
      <c r="C1728" t="str">
        <f>_xlfn.CONCAT(Table16[[#This Row],[STATE]],"-",Table16[[#This Row],[YEAR]])</f>
        <v>Madhya Pradesh-2002</v>
      </c>
      <c r="D1728" t="s">
        <v>683</v>
      </c>
      <c r="E1728">
        <v>20</v>
      </c>
    </row>
    <row r="1729" spans="1:5" x14ac:dyDescent="0.3">
      <c r="A1729" t="s">
        <v>19</v>
      </c>
      <c r="B1729">
        <v>2002</v>
      </c>
      <c r="C1729" t="str">
        <f>_xlfn.CONCAT(Table16[[#This Row],[STATE]],"-",Table16[[#This Row],[YEAR]])</f>
        <v>Madhya Pradesh-2002</v>
      </c>
      <c r="D1729" t="s">
        <v>691</v>
      </c>
      <c r="E1729">
        <v>118</v>
      </c>
    </row>
    <row r="1730" spans="1:5" x14ac:dyDescent="0.3">
      <c r="A1730" t="s">
        <v>19</v>
      </c>
      <c r="B1730">
        <v>2002</v>
      </c>
      <c r="C1730" t="str">
        <f>_xlfn.CONCAT(Table16[[#This Row],[STATE]],"-",Table16[[#This Row],[YEAR]])</f>
        <v>Madhya Pradesh-2002</v>
      </c>
      <c r="D1730" t="s">
        <v>266</v>
      </c>
      <c r="E1730">
        <v>25</v>
      </c>
    </row>
    <row r="1731" spans="1:5" x14ac:dyDescent="0.3">
      <c r="A1731" t="s">
        <v>19</v>
      </c>
      <c r="B1731">
        <v>2002</v>
      </c>
      <c r="C1731" t="str">
        <f>_xlfn.CONCAT(Table16[[#This Row],[STATE]],"-",Table16[[#This Row],[YEAR]])</f>
        <v>Madhya Pradesh-2002</v>
      </c>
      <c r="D1731" t="s">
        <v>692</v>
      </c>
      <c r="E1731">
        <v>22</v>
      </c>
    </row>
    <row r="1732" spans="1:5" x14ac:dyDescent="0.3">
      <c r="A1732" t="s">
        <v>19</v>
      </c>
      <c r="B1732">
        <v>2002</v>
      </c>
      <c r="C1732" t="str">
        <f>_xlfn.CONCAT(Table16[[#This Row],[STATE]],"-",Table16[[#This Row],[YEAR]])</f>
        <v>Madhya Pradesh-2002</v>
      </c>
      <c r="D1732" t="s">
        <v>686</v>
      </c>
      <c r="E1732">
        <v>25</v>
      </c>
    </row>
    <row r="1733" spans="1:5" x14ac:dyDescent="0.3">
      <c r="A1733" t="s">
        <v>19</v>
      </c>
      <c r="B1733">
        <v>2002</v>
      </c>
      <c r="C1733" t="str">
        <f>_xlfn.CONCAT(Table16[[#This Row],[STATE]],"-",Table16[[#This Row],[YEAR]])</f>
        <v>Madhya Pradesh-2002</v>
      </c>
      <c r="D1733" t="s">
        <v>687</v>
      </c>
      <c r="E1733">
        <v>2900</v>
      </c>
    </row>
    <row r="1734" spans="1:5" x14ac:dyDescent="0.3">
      <c r="A1734" t="s">
        <v>19</v>
      </c>
      <c r="B1734">
        <v>2002</v>
      </c>
      <c r="C1734" t="str">
        <f>_xlfn.CONCAT(Table16[[#This Row],[STATE]],"-",Table16[[#This Row],[YEAR]])</f>
        <v>Madhya Pradesh-2002</v>
      </c>
      <c r="D1734" t="s">
        <v>688</v>
      </c>
      <c r="E1734">
        <v>47</v>
      </c>
    </row>
    <row r="1735" spans="1:5" x14ac:dyDescent="0.3">
      <c r="A1735" t="s">
        <v>19</v>
      </c>
      <c r="B1735">
        <v>2002</v>
      </c>
      <c r="C1735" t="str">
        <f>_xlfn.CONCAT(Table16[[#This Row],[STATE]],"-",Table16[[#This Row],[YEAR]])</f>
        <v>Madhya Pradesh-2002</v>
      </c>
      <c r="D1735" t="s">
        <v>90</v>
      </c>
      <c r="E1735">
        <v>6913</v>
      </c>
    </row>
    <row r="1736" spans="1:5" x14ac:dyDescent="0.3">
      <c r="A1736" t="s">
        <v>19</v>
      </c>
      <c r="B1736">
        <v>2002</v>
      </c>
      <c r="C1736" t="str">
        <f>_xlfn.CONCAT(Table16[[#This Row],[STATE]],"-",Table16[[#This Row],[YEAR]])</f>
        <v>Madhya Pradesh-2002</v>
      </c>
      <c r="D1736" t="s">
        <v>170</v>
      </c>
      <c r="E1736">
        <v>30</v>
      </c>
    </row>
    <row r="1737" spans="1:5" x14ac:dyDescent="0.3">
      <c r="A1737" t="s">
        <v>19</v>
      </c>
      <c r="B1737">
        <v>2003</v>
      </c>
      <c r="C1737" t="str">
        <f>_xlfn.CONCAT(Table16[[#This Row],[STATE]],"-",Table16[[#This Row],[YEAR]])</f>
        <v>Madhya Pradesh-2003</v>
      </c>
      <c r="D1737" t="s">
        <v>90</v>
      </c>
      <c r="E1737">
        <v>136</v>
      </c>
    </row>
    <row r="1738" spans="1:5" x14ac:dyDescent="0.3">
      <c r="A1738" t="s">
        <v>19</v>
      </c>
      <c r="B1738">
        <v>2003</v>
      </c>
      <c r="C1738" t="str">
        <f>_xlfn.CONCAT(Table16[[#This Row],[STATE]],"-",Table16[[#This Row],[YEAR]])</f>
        <v>Madhya Pradesh-2003</v>
      </c>
      <c r="D1738" t="s">
        <v>693</v>
      </c>
      <c r="E1738">
        <v>21</v>
      </c>
    </row>
    <row r="1739" spans="1:5" x14ac:dyDescent="0.3">
      <c r="A1739" t="s">
        <v>19</v>
      </c>
      <c r="B1739">
        <v>2003</v>
      </c>
      <c r="C1739" t="str">
        <f>_xlfn.CONCAT(Table16[[#This Row],[STATE]],"-",Table16[[#This Row],[YEAR]])</f>
        <v>Madhya Pradesh-2003</v>
      </c>
      <c r="D1739" t="s">
        <v>141</v>
      </c>
      <c r="E1739">
        <v>956</v>
      </c>
    </row>
    <row r="1740" spans="1:5" x14ac:dyDescent="0.3">
      <c r="A1740" t="s">
        <v>19</v>
      </c>
      <c r="B1740">
        <v>2003</v>
      </c>
      <c r="C1740" t="str">
        <f>_xlfn.CONCAT(Table16[[#This Row],[STATE]],"-",Table16[[#This Row],[YEAR]])</f>
        <v>Madhya Pradesh-2003</v>
      </c>
      <c r="D1740" t="s">
        <v>399</v>
      </c>
      <c r="E1740">
        <v>956</v>
      </c>
    </row>
    <row r="1741" spans="1:5" x14ac:dyDescent="0.3">
      <c r="A1741" t="s">
        <v>19</v>
      </c>
      <c r="B1741">
        <v>2003</v>
      </c>
      <c r="C1741" t="str">
        <f>_xlfn.CONCAT(Table16[[#This Row],[STATE]],"-",Table16[[#This Row],[YEAR]])</f>
        <v>Madhya Pradesh-2003</v>
      </c>
      <c r="D1741" t="s">
        <v>694</v>
      </c>
      <c r="E1741">
        <v>171</v>
      </c>
    </row>
    <row r="1742" spans="1:5" x14ac:dyDescent="0.3">
      <c r="A1742" t="s">
        <v>19</v>
      </c>
      <c r="B1742">
        <v>2003</v>
      </c>
      <c r="C1742" t="str">
        <f>_xlfn.CONCAT(Table16[[#This Row],[STATE]],"-",Table16[[#This Row],[YEAR]])</f>
        <v>Madhya Pradesh-2003</v>
      </c>
      <c r="D1742" t="s">
        <v>695</v>
      </c>
      <c r="E1742">
        <v>11</v>
      </c>
    </row>
    <row r="1743" spans="1:5" x14ac:dyDescent="0.3">
      <c r="A1743" t="s">
        <v>19</v>
      </c>
      <c r="B1743">
        <v>2003</v>
      </c>
      <c r="C1743" t="str">
        <f>_xlfn.CONCAT(Table16[[#This Row],[STATE]],"-",Table16[[#This Row],[YEAR]])</f>
        <v>Madhya Pradesh-2003</v>
      </c>
      <c r="D1743" t="s">
        <v>363</v>
      </c>
      <c r="E1743">
        <v>25</v>
      </c>
    </row>
    <row r="1744" spans="1:5" x14ac:dyDescent="0.3">
      <c r="A1744" t="s">
        <v>19</v>
      </c>
      <c r="B1744">
        <v>2003</v>
      </c>
      <c r="C1744" t="str">
        <f>_xlfn.CONCAT(Table16[[#This Row],[STATE]],"-",Table16[[#This Row],[YEAR]])</f>
        <v>Madhya Pradesh-2003</v>
      </c>
      <c r="D1744" t="s">
        <v>696</v>
      </c>
      <c r="E1744">
        <v>12</v>
      </c>
    </row>
    <row r="1745" spans="1:5" x14ac:dyDescent="0.3">
      <c r="A1745" t="s">
        <v>19</v>
      </c>
      <c r="B1745">
        <v>2003</v>
      </c>
      <c r="C1745" t="str">
        <f>_xlfn.CONCAT(Table16[[#This Row],[STATE]],"-",Table16[[#This Row],[YEAR]])</f>
        <v>Madhya Pradesh-2003</v>
      </c>
      <c r="D1745" t="s">
        <v>680</v>
      </c>
      <c r="E1745">
        <v>36</v>
      </c>
    </row>
    <row r="1746" spans="1:5" x14ac:dyDescent="0.3">
      <c r="A1746" t="s">
        <v>19</v>
      </c>
      <c r="B1746">
        <v>2003</v>
      </c>
      <c r="C1746" t="str">
        <f>_xlfn.CONCAT(Table16[[#This Row],[STATE]],"-",Table16[[#This Row],[YEAR]])</f>
        <v>Madhya Pradesh-2003</v>
      </c>
      <c r="D1746" t="s">
        <v>483</v>
      </c>
      <c r="E1746">
        <v>12</v>
      </c>
    </row>
    <row r="1747" spans="1:5" x14ac:dyDescent="0.3">
      <c r="A1747" t="s">
        <v>19</v>
      </c>
      <c r="B1747">
        <v>2003</v>
      </c>
      <c r="C1747" t="str">
        <f>_xlfn.CONCAT(Table16[[#This Row],[STATE]],"-",Table16[[#This Row],[YEAR]])</f>
        <v>Madhya Pradesh-2003</v>
      </c>
      <c r="D1747" t="s">
        <v>197</v>
      </c>
      <c r="E1747">
        <v>78</v>
      </c>
    </row>
    <row r="1748" spans="1:5" x14ac:dyDescent="0.3">
      <c r="A1748" t="s">
        <v>19</v>
      </c>
      <c r="B1748">
        <v>2003</v>
      </c>
      <c r="C1748" t="str">
        <f>_xlfn.CONCAT(Table16[[#This Row],[STATE]],"-",Table16[[#This Row],[YEAR]])</f>
        <v>Madhya Pradesh-2003</v>
      </c>
      <c r="D1748" t="s">
        <v>230</v>
      </c>
      <c r="E1748">
        <v>40</v>
      </c>
    </row>
    <row r="1749" spans="1:5" x14ac:dyDescent="0.3">
      <c r="A1749" t="s">
        <v>19</v>
      </c>
      <c r="B1749">
        <v>2004</v>
      </c>
      <c r="C1749" t="str">
        <f>_xlfn.CONCAT(Table16[[#This Row],[STATE]],"-",Table16[[#This Row],[YEAR]])</f>
        <v>Madhya Pradesh-2004</v>
      </c>
      <c r="D1749" t="s">
        <v>697</v>
      </c>
      <c r="E1749">
        <v>38</v>
      </c>
    </row>
    <row r="1750" spans="1:5" x14ac:dyDescent="0.3">
      <c r="A1750" t="s">
        <v>19</v>
      </c>
      <c r="B1750">
        <v>2004</v>
      </c>
      <c r="C1750" t="str">
        <f>_xlfn.CONCAT(Table16[[#This Row],[STATE]],"-",Table16[[#This Row],[YEAR]])</f>
        <v>Madhya Pradesh-2004</v>
      </c>
      <c r="D1750" t="s">
        <v>686</v>
      </c>
      <c r="E1750">
        <v>33</v>
      </c>
    </row>
    <row r="1751" spans="1:5" x14ac:dyDescent="0.3">
      <c r="A1751" t="s">
        <v>19</v>
      </c>
      <c r="B1751">
        <v>2004</v>
      </c>
      <c r="C1751" t="str">
        <f>_xlfn.CONCAT(Table16[[#This Row],[STATE]],"-",Table16[[#This Row],[YEAR]])</f>
        <v>Madhya Pradesh-2004</v>
      </c>
      <c r="D1751" t="s">
        <v>221</v>
      </c>
      <c r="E1751">
        <v>142</v>
      </c>
    </row>
    <row r="1752" spans="1:5" x14ac:dyDescent="0.3">
      <c r="A1752" t="s">
        <v>19</v>
      </c>
      <c r="B1752">
        <v>2004</v>
      </c>
      <c r="C1752" t="str">
        <f>_xlfn.CONCAT(Table16[[#This Row],[STATE]],"-",Table16[[#This Row],[YEAR]])</f>
        <v>Madhya Pradesh-2004</v>
      </c>
      <c r="D1752" t="s">
        <v>698</v>
      </c>
      <c r="E1752">
        <v>191</v>
      </c>
    </row>
    <row r="1753" spans="1:5" x14ac:dyDescent="0.3">
      <c r="A1753" t="s">
        <v>19</v>
      </c>
      <c r="B1753">
        <v>2004</v>
      </c>
      <c r="C1753" t="str">
        <f>_xlfn.CONCAT(Table16[[#This Row],[STATE]],"-",Table16[[#This Row],[YEAR]])</f>
        <v>Madhya Pradesh-2004</v>
      </c>
      <c r="D1753" t="s">
        <v>123</v>
      </c>
      <c r="E1753">
        <v>208</v>
      </c>
    </row>
    <row r="1754" spans="1:5" x14ac:dyDescent="0.3">
      <c r="A1754" t="s">
        <v>19</v>
      </c>
      <c r="B1754">
        <v>2004</v>
      </c>
      <c r="C1754" t="str">
        <f>_xlfn.CONCAT(Table16[[#This Row],[STATE]],"-",Table16[[#This Row],[YEAR]])</f>
        <v>Madhya Pradesh-2004</v>
      </c>
      <c r="D1754" t="s">
        <v>103</v>
      </c>
      <c r="E1754">
        <v>900</v>
      </c>
    </row>
    <row r="1755" spans="1:5" x14ac:dyDescent="0.3">
      <c r="A1755" t="s">
        <v>19</v>
      </c>
      <c r="B1755">
        <v>2004</v>
      </c>
      <c r="C1755" t="str">
        <f>_xlfn.CONCAT(Table16[[#This Row],[STATE]],"-",Table16[[#This Row],[YEAR]])</f>
        <v>Madhya Pradesh-2004</v>
      </c>
      <c r="D1755" t="s">
        <v>680</v>
      </c>
      <c r="E1755">
        <v>33</v>
      </c>
    </row>
    <row r="1756" spans="1:5" x14ac:dyDescent="0.3">
      <c r="A1756" t="s">
        <v>19</v>
      </c>
      <c r="B1756">
        <v>2004</v>
      </c>
      <c r="C1756" t="str">
        <f>_xlfn.CONCAT(Table16[[#This Row],[STATE]],"-",Table16[[#This Row],[YEAR]])</f>
        <v>Madhya Pradesh-2004</v>
      </c>
      <c r="D1756" t="s">
        <v>483</v>
      </c>
      <c r="E1756">
        <v>48</v>
      </c>
    </row>
    <row r="1757" spans="1:5" x14ac:dyDescent="0.3">
      <c r="A1757" t="s">
        <v>19</v>
      </c>
      <c r="B1757">
        <v>2004</v>
      </c>
      <c r="C1757" t="str">
        <f>_xlfn.CONCAT(Table16[[#This Row],[STATE]],"-",Table16[[#This Row],[YEAR]])</f>
        <v>Madhya Pradesh-2004</v>
      </c>
      <c r="D1757" t="s">
        <v>90</v>
      </c>
      <c r="E1757">
        <v>200</v>
      </c>
    </row>
    <row r="1758" spans="1:5" x14ac:dyDescent="0.3">
      <c r="A1758" t="s">
        <v>19</v>
      </c>
      <c r="B1758">
        <v>2004</v>
      </c>
      <c r="C1758" t="str">
        <f>_xlfn.CONCAT(Table16[[#This Row],[STATE]],"-",Table16[[#This Row],[YEAR]])</f>
        <v>Madhya Pradesh-2004</v>
      </c>
      <c r="D1758" t="s">
        <v>230</v>
      </c>
      <c r="E1758">
        <v>209</v>
      </c>
    </row>
    <row r="1759" spans="1:5" x14ac:dyDescent="0.3">
      <c r="A1759" t="s">
        <v>19</v>
      </c>
      <c r="B1759">
        <v>2004</v>
      </c>
      <c r="C1759" t="str">
        <f>_xlfn.CONCAT(Table16[[#This Row],[STATE]],"-",Table16[[#This Row],[YEAR]])</f>
        <v>Madhya Pradesh-2004</v>
      </c>
      <c r="D1759" t="s">
        <v>197</v>
      </c>
      <c r="E1759">
        <v>81</v>
      </c>
    </row>
    <row r="1760" spans="1:5" x14ac:dyDescent="0.3">
      <c r="A1760" t="s">
        <v>19</v>
      </c>
      <c r="B1760">
        <v>2005</v>
      </c>
      <c r="C1760" t="str">
        <f>_xlfn.CONCAT(Table16[[#This Row],[STATE]],"-",Table16[[#This Row],[YEAR]])</f>
        <v>Madhya Pradesh-2005</v>
      </c>
      <c r="D1760" t="s">
        <v>363</v>
      </c>
      <c r="E1760">
        <v>157</v>
      </c>
    </row>
    <row r="1761" spans="1:5" x14ac:dyDescent="0.3">
      <c r="A1761" t="s">
        <v>19</v>
      </c>
      <c r="B1761">
        <v>2005</v>
      </c>
      <c r="C1761" t="str">
        <f>_xlfn.CONCAT(Table16[[#This Row],[STATE]],"-",Table16[[#This Row],[YEAR]])</f>
        <v>Madhya Pradesh-2005</v>
      </c>
      <c r="D1761" t="s">
        <v>699</v>
      </c>
      <c r="E1761">
        <v>81</v>
      </c>
    </row>
    <row r="1762" spans="1:5" x14ac:dyDescent="0.3">
      <c r="A1762" t="s">
        <v>19</v>
      </c>
      <c r="B1762">
        <v>2005</v>
      </c>
      <c r="C1762" t="str">
        <f>_xlfn.CONCAT(Table16[[#This Row],[STATE]],"-",Table16[[#This Row],[YEAR]])</f>
        <v>Madhya Pradesh-2005</v>
      </c>
      <c r="D1762" t="s">
        <v>700</v>
      </c>
      <c r="E1762">
        <v>190</v>
      </c>
    </row>
    <row r="1763" spans="1:5" x14ac:dyDescent="0.3">
      <c r="A1763" t="s">
        <v>19</v>
      </c>
      <c r="B1763">
        <v>2005</v>
      </c>
      <c r="C1763" t="str">
        <f>_xlfn.CONCAT(Table16[[#This Row],[STATE]],"-",Table16[[#This Row],[YEAR]])</f>
        <v>Madhya Pradesh-2005</v>
      </c>
      <c r="D1763" t="s">
        <v>221</v>
      </c>
      <c r="E1763">
        <v>58</v>
      </c>
    </row>
    <row r="1764" spans="1:5" x14ac:dyDescent="0.3">
      <c r="A1764" t="s">
        <v>19</v>
      </c>
      <c r="B1764">
        <v>2005</v>
      </c>
      <c r="C1764" t="str">
        <f>_xlfn.CONCAT(Table16[[#This Row],[STATE]],"-",Table16[[#This Row],[YEAR]])</f>
        <v>Madhya Pradesh-2005</v>
      </c>
      <c r="D1764" t="s">
        <v>141</v>
      </c>
      <c r="E1764">
        <v>469</v>
      </c>
    </row>
    <row r="1765" spans="1:5" x14ac:dyDescent="0.3">
      <c r="A1765" t="s">
        <v>19</v>
      </c>
      <c r="B1765">
        <v>2005</v>
      </c>
      <c r="C1765" t="str">
        <f>_xlfn.CONCAT(Table16[[#This Row],[STATE]],"-",Table16[[#This Row],[YEAR]])</f>
        <v>Madhya Pradesh-2005</v>
      </c>
      <c r="D1765" t="s">
        <v>123</v>
      </c>
      <c r="E1765">
        <v>358</v>
      </c>
    </row>
    <row r="1766" spans="1:5" x14ac:dyDescent="0.3">
      <c r="A1766" t="s">
        <v>19</v>
      </c>
      <c r="B1766">
        <v>2005</v>
      </c>
      <c r="C1766" t="str">
        <f>_xlfn.CONCAT(Table16[[#This Row],[STATE]],"-",Table16[[#This Row],[YEAR]])</f>
        <v>Madhya Pradesh-2005</v>
      </c>
      <c r="D1766" t="s">
        <v>103</v>
      </c>
      <c r="E1766">
        <v>407</v>
      </c>
    </row>
    <row r="1767" spans="1:5" x14ac:dyDescent="0.3">
      <c r="A1767" t="s">
        <v>19</v>
      </c>
      <c r="B1767">
        <v>2005</v>
      </c>
      <c r="C1767" t="str">
        <f>_xlfn.CONCAT(Table16[[#This Row],[STATE]],"-",Table16[[#This Row],[YEAR]])</f>
        <v>Madhya Pradesh-2005</v>
      </c>
      <c r="D1767" t="s">
        <v>680</v>
      </c>
      <c r="E1767">
        <v>21</v>
      </c>
    </row>
    <row r="1768" spans="1:5" x14ac:dyDescent="0.3">
      <c r="A1768" t="s">
        <v>19</v>
      </c>
      <c r="B1768">
        <v>2005</v>
      </c>
      <c r="C1768" t="str">
        <f>_xlfn.CONCAT(Table16[[#This Row],[STATE]],"-",Table16[[#This Row],[YEAR]])</f>
        <v>Madhya Pradesh-2005</v>
      </c>
      <c r="D1768" t="s">
        <v>483</v>
      </c>
      <c r="E1768">
        <v>54</v>
      </c>
    </row>
    <row r="1769" spans="1:5" x14ac:dyDescent="0.3">
      <c r="A1769" t="s">
        <v>19</v>
      </c>
      <c r="B1769">
        <v>2005</v>
      </c>
      <c r="C1769" t="str">
        <f>_xlfn.CONCAT(Table16[[#This Row],[STATE]],"-",Table16[[#This Row],[YEAR]])</f>
        <v>Madhya Pradesh-2005</v>
      </c>
      <c r="D1769" t="s">
        <v>90</v>
      </c>
      <c r="E1769">
        <v>375</v>
      </c>
    </row>
    <row r="1770" spans="1:5" x14ac:dyDescent="0.3">
      <c r="A1770" t="s">
        <v>19</v>
      </c>
      <c r="B1770">
        <v>2005</v>
      </c>
      <c r="C1770" t="str">
        <f>_xlfn.CONCAT(Table16[[#This Row],[STATE]],"-",Table16[[#This Row],[YEAR]])</f>
        <v>Madhya Pradesh-2005</v>
      </c>
      <c r="D1770" t="s">
        <v>122</v>
      </c>
      <c r="E1770">
        <v>19</v>
      </c>
    </row>
    <row r="1771" spans="1:5" x14ac:dyDescent="0.3">
      <c r="A1771" t="s">
        <v>19</v>
      </c>
      <c r="B1771">
        <v>2005</v>
      </c>
      <c r="C1771" t="str">
        <f>_xlfn.CONCAT(Table16[[#This Row],[STATE]],"-",Table16[[#This Row],[YEAR]])</f>
        <v>Madhya Pradesh-2005</v>
      </c>
      <c r="D1771" t="s">
        <v>701</v>
      </c>
      <c r="E1771">
        <v>25</v>
      </c>
    </row>
    <row r="1772" spans="1:5" x14ac:dyDescent="0.3">
      <c r="A1772" t="s">
        <v>19</v>
      </c>
      <c r="B1772">
        <v>2005</v>
      </c>
      <c r="C1772" t="str">
        <f>_xlfn.CONCAT(Table16[[#This Row],[STATE]],"-",Table16[[#This Row],[YEAR]])</f>
        <v>Madhya Pradesh-2005</v>
      </c>
      <c r="D1772" t="s">
        <v>216</v>
      </c>
      <c r="E1772">
        <v>161</v>
      </c>
    </row>
    <row r="1773" spans="1:5" x14ac:dyDescent="0.3">
      <c r="A1773" t="s">
        <v>19</v>
      </c>
      <c r="B1773">
        <v>2005</v>
      </c>
      <c r="C1773" t="str">
        <f>_xlfn.CONCAT(Table16[[#This Row],[STATE]],"-",Table16[[#This Row],[YEAR]])</f>
        <v>Madhya Pradesh-2005</v>
      </c>
      <c r="D1773" t="s">
        <v>99</v>
      </c>
      <c r="E1773">
        <v>255</v>
      </c>
    </row>
    <row r="1774" spans="1:5" x14ac:dyDescent="0.3">
      <c r="A1774" t="s">
        <v>19</v>
      </c>
      <c r="B1774">
        <v>2006</v>
      </c>
      <c r="C1774" t="str">
        <f>_xlfn.CONCAT(Table16[[#This Row],[STATE]],"-",Table16[[#This Row],[YEAR]])</f>
        <v>Madhya Pradesh-2006</v>
      </c>
      <c r="D1774" t="s">
        <v>702</v>
      </c>
      <c r="E1774">
        <v>49</v>
      </c>
    </row>
    <row r="1775" spans="1:5" x14ac:dyDescent="0.3">
      <c r="A1775" t="s">
        <v>19</v>
      </c>
      <c r="B1775">
        <v>2006</v>
      </c>
      <c r="C1775" t="str">
        <f>_xlfn.CONCAT(Table16[[#This Row],[STATE]],"-",Table16[[#This Row],[YEAR]])</f>
        <v>Madhya Pradesh-2006</v>
      </c>
      <c r="D1775" t="s">
        <v>699</v>
      </c>
      <c r="E1775">
        <v>22</v>
      </c>
    </row>
    <row r="1776" spans="1:5" x14ac:dyDescent="0.3">
      <c r="A1776" t="s">
        <v>19</v>
      </c>
      <c r="B1776">
        <v>2006</v>
      </c>
      <c r="C1776" t="str">
        <f>_xlfn.CONCAT(Table16[[#This Row],[STATE]],"-",Table16[[#This Row],[YEAR]])</f>
        <v>Madhya Pradesh-2006</v>
      </c>
      <c r="D1776" t="s">
        <v>700</v>
      </c>
      <c r="E1776">
        <v>319</v>
      </c>
    </row>
    <row r="1777" spans="1:5" x14ac:dyDescent="0.3">
      <c r="A1777" t="s">
        <v>19</v>
      </c>
      <c r="B1777">
        <v>2006</v>
      </c>
      <c r="C1777" t="str">
        <f>_xlfn.CONCAT(Table16[[#This Row],[STATE]],"-",Table16[[#This Row],[YEAR]])</f>
        <v>Madhya Pradesh-2006</v>
      </c>
      <c r="D1777" t="s">
        <v>221</v>
      </c>
      <c r="E1777">
        <v>129</v>
      </c>
    </row>
    <row r="1778" spans="1:5" x14ac:dyDescent="0.3">
      <c r="A1778" t="s">
        <v>19</v>
      </c>
      <c r="B1778">
        <v>2006</v>
      </c>
      <c r="C1778" t="str">
        <f>_xlfn.CONCAT(Table16[[#This Row],[STATE]],"-",Table16[[#This Row],[YEAR]])</f>
        <v>Madhya Pradesh-2006</v>
      </c>
      <c r="D1778" t="s">
        <v>141</v>
      </c>
      <c r="E1778">
        <v>501</v>
      </c>
    </row>
    <row r="1779" spans="1:5" x14ac:dyDescent="0.3">
      <c r="A1779" t="s">
        <v>19</v>
      </c>
      <c r="B1779">
        <v>2006</v>
      </c>
      <c r="C1779" t="str">
        <f>_xlfn.CONCAT(Table16[[#This Row],[STATE]],"-",Table16[[#This Row],[YEAR]])</f>
        <v>Madhya Pradesh-2006</v>
      </c>
      <c r="D1779" t="s">
        <v>314</v>
      </c>
      <c r="E1779">
        <v>159</v>
      </c>
    </row>
    <row r="1780" spans="1:5" x14ac:dyDescent="0.3">
      <c r="A1780" t="s">
        <v>19</v>
      </c>
      <c r="B1780">
        <v>2006</v>
      </c>
      <c r="C1780" t="str">
        <f>_xlfn.CONCAT(Table16[[#This Row],[STATE]],"-",Table16[[#This Row],[YEAR]])</f>
        <v>Madhya Pradesh-2006</v>
      </c>
      <c r="D1780" t="s">
        <v>103</v>
      </c>
      <c r="E1780">
        <v>640</v>
      </c>
    </row>
    <row r="1781" spans="1:5" x14ac:dyDescent="0.3">
      <c r="A1781" t="s">
        <v>19</v>
      </c>
      <c r="B1781">
        <v>2006</v>
      </c>
      <c r="C1781" t="str">
        <f>_xlfn.CONCAT(Table16[[#This Row],[STATE]],"-",Table16[[#This Row],[YEAR]])</f>
        <v>Madhya Pradesh-2006</v>
      </c>
      <c r="D1781" t="s">
        <v>483</v>
      </c>
      <c r="E1781">
        <v>20</v>
      </c>
    </row>
    <row r="1782" spans="1:5" x14ac:dyDescent="0.3">
      <c r="A1782" t="s">
        <v>19</v>
      </c>
      <c r="B1782">
        <v>2006</v>
      </c>
      <c r="C1782" t="str">
        <f>_xlfn.CONCAT(Table16[[#This Row],[STATE]],"-",Table16[[#This Row],[YEAR]])</f>
        <v>Madhya Pradesh-2006</v>
      </c>
      <c r="D1782" t="s">
        <v>90</v>
      </c>
      <c r="E1782">
        <v>460</v>
      </c>
    </row>
    <row r="1783" spans="1:5" x14ac:dyDescent="0.3">
      <c r="A1783" t="s">
        <v>19</v>
      </c>
      <c r="B1783">
        <v>2006</v>
      </c>
      <c r="C1783" t="str">
        <f>_xlfn.CONCAT(Table16[[#This Row],[STATE]],"-",Table16[[#This Row],[YEAR]])</f>
        <v>Madhya Pradesh-2006</v>
      </c>
      <c r="D1783" t="s">
        <v>187</v>
      </c>
      <c r="E1783">
        <v>240</v>
      </c>
    </row>
    <row r="1784" spans="1:5" x14ac:dyDescent="0.3">
      <c r="A1784" t="s">
        <v>19</v>
      </c>
      <c r="B1784">
        <v>2006</v>
      </c>
      <c r="C1784" t="str">
        <f>_xlfn.CONCAT(Table16[[#This Row],[STATE]],"-",Table16[[#This Row],[YEAR]])</f>
        <v>Madhya Pradesh-2006</v>
      </c>
      <c r="D1784" t="s">
        <v>701</v>
      </c>
      <c r="E1784">
        <v>134</v>
      </c>
    </row>
    <row r="1785" spans="1:5" x14ac:dyDescent="0.3">
      <c r="A1785" t="s">
        <v>19</v>
      </c>
      <c r="B1785">
        <v>2006</v>
      </c>
      <c r="C1785" t="str">
        <f>_xlfn.CONCAT(Table16[[#This Row],[STATE]],"-",Table16[[#This Row],[YEAR]])</f>
        <v>Madhya Pradesh-2006</v>
      </c>
      <c r="D1785" t="s">
        <v>703</v>
      </c>
      <c r="E1785">
        <v>35</v>
      </c>
    </row>
    <row r="1786" spans="1:5" x14ac:dyDescent="0.3">
      <c r="A1786" t="s">
        <v>19</v>
      </c>
      <c r="B1786">
        <v>2006</v>
      </c>
      <c r="C1786" t="str">
        <f>_xlfn.CONCAT(Table16[[#This Row],[STATE]],"-",Table16[[#This Row],[YEAR]])</f>
        <v>Madhya Pradesh-2006</v>
      </c>
      <c r="D1786" t="s">
        <v>230</v>
      </c>
      <c r="E1786">
        <v>205</v>
      </c>
    </row>
    <row r="1787" spans="1:5" x14ac:dyDescent="0.3">
      <c r="A1787" t="s">
        <v>19</v>
      </c>
      <c r="B1787">
        <v>2006</v>
      </c>
      <c r="C1787" t="str">
        <f>_xlfn.CONCAT(Table16[[#This Row],[STATE]],"-",Table16[[#This Row],[YEAR]])</f>
        <v>Madhya Pradesh-2006</v>
      </c>
      <c r="D1787" t="s">
        <v>704</v>
      </c>
      <c r="E1787">
        <v>381</v>
      </c>
    </row>
    <row r="1788" spans="1:5" x14ac:dyDescent="0.3">
      <c r="A1788" t="s">
        <v>19</v>
      </c>
      <c r="B1788">
        <v>2007</v>
      </c>
      <c r="C1788" t="str">
        <f>_xlfn.CONCAT(Table16[[#This Row],[STATE]],"-",Table16[[#This Row],[YEAR]])</f>
        <v>Madhya Pradesh-2007</v>
      </c>
      <c r="D1788" t="s">
        <v>363</v>
      </c>
      <c r="E1788">
        <v>49</v>
      </c>
    </row>
    <row r="1789" spans="1:5" x14ac:dyDescent="0.3">
      <c r="A1789" t="s">
        <v>19</v>
      </c>
      <c r="B1789">
        <v>2007</v>
      </c>
      <c r="C1789" t="str">
        <f>_xlfn.CONCAT(Table16[[#This Row],[STATE]],"-",Table16[[#This Row],[YEAR]])</f>
        <v>Madhya Pradesh-2007</v>
      </c>
      <c r="D1789" t="s">
        <v>316</v>
      </c>
      <c r="E1789">
        <v>89</v>
      </c>
    </row>
    <row r="1790" spans="1:5" x14ac:dyDescent="0.3">
      <c r="A1790" t="s">
        <v>19</v>
      </c>
      <c r="B1790">
        <v>2007</v>
      </c>
      <c r="C1790" t="str">
        <f>_xlfn.CONCAT(Table16[[#This Row],[STATE]],"-",Table16[[#This Row],[YEAR]])</f>
        <v>Madhya Pradesh-2007</v>
      </c>
      <c r="D1790" t="s">
        <v>221</v>
      </c>
      <c r="E1790">
        <v>237</v>
      </c>
    </row>
    <row r="1791" spans="1:5" x14ac:dyDescent="0.3">
      <c r="A1791" t="s">
        <v>19</v>
      </c>
      <c r="B1791">
        <v>2007</v>
      </c>
      <c r="C1791" t="str">
        <f>_xlfn.CONCAT(Table16[[#This Row],[STATE]],"-",Table16[[#This Row],[YEAR]])</f>
        <v>Madhya Pradesh-2007</v>
      </c>
      <c r="D1791" t="s">
        <v>141</v>
      </c>
      <c r="E1791">
        <v>507</v>
      </c>
    </row>
    <row r="1792" spans="1:5" x14ac:dyDescent="0.3">
      <c r="A1792" t="s">
        <v>19</v>
      </c>
      <c r="B1792">
        <v>2007</v>
      </c>
      <c r="C1792" t="str">
        <f>_xlfn.CONCAT(Table16[[#This Row],[STATE]],"-",Table16[[#This Row],[YEAR]])</f>
        <v>Madhya Pradesh-2007</v>
      </c>
      <c r="D1792" t="s">
        <v>123</v>
      </c>
      <c r="E1792">
        <v>147</v>
      </c>
    </row>
    <row r="1793" spans="1:5" x14ac:dyDescent="0.3">
      <c r="A1793" t="s">
        <v>19</v>
      </c>
      <c r="B1793">
        <v>2007</v>
      </c>
      <c r="C1793" t="str">
        <f>_xlfn.CONCAT(Table16[[#This Row],[STATE]],"-",Table16[[#This Row],[YEAR]])</f>
        <v>Madhya Pradesh-2007</v>
      </c>
      <c r="D1793" t="s">
        <v>103</v>
      </c>
      <c r="E1793">
        <v>860</v>
      </c>
    </row>
    <row r="1794" spans="1:5" x14ac:dyDescent="0.3">
      <c r="A1794" t="s">
        <v>19</v>
      </c>
      <c r="B1794">
        <v>2007</v>
      </c>
      <c r="C1794" t="str">
        <f>_xlfn.CONCAT(Table16[[#This Row],[STATE]],"-",Table16[[#This Row],[YEAR]])</f>
        <v>Madhya Pradesh-2007</v>
      </c>
      <c r="D1794" t="s">
        <v>680</v>
      </c>
      <c r="E1794">
        <v>65</v>
      </c>
    </row>
    <row r="1795" spans="1:5" x14ac:dyDescent="0.3">
      <c r="A1795" t="s">
        <v>19</v>
      </c>
      <c r="B1795">
        <v>2007</v>
      </c>
      <c r="C1795" t="str">
        <f>_xlfn.CONCAT(Table16[[#This Row],[STATE]],"-",Table16[[#This Row],[YEAR]])</f>
        <v>Madhya Pradesh-2007</v>
      </c>
      <c r="D1795" t="s">
        <v>483</v>
      </c>
      <c r="E1795">
        <v>34</v>
      </c>
    </row>
    <row r="1796" spans="1:5" x14ac:dyDescent="0.3">
      <c r="A1796" t="s">
        <v>19</v>
      </c>
      <c r="B1796">
        <v>2007</v>
      </c>
      <c r="C1796" t="str">
        <f>_xlfn.CONCAT(Table16[[#This Row],[STATE]],"-",Table16[[#This Row],[YEAR]])</f>
        <v>Madhya Pradesh-2007</v>
      </c>
      <c r="D1796" t="s">
        <v>90</v>
      </c>
      <c r="E1796">
        <v>573</v>
      </c>
    </row>
    <row r="1797" spans="1:5" x14ac:dyDescent="0.3">
      <c r="A1797" t="s">
        <v>19</v>
      </c>
      <c r="B1797">
        <v>2007</v>
      </c>
      <c r="C1797" t="str">
        <f>_xlfn.CONCAT(Table16[[#This Row],[STATE]],"-",Table16[[#This Row],[YEAR]])</f>
        <v>Madhya Pradesh-2007</v>
      </c>
      <c r="D1797" t="s">
        <v>189</v>
      </c>
      <c r="E1797">
        <v>241</v>
      </c>
    </row>
    <row r="1798" spans="1:5" x14ac:dyDescent="0.3">
      <c r="A1798" t="s">
        <v>19</v>
      </c>
      <c r="B1798">
        <v>2007</v>
      </c>
      <c r="C1798" t="str">
        <f>_xlfn.CONCAT(Table16[[#This Row],[STATE]],"-",Table16[[#This Row],[YEAR]])</f>
        <v>Madhya Pradesh-2007</v>
      </c>
      <c r="D1798" t="s">
        <v>703</v>
      </c>
      <c r="E1798">
        <v>95</v>
      </c>
    </row>
    <row r="1799" spans="1:5" x14ac:dyDescent="0.3">
      <c r="A1799" t="s">
        <v>19</v>
      </c>
      <c r="B1799">
        <v>2007</v>
      </c>
      <c r="C1799" t="str">
        <f>_xlfn.CONCAT(Table16[[#This Row],[STATE]],"-",Table16[[#This Row],[YEAR]])</f>
        <v>Madhya Pradesh-2007</v>
      </c>
      <c r="D1799" t="s">
        <v>230</v>
      </c>
      <c r="E1799">
        <v>186</v>
      </c>
    </row>
    <row r="1800" spans="1:5" x14ac:dyDescent="0.3">
      <c r="A1800" t="s">
        <v>19</v>
      </c>
      <c r="B1800">
        <v>2007</v>
      </c>
      <c r="C1800" t="str">
        <f>_xlfn.CONCAT(Table16[[#This Row],[STATE]],"-",Table16[[#This Row],[YEAR]])</f>
        <v>Madhya Pradesh-2007</v>
      </c>
      <c r="D1800" t="s">
        <v>700</v>
      </c>
      <c r="E1800">
        <v>609</v>
      </c>
    </row>
    <row r="1801" spans="1:5" x14ac:dyDescent="0.3">
      <c r="A1801" t="s">
        <v>19</v>
      </c>
      <c r="B1801">
        <v>2007</v>
      </c>
      <c r="C1801" t="str">
        <f>_xlfn.CONCAT(Table16[[#This Row],[STATE]],"-",Table16[[#This Row],[YEAR]])</f>
        <v>Madhya Pradesh-2007</v>
      </c>
      <c r="D1801" t="s">
        <v>219</v>
      </c>
      <c r="E1801">
        <v>50</v>
      </c>
    </row>
    <row r="1802" spans="1:5" x14ac:dyDescent="0.3">
      <c r="A1802" t="s">
        <v>19</v>
      </c>
      <c r="B1802">
        <v>2007</v>
      </c>
      <c r="C1802" t="str">
        <f>_xlfn.CONCAT(Table16[[#This Row],[STATE]],"-",Table16[[#This Row],[YEAR]])</f>
        <v>Madhya Pradesh-2007</v>
      </c>
      <c r="D1802" t="s">
        <v>99</v>
      </c>
      <c r="E1802">
        <v>754</v>
      </c>
    </row>
    <row r="1803" spans="1:5" x14ac:dyDescent="0.3">
      <c r="A1803" t="s">
        <v>19</v>
      </c>
      <c r="B1803">
        <v>2007</v>
      </c>
      <c r="C1803" t="str">
        <f>_xlfn.CONCAT(Table16[[#This Row],[STATE]],"-",Table16[[#This Row],[YEAR]])</f>
        <v>Madhya Pradesh-2007</v>
      </c>
      <c r="D1803" t="s">
        <v>197</v>
      </c>
      <c r="E1803">
        <v>163</v>
      </c>
    </row>
    <row r="1804" spans="1:5" x14ac:dyDescent="0.3">
      <c r="A1804" t="s">
        <v>19</v>
      </c>
      <c r="B1804">
        <v>2008</v>
      </c>
      <c r="C1804" t="str">
        <f>_xlfn.CONCAT(Table16[[#This Row],[STATE]],"-",Table16[[#This Row],[YEAR]])</f>
        <v>Madhya Pradesh-2008</v>
      </c>
      <c r="D1804" t="s">
        <v>151</v>
      </c>
      <c r="E1804">
        <v>25</v>
      </c>
    </row>
    <row r="1805" spans="1:5" x14ac:dyDescent="0.3">
      <c r="A1805" t="s">
        <v>19</v>
      </c>
      <c r="B1805">
        <v>2008</v>
      </c>
      <c r="C1805" t="str">
        <f>_xlfn.CONCAT(Table16[[#This Row],[STATE]],"-",Table16[[#This Row],[YEAR]])</f>
        <v>Madhya Pradesh-2008</v>
      </c>
      <c r="D1805" t="s">
        <v>299</v>
      </c>
      <c r="E1805">
        <v>76</v>
      </c>
    </row>
    <row r="1806" spans="1:5" x14ac:dyDescent="0.3">
      <c r="A1806" t="s">
        <v>19</v>
      </c>
      <c r="B1806">
        <v>2008</v>
      </c>
      <c r="C1806" t="str">
        <f>_xlfn.CONCAT(Table16[[#This Row],[STATE]],"-",Table16[[#This Row],[YEAR]])</f>
        <v>Madhya Pradesh-2008</v>
      </c>
      <c r="D1806" t="s">
        <v>700</v>
      </c>
      <c r="E1806">
        <v>610</v>
      </c>
    </row>
    <row r="1807" spans="1:5" x14ac:dyDescent="0.3">
      <c r="A1807" t="s">
        <v>19</v>
      </c>
      <c r="B1807">
        <v>2008</v>
      </c>
      <c r="C1807" t="str">
        <f>_xlfn.CONCAT(Table16[[#This Row],[STATE]],"-",Table16[[#This Row],[YEAR]])</f>
        <v>Madhya Pradesh-2008</v>
      </c>
      <c r="D1807" t="s">
        <v>705</v>
      </c>
      <c r="E1807">
        <v>151</v>
      </c>
    </row>
    <row r="1808" spans="1:5" x14ac:dyDescent="0.3">
      <c r="A1808" t="s">
        <v>19</v>
      </c>
      <c r="B1808">
        <v>2008</v>
      </c>
      <c r="C1808" t="str">
        <f>_xlfn.CONCAT(Table16[[#This Row],[STATE]],"-",Table16[[#This Row],[YEAR]])</f>
        <v>Madhya Pradesh-2008</v>
      </c>
      <c r="D1808" t="s">
        <v>141</v>
      </c>
      <c r="E1808">
        <v>405</v>
      </c>
    </row>
    <row r="1809" spans="1:5" x14ac:dyDescent="0.3">
      <c r="A1809" t="s">
        <v>19</v>
      </c>
      <c r="B1809">
        <v>2008</v>
      </c>
      <c r="C1809" t="str">
        <f>_xlfn.CONCAT(Table16[[#This Row],[STATE]],"-",Table16[[#This Row],[YEAR]])</f>
        <v>Madhya Pradesh-2008</v>
      </c>
      <c r="D1809" t="s">
        <v>123</v>
      </c>
      <c r="E1809">
        <v>254</v>
      </c>
    </row>
    <row r="1810" spans="1:5" x14ac:dyDescent="0.3">
      <c r="A1810" t="s">
        <v>19</v>
      </c>
      <c r="B1810">
        <v>2008</v>
      </c>
      <c r="C1810" t="str">
        <f>_xlfn.CONCAT(Table16[[#This Row],[STATE]],"-",Table16[[#This Row],[YEAR]])</f>
        <v>Madhya Pradesh-2008</v>
      </c>
      <c r="D1810" t="s">
        <v>103</v>
      </c>
      <c r="E1810">
        <v>748</v>
      </c>
    </row>
    <row r="1811" spans="1:5" x14ac:dyDescent="0.3">
      <c r="A1811" t="s">
        <v>19</v>
      </c>
      <c r="B1811">
        <v>2008</v>
      </c>
      <c r="C1811" t="str">
        <f>_xlfn.CONCAT(Table16[[#This Row],[STATE]],"-",Table16[[#This Row],[YEAR]])</f>
        <v>Madhya Pradesh-2008</v>
      </c>
      <c r="D1811" t="s">
        <v>122</v>
      </c>
      <c r="E1811">
        <v>262</v>
      </c>
    </row>
    <row r="1812" spans="1:5" x14ac:dyDescent="0.3">
      <c r="A1812" t="s">
        <v>19</v>
      </c>
      <c r="B1812">
        <v>2008</v>
      </c>
      <c r="C1812" t="str">
        <f>_xlfn.CONCAT(Table16[[#This Row],[STATE]],"-",Table16[[#This Row],[YEAR]])</f>
        <v>Madhya Pradesh-2008</v>
      </c>
      <c r="D1812" t="s">
        <v>90</v>
      </c>
      <c r="E1812">
        <v>464</v>
      </c>
    </row>
    <row r="1813" spans="1:5" x14ac:dyDescent="0.3">
      <c r="A1813" t="s">
        <v>19</v>
      </c>
      <c r="B1813">
        <v>2008</v>
      </c>
      <c r="C1813" t="str">
        <f>_xlfn.CONCAT(Table16[[#This Row],[STATE]],"-",Table16[[#This Row],[YEAR]])</f>
        <v>Madhya Pradesh-2008</v>
      </c>
      <c r="D1813" t="s">
        <v>483</v>
      </c>
      <c r="E1813">
        <v>10</v>
      </c>
    </row>
    <row r="1814" spans="1:5" x14ac:dyDescent="0.3">
      <c r="A1814" t="s">
        <v>19</v>
      </c>
      <c r="B1814">
        <v>2008</v>
      </c>
      <c r="C1814" t="str">
        <f>_xlfn.CONCAT(Table16[[#This Row],[STATE]],"-",Table16[[#This Row],[YEAR]])</f>
        <v>Madhya Pradesh-2008</v>
      </c>
      <c r="D1814" t="s">
        <v>703</v>
      </c>
      <c r="E1814">
        <v>111</v>
      </c>
    </row>
    <row r="1815" spans="1:5" x14ac:dyDescent="0.3">
      <c r="A1815" t="s">
        <v>19</v>
      </c>
      <c r="B1815">
        <v>2008</v>
      </c>
      <c r="C1815" t="str">
        <f>_xlfn.CONCAT(Table16[[#This Row],[STATE]],"-",Table16[[#This Row],[YEAR]])</f>
        <v>Madhya Pradesh-2008</v>
      </c>
      <c r="D1815" t="s">
        <v>230</v>
      </c>
      <c r="E1815">
        <v>36</v>
      </c>
    </row>
    <row r="1816" spans="1:5" x14ac:dyDescent="0.3">
      <c r="A1816" t="s">
        <v>19</v>
      </c>
      <c r="B1816">
        <v>2008</v>
      </c>
      <c r="C1816" t="str">
        <f>_xlfn.CONCAT(Table16[[#This Row],[STATE]],"-",Table16[[#This Row],[YEAR]])</f>
        <v>Madhya Pradesh-2008</v>
      </c>
      <c r="D1816" t="s">
        <v>368</v>
      </c>
      <c r="E1816">
        <v>50</v>
      </c>
    </row>
    <row r="1817" spans="1:5" x14ac:dyDescent="0.3">
      <c r="A1817" t="s">
        <v>19</v>
      </c>
      <c r="B1817">
        <v>2008</v>
      </c>
      <c r="C1817" t="str">
        <f>_xlfn.CONCAT(Table16[[#This Row],[STATE]],"-",Table16[[#This Row],[YEAR]])</f>
        <v>Madhya Pradesh-2008</v>
      </c>
      <c r="D1817" t="s">
        <v>706</v>
      </c>
      <c r="E1817">
        <v>109</v>
      </c>
    </row>
    <row r="1818" spans="1:5" x14ac:dyDescent="0.3">
      <c r="A1818" t="s">
        <v>19</v>
      </c>
      <c r="B1818">
        <v>2008</v>
      </c>
      <c r="C1818" t="str">
        <f>_xlfn.CONCAT(Table16[[#This Row],[STATE]],"-",Table16[[#This Row],[YEAR]])</f>
        <v>Madhya Pradesh-2008</v>
      </c>
      <c r="D1818" t="s">
        <v>707</v>
      </c>
      <c r="E1818">
        <v>127</v>
      </c>
    </row>
    <row r="1819" spans="1:5" x14ac:dyDescent="0.3">
      <c r="A1819" t="s">
        <v>19</v>
      </c>
      <c r="B1819">
        <v>2008</v>
      </c>
      <c r="C1819" t="str">
        <f>_xlfn.CONCAT(Table16[[#This Row],[STATE]],"-",Table16[[#This Row],[YEAR]])</f>
        <v>Madhya Pradesh-2008</v>
      </c>
      <c r="D1819" t="s">
        <v>99</v>
      </c>
      <c r="E1819">
        <v>530</v>
      </c>
    </row>
    <row r="1820" spans="1:5" x14ac:dyDescent="0.3">
      <c r="A1820" t="s">
        <v>19</v>
      </c>
      <c r="B1820">
        <v>2008</v>
      </c>
      <c r="C1820" t="str">
        <f>_xlfn.CONCAT(Table16[[#This Row],[STATE]],"-",Table16[[#This Row],[YEAR]])</f>
        <v>Madhya Pradesh-2008</v>
      </c>
      <c r="D1820" t="s">
        <v>197</v>
      </c>
      <c r="E1820">
        <v>4826</v>
      </c>
    </row>
    <row r="1821" spans="1:5" x14ac:dyDescent="0.3">
      <c r="A1821" t="s">
        <v>19</v>
      </c>
      <c r="B1821">
        <v>2009</v>
      </c>
      <c r="C1821" t="str">
        <f>_xlfn.CONCAT(Table16[[#This Row],[STATE]],"-",Table16[[#This Row],[YEAR]])</f>
        <v>Madhya Pradesh-2009</v>
      </c>
      <c r="D1821" t="s">
        <v>708</v>
      </c>
      <c r="E1821">
        <v>20</v>
      </c>
    </row>
    <row r="1822" spans="1:5" x14ac:dyDescent="0.3">
      <c r="A1822" t="s">
        <v>19</v>
      </c>
      <c r="B1822">
        <v>2009</v>
      </c>
      <c r="C1822" t="str">
        <f>_xlfn.CONCAT(Table16[[#This Row],[STATE]],"-",Table16[[#This Row],[YEAR]])</f>
        <v>Madhya Pradesh-2009</v>
      </c>
      <c r="D1822" t="s">
        <v>699</v>
      </c>
      <c r="E1822">
        <v>49</v>
      </c>
    </row>
    <row r="1823" spans="1:5" x14ac:dyDescent="0.3">
      <c r="A1823" t="s">
        <v>19</v>
      </c>
      <c r="B1823">
        <v>2009</v>
      </c>
      <c r="C1823" t="str">
        <f>_xlfn.CONCAT(Table16[[#This Row],[STATE]],"-",Table16[[#This Row],[YEAR]])</f>
        <v>Madhya Pradesh-2009</v>
      </c>
      <c r="D1823" t="s">
        <v>221</v>
      </c>
      <c r="E1823">
        <v>73</v>
      </c>
    </row>
    <row r="1824" spans="1:5" x14ac:dyDescent="0.3">
      <c r="A1824" t="s">
        <v>19</v>
      </c>
      <c r="B1824">
        <v>2009</v>
      </c>
      <c r="C1824" t="str">
        <f>_xlfn.CONCAT(Table16[[#This Row],[STATE]],"-",Table16[[#This Row],[YEAR]])</f>
        <v>Madhya Pradesh-2009</v>
      </c>
      <c r="D1824" t="s">
        <v>698</v>
      </c>
      <c r="E1824">
        <v>359</v>
      </c>
    </row>
    <row r="1825" spans="1:5" x14ac:dyDescent="0.3">
      <c r="A1825" t="s">
        <v>19</v>
      </c>
      <c r="B1825">
        <v>2009</v>
      </c>
      <c r="C1825" t="str">
        <f>_xlfn.CONCAT(Table16[[#This Row],[STATE]],"-",Table16[[#This Row],[YEAR]])</f>
        <v>Madhya Pradesh-2009</v>
      </c>
      <c r="D1825" t="s">
        <v>123</v>
      </c>
      <c r="E1825">
        <v>147</v>
      </c>
    </row>
    <row r="1826" spans="1:5" x14ac:dyDescent="0.3">
      <c r="A1826" t="s">
        <v>19</v>
      </c>
      <c r="B1826">
        <v>2009</v>
      </c>
      <c r="C1826" t="str">
        <f>_xlfn.CONCAT(Table16[[#This Row],[STATE]],"-",Table16[[#This Row],[YEAR]])</f>
        <v>Madhya Pradesh-2009</v>
      </c>
      <c r="D1826" t="s">
        <v>103</v>
      </c>
      <c r="E1826">
        <v>671</v>
      </c>
    </row>
    <row r="1827" spans="1:5" x14ac:dyDescent="0.3">
      <c r="A1827" t="s">
        <v>19</v>
      </c>
      <c r="B1827">
        <v>2009</v>
      </c>
      <c r="C1827" t="str">
        <f>_xlfn.CONCAT(Table16[[#This Row],[STATE]],"-",Table16[[#This Row],[YEAR]])</f>
        <v>Madhya Pradesh-2009</v>
      </c>
      <c r="D1827" t="s">
        <v>680</v>
      </c>
      <c r="E1827">
        <v>43</v>
      </c>
    </row>
    <row r="1828" spans="1:5" x14ac:dyDescent="0.3">
      <c r="A1828" t="s">
        <v>19</v>
      </c>
      <c r="B1828">
        <v>2009</v>
      </c>
      <c r="C1828" t="str">
        <f>_xlfn.CONCAT(Table16[[#This Row],[STATE]],"-",Table16[[#This Row],[YEAR]])</f>
        <v>Madhya Pradesh-2009</v>
      </c>
      <c r="D1828" t="s">
        <v>483</v>
      </c>
      <c r="E1828">
        <v>68</v>
      </c>
    </row>
    <row r="1829" spans="1:5" x14ac:dyDescent="0.3">
      <c r="A1829" t="s">
        <v>19</v>
      </c>
      <c r="B1829">
        <v>2009</v>
      </c>
      <c r="C1829" t="str">
        <f>_xlfn.CONCAT(Table16[[#This Row],[STATE]],"-",Table16[[#This Row],[YEAR]])</f>
        <v>Madhya Pradesh-2009</v>
      </c>
      <c r="D1829" t="s">
        <v>90</v>
      </c>
      <c r="E1829">
        <v>765</v>
      </c>
    </row>
    <row r="1830" spans="1:5" x14ac:dyDescent="0.3">
      <c r="A1830" t="s">
        <v>19</v>
      </c>
      <c r="B1830">
        <v>2009</v>
      </c>
      <c r="C1830" t="str">
        <f>_xlfn.CONCAT(Table16[[#This Row],[STATE]],"-",Table16[[#This Row],[YEAR]])</f>
        <v>Madhya Pradesh-2009</v>
      </c>
      <c r="D1830" t="s">
        <v>192</v>
      </c>
      <c r="E1830">
        <v>231</v>
      </c>
    </row>
    <row r="1831" spans="1:5" x14ac:dyDescent="0.3">
      <c r="A1831" t="s">
        <v>19</v>
      </c>
      <c r="B1831">
        <v>2009</v>
      </c>
      <c r="C1831" t="str">
        <f>_xlfn.CONCAT(Table16[[#This Row],[STATE]],"-",Table16[[#This Row],[YEAR]])</f>
        <v>Madhya Pradesh-2009</v>
      </c>
      <c r="D1831" t="s">
        <v>701</v>
      </c>
      <c r="E1831">
        <v>23</v>
      </c>
    </row>
    <row r="1832" spans="1:5" x14ac:dyDescent="0.3">
      <c r="A1832" t="s">
        <v>19</v>
      </c>
      <c r="B1832">
        <v>2009</v>
      </c>
      <c r="C1832" t="str">
        <f>_xlfn.CONCAT(Table16[[#This Row],[STATE]],"-",Table16[[#This Row],[YEAR]])</f>
        <v>Madhya Pradesh-2009</v>
      </c>
      <c r="D1832" t="s">
        <v>703</v>
      </c>
      <c r="E1832">
        <v>29</v>
      </c>
    </row>
    <row r="1833" spans="1:5" x14ac:dyDescent="0.3">
      <c r="A1833" t="s">
        <v>19</v>
      </c>
      <c r="B1833">
        <v>2009</v>
      </c>
      <c r="C1833" t="str">
        <f>_xlfn.CONCAT(Table16[[#This Row],[STATE]],"-",Table16[[#This Row],[YEAR]])</f>
        <v>Madhya Pradesh-2009</v>
      </c>
      <c r="D1833" t="s">
        <v>709</v>
      </c>
      <c r="E1833">
        <v>46</v>
      </c>
    </row>
    <row r="1834" spans="1:5" x14ac:dyDescent="0.3">
      <c r="A1834" t="s">
        <v>19</v>
      </c>
      <c r="B1834">
        <v>2009</v>
      </c>
      <c r="C1834" t="str">
        <f>_xlfn.CONCAT(Table16[[#This Row],[STATE]],"-",Table16[[#This Row],[YEAR]])</f>
        <v>Madhya Pradesh-2009</v>
      </c>
      <c r="D1834" t="s">
        <v>710</v>
      </c>
      <c r="E1834">
        <v>8</v>
      </c>
    </row>
    <row r="1835" spans="1:5" x14ac:dyDescent="0.3">
      <c r="A1835" t="s">
        <v>19</v>
      </c>
      <c r="B1835">
        <v>2009</v>
      </c>
      <c r="C1835" t="str">
        <f>_xlfn.CONCAT(Table16[[#This Row],[STATE]],"-",Table16[[#This Row],[YEAR]])</f>
        <v>Madhya Pradesh-2009</v>
      </c>
      <c r="D1835" t="s">
        <v>711</v>
      </c>
      <c r="E1835">
        <v>50</v>
      </c>
    </row>
    <row r="1836" spans="1:5" x14ac:dyDescent="0.3">
      <c r="A1836" t="s">
        <v>19</v>
      </c>
      <c r="B1836">
        <v>2009</v>
      </c>
      <c r="C1836" t="str">
        <f>_xlfn.CONCAT(Table16[[#This Row],[STATE]],"-",Table16[[#This Row],[YEAR]])</f>
        <v>Madhya Pradesh-2009</v>
      </c>
      <c r="D1836" t="s">
        <v>706</v>
      </c>
      <c r="E1836">
        <v>68</v>
      </c>
    </row>
    <row r="1837" spans="1:5" x14ac:dyDescent="0.3">
      <c r="A1837" t="s">
        <v>19</v>
      </c>
      <c r="B1837">
        <v>2009</v>
      </c>
      <c r="C1837" t="str">
        <f>_xlfn.CONCAT(Table16[[#This Row],[STATE]],"-",Table16[[#This Row],[YEAR]])</f>
        <v>Madhya Pradesh-2009</v>
      </c>
      <c r="D1837" t="s">
        <v>712</v>
      </c>
      <c r="E1837">
        <v>51</v>
      </c>
    </row>
    <row r="1838" spans="1:5" x14ac:dyDescent="0.3">
      <c r="A1838" t="s">
        <v>19</v>
      </c>
      <c r="B1838">
        <v>2009</v>
      </c>
      <c r="C1838" t="str">
        <f>_xlfn.CONCAT(Table16[[#This Row],[STATE]],"-",Table16[[#This Row],[YEAR]])</f>
        <v>Madhya Pradesh-2009</v>
      </c>
      <c r="D1838" t="s">
        <v>713</v>
      </c>
      <c r="E1838">
        <v>553</v>
      </c>
    </row>
    <row r="1839" spans="1:5" x14ac:dyDescent="0.3">
      <c r="A1839" t="s">
        <v>19</v>
      </c>
      <c r="B1839">
        <v>2009</v>
      </c>
      <c r="C1839" t="str">
        <f>_xlfn.CONCAT(Table16[[#This Row],[STATE]],"-",Table16[[#This Row],[YEAR]])</f>
        <v>Madhya Pradesh-2009</v>
      </c>
      <c r="D1839" t="s">
        <v>714</v>
      </c>
      <c r="E1839">
        <v>15</v>
      </c>
    </row>
    <row r="1840" spans="1:5" x14ac:dyDescent="0.3">
      <c r="A1840" t="s">
        <v>19</v>
      </c>
      <c r="B1840">
        <v>2009</v>
      </c>
      <c r="C1840" t="str">
        <f>_xlfn.CONCAT(Table16[[#This Row],[STATE]],"-",Table16[[#This Row],[YEAR]])</f>
        <v>Madhya Pradesh-2009</v>
      </c>
      <c r="D1840" t="s">
        <v>197</v>
      </c>
      <c r="E1840">
        <v>367</v>
      </c>
    </row>
    <row r="1841" spans="1:5" x14ac:dyDescent="0.3">
      <c r="A1841" t="s">
        <v>19</v>
      </c>
      <c r="B1841">
        <v>2010</v>
      </c>
      <c r="C1841" t="str">
        <f>_xlfn.CONCAT(Table16[[#This Row],[STATE]],"-",Table16[[#This Row],[YEAR]])</f>
        <v>Madhya Pradesh-2010</v>
      </c>
      <c r="D1841" t="s">
        <v>197</v>
      </c>
      <c r="E1841">
        <v>486</v>
      </c>
    </row>
    <row r="1842" spans="1:5" x14ac:dyDescent="0.3">
      <c r="A1842" t="s">
        <v>19</v>
      </c>
      <c r="B1842">
        <v>2010</v>
      </c>
      <c r="C1842" t="str">
        <f>_xlfn.CONCAT(Table16[[#This Row],[STATE]],"-",Table16[[#This Row],[YEAR]])</f>
        <v>Madhya Pradesh-2010</v>
      </c>
      <c r="D1842" t="s">
        <v>123</v>
      </c>
      <c r="E1842">
        <v>357</v>
      </c>
    </row>
    <row r="1843" spans="1:5" x14ac:dyDescent="0.3">
      <c r="A1843" t="s">
        <v>19</v>
      </c>
      <c r="B1843">
        <v>2010</v>
      </c>
      <c r="C1843" t="str">
        <f>_xlfn.CONCAT(Table16[[#This Row],[STATE]],"-",Table16[[#This Row],[YEAR]])</f>
        <v>Madhya Pradesh-2010</v>
      </c>
      <c r="D1843" t="s">
        <v>190</v>
      </c>
      <c r="E1843">
        <v>76</v>
      </c>
    </row>
    <row r="1844" spans="1:5" x14ac:dyDescent="0.3">
      <c r="A1844" t="s">
        <v>19</v>
      </c>
      <c r="B1844">
        <v>2010</v>
      </c>
      <c r="C1844" t="str">
        <f>_xlfn.CONCAT(Table16[[#This Row],[STATE]],"-",Table16[[#This Row],[YEAR]])</f>
        <v>Madhya Pradesh-2010</v>
      </c>
      <c r="D1844" t="s">
        <v>103</v>
      </c>
      <c r="E1844">
        <v>573</v>
      </c>
    </row>
    <row r="1845" spans="1:5" x14ac:dyDescent="0.3">
      <c r="A1845" t="s">
        <v>19</v>
      </c>
      <c r="B1845">
        <v>2010</v>
      </c>
      <c r="C1845" t="str">
        <f>_xlfn.CONCAT(Table16[[#This Row],[STATE]],"-",Table16[[#This Row],[YEAR]])</f>
        <v>Madhya Pradesh-2010</v>
      </c>
      <c r="D1845" t="s">
        <v>90</v>
      </c>
      <c r="E1845">
        <v>676</v>
      </c>
    </row>
    <row r="1846" spans="1:5" x14ac:dyDescent="0.3">
      <c r="A1846" t="s">
        <v>19</v>
      </c>
      <c r="B1846">
        <v>2010</v>
      </c>
      <c r="C1846" t="str">
        <f>_xlfn.CONCAT(Table16[[#This Row],[STATE]],"-",Table16[[#This Row],[YEAR]])</f>
        <v>Madhya Pradesh-2010</v>
      </c>
      <c r="D1846" t="s">
        <v>185</v>
      </c>
      <c r="E1846">
        <v>257</v>
      </c>
    </row>
    <row r="1847" spans="1:5" x14ac:dyDescent="0.3">
      <c r="A1847" t="s">
        <v>19</v>
      </c>
      <c r="B1847">
        <v>2010</v>
      </c>
      <c r="C1847" t="str">
        <f>_xlfn.CONCAT(Table16[[#This Row],[STATE]],"-",Table16[[#This Row],[YEAR]])</f>
        <v>Madhya Pradesh-2010</v>
      </c>
      <c r="D1847" t="s">
        <v>699</v>
      </c>
      <c r="E1847">
        <v>8</v>
      </c>
    </row>
    <row r="1848" spans="1:5" x14ac:dyDescent="0.3">
      <c r="A1848" t="s">
        <v>19</v>
      </c>
      <c r="B1848">
        <v>2010</v>
      </c>
      <c r="C1848" t="str">
        <f>_xlfn.CONCAT(Table16[[#This Row],[STATE]],"-",Table16[[#This Row],[YEAR]])</f>
        <v>Madhya Pradesh-2010</v>
      </c>
      <c r="D1848" t="s">
        <v>715</v>
      </c>
      <c r="E1848">
        <v>132</v>
      </c>
    </row>
    <row r="1849" spans="1:5" x14ac:dyDescent="0.3">
      <c r="A1849" t="s">
        <v>19</v>
      </c>
      <c r="B1849">
        <v>2010</v>
      </c>
      <c r="C1849" t="str">
        <f>_xlfn.CONCAT(Table16[[#This Row],[STATE]],"-",Table16[[#This Row],[YEAR]])</f>
        <v>Madhya Pradesh-2010</v>
      </c>
      <c r="D1849" t="s">
        <v>221</v>
      </c>
      <c r="E1849">
        <v>111</v>
      </c>
    </row>
    <row r="1850" spans="1:5" x14ac:dyDescent="0.3">
      <c r="A1850" t="s">
        <v>19</v>
      </c>
      <c r="B1850">
        <v>2010</v>
      </c>
      <c r="C1850" t="str">
        <f>_xlfn.CONCAT(Table16[[#This Row],[STATE]],"-",Table16[[#This Row],[YEAR]])</f>
        <v>Madhya Pradesh-2010</v>
      </c>
      <c r="D1850" t="s">
        <v>680</v>
      </c>
      <c r="E1850">
        <v>23</v>
      </c>
    </row>
    <row r="1851" spans="1:5" x14ac:dyDescent="0.3">
      <c r="A1851" t="s">
        <v>19</v>
      </c>
      <c r="B1851">
        <v>2010</v>
      </c>
      <c r="C1851" t="str">
        <f>_xlfn.CONCAT(Table16[[#This Row],[STATE]],"-",Table16[[#This Row],[YEAR]])</f>
        <v>Madhya Pradesh-2010</v>
      </c>
      <c r="D1851" t="s">
        <v>192</v>
      </c>
      <c r="E1851">
        <v>43</v>
      </c>
    </row>
    <row r="1852" spans="1:5" x14ac:dyDescent="0.3">
      <c r="A1852" t="s">
        <v>19</v>
      </c>
      <c r="B1852">
        <v>2010</v>
      </c>
      <c r="C1852" t="str">
        <f>_xlfn.CONCAT(Table16[[#This Row],[STATE]],"-",Table16[[#This Row],[YEAR]])</f>
        <v>Madhya Pradesh-2010</v>
      </c>
      <c r="D1852" t="s">
        <v>716</v>
      </c>
      <c r="E1852">
        <v>52</v>
      </c>
    </row>
    <row r="1853" spans="1:5" x14ac:dyDescent="0.3">
      <c r="A1853" t="s">
        <v>19</v>
      </c>
      <c r="B1853">
        <v>2010</v>
      </c>
      <c r="C1853" t="str">
        <f>_xlfn.CONCAT(Table16[[#This Row],[STATE]],"-",Table16[[#This Row],[YEAR]])</f>
        <v>Madhya Pradesh-2010</v>
      </c>
      <c r="D1853" t="s">
        <v>711</v>
      </c>
      <c r="E1853">
        <v>22</v>
      </c>
    </row>
    <row r="1854" spans="1:5" x14ac:dyDescent="0.3">
      <c r="A1854" t="s">
        <v>19</v>
      </c>
      <c r="B1854">
        <v>2010</v>
      </c>
      <c r="C1854" t="str">
        <f>_xlfn.CONCAT(Table16[[#This Row],[STATE]],"-",Table16[[#This Row],[YEAR]])</f>
        <v>Madhya Pradesh-2010</v>
      </c>
      <c r="D1854" t="s">
        <v>717</v>
      </c>
      <c r="E1854">
        <v>122</v>
      </c>
    </row>
    <row r="1855" spans="1:5" x14ac:dyDescent="0.3">
      <c r="A1855" t="s">
        <v>19</v>
      </c>
      <c r="B1855">
        <v>2010</v>
      </c>
      <c r="C1855" t="str">
        <f>_xlfn.CONCAT(Table16[[#This Row],[STATE]],"-",Table16[[#This Row],[YEAR]])</f>
        <v>Madhya Pradesh-2010</v>
      </c>
      <c r="D1855" t="s">
        <v>483</v>
      </c>
      <c r="E1855">
        <v>14</v>
      </c>
    </row>
    <row r="1856" spans="1:5" x14ac:dyDescent="0.3">
      <c r="A1856" t="s">
        <v>19</v>
      </c>
      <c r="B1856">
        <v>2010</v>
      </c>
      <c r="C1856" t="str">
        <f>_xlfn.CONCAT(Table16[[#This Row],[STATE]],"-",Table16[[#This Row],[YEAR]])</f>
        <v>Madhya Pradesh-2010</v>
      </c>
      <c r="D1856" t="s">
        <v>709</v>
      </c>
      <c r="E1856">
        <v>97</v>
      </c>
    </row>
    <row r="1857" spans="1:5" x14ac:dyDescent="0.3">
      <c r="A1857" t="s">
        <v>19</v>
      </c>
      <c r="B1857">
        <v>2011</v>
      </c>
      <c r="C1857" t="str">
        <f>_xlfn.CONCAT(Table16[[#This Row],[STATE]],"-",Table16[[#This Row],[YEAR]])</f>
        <v>Madhya Pradesh-2011</v>
      </c>
      <c r="D1857" t="s">
        <v>216</v>
      </c>
      <c r="E1857">
        <v>1561</v>
      </c>
    </row>
    <row r="1858" spans="1:5" x14ac:dyDescent="0.3">
      <c r="A1858" t="s">
        <v>19</v>
      </c>
      <c r="B1858">
        <v>2011</v>
      </c>
      <c r="C1858" t="str">
        <f>_xlfn.CONCAT(Table16[[#This Row],[STATE]],"-",Table16[[#This Row],[YEAR]])</f>
        <v>Madhya Pradesh-2011</v>
      </c>
      <c r="D1858" t="s">
        <v>123</v>
      </c>
      <c r="E1858">
        <v>590</v>
      </c>
    </row>
    <row r="1859" spans="1:5" x14ac:dyDescent="0.3">
      <c r="A1859" t="s">
        <v>19</v>
      </c>
      <c r="B1859">
        <v>2011</v>
      </c>
      <c r="C1859" t="str">
        <f>_xlfn.CONCAT(Table16[[#This Row],[STATE]],"-",Table16[[#This Row],[YEAR]])</f>
        <v>Madhya Pradesh-2011</v>
      </c>
      <c r="D1859" t="s">
        <v>190</v>
      </c>
      <c r="E1859">
        <v>77</v>
      </c>
    </row>
    <row r="1860" spans="1:5" x14ac:dyDescent="0.3">
      <c r="A1860" t="s">
        <v>19</v>
      </c>
      <c r="B1860">
        <v>2011</v>
      </c>
      <c r="C1860" t="str">
        <f>_xlfn.CONCAT(Table16[[#This Row],[STATE]],"-",Table16[[#This Row],[YEAR]])</f>
        <v>Madhya Pradesh-2011</v>
      </c>
      <c r="D1860" t="s">
        <v>103</v>
      </c>
      <c r="E1860">
        <v>739</v>
      </c>
    </row>
    <row r="1861" spans="1:5" x14ac:dyDescent="0.3">
      <c r="A1861" t="s">
        <v>19</v>
      </c>
      <c r="B1861">
        <v>2011</v>
      </c>
      <c r="C1861" t="str">
        <f>_xlfn.CONCAT(Table16[[#This Row],[STATE]],"-",Table16[[#This Row],[YEAR]])</f>
        <v>Madhya Pradesh-2011</v>
      </c>
      <c r="D1861" t="s">
        <v>90</v>
      </c>
      <c r="E1861">
        <v>839</v>
      </c>
    </row>
    <row r="1862" spans="1:5" x14ac:dyDescent="0.3">
      <c r="A1862" t="s">
        <v>19</v>
      </c>
      <c r="B1862">
        <v>2011</v>
      </c>
      <c r="C1862" t="str">
        <f>_xlfn.CONCAT(Table16[[#This Row],[STATE]],"-",Table16[[#This Row],[YEAR]])</f>
        <v>Madhya Pradesh-2011</v>
      </c>
      <c r="D1862" t="s">
        <v>412</v>
      </c>
      <c r="E1862">
        <v>42</v>
      </c>
    </row>
    <row r="1863" spans="1:5" x14ac:dyDescent="0.3">
      <c r="A1863" t="s">
        <v>19</v>
      </c>
      <c r="B1863">
        <v>2011</v>
      </c>
      <c r="C1863" t="str">
        <f>_xlfn.CONCAT(Table16[[#This Row],[STATE]],"-",Table16[[#This Row],[YEAR]])</f>
        <v>Madhya Pradesh-2011</v>
      </c>
      <c r="D1863" t="s">
        <v>185</v>
      </c>
      <c r="E1863">
        <v>275</v>
      </c>
    </row>
    <row r="1864" spans="1:5" x14ac:dyDescent="0.3">
      <c r="A1864" t="s">
        <v>19</v>
      </c>
      <c r="B1864">
        <v>2011</v>
      </c>
      <c r="C1864" t="str">
        <f>_xlfn.CONCAT(Table16[[#This Row],[STATE]],"-",Table16[[#This Row],[YEAR]])</f>
        <v>Madhya Pradesh-2011</v>
      </c>
      <c r="D1864" t="s">
        <v>699</v>
      </c>
      <c r="E1864">
        <v>92</v>
      </c>
    </row>
    <row r="1865" spans="1:5" x14ac:dyDescent="0.3">
      <c r="A1865" t="s">
        <v>19</v>
      </c>
      <c r="B1865">
        <v>2011</v>
      </c>
      <c r="C1865" t="str">
        <f>_xlfn.CONCAT(Table16[[#This Row],[STATE]],"-",Table16[[#This Row],[YEAR]])</f>
        <v>Madhya Pradesh-2011</v>
      </c>
      <c r="D1865" t="s">
        <v>221</v>
      </c>
      <c r="E1865">
        <v>438</v>
      </c>
    </row>
    <row r="1866" spans="1:5" x14ac:dyDescent="0.3">
      <c r="A1866" t="s">
        <v>19</v>
      </c>
      <c r="B1866">
        <v>2011</v>
      </c>
      <c r="C1866" t="str">
        <f>_xlfn.CONCAT(Table16[[#This Row],[STATE]],"-",Table16[[#This Row],[YEAR]])</f>
        <v>Madhya Pradesh-2011</v>
      </c>
      <c r="D1866" t="s">
        <v>718</v>
      </c>
      <c r="E1866">
        <v>527</v>
      </c>
    </row>
    <row r="1867" spans="1:5" x14ac:dyDescent="0.3">
      <c r="A1867" t="s">
        <v>19</v>
      </c>
      <c r="B1867">
        <v>2011</v>
      </c>
      <c r="C1867" t="str">
        <f>_xlfn.CONCAT(Table16[[#This Row],[STATE]],"-",Table16[[#This Row],[YEAR]])</f>
        <v>Madhya Pradesh-2011</v>
      </c>
      <c r="D1867" t="s">
        <v>192</v>
      </c>
      <c r="E1867">
        <v>14</v>
      </c>
    </row>
    <row r="1868" spans="1:5" x14ac:dyDescent="0.3">
      <c r="A1868" t="s">
        <v>19</v>
      </c>
      <c r="B1868">
        <v>2011</v>
      </c>
      <c r="C1868" t="str">
        <f>_xlfn.CONCAT(Table16[[#This Row],[STATE]],"-",Table16[[#This Row],[YEAR]])</f>
        <v>Madhya Pradesh-2011</v>
      </c>
      <c r="D1868" t="s">
        <v>719</v>
      </c>
      <c r="E1868">
        <v>357</v>
      </c>
    </row>
    <row r="1869" spans="1:5" x14ac:dyDescent="0.3">
      <c r="A1869" t="s">
        <v>19</v>
      </c>
      <c r="B1869">
        <v>2011</v>
      </c>
      <c r="C1869" t="str">
        <f>_xlfn.CONCAT(Table16[[#This Row],[STATE]],"-",Table16[[#This Row],[YEAR]])</f>
        <v>Madhya Pradesh-2011</v>
      </c>
      <c r="D1869" t="s">
        <v>483</v>
      </c>
      <c r="E1869">
        <v>47</v>
      </c>
    </row>
    <row r="1870" spans="1:5" x14ac:dyDescent="0.3">
      <c r="A1870" t="s">
        <v>19</v>
      </c>
      <c r="B1870">
        <v>2011</v>
      </c>
      <c r="C1870" t="str">
        <f>_xlfn.CONCAT(Table16[[#This Row],[STATE]],"-",Table16[[#This Row],[YEAR]])</f>
        <v>Madhya Pradesh-2011</v>
      </c>
      <c r="D1870" t="s">
        <v>720</v>
      </c>
      <c r="E1870">
        <v>132</v>
      </c>
    </row>
    <row r="1871" spans="1:5" x14ac:dyDescent="0.3">
      <c r="A1871" t="s">
        <v>19</v>
      </c>
      <c r="B1871">
        <v>2012</v>
      </c>
      <c r="C1871" t="str">
        <f>_xlfn.CONCAT(Table16[[#This Row],[STATE]],"-",Table16[[#This Row],[YEAR]])</f>
        <v>Madhya Pradesh-2012</v>
      </c>
      <c r="D1871" t="s">
        <v>197</v>
      </c>
      <c r="E1871">
        <v>1766</v>
      </c>
    </row>
    <row r="1872" spans="1:5" x14ac:dyDescent="0.3">
      <c r="A1872" t="s">
        <v>19</v>
      </c>
      <c r="B1872">
        <v>2012</v>
      </c>
      <c r="C1872" t="str">
        <f>_xlfn.CONCAT(Table16[[#This Row],[STATE]],"-",Table16[[#This Row],[YEAR]])</f>
        <v>Madhya Pradesh-2012</v>
      </c>
      <c r="D1872" t="s">
        <v>123</v>
      </c>
      <c r="E1872">
        <v>783</v>
      </c>
    </row>
    <row r="1873" spans="1:5" x14ac:dyDescent="0.3">
      <c r="A1873" t="s">
        <v>19</v>
      </c>
      <c r="B1873">
        <v>2012</v>
      </c>
      <c r="C1873" t="str">
        <f>_xlfn.CONCAT(Table16[[#This Row],[STATE]],"-",Table16[[#This Row],[YEAR]])</f>
        <v>Madhya Pradesh-2012</v>
      </c>
      <c r="D1873" t="s">
        <v>190</v>
      </c>
      <c r="E1873">
        <v>42</v>
      </c>
    </row>
    <row r="1874" spans="1:5" x14ac:dyDescent="0.3">
      <c r="A1874" t="s">
        <v>19</v>
      </c>
      <c r="B1874">
        <v>2012</v>
      </c>
      <c r="C1874" t="str">
        <f>_xlfn.CONCAT(Table16[[#This Row],[STATE]],"-",Table16[[#This Row],[YEAR]])</f>
        <v>Madhya Pradesh-2012</v>
      </c>
      <c r="D1874" t="s">
        <v>103</v>
      </c>
      <c r="E1874">
        <v>916</v>
      </c>
    </row>
    <row r="1875" spans="1:5" x14ac:dyDescent="0.3">
      <c r="A1875" t="s">
        <v>19</v>
      </c>
      <c r="B1875">
        <v>2012</v>
      </c>
      <c r="C1875" t="str">
        <f>_xlfn.CONCAT(Table16[[#This Row],[STATE]],"-",Table16[[#This Row],[YEAR]])</f>
        <v>Madhya Pradesh-2012</v>
      </c>
      <c r="D1875" t="s">
        <v>90</v>
      </c>
      <c r="E1875">
        <v>1580</v>
      </c>
    </row>
    <row r="1876" spans="1:5" x14ac:dyDescent="0.3">
      <c r="A1876" t="s">
        <v>19</v>
      </c>
      <c r="B1876">
        <v>2012</v>
      </c>
      <c r="C1876" t="str">
        <f>_xlfn.CONCAT(Table16[[#This Row],[STATE]],"-",Table16[[#This Row],[YEAR]])</f>
        <v>Madhya Pradesh-2012</v>
      </c>
      <c r="D1876" t="s">
        <v>412</v>
      </c>
      <c r="E1876">
        <v>61</v>
      </c>
    </row>
    <row r="1877" spans="1:5" x14ac:dyDescent="0.3">
      <c r="A1877" t="s">
        <v>19</v>
      </c>
      <c r="B1877">
        <v>2012</v>
      </c>
      <c r="C1877" t="str">
        <f>_xlfn.CONCAT(Table16[[#This Row],[STATE]],"-",Table16[[#This Row],[YEAR]])</f>
        <v>Madhya Pradesh-2012</v>
      </c>
      <c r="D1877" t="s">
        <v>185</v>
      </c>
      <c r="E1877">
        <v>167</v>
      </c>
    </row>
    <row r="1878" spans="1:5" x14ac:dyDescent="0.3">
      <c r="A1878" t="s">
        <v>19</v>
      </c>
      <c r="B1878">
        <v>2012</v>
      </c>
      <c r="C1878" t="str">
        <f>_xlfn.CONCAT(Table16[[#This Row],[STATE]],"-",Table16[[#This Row],[YEAR]])</f>
        <v>Madhya Pradesh-2012</v>
      </c>
      <c r="D1878" t="s">
        <v>699</v>
      </c>
      <c r="E1878">
        <v>42</v>
      </c>
    </row>
    <row r="1879" spans="1:5" x14ac:dyDescent="0.3">
      <c r="A1879" t="s">
        <v>19</v>
      </c>
      <c r="B1879">
        <v>2012</v>
      </c>
      <c r="C1879" t="str">
        <f>_xlfn.CONCAT(Table16[[#This Row],[STATE]],"-",Table16[[#This Row],[YEAR]])</f>
        <v>Madhya Pradesh-2012</v>
      </c>
      <c r="D1879" t="s">
        <v>221</v>
      </c>
      <c r="E1879">
        <v>759</v>
      </c>
    </row>
    <row r="1880" spans="1:5" x14ac:dyDescent="0.3">
      <c r="A1880" t="s">
        <v>19</v>
      </c>
      <c r="B1880">
        <v>2012</v>
      </c>
      <c r="C1880" t="str">
        <f>_xlfn.CONCAT(Table16[[#This Row],[STATE]],"-",Table16[[#This Row],[YEAR]])</f>
        <v>Madhya Pradesh-2012</v>
      </c>
      <c r="D1880" t="s">
        <v>718</v>
      </c>
      <c r="E1880">
        <v>479</v>
      </c>
    </row>
    <row r="1881" spans="1:5" x14ac:dyDescent="0.3">
      <c r="A1881" t="s">
        <v>19</v>
      </c>
      <c r="B1881">
        <v>2012</v>
      </c>
      <c r="C1881" t="str">
        <f>_xlfn.CONCAT(Table16[[#This Row],[STATE]],"-",Table16[[#This Row],[YEAR]])</f>
        <v>Madhya Pradesh-2012</v>
      </c>
      <c r="D1881" t="s">
        <v>192</v>
      </c>
      <c r="E1881">
        <v>60</v>
      </c>
    </row>
    <row r="1882" spans="1:5" x14ac:dyDescent="0.3">
      <c r="A1882" t="s">
        <v>19</v>
      </c>
      <c r="B1882">
        <v>2012</v>
      </c>
      <c r="C1882" t="str">
        <f>_xlfn.CONCAT(Table16[[#This Row],[STATE]],"-",Table16[[#This Row],[YEAR]])</f>
        <v>Madhya Pradesh-2012</v>
      </c>
      <c r="D1882" t="s">
        <v>721</v>
      </c>
      <c r="E1882">
        <v>506</v>
      </c>
    </row>
    <row r="1883" spans="1:5" x14ac:dyDescent="0.3">
      <c r="A1883" t="s">
        <v>19</v>
      </c>
      <c r="B1883">
        <v>2012</v>
      </c>
      <c r="C1883" t="str">
        <f>_xlfn.CONCAT(Table16[[#This Row],[STATE]],"-",Table16[[#This Row],[YEAR]])</f>
        <v>Madhya Pradesh-2012</v>
      </c>
      <c r="D1883" t="s">
        <v>483</v>
      </c>
      <c r="E1883">
        <v>50</v>
      </c>
    </row>
    <row r="1884" spans="1:5" x14ac:dyDescent="0.3">
      <c r="A1884" t="s">
        <v>19</v>
      </c>
      <c r="B1884">
        <v>2012</v>
      </c>
      <c r="C1884" t="str">
        <f>_xlfn.CONCAT(Table16[[#This Row],[STATE]],"-",Table16[[#This Row],[YEAR]])</f>
        <v>Madhya Pradesh-2012</v>
      </c>
      <c r="D1884" t="s">
        <v>680</v>
      </c>
      <c r="E1884">
        <v>51</v>
      </c>
    </row>
    <row r="1885" spans="1:5" x14ac:dyDescent="0.3">
      <c r="A1885" t="s">
        <v>19</v>
      </c>
      <c r="B1885">
        <v>2012</v>
      </c>
      <c r="C1885" t="str">
        <f>_xlfn.CONCAT(Table16[[#This Row],[STATE]],"-",Table16[[#This Row],[YEAR]])</f>
        <v>Madhya Pradesh-2012</v>
      </c>
      <c r="D1885" t="s">
        <v>368</v>
      </c>
      <c r="E1885">
        <v>110</v>
      </c>
    </row>
    <row r="1886" spans="1:5" x14ac:dyDescent="0.3">
      <c r="A1886" t="s">
        <v>19</v>
      </c>
      <c r="B1886">
        <v>2012</v>
      </c>
      <c r="C1886" t="str">
        <f>_xlfn.CONCAT(Table16[[#This Row],[STATE]],"-",Table16[[#This Row],[YEAR]])</f>
        <v>Madhya Pradesh-2012</v>
      </c>
      <c r="D1886" t="s">
        <v>722</v>
      </c>
      <c r="E1886">
        <v>686</v>
      </c>
    </row>
    <row r="1887" spans="1:5" x14ac:dyDescent="0.3">
      <c r="A1887" t="s">
        <v>19</v>
      </c>
      <c r="B1887">
        <v>2012</v>
      </c>
      <c r="C1887" t="str">
        <f>_xlfn.CONCAT(Table16[[#This Row],[STATE]],"-",Table16[[#This Row],[YEAR]])</f>
        <v>Madhya Pradesh-2012</v>
      </c>
      <c r="D1887" t="s">
        <v>720</v>
      </c>
      <c r="E1887">
        <v>203</v>
      </c>
    </row>
    <row r="1888" spans="1:5" x14ac:dyDescent="0.3">
      <c r="A1888" t="s">
        <v>20</v>
      </c>
      <c r="B1888">
        <v>2001</v>
      </c>
      <c r="C1888" t="str">
        <f>_xlfn.CONCAT(Table16[[#This Row],[STATE]],"-",Table16[[#This Row],[YEAR]])</f>
        <v>Maharashtra-2001</v>
      </c>
      <c r="D1888" t="s">
        <v>391</v>
      </c>
      <c r="E1888">
        <v>394</v>
      </c>
    </row>
    <row r="1889" spans="1:5" x14ac:dyDescent="0.3">
      <c r="A1889" t="s">
        <v>20</v>
      </c>
      <c r="B1889">
        <v>2001</v>
      </c>
      <c r="C1889" t="str">
        <f>_xlfn.CONCAT(Table16[[#This Row],[STATE]],"-",Table16[[#This Row],[YEAR]])</f>
        <v>Maharashtra-2001</v>
      </c>
      <c r="D1889" t="s">
        <v>123</v>
      </c>
      <c r="E1889">
        <v>438</v>
      </c>
    </row>
    <row r="1890" spans="1:5" x14ac:dyDescent="0.3">
      <c r="A1890" t="s">
        <v>20</v>
      </c>
      <c r="B1890">
        <v>2001</v>
      </c>
      <c r="C1890" t="str">
        <f>_xlfn.CONCAT(Table16[[#This Row],[STATE]],"-",Table16[[#This Row],[YEAR]])</f>
        <v>Maharashtra-2001</v>
      </c>
      <c r="D1890" t="s">
        <v>103</v>
      </c>
      <c r="E1890">
        <v>263</v>
      </c>
    </row>
    <row r="1891" spans="1:5" x14ac:dyDescent="0.3">
      <c r="A1891" t="s">
        <v>20</v>
      </c>
      <c r="B1891">
        <v>2001</v>
      </c>
      <c r="C1891" t="str">
        <f>_xlfn.CONCAT(Table16[[#This Row],[STATE]],"-",Table16[[#This Row],[YEAR]])</f>
        <v>Maharashtra-2001</v>
      </c>
      <c r="D1891" t="s">
        <v>614</v>
      </c>
      <c r="E1891">
        <v>202</v>
      </c>
    </row>
    <row r="1892" spans="1:5" x14ac:dyDescent="0.3">
      <c r="A1892" t="s">
        <v>20</v>
      </c>
      <c r="B1892">
        <v>2001</v>
      </c>
      <c r="C1892" t="str">
        <f>_xlfn.CONCAT(Table16[[#This Row],[STATE]],"-",Table16[[#This Row],[YEAR]])</f>
        <v>Maharashtra-2001</v>
      </c>
      <c r="D1892" t="s">
        <v>363</v>
      </c>
      <c r="E1892">
        <v>15</v>
      </c>
    </row>
    <row r="1893" spans="1:5" x14ac:dyDescent="0.3">
      <c r="A1893" t="s">
        <v>20</v>
      </c>
      <c r="B1893">
        <v>2001</v>
      </c>
      <c r="C1893" t="str">
        <f>_xlfn.CONCAT(Table16[[#This Row],[STATE]],"-",Table16[[#This Row],[YEAR]])</f>
        <v>Maharashtra-2001</v>
      </c>
      <c r="D1893" t="s">
        <v>197</v>
      </c>
      <c r="E1893">
        <v>12</v>
      </c>
    </row>
    <row r="1894" spans="1:5" x14ac:dyDescent="0.3">
      <c r="A1894" t="s">
        <v>20</v>
      </c>
      <c r="B1894">
        <v>2001</v>
      </c>
      <c r="C1894" t="str">
        <f>_xlfn.CONCAT(Table16[[#This Row],[STATE]],"-",Table16[[#This Row],[YEAR]])</f>
        <v>Maharashtra-2001</v>
      </c>
      <c r="D1894" t="s">
        <v>99</v>
      </c>
      <c r="E1894">
        <v>269</v>
      </c>
    </row>
    <row r="1895" spans="1:5" x14ac:dyDescent="0.3">
      <c r="A1895" t="s">
        <v>20</v>
      </c>
      <c r="B1895">
        <v>2002</v>
      </c>
      <c r="C1895" t="str">
        <f>_xlfn.CONCAT(Table16[[#This Row],[STATE]],"-",Table16[[#This Row],[YEAR]])</f>
        <v>Maharashtra-2002</v>
      </c>
      <c r="D1895" t="s">
        <v>391</v>
      </c>
      <c r="E1895">
        <v>699</v>
      </c>
    </row>
    <row r="1896" spans="1:5" x14ac:dyDescent="0.3">
      <c r="A1896" t="s">
        <v>20</v>
      </c>
      <c r="B1896">
        <v>2002</v>
      </c>
      <c r="C1896" t="str">
        <f>_xlfn.CONCAT(Table16[[#This Row],[STATE]],"-",Table16[[#This Row],[YEAR]])</f>
        <v>Maharashtra-2002</v>
      </c>
      <c r="D1896" t="s">
        <v>123</v>
      </c>
      <c r="E1896">
        <v>510</v>
      </c>
    </row>
    <row r="1897" spans="1:5" x14ac:dyDescent="0.3">
      <c r="A1897" t="s">
        <v>20</v>
      </c>
      <c r="B1897">
        <v>2002</v>
      </c>
      <c r="C1897" t="str">
        <f>_xlfn.CONCAT(Table16[[#This Row],[STATE]],"-",Table16[[#This Row],[YEAR]])</f>
        <v>Maharashtra-2002</v>
      </c>
      <c r="D1897" t="s">
        <v>103</v>
      </c>
      <c r="E1897">
        <v>455</v>
      </c>
    </row>
    <row r="1898" spans="1:5" x14ac:dyDescent="0.3">
      <c r="A1898" t="s">
        <v>20</v>
      </c>
      <c r="B1898">
        <v>2002</v>
      </c>
      <c r="C1898" t="str">
        <f>_xlfn.CONCAT(Table16[[#This Row],[STATE]],"-",Table16[[#This Row],[YEAR]])</f>
        <v>Maharashtra-2002</v>
      </c>
      <c r="D1898" t="s">
        <v>614</v>
      </c>
      <c r="E1898">
        <v>209</v>
      </c>
    </row>
    <row r="1899" spans="1:5" x14ac:dyDescent="0.3">
      <c r="A1899" t="s">
        <v>20</v>
      </c>
      <c r="B1899">
        <v>2002</v>
      </c>
      <c r="C1899" t="str">
        <f>_xlfn.CONCAT(Table16[[#This Row],[STATE]],"-",Table16[[#This Row],[YEAR]])</f>
        <v>Maharashtra-2002</v>
      </c>
      <c r="D1899" t="s">
        <v>723</v>
      </c>
      <c r="E1899">
        <v>8</v>
      </c>
    </row>
    <row r="1900" spans="1:5" x14ac:dyDescent="0.3">
      <c r="A1900" t="s">
        <v>20</v>
      </c>
      <c r="B1900">
        <v>2002</v>
      </c>
      <c r="C1900" t="str">
        <f>_xlfn.CONCAT(Table16[[#This Row],[STATE]],"-",Table16[[#This Row],[YEAR]])</f>
        <v>Maharashtra-2002</v>
      </c>
      <c r="D1900" t="s">
        <v>197</v>
      </c>
      <c r="E1900">
        <v>138</v>
      </c>
    </row>
    <row r="1901" spans="1:5" x14ac:dyDescent="0.3">
      <c r="A1901" t="s">
        <v>20</v>
      </c>
      <c r="B1901">
        <v>2002</v>
      </c>
      <c r="C1901" t="str">
        <f>_xlfn.CONCAT(Table16[[#This Row],[STATE]],"-",Table16[[#This Row],[YEAR]])</f>
        <v>Maharashtra-2002</v>
      </c>
      <c r="D1901" t="s">
        <v>99</v>
      </c>
      <c r="E1901">
        <v>92</v>
      </c>
    </row>
    <row r="1902" spans="1:5" x14ac:dyDescent="0.3">
      <c r="A1902" t="s">
        <v>20</v>
      </c>
      <c r="B1902">
        <v>2003</v>
      </c>
      <c r="C1902" t="str">
        <f>_xlfn.CONCAT(Table16[[#This Row],[STATE]],"-",Table16[[#This Row],[YEAR]])</f>
        <v>Maharashtra-2003</v>
      </c>
      <c r="D1902" t="s">
        <v>391</v>
      </c>
      <c r="E1902">
        <v>375</v>
      </c>
    </row>
    <row r="1903" spans="1:5" x14ac:dyDescent="0.3">
      <c r="A1903" t="s">
        <v>20</v>
      </c>
      <c r="B1903">
        <v>2003</v>
      </c>
      <c r="C1903" t="str">
        <f>_xlfn.CONCAT(Table16[[#This Row],[STATE]],"-",Table16[[#This Row],[YEAR]])</f>
        <v>Maharashtra-2003</v>
      </c>
      <c r="D1903" t="s">
        <v>123</v>
      </c>
      <c r="E1903">
        <v>323</v>
      </c>
    </row>
    <row r="1904" spans="1:5" x14ac:dyDescent="0.3">
      <c r="A1904" t="s">
        <v>20</v>
      </c>
      <c r="B1904">
        <v>2003</v>
      </c>
      <c r="C1904" t="str">
        <f>_xlfn.CONCAT(Table16[[#This Row],[STATE]],"-",Table16[[#This Row],[YEAR]])</f>
        <v>Maharashtra-2003</v>
      </c>
      <c r="D1904" t="s">
        <v>103</v>
      </c>
      <c r="E1904">
        <v>812</v>
      </c>
    </row>
    <row r="1905" spans="1:5" x14ac:dyDescent="0.3">
      <c r="A1905" t="s">
        <v>20</v>
      </c>
      <c r="B1905">
        <v>2003</v>
      </c>
      <c r="C1905" t="str">
        <f>_xlfn.CONCAT(Table16[[#This Row],[STATE]],"-",Table16[[#This Row],[YEAR]])</f>
        <v>Maharashtra-2003</v>
      </c>
      <c r="D1905" t="s">
        <v>614</v>
      </c>
      <c r="E1905">
        <v>95</v>
      </c>
    </row>
    <row r="1906" spans="1:5" x14ac:dyDescent="0.3">
      <c r="A1906" t="s">
        <v>20</v>
      </c>
      <c r="B1906">
        <v>2003</v>
      </c>
      <c r="C1906" t="str">
        <f>_xlfn.CONCAT(Table16[[#This Row],[STATE]],"-",Table16[[#This Row],[YEAR]])</f>
        <v>Maharashtra-2003</v>
      </c>
      <c r="D1906" t="s">
        <v>363</v>
      </c>
      <c r="E1906">
        <v>15</v>
      </c>
    </row>
    <row r="1907" spans="1:5" x14ac:dyDescent="0.3">
      <c r="A1907" t="s">
        <v>20</v>
      </c>
      <c r="B1907">
        <v>2003</v>
      </c>
      <c r="C1907" t="str">
        <f>_xlfn.CONCAT(Table16[[#This Row],[STATE]],"-",Table16[[#This Row],[YEAR]])</f>
        <v>Maharashtra-2003</v>
      </c>
      <c r="D1907" t="s">
        <v>197</v>
      </c>
      <c r="E1907">
        <v>29</v>
      </c>
    </row>
    <row r="1908" spans="1:5" x14ac:dyDescent="0.3">
      <c r="A1908" t="s">
        <v>20</v>
      </c>
      <c r="B1908">
        <v>2003</v>
      </c>
      <c r="C1908" t="str">
        <f>_xlfn.CONCAT(Table16[[#This Row],[STATE]],"-",Table16[[#This Row],[YEAR]])</f>
        <v>Maharashtra-2003</v>
      </c>
      <c r="D1908" t="s">
        <v>724</v>
      </c>
      <c r="E1908">
        <v>23</v>
      </c>
    </row>
    <row r="1909" spans="1:5" x14ac:dyDescent="0.3">
      <c r="A1909" t="s">
        <v>20</v>
      </c>
      <c r="B1909">
        <v>2003</v>
      </c>
      <c r="C1909" t="str">
        <f>_xlfn.CONCAT(Table16[[#This Row],[STATE]],"-",Table16[[#This Row],[YEAR]])</f>
        <v>Maharashtra-2003</v>
      </c>
      <c r="D1909" t="s">
        <v>99</v>
      </c>
      <c r="E1909">
        <v>154</v>
      </c>
    </row>
    <row r="1910" spans="1:5" x14ac:dyDescent="0.3">
      <c r="A1910" t="s">
        <v>20</v>
      </c>
      <c r="B1910">
        <v>2004</v>
      </c>
      <c r="C1910" t="str">
        <f>_xlfn.CONCAT(Table16[[#This Row],[STATE]],"-",Table16[[#This Row],[YEAR]])</f>
        <v>Maharashtra-2004</v>
      </c>
      <c r="D1910" t="s">
        <v>391</v>
      </c>
      <c r="E1910">
        <v>442</v>
      </c>
    </row>
    <row r="1911" spans="1:5" x14ac:dyDescent="0.3">
      <c r="A1911" t="s">
        <v>20</v>
      </c>
      <c r="B1911">
        <v>2004</v>
      </c>
      <c r="C1911" t="str">
        <f>_xlfn.CONCAT(Table16[[#This Row],[STATE]],"-",Table16[[#This Row],[YEAR]])</f>
        <v>Maharashtra-2004</v>
      </c>
      <c r="D1911" t="s">
        <v>122</v>
      </c>
      <c r="E1911">
        <v>172</v>
      </c>
    </row>
    <row r="1912" spans="1:5" x14ac:dyDescent="0.3">
      <c r="A1912" t="s">
        <v>20</v>
      </c>
      <c r="B1912">
        <v>2004</v>
      </c>
      <c r="C1912" t="str">
        <f>_xlfn.CONCAT(Table16[[#This Row],[STATE]],"-",Table16[[#This Row],[YEAR]])</f>
        <v>Maharashtra-2004</v>
      </c>
      <c r="D1912" t="s">
        <v>123</v>
      </c>
      <c r="E1912">
        <v>287</v>
      </c>
    </row>
    <row r="1913" spans="1:5" x14ac:dyDescent="0.3">
      <c r="A1913" t="s">
        <v>20</v>
      </c>
      <c r="B1913">
        <v>2004</v>
      </c>
      <c r="C1913" t="str">
        <f>_xlfn.CONCAT(Table16[[#This Row],[STATE]],"-",Table16[[#This Row],[YEAR]])</f>
        <v>Maharashtra-2004</v>
      </c>
      <c r="D1913" t="s">
        <v>103</v>
      </c>
      <c r="E1913">
        <v>447</v>
      </c>
    </row>
    <row r="1914" spans="1:5" x14ac:dyDescent="0.3">
      <c r="A1914" t="s">
        <v>20</v>
      </c>
      <c r="B1914">
        <v>2004</v>
      </c>
      <c r="C1914" t="str">
        <f>_xlfn.CONCAT(Table16[[#This Row],[STATE]],"-",Table16[[#This Row],[YEAR]])</f>
        <v>Maharashtra-2004</v>
      </c>
      <c r="D1914" t="s">
        <v>725</v>
      </c>
      <c r="E1914">
        <v>34</v>
      </c>
    </row>
    <row r="1915" spans="1:5" x14ac:dyDescent="0.3">
      <c r="A1915" t="s">
        <v>20</v>
      </c>
      <c r="B1915">
        <v>2004</v>
      </c>
      <c r="C1915" t="str">
        <f>_xlfn.CONCAT(Table16[[#This Row],[STATE]],"-",Table16[[#This Row],[YEAR]])</f>
        <v>Maharashtra-2004</v>
      </c>
      <c r="D1915" t="s">
        <v>351</v>
      </c>
      <c r="E1915">
        <v>16</v>
      </c>
    </row>
    <row r="1916" spans="1:5" x14ac:dyDescent="0.3">
      <c r="A1916" t="s">
        <v>20</v>
      </c>
      <c r="B1916">
        <v>2004</v>
      </c>
      <c r="C1916" t="str">
        <f>_xlfn.CONCAT(Table16[[#This Row],[STATE]],"-",Table16[[#This Row],[YEAR]])</f>
        <v>Maharashtra-2004</v>
      </c>
      <c r="D1916" t="s">
        <v>287</v>
      </c>
      <c r="E1916">
        <v>29</v>
      </c>
    </row>
    <row r="1917" spans="1:5" x14ac:dyDescent="0.3">
      <c r="A1917" t="s">
        <v>20</v>
      </c>
      <c r="B1917">
        <v>2004</v>
      </c>
      <c r="C1917" t="str">
        <f>_xlfn.CONCAT(Table16[[#This Row],[STATE]],"-",Table16[[#This Row],[YEAR]])</f>
        <v>Maharashtra-2004</v>
      </c>
      <c r="D1917" t="s">
        <v>484</v>
      </c>
      <c r="E1917">
        <v>1</v>
      </c>
    </row>
    <row r="1918" spans="1:5" x14ac:dyDescent="0.3">
      <c r="A1918" t="s">
        <v>20</v>
      </c>
      <c r="B1918">
        <v>2004</v>
      </c>
      <c r="C1918" t="str">
        <f>_xlfn.CONCAT(Table16[[#This Row],[STATE]],"-",Table16[[#This Row],[YEAR]])</f>
        <v>Maharashtra-2004</v>
      </c>
      <c r="D1918" t="s">
        <v>726</v>
      </c>
      <c r="E1918">
        <v>1</v>
      </c>
    </row>
    <row r="1919" spans="1:5" x14ac:dyDescent="0.3">
      <c r="A1919" t="s">
        <v>20</v>
      </c>
      <c r="B1919">
        <v>2004</v>
      </c>
      <c r="C1919" t="str">
        <f>_xlfn.CONCAT(Table16[[#This Row],[STATE]],"-",Table16[[#This Row],[YEAR]])</f>
        <v>Maharashtra-2004</v>
      </c>
      <c r="D1919" t="s">
        <v>727</v>
      </c>
      <c r="E1919">
        <v>83</v>
      </c>
    </row>
    <row r="1920" spans="1:5" x14ac:dyDescent="0.3">
      <c r="A1920" t="s">
        <v>20</v>
      </c>
      <c r="B1920">
        <v>2004</v>
      </c>
      <c r="C1920" t="str">
        <f>_xlfn.CONCAT(Table16[[#This Row],[STATE]],"-",Table16[[#This Row],[YEAR]])</f>
        <v>Maharashtra-2004</v>
      </c>
      <c r="D1920" t="s">
        <v>142</v>
      </c>
      <c r="E1920">
        <v>20</v>
      </c>
    </row>
    <row r="1921" spans="1:5" x14ac:dyDescent="0.3">
      <c r="A1921" t="s">
        <v>20</v>
      </c>
      <c r="B1921">
        <v>2004</v>
      </c>
      <c r="C1921" t="str">
        <f>_xlfn.CONCAT(Table16[[#This Row],[STATE]],"-",Table16[[#This Row],[YEAR]])</f>
        <v>Maharashtra-2004</v>
      </c>
      <c r="D1921" t="s">
        <v>728</v>
      </c>
      <c r="E1921">
        <v>1</v>
      </c>
    </row>
    <row r="1922" spans="1:5" x14ac:dyDescent="0.3">
      <c r="A1922" t="s">
        <v>20</v>
      </c>
      <c r="B1922">
        <v>2005</v>
      </c>
      <c r="C1922" t="str">
        <f>_xlfn.CONCAT(Table16[[#This Row],[STATE]],"-",Table16[[#This Row],[YEAR]])</f>
        <v>Maharashtra-2005</v>
      </c>
      <c r="D1922" t="s">
        <v>391</v>
      </c>
      <c r="E1922">
        <v>406</v>
      </c>
    </row>
    <row r="1923" spans="1:5" x14ac:dyDescent="0.3">
      <c r="A1923" t="s">
        <v>20</v>
      </c>
      <c r="B1923">
        <v>2005</v>
      </c>
      <c r="C1923" t="str">
        <f>_xlfn.CONCAT(Table16[[#This Row],[STATE]],"-",Table16[[#This Row],[YEAR]])</f>
        <v>Maharashtra-2005</v>
      </c>
      <c r="D1923" t="s">
        <v>122</v>
      </c>
      <c r="E1923">
        <v>137</v>
      </c>
    </row>
    <row r="1924" spans="1:5" x14ac:dyDescent="0.3">
      <c r="A1924" t="s">
        <v>20</v>
      </c>
      <c r="B1924">
        <v>2005</v>
      </c>
      <c r="C1924" t="str">
        <f>_xlfn.CONCAT(Table16[[#This Row],[STATE]],"-",Table16[[#This Row],[YEAR]])</f>
        <v>Maharashtra-2005</v>
      </c>
      <c r="D1924" t="s">
        <v>123</v>
      </c>
      <c r="E1924">
        <v>410</v>
      </c>
    </row>
    <row r="1925" spans="1:5" x14ac:dyDescent="0.3">
      <c r="A1925" t="s">
        <v>20</v>
      </c>
      <c r="B1925">
        <v>2005</v>
      </c>
      <c r="C1925" t="str">
        <f>_xlfn.CONCAT(Table16[[#This Row],[STATE]],"-",Table16[[#This Row],[YEAR]])</f>
        <v>Maharashtra-2005</v>
      </c>
      <c r="D1925" t="s">
        <v>103</v>
      </c>
      <c r="E1925">
        <v>744</v>
      </c>
    </row>
    <row r="1926" spans="1:5" x14ac:dyDescent="0.3">
      <c r="A1926" t="s">
        <v>20</v>
      </c>
      <c r="B1926">
        <v>2005</v>
      </c>
      <c r="C1926" t="str">
        <f>_xlfn.CONCAT(Table16[[#This Row],[STATE]],"-",Table16[[#This Row],[YEAR]])</f>
        <v>Maharashtra-2005</v>
      </c>
      <c r="D1926" t="s">
        <v>368</v>
      </c>
      <c r="E1926">
        <v>8</v>
      </c>
    </row>
    <row r="1927" spans="1:5" x14ac:dyDescent="0.3">
      <c r="A1927" t="s">
        <v>20</v>
      </c>
      <c r="B1927">
        <v>2005</v>
      </c>
      <c r="C1927" t="str">
        <f>_xlfn.CONCAT(Table16[[#This Row],[STATE]],"-",Table16[[#This Row],[YEAR]])</f>
        <v>Maharashtra-2005</v>
      </c>
      <c r="D1927" t="s">
        <v>351</v>
      </c>
      <c r="E1927">
        <v>123</v>
      </c>
    </row>
    <row r="1928" spans="1:5" x14ac:dyDescent="0.3">
      <c r="A1928" t="s">
        <v>20</v>
      </c>
      <c r="B1928">
        <v>2005</v>
      </c>
      <c r="C1928" t="str">
        <f>_xlfn.CONCAT(Table16[[#This Row],[STATE]],"-",Table16[[#This Row],[YEAR]])</f>
        <v>Maharashtra-2005</v>
      </c>
      <c r="D1928" t="s">
        <v>287</v>
      </c>
      <c r="E1928">
        <v>84</v>
      </c>
    </row>
    <row r="1929" spans="1:5" x14ac:dyDescent="0.3">
      <c r="A1929" t="s">
        <v>20</v>
      </c>
      <c r="B1929">
        <v>2005</v>
      </c>
      <c r="C1929" t="str">
        <f>_xlfn.CONCAT(Table16[[#This Row],[STATE]],"-",Table16[[#This Row],[YEAR]])</f>
        <v>Maharashtra-2005</v>
      </c>
      <c r="D1929" t="s">
        <v>125</v>
      </c>
      <c r="E1929">
        <v>367</v>
      </c>
    </row>
    <row r="1930" spans="1:5" x14ac:dyDescent="0.3">
      <c r="A1930" t="s">
        <v>20</v>
      </c>
      <c r="B1930">
        <v>2005</v>
      </c>
      <c r="C1930" t="str">
        <f>_xlfn.CONCAT(Table16[[#This Row],[STATE]],"-",Table16[[#This Row],[YEAR]])</f>
        <v>Maharashtra-2005</v>
      </c>
      <c r="D1930" t="s">
        <v>726</v>
      </c>
      <c r="E1930">
        <v>3</v>
      </c>
    </row>
    <row r="1931" spans="1:5" x14ac:dyDescent="0.3">
      <c r="A1931" t="s">
        <v>20</v>
      </c>
      <c r="B1931">
        <v>2005</v>
      </c>
      <c r="C1931" t="str">
        <f>_xlfn.CONCAT(Table16[[#This Row],[STATE]],"-",Table16[[#This Row],[YEAR]])</f>
        <v>Maharashtra-2005</v>
      </c>
      <c r="D1931" t="s">
        <v>363</v>
      </c>
      <c r="E1931">
        <v>13</v>
      </c>
    </row>
    <row r="1932" spans="1:5" x14ac:dyDescent="0.3">
      <c r="A1932" t="s">
        <v>20</v>
      </c>
      <c r="B1932">
        <v>2005</v>
      </c>
      <c r="C1932" t="str">
        <f>_xlfn.CONCAT(Table16[[#This Row],[STATE]],"-",Table16[[#This Row],[YEAR]])</f>
        <v>Maharashtra-2005</v>
      </c>
      <c r="D1932" t="s">
        <v>266</v>
      </c>
      <c r="E1932">
        <v>12</v>
      </c>
    </row>
    <row r="1933" spans="1:5" x14ac:dyDescent="0.3">
      <c r="A1933" t="s">
        <v>20</v>
      </c>
      <c r="B1933">
        <v>2005</v>
      </c>
      <c r="C1933" t="str">
        <f>_xlfn.CONCAT(Table16[[#This Row],[STATE]],"-",Table16[[#This Row],[YEAR]])</f>
        <v>Maharashtra-2005</v>
      </c>
      <c r="D1933" t="s">
        <v>99</v>
      </c>
      <c r="E1933">
        <v>460</v>
      </c>
    </row>
    <row r="1934" spans="1:5" x14ac:dyDescent="0.3">
      <c r="A1934" t="s">
        <v>20</v>
      </c>
      <c r="B1934">
        <v>2006</v>
      </c>
      <c r="C1934" t="str">
        <f>_xlfn.CONCAT(Table16[[#This Row],[STATE]],"-",Table16[[#This Row],[YEAR]])</f>
        <v>Maharashtra-2006</v>
      </c>
      <c r="D1934" t="s">
        <v>391</v>
      </c>
      <c r="E1934">
        <v>502</v>
      </c>
    </row>
    <row r="1935" spans="1:5" x14ac:dyDescent="0.3">
      <c r="A1935" t="s">
        <v>20</v>
      </c>
      <c r="B1935">
        <v>2006</v>
      </c>
      <c r="C1935" t="str">
        <f>_xlfn.CONCAT(Table16[[#This Row],[STATE]],"-",Table16[[#This Row],[YEAR]])</f>
        <v>Maharashtra-2006</v>
      </c>
      <c r="D1935" t="s">
        <v>122</v>
      </c>
      <c r="E1935">
        <v>451</v>
      </c>
    </row>
    <row r="1936" spans="1:5" x14ac:dyDescent="0.3">
      <c r="A1936" t="s">
        <v>20</v>
      </c>
      <c r="B1936">
        <v>2006</v>
      </c>
      <c r="C1936" t="str">
        <f>_xlfn.CONCAT(Table16[[#This Row],[STATE]],"-",Table16[[#This Row],[YEAR]])</f>
        <v>Maharashtra-2006</v>
      </c>
      <c r="D1936" t="s">
        <v>123</v>
      </c>
      <c r="E1936">
        <v>469</v>
      </c>
    </row>
    <row r="1937" spans="1:5" x14ac:dyDescent="0.3">
      <c r="A1937" t="s">
        <v>20</v>
      </c>
      <c r="B1937">
        <v>2006</v>
      </c>
      <c r="C1937" t="str">
        <f>_xlfn.CONCAT(Table16[[#This Row],[STATE]],"-",Table16[[#This Row],[YEAR]])</f>
        <v>Maharashtra-2006</v>
      </c>
      <c r="D1937" t="s">
        <v>103</v>
      </c>
      <c r="E1937">
        <v>623</v>
      </c>
    </row>
    <row r="1938" spans="1:5" x14ac:dyDescent="0.3">
      <c r="A1938" t="s">
        <v>20</v>
      </c>
      <c r="B1938">
        <v>2006</v>
      </c>
      <c r="C1938" t="str">
        <f>_xlfn.CONCAT(Table16[[#This Row],[STATE]],"-",Table16[[#This Row],[YEAR]])</f>
        <v>Maharashtra-2006</v>
      </c>
      <c r="D1938" t="s">
        <v>725</v>
      </c>
      <c r="E1938">
        <v>48</v>
      </c>
    </row>
    <row r="1939" spans="1:5" x14ac:dyDescent="0.3">
      <c r="A1939" t="s">
        <v>20</v>
      </c>
      <c r="B1939">
        <v>2006</v>
      </c>
      <c r="C1939" t="str">
        <f>_xlfn.CONCAT(Table16[[#This Row],[STATE]],"-",Table16[[#This Row],[YEAR]])</f>
        <v>Maharashtra-2006</v>
      </c>
      <c r="D1939" t="s">
        <v>351</v>
      </c>
      <c r="E1939">
        <v>128</v>
      </c>
    </row>
    <row r="1940" spans="1:5" x14ac:dyDescent="0.3">
      <c r="A1940" t="s">
        <v>20</v>
      </c>
      <c r="B1940">
        <v>2006</v>
      </c>
      <c r="C1940" t="str">
        <f>_xlfn.CONCAT(Table16[[#This Row],[STATE]],"-",Table16[[#This Row],[YEAR]])</f>
        <v>Maharashtra-2006</v>
      </c>
      <c r="D1940" t="s">
        <v>287</v>
      </c>
      <c r="E1940">
        <v>61</v>
      </c>
    </row>
    <row r="1941" spans="1:5" x14ac:dyDescent="0.3">
      <c r="A1941" t="s">
        <v>20</v>
      </c>
      <c r="B1941">
        <v>2006</v>
      </c>
      <c r="C1941" t="str">
        <f>_xlfn.CONCAT(Table16[[#This Row],[STATE]],"-",Table16[[#This Row],[YEAR]])</f>
        <v>Maharashtra-2006</v>
      </c>
      <c r="D1941" t="s">
        <v>484</v>
      </c>
      <c r="E1941">
        <v>105</v>
      </c>
    </row>
    <row r="1942" spans="1:5" x14ac:dyDescent="0.3">
      <c r="A1942" t="s">
        <v>20</v>
      </c>
      <c r="B1942">
        <v>2006</v>
      </c>
      <c r="C1942" t="str">
        <f>_xlfn.CONCAT(Table16[[#This Row],[STATE]],"-",Table16[[#This Row],[YEAR]])</f>
        <v>Maharashtra-2006</v>
      </c>
      <c r="D1942" t="s">
        <v>726</v>
      </c>
      <c r="E1942">
        <v>1</v>
      </c>
    </row>
    <row r="1943" spans="1:5" x14ac:dyDescent="0.3">
      <c r="A1943" t="s">
        <v>20</v>
      </c>
      <c r="B1943">
        <v>2006</v>
      </c>
      <c r="C1943" t="str">
        <f>_xlfn.CONCAT(Table16[[#This Row],[STATE]],"-",Table16[[#This Row],[YEAR]])</f>
        <v>Maharashtra-2006</v>
      </c>
      <c r="D1943" t="s">
        <v>729</v>
      </c>
      <c r="E1943">
        <v>135</v>
      </c>
    </row>
    <row r="1944" spans="1:5" x14ac:dyDescent="0.3">
      <c r="A1944" t="s">
        <v>20</v>
      </c>
      <c r="B1944">
        <v>2006</v>
      </c>
      <c r="C1944" t="str">
        <f>_xlfn.CONCAT(Table16[[#This Row],[STATE]],"-",Table16[[#This Row],[YEAR]])</f>
        <v>Maharashtra-2006</v>
      </c>
      <c r="D1944" t="s">
        <v>142</v>
      </c>
      <c r="E1944">
        <v>16</v>
      </c>
    </row>
    <row r="1945" spans="1:5" x14ac:dyDescent="0.3">
      <c r="A1945" t="s">
        <v>20</v>
      </c>
      <c r="B1945">
        <v>2006</v>
      </c>
      <c r="C1945" t="str">
        <f>_xlfn.CONCAT(Table16[[#This Row],[STATE]],"-",Table16[[#This Row],[YEAR]])</f>
        <v>Maharashtra-2006</v>
      </c>
      <c r="D1945" t="s">
        <v>193</v>
      </c>
      <c r="E1945">
        <v>195</v>
      </c>
    </row>
    <row r="1946" spans="1:5" x14ac:dyDescent="0.3">
      <c r="A1946" t="s">
        <v>20</v>
      </c>
      <c r="B1946">
        <v>2006</v>
      </c>
      <c r="C1946" t="str">
        <f>_xlfn.CONCAT(Table16[[#This Row],[STATE]],"-",Table16[[#This Row],[YEAR]])</f>
        <v>Maharashtra-2006</v>
      </c>
      <c r="D1946" t="s">
        <v>730</v>
      </c>
      <c r="E1946">
        <v>46</v>
      </c>
    </row>
    <row r="1947" spans="1:5" x14ac:dyDescent="0.3">
      <c r="A1947" t="s">
        <v>20</v>
      </c>
      <c r="B1947">
        <v>2006</v>
      </c>
      <c r="C1947" t="str">
        <f>_xlfn.CONCAT(Table16[[#This Row],[STATE]],"-",Table16[[#This Row],[YEAR]])</f>
        <v>Maharashtra-2006</v>
      </c>
      <c r="D1947" t="s">
        <v>363</v>
      </c>
      <c r="E1947">
        <v>72</v>
      </c>
    </row>
    <row r="1948" spans="1:5" x14ac:dyDescent="0.3">
      <c r="A1948" t="s">
        <v>20</v>
      </c>
      <c r="B1948">
        <v>2006</v>
      </c>
      <c r="C1948" t="str">
        <f>_xlfn.CONCAT(Table16[[#This Row],[STATE]],"-",Table16[[#This Row],[YEAR]])</f>
        <v>Maharashtra-2006</v>
      </c>
      <c r="D1948" t="s">
        <v>266</v>
      </c>
      <c r="E1948">
        <v>32</v>
      </c>
    </row>
    <row r="1949" spans="1:5" x14ac:dyDescent="0.3">
      <c r="A1949" t="s">
        <v>20</v>
      </c>
      <c r="B1949">
        <v>2006</v>
      </c>
      <c r="C1949" t="str">
        <f>_xlfn.CONCAT(Table16[[#This Row],[STATE]],"-",Table16[[#This Row],[YEAR]])</f>
        <v>Maharashtra-2006</v>
      </c>
      <c r="D1949" t="s">
        <v>116</v>
      </c>
      <c r="E1949">
        <v>21</v>
      </c>
    </row>
    <row r="1950" spans="1:5" x14ac:dyDescent="0.3">
      <c r="A1950" t="s">
        <v>20</v>
      </c>
      <c r="B1950">
        <v>2006</v>
      </c>
      <c r="C1950" t="str">
        <f>_xlfn.CONCAT(Table16[[#This Row],[STATE]],"-",Table16[[#This Row],[YEAR]])</f>
        <v>Maharashtra-2006</v>
      </c>
      <c r="D1950" t="s">
        <v>731</v>
      </c>
      <c r="E1950">
        <v>66</v>
      </c>
    </row>
    <row r="1951" spans="1:5" x14ac:dyDescent="0.3">
      <c r="A1951" t="s">
        <v>20</v>
      </c>
      <c r="B1951">
        <v>2006</v>
      </c>
      <c r="C1951" t="str">
        <f>_xlfn.CONCAT(Table16[[#This Row],[STATE]],"-",Table16[[#This Row],[YEAR]])</f>
        <v>Maharashtra-2006</v>
      </c>
      <c r="D1951" t="s">
        <v>230</v>
      </c>
      <c r="E1951">
        <v>19</v>
      </c>
    </row>
    <row r="1952" spans="1:5" x14ac:dyDescent="0.3">
      <c r="A1952" t="s">
        <v>20</v>
      </c>
      <c r="B1952">
        <v>2007</v>
      </c>
      <c r="C1952" t="str">
        <f>_xlfn.CONCAT(Table16[[#This Row],[STATE]],"-",Table16[[#This Row],[YEAR]])</f>
        <v>Maharashtra-2007</v>
      </c>
      <c r="D1952" t="s">
        <v>732</v>
      </c>
      <c r="E1952">
        <v>299</v>
      </c>
    </row>
    <row r="1953" spans="1:5" x14ac:dyDescent="0.3">
      <c r="A1953" t="s">
        <v>20</v>
      </c>
      <c r="B1953">
        <v>2007</v>
      </c>
      <c r="C1953" t="str">
        <f>_xlfn.CONCAT(Table16[[#This Row],[STATE]],"-",Table16[[#This Row],[YEAR]])</f>
        <v>Maharashtra-2007</v>
      </c>
      <c r="D1953" t="s">
        <v>189</v>
      </c>
      <c r="E1953">
        <v>107</v>
      </c>
    </row>
    <row r="1954" spans="1:5" x14ac:dyDescent="0.3">
      <c r="A1954" t="s">
        <v>20</v>
      </c>
      <c r="B1954">
        <v>2007</v>
      </c>
      <c r="C1954" t="str">
        <f>_xlfn.CONCAT(Table16[[#This Row],[STATE]],"-",Table16[[#This Row],[YEAR]])</f>
        <v>Maharashtra-2007</v>
      </c>
      <c r="D1954" t="s">
        <v>123</v>
      </c>
      <c r="E1954">
        <v>417</v>
      </c>
    </row>
    <row r="1955" spans="1:5" x14ac:dyDescent="0.3">
      <c r="A1955" t="s">
        <v>20</v>
      </c>
      <c r="B1955">
        <v>2007</v>
      </c>
      <c r="C1955" t="str">
        <f>_xlfn.CONCAT(Table16[[#This Row],[STATE]],"-",Table16[[#This Row],[YEAR]])</f>
        <v>Maharashtra-2007</v>
      </c>
      <c r="D1955" t="s">
        <v>103</v>
      </c>
      <c r="E1955">
        <v>735</v>
      </c>
    </row>
    <row r="1956" spans="1:5" x14ac:dyDescent="0.3">
      <c r="A1956" t="s">
        <v>20</v>
      </c>
      <c r="B1956">
        <v>2007</v>
      </c>
      <c r="C1956" t="str">
        <f>_xlfn.CONCAT(Table16[[#This Row],[STATE]],"-",Table16[[#This Row],[YEAR]])</f>
        <v>Maharashtra-2007</v>
      </c>
      <c r="D1956" t="s">
        <v>90</v>
      </c>
      <c r="E1956">
        <v>133</v>
      </c>
    </row>
    <row r="1957" spans="1:5" x14ac:dyDescent="0.3">
      <c r="A1957" t="s">
        <v>20</v>
      </c>
      <c r="B1957">
        <v>2007</v>
      </c>
      <c r="C1957" t="str">
        <f>_xlfn.CONCAT(Table16[[#This Row],[STATE]],"-",Table16[[#This Row],[YEAR]])</f>
        <v>Maharashtra-2007</v>
      </c>
      <c r="D1957" t="s">
        <v>725</v>
      </c>
      <c r="E1957">
        <v>59</v>
      </c>
    </row>
    <row r="1958" spans="1:5" x14ac:dyDescent="0.3">
      <c r="A1958" t="s">
        <v>20</v>
      </c>
      <c r="B1958">
        <v>2007</v>
      </c>
      <c r="C1958" t="str">
        <f>_xlfn.CONCAT(Table16[[#This Row],[STATE]],"-",Table16[[#This Row],[YEAR]])</f>
        <v>Maharashtra-2007</v>
      </c>
      <c r="D1958" t="s">
        <v>351</v>
      </c>
      <c r="E1958">
        <v>63</v>
      </c>
    </row>
    <row r="1959" spans="1:5" x14ac:dyDescent="0.3">
      <c r="A1959" t="s">
        <v>20</v>
      </c>
      <c r="B1959">
        <v>2007</v>
      </c>
      <c r="C1959" t="str">
        <f>_xlfn.CONCAT(Table16[[#This Row],[STATE]],"-",Table16[[#This Row],[YEAR]])</f>
        <v>Maharashtra-2007</v>
      </c>
      <c r="D1959" t="s">
        <v>287</v>
      </c>
      <c r="E1959">
        <v>28</v>
      </c>
    </row>
    <row r="1960" spans="1:5" x14ac:dyDescent="0.3">
      <c r="A1960" t="s">
        <v>20</v>
      </c>
      <c r="B1960">
        <v>2007</v>
      </c>
      <c r="C1960" t="str">
        <f>_xlfn.CONCAT(Table16[[#This Row],[STATE]],"-",Table16[[#This Row],[YEAR]])</f>
        <v>Maharashtra-2007</v>
      </c>
      <c r="D1960" t="s">
        <v>484</v>
      </c>
      <c r="E1960">
        <v>230</v>
      </c>
    </row>
    <row r="1961" spans="1:5" x14ac:dyDescent="0.3">
      <c r="A1961" t="s">
        <v>20</v>
      </c>
      <c r="B1961">
        <v>2007</v>
      </c>
      <c r="C1961" t="str">
        <f>_xlfn.CONCAT(Table16[[#This Row],[STATE]],"-",Table16[[#This Row],[YEAR]])</f>
        <v>Maharashtra-2007</v>
      </c>
      <c r="D1961" t="s">
        <v>726</v>
      </c>
      <c r="E1961">
        <v>83</v>
      </c>
    </row>
    <row r="1962" spans="1:5" x14ac:dyDescent="0.3">
      <c r="A1962" t="s">
        <v>20</v>
      </c>
      <c r="B1962">
        <v>2007</v>
      </c>
      <c r="C1962" t="str">
        <f>_xlfn.CONCAT(Table16[[#This Row],[STATE]],"-",Table16[[#This Row],[YEAR]])</f>
        <v>Maharashtra-2007</v>
      </c>
      <c r="D1962" t="s">
        <v>197</v>
      </c>
      <c r="E1962">
        <v>181</v>
      </c>
    </row>
    <row r="1963" spans="1:5" x14ac:dyDescent="0.3">
      <c r="A1963" t="s">
        <v>20</v>
      </c>
      <c r="B1963">
        <v>2007</v>
      </c>
      <c r="C1963" t="str">
        <f>_xlfn.CONCAT(Table16[[#This Row],[STATE]],"-",Table16[[#This Row],[YEAR]])</f>
        <v>Maharashtra-2007</v>
      </c>
      <c r="D1963" t="s">
        <v>142</v>
      </c>
      <c r="E1963">
        <v>32</v>
      </c>
    </row>
    <row r="1964" spans="1:5" x14ac:dyDescent="0.3">
      <c r="A1964" t="s">
        <v>20</v>
      </c>
      <c r="B1964">
        <v>2007</v>
      </c>
      <c r="C1964" t="str">
        <f>_xlfn.CONCAT(Table16[[#This Row],[STATE]],"-",Table16[[#This Row],[YEAR]])</f>
        <v>Maharashtra-2007</v>
      </c>
      <c r="D1964" t="s">
        <v>146</v>
      </c>
      <c r="E1964">
        <v>65</v>
      </c>
    </row>
    <row r="1965" spans="1:5" x14ac:dyDescent="0.3">
      <c r="A1965" t="s">
        <v>20</v>
      </c>
      <c r="B1965">
        <v>2007</v>
      </c>
      <c r="C1965" t="str">
        <f>_xlfn.CONCAT(Table16[[#This Row],[STATE]],"-",Table16[[#This Row],[YEAR]])</f>
        <v>Maharashtra-2007</v>
      </c>
      <c r="D1965" t="s">
        <v>363</v>
      </c>
      <c r="E1965">
        <v>2</v>
      </c>
    </row>
    <row r="1966" spans="1:5" x14ac:dyDescent="0.3">
      <c r="A1966" t="s">
        <v>20</v>
      </c>
      <c r="B1966">
        <v>2007</v>
      </c>
      <c r="C1966" t="str">
        <f>_xlfn.CONCAT(Table16[[#This Row],[STATE]],"-",Table16[[#This Row],[YEAR]])</f>
        <v>Maharashtra-2007</v>
      </c>
      <c r="D1966" t="s">
        <v>266</v>
      </c>
      <c r="E1966">
        <v>21</v>
      </c>
    </row>
    <row r="1967" spans="1:5" x14ac:dyDescent="0.3">
      <c r="A1967" t="s">
        <v>20</v>
      </c>
      <c r="B1967">
        <v>2007</v>
      </c>
      <c r="C1967" t="str">
        <f>_xlfn.CONCAT(Table16[[#This Row],[STATE]],"-",Table16[[#This Row],[YEAR]])</f>
        <v>Maharashtra-2007</v>
      </c>
      <c r="D1967" t="s">
        <v>731</v>
      </c>
      <c r="E1967">
        <v>80</v>
      </c>
    </row>
    <row r="1968" spans="1:5" x14ac:dyDescent="0.3">
      <c r="A1968" t="s">
        <v>20</v>
      </c>
      <c r="B1968">
        <v>2008</v>
      </c>
      <c r="C1968" t="str">
        <f>_xlfn.CONCAT(Table16[[#This Row],[STATE]],"-",Table16[[#This Row],[YEAR]])</f>
        <v>Maharashtra-2008</v>
      </c>
      <c r="D1968" t="s">
        <v>733</v>
      </c>
      <c r="E1968">
        <v>1134</v>
      </c>
    </row>
    <row r="1969" spans="1:5" x14ac:dyDescent="0.3">
      <c r="A1969" t="s">
        <v>20</v>
      </c>
      <c r="B1969">
        <v>2008</v>
      </c>
      <c r="C1969" t="str">
        <f>_xlfn.CONCAT(Table16[[#This Row],[STATE]],"-",Table16[[#This Row],[YEAR]])</f>
        <v>Maharashtra-2008</v>
      </c>
      <c r="D1969" t="s">
        <v>122</v>
      </c>
      <c r="E1969">
        <v>444</v>
      </c>
    </row>
    <row r="1970" spans="1:5" x14ac:dyDescent="0.3">
      <c r="A1970" t="s">
        <v>20</v>
      </c>
      <c r="B1970">
        <v>2008</v>
      </c>
      <c r="C1970" t="str">
        <f>_xlfn.CONCAT(Table16[[#This Row],[STATE]],"-",Table16[[#This Row],[YEAR]])</f>
        <v>Maharashtra-2008</v>
      </c>
      <c r="D1970" t="s">
        <v>123</v>
      </c>
      <c r="E1970">
        <v>1220</v>
      </c>
    </row>
    <row r="1971" spans="1:5" x14ac:dyDescent="0.3">
      <c r="A1971" t="s">
        <v>20</v>
      </c>
      <c r="B1971">
        <v>2008</v>
      </c>
      <c r="C1971" t="str">
        <f>_xlfn.CONCAT(Table16[[#This Row],[STATE]],"-",Table16[[#This Row],[YEAR]])</f>
        <v>Maharashtra-2008</v>
      </c>
      <c r="D1971" t="s">
        <v>103</v>
      </c>
      <c r="E1971">
        <v>1624</v>
      </c>
    </row>
    <row r="1972" spans="1:5" x14ac:dyDescent="0.3">
      <c r="A1972" t="s">
        <v>20</v>
      </c>
      <c r="B1972">
        <v>2008</v>
      </c>
      <c r="C1972" t="str">
        <f>_xlfn.CONCAT(Table16[[#This Row],[STATE]],"-",Table16[[#This Row],[YEAR]])</f>
        <v>Maharashtra-2008</v>
      </c>
      <c r="D1972" t="s">
        <v>90</v>
      </c>
      <c r="E1972">
        <v>223</v>
      </c>
    </row>
    <row r="1973" spans="1:5" x14ac:dyDescent="0.3">
      <c r="A1973" t="s">
        <v>20</v>
      </c>
      <c r="B1973">
        <v>2008</v>
      </c>
      <c r="C1973" t="str">
        <f>_xlfn.CONCAT(Table16[[#This Row],[STATE]],"-",Table16[[#This Row],[YEAR]])</f>
        <v>Maharashtra-2008</v>
      </c>
      <c r="D1973" t="s">
        <v>368</v>
      </c>
      <c r="E1973">
        <v>8</v>
      </c>
    </row>
    <row r="1974" spans="1:5" x14ac:dyDescent="0.3">
      <c r="A1974" t="s">
        <v>20</v>
      </c>
      <c r="B1974">
        <v>2008</v>
      </c>
      <c r="C1974" t="str">
        <f>_xlfn.CONCAT(Table16[[#This Row],[STATE]],"-",Table16[[#This Row],[YEAR]])</f>
        <v>Maharashtra-2008</v>
      </c>
      <c r="D1974" t="s">
        <v>351</v>
      </c>
      <c r="E1974">
        <v>19</v>
      </c>
    </row>
    <row r="1975" spans="1:5" x14ac:dyDescent="0.3">
      <c r="A1975" t="s">
        <v>20</v>
      </c>
      <c r="B1975">
        <v>2008</v>
      </c>
      <c r="C1975" t="str">
        <f>_xlfn.CONCAT(Table16[[#This Row],[STATE]],"-",Table16[[#This Row],[YEAR]])</f>
        <v>Maharashtra-2008</v>
      </c>
      <c r="D1975" t="s">
        <v>287</v>
      </c>
      <c r="E1975">
        <v>35</v>
      </c>
    </row>
    <row r="1976" spans="1:5" x14ac:dyDescent="0.3">
      <c r="A1976" t="s">
        <v>20</v>
      </c>
      <c r="B1976">
        <v>2008</v>
      </c>
      <c r="C1976" t="str">
        <f>_xlfn.CONCAT(Table16[[#This Row],[STATE]],"-",Table16[[#This Row],[YEAR]])</f>
        <v>Maharashtra-2008</v>
      </c>
      <c r="D1976" t="s">
        <v>484</v>
      </c>
      <c r="E1976">
        <v>264</v>
      </c>
    </row>
    <row r="1977" spans="1:5" x14ac:dyDescent="0.3">
      <c r="A1977" t="s">
        <v>20</v>
      </c>
      <c r="B1977">
        <v>2008</v>
      </c>
      <c r="C1977" t="str">
        <f>_xlfn.CONCAT(Table16[[#This Row],[STATE]],"-",Table16[[#This Row],[YEAR]])</f>
        <v>Maharashtra-2008</v>
      </c>
      <c r="D1977" t="s">
        <v>726</v>
      </c>
      <c r="E1977">
        <v>117</v>
      </c>
    </row>
    <row r="1978" spans="1:5" x14ac:dyDescent="0.3">
      <c r="A1978" t="s">
        <v>20</v>
      </c>
      <c r="B1978">
        <v>2008</v>
      </c>
      <c r="C1978" t="str">
        <f>_xlfn.CONCAT(Table16[[#This Row],[STATE]],"-",Table16[[#This Row],[YEAR]])</f>
        <v>Maharashtra-2008</v>
      </c>
      <c r="D1978" t="s">
        <v>734</v>
      </c>
      <c r="E1978">
        <v>176</v>
      </c>
    </row>
    <row r="1979" spans="1:5" x14ac:dyDescent="0.3">
      <c r="A1979" t="s">
        <v>20</v>
      </c>
      <c r="B1979">
        <v>2008</v>
      </c>
      <c r="C1979" t="str">
        <f>_xlfn.CONCAT(Table16[[#This Row],[STATE]],"-",Table16[[#This Row],[YEAR]])</f>
        <v>Maharashtra-2008</v>
      </c>
      <c r="D1979" t="s">
        <v>142</v>
      </c>
      <c r="E1979">
        <v>680</v>
      </c>
    </row>
    <row r="1980" spans="1:5" x14ac:dyDescent="0.3">
      <c r="A1980" t="s">
        <v>20</v>
      </c>
      <c r="B1980">
        <v>2008</v>
      </c>
      <c r="C1980" t="str">
        <f>_xlfn.CONCAT(Table16[[#This Row],[STATE]],"-",Table16[[#This Row],[YEAR]])</f>
        <v>Maharashtra-2008</v>
      </c>
      <c r="D1980" t="s">
        <v>146</v>
      </c>
      <c r="E1980">
        <v>60</v>
      </c>
    </row>
    <row r="1981" spans="1:5" x14ac:dyDescent="0.3">
      <c r="A1981" t="s">
        <v>20</v>
      </c>
      <c r="B1981">
        <v>2008</v>
      </c>
      <c r="C1981" t="str">
        <f>_xlfn.CONCAT(Table16[[#This Row],[STATE]],"-",Table16[[#This Row],[YEAR]])</f>
        <v>Maharashtra-2008</v>
      </c>
      <c r="D1981" t="s">
        <v>363</v>
      </c>
      <c r="E1981">
        <v>2</v>
      </c>
    </row>
    <row r="1982" spans="1:5" x14ac:dyDescent="0.3">
      <c r="A1982" t="s">
        <v>20</v>
      </c>
      <c r="B1982">
        <v>2008</v>
      </c>
      <c r="C1982" t="str">
        <f>_xlfn.CONCAT(Table16[[#This Row],[STATE]],"-",Table16[[#This Row],[YEAR]])</f>
        <v>Maharashtra-2008</v>
      </c>
      <c r="D1982" t="s">
        <v>266</v>
      </c>
      <c r="E1982">
        <v>10</v>
      </c>
    </row>
    <row r="1983" spans="1:5" x14ac:dyDescent="0.3">
      <c r="A1983" t="s">
        <v>20</v>
      </c>
      <c r="B1983">
        <v>2008</v>
      </c>
      <c r="C1983" t="str">
        <f>_xlfn.CONCAT(Table16[[#This Row],[STATE]],"-",Table16[[#This Row],[YEAR]])</f>
        <v>Maharashtra-2008</v>
      </c>
      <c r="D1983" t="s">
        <v>731</v>
      </c>
      <c r="E1983">
        <v>6</v>
      </c>
    </row>
    <row r="1984" spans="1:5" x14ac:dyDescent="0.3">
      <c r="A1984" t="s">
        <v>20</v>
      </c>
      <c r="B1984">
        <v>2009</v>
      </c>
      <c r="C1984" t="str">
        <f>_xlfn.CONCAT(Table16[[#This Row],[STATE]],"-",Table16[[#This Row],[YEAR]])</f>
        <v>Maharashtra-2009</v>
      </c>
      <c r="D1984" t="s">
        <v>735</v>
      </c>
      <c r="E1984">
        <v>405</v>
      </c>
    </row>
    <row r="1985" spans="1:5" x14ac:dyDescent="0.3">
      <c r="A1985" t="s">
        <v>20</v>
      </c>
      <c r="B1985">
        <v>2009</v>
      </c>
      <c r="C1985" t="str">
        <f>_xlfn.CONCAT(Table16[[#This Row],[STATE]],"-",Table16[[#This Row],[YEAR]])</f>
        <v>Maharashtra-2009</v>
      </c>
      <c r="D1985" t="s">
        <v>192</v>
      </c>
      <c r="E1985">
        <v>410</v>
      </c>
    </row>
    <row r="1986" spans="1:5" x14ac:dyDescent="0.3">
      <c r="A1986" t="s">
        <v>20</v>
      </c>
      <c r="B1986">
        <v>2009</v>
      </c>
      <c r="C1986" t="str">
        <f>_xlfn.CONCAT(Table16[[#This Row],[STATE]],"-",Table16[[#This Row],[YEAR]])</f>
        <v>Maharashtra-2009</v>
      </c>
      <c r="D1986" t="s">
        <v>123</v>
      </c>
      <c r="E1986">
        <v>431</v>
      </c>
    </row>
    <row r="1987" spans="1:5" x14ac:dyDescent="0.3">
      <c r="A1987" t="s">
        <v>20</v>
      </c>
      <c r="B1987">
        <v>2009</v>
      </c>
      <c r="C1987" t="str">
        <f>_xlfn.CONCAT(Table16[[#This Row],[STATE]],"-",Table16[[#This Row],[YEAR]])</f>
        <v>Maharashtra-2009</v>
      </c>
      <c r="D1987" t="s">
        <v>103</v>
      </c>
      <c r="E1987">
        <v>748</v>
      </c>
    </row>
    <row r="1988" spans="1:5" x14ac:dyDescent="0.3">
      <c r="A1988" t="s">
        <v>20</v>
      </c>
      <c r="B1988">
        <v>2009</v>
      </c>
      <c r="C1988" t="str">
        <f>_xlfn.CONCAT(Table16[[#This Row],[STATE]],"-",Table16[[#This Row],[YEAR]])</f>
        <v>Maharashtra-2009</v>
      </c>
      <c r="D1988" t="s">
        <v>90</v>
      </c>
      <c r="E1988">
        <v>220</v>
      </c>
    </row>
    <row r="1989" spans="1:5" x14ac:dyDescent="0.3">
      <c r="A1989" t="s">
        <v>20</v>
      </c>
      <c r="B1989">
        <v>2009</v>
      </c>
      <c r="C1989" t="str">
        <f>_xlfn.CONCAT(Table16[[#This Row],[STATE]],"-",Table16[[#This Row],[YEAR]])</f>
        <v>Maharashtra-2009</v>
      </c>
      <c r="D1989" t="s">
        <v>351</v>
      </c>
      <c r="E1989">
        <v>153</v>
      </c>
    </row>
    <row r="1990" spans="1:5" x14ac:dyDescent="0.3">
      <c r="A1990" t="s">
        <v>20</v>
      </c>
      <c r="B1990">
        <v>2009</v>
      </c>
      <c r="C1990" t="str">
        <f>_xlfn.CONCAT(Table16[[#This Row],[STATE]],"-",Table16[[#This Row],[YEAR]])</f>
        <v>Maharashtra-2009</v>
      </c>
      <c r="D1990" t="s">
        <v>287</v>
      </c>
      <c r="E1990">
        <v>137</v>
      </c>
    </row>
    <row r="1991" spans="1:5" x14ac:dyDescent="0.3">
      <c r="A1991" t="s">
        <v>20</v>
      </c>
      <c r="B1991">
        <v>2009</v>
      </c>
      <c r="C1991" t="str">
        <f>_xlfn.CONCAT(Table16[[#This Row],[STATE]],"-",Table16[[#This Row],[YEAR]])</f>
        <v>Maharashtra-2009</v>
      </c>
      <c r="D1991" t="s">
        <v>484</v>
      </c>
      <c r="E1991">
        <v>80</v>
      </c>
    </row>
    <row r="1992" spans="1:5" x14ac:dyDescent="0.3">
      <c r="A1992" t="s">
        <v>20</v>
      </c>
      <c r="B1992">
        <v>2009</v>
      </c>
      <c r="C1992" t="str">
        <f>_xlfn.CONCAT(Table16[[#This Row],[STATE]],"-",Table16[[#This Row],[YEAR]])</f>
        <v>Maharashtra-2009</v>
      </c>
      <c r="D1992" t="s">
        <v>726</v>
      </c>
      <c r="E1992">
        <v>87</v>
      </c>
    </row>
    <row r="1993" spans="1:5" x14ac:dyDescent="0.3">
      <c r="A1993" t="s">
        <v>20</v>
      </c>
      <c r="B1993">
        <v>2009</v>
      </c>
      <c r="C1993" t="str">
        <f>_xlfn.CONCAT(Table16[[#This Row],[STATE]],"-",Table16[[#This Row],[YEAR]])</f>
        <v>Maharashtra-2009</v>
      </c>
      <c r="D1993" t="s">
        <v>734</v>
      </c>
      <c r="E1993">
        <v>182</v>
      </c>
    </row>
    <row r="1994" spans="1:5" x14ac:dyDescent="0.3">
      <c r="A1994" t="s">
        <v>20</v>
      </c>
      <c r="B1994">
        <v>2009</v>
      </c>
      <c r="C1994" t="str">
        <f>_xlfn.CONCAT(Table16[[#This Row],[STATE]],"-",Table16[[#This Row],[YEAR]])</f>
        <v>Maharashtra-2009</v>
      </c>
      <c r="D1994" t="s">
        <v>142</v>
      </c>
      <c r="E1994">
        <v>398</v>
      </c>
    </row>
    <row r="1995" spans="1:5" x14ac:dyDescent="0.3">
      <c r="A1995" t="s">
        <v>20</v>
      </c>
      <c r="B1995">
        <v>2009</v>
      </c>
      <c r="C1995" t="str">
        <f>_xlfn.CONCAT(Table16[[#This Row],[STATE]],"-",Table16[[#This Row],[YEAR]])</f>
        <v>Maharashtra-2009</v>
      </c>
      <c r="D1995" t="s">
        <v>730</v>
      </c>
      <c r="E1995">
        <v>87</v>
      </c>
    </row>
    <row r="1996" spans="1:5" x14ac:dyDescent="0.3">
      <c r="A1996" t="s">
        <v>20</v>
      </c>
      <c r="B1996">
        <v>2009</v>
      </c>
      <c r="C1996" t="str">
        <f>_xlfn.CONCAT(Table16[[#This Row],[STATE]],"-",Table16[[#This Row],[YEAR]])</f>
        <v>Maharashtra-2009</v>
      </c>
      <c r="D1996" t="s">
        <v>363</v>
      </c>
      <c r="E1996">
        <v>2</v>
      </c>
    </row>
    <row r="1997" spans="1:5" x14ac:dyDescent="0.3">
      <c r="A1997" t="s">
        <v>20</v>
      </c>
      <c r="B1997">
        <v>2010</v>
      </c>
      <c r="C1997" t="str">
        <f>_xlfn.CONCAT(Table16[[#This Row],[STATE]],"-",Table16[[#This Row],[YEAR]])</f>
        <v>Maharashtra-2010</v>
      </c>
      <c r="D1997" t="s">
        <v>736</v>
      </c>
      <c r="E1997">
        <v>777</v>
      </c>
    </row>
    <row r="1998" spans="1:5" x14ac:dyDescent="0.3">
      <c r="A1998" t="s">
        <v>20</v>
      </c>
      <c r="B1998">
        <v>2010</v>
      </c>
      <c r="C1998" t="str">
        <f>_xlfn.CONCAT(Table16[[#This Row],[STATE]],"-",Table16[[#This Row],[YEAR]])</f>
        <v>Maharashtra-2010</v>
      </c>
      <c r="D1998" t="s">
        <v>192</v>
      </c>
      <c r="E1998">
        <v>378</v>
      </c>
    </row>
    <row r="1999" spans="1:5" x14ac:dyDescent="0.3">
      <c r="A1999" t="s">
        <v>20</v>
      </c>
      <c r="B1999">
        <v>2010</v>
      </c>
      <c r="C1999" t="str">
        <f>_xlfn.CONCAT(Table16[[#This Row],[STATE]],"-",Table16[[#This Row],[YEAR]])</f>
        <v>Maharashtra-2010</v>
      </c>
      <c r="D1999" t="s">
        <v>123</v>
      </c>
      <c r="E1999">
        <v>522</v>
      </c>
    </row>
    <row r="2000" spans="1:5" x14ac:dyDescent="0.3">
      <c r="A2000" t="s">
        <v>20</v>
      </c>
      <c r="B2000">
        <v>2010</v>
      </c>
      <c r="C2000" t="str">
        <f>_xlfn.CONCAT(Table16[[#This Row],[STATE]],"-",Table16[[#This Row],[YEAR]])</f>
        <v>Maharashtra-2010</v>
      </c>
      <c r="D2000" t="s">
        <v>103</v>
      </c>
      <c r="E2000">
        <v>534</v>
      </c>
    </row>
    <row r="2001" spans="1:5" x14ac:dyDescent="0.3">
      <c r="A2001" t="s">
        <v>20</v>
      </c>
      <c r="B2001">
        <v>2010</v>
      </c>
      <c r="C2001" t="str">
        <f>_xlfn.CONCAT(Table16[[#This Row],[STATE]],"-",Table16[[#This Row],[YEAR]])</f>
        <v>Maharashtra-2010</v>
      </c>
      <c r="D2001" t="s">
        <v>90</v>
      </c>
      <c r="E2001">
        <v>98</v>
      </c>
    </row>
    <row r="2002" spans="1:5" x14ac:dyDescent="0.3">
      <c r="A2002" t="s">
        <v>20</v>
      </c>
      <c r="B2002">
        <v>2010</v>
      </c>
      <c r="C2002" t="str">
        <f>_xlfn.CONCAT(Table16[[#This Row],[STATE]],"-",Table16[[#This Row],[YEAR]])</f>
        <v>Maharashtra-2010</v>
      </c>
      <c r="D2002" t="s">
        <v>725</v>
      </c>
      <c r="E2002">
        <v>2</v>
      </c>
    </row>
    <row r="2003" spans="1:5" x14ac:dyDescent="0.3">
      <c r="A2003" t="s">
        <v>20</v>
      </c>
      <c r="B2003">
        <v>2010</v>
      </c>
      <c r="C2003" t="str">
        <f>_xlfn.CONCAT(Table16[[#This Row],[STATE]],"-",Table16[[#This Row],[YEAR]])</f>
        <v>Maharashtra-2010</v>
      </c>
      <c r="D2003" t="s">
        <v>351</v>
      </c>
      <c r="E2003">
        <v>157</v>
      </c>
    </row>
    <row r="2004" spans="1:5" x14ac:dyDescent="0.3">
      <c r="A2004" t="s">
        <v>20</v>
      </c>
      <c r="B2004">
        <v>2010</v>
      </c>
      <c r="C2004" t="str">
        <f>_xlfn.CONCAT(Table16[[#This Row],[STATE]],"-",Table16[[#This Row],[YEAR]])</f>
        <v>Maharashtra-2010</v>
      </c>
      <c r="D2004" t="s">
        <v>287</v>
      </c>
      <c r="E2004">
        <v>117</v>
      </c>
    </row>
    <row r="2005" spans="1:5" x14ac:dyDescent="0.3">
      <c r="A2005" t="s">
        <v>20</v>
      </c>
      <c r="B2005">
        <v>2010</v>
      </c>
      <c r="C2005" t="str">
        <f>_xlfn.CONCAT(Table16[[#This Row],[STATE]],"-",Table16[[#This Row],[YEAR]])</f>
        <v>Maharashtra-2010</v>
      </c>
      <c r="D2005" t="s">
        <v>484</v>
      </c>
      <c r="E2005">
        <v>178</v>
      </c>
    </row>
    <row r="2006" spans="1:5" x14ac:dyDescent="0.3">
      <c r="A2006" t="s">
        <v>20</v>
      </c>
      <c r="B2006">
        <v>2010</v>
      </c>
      <c r="C2006" t="str">
        <f>_xlfn.CONCAT(Table16[[#This Row],[STATE]],"-",Table16[[#This Row],[YEAR]])</f>
        <v>Maharashtra-2010</v>
      </c>
      <c r="D2006" t="s">
        <v>726</v>
      </c>
      <c r="E2006">
        <v>90</v>
      </c>
    </row>
    <row r="2007" spans="1:5" x14ac:dyDescent="0.3">
      <c r="A2007" t="s">
        <v>20</v>
      </c>
      <c r="B2007">
        <v>2010</v>
      </c>
      <c r="C2007" t="str">
        <f>_xlfn.CONCAT(Table16[[#This Row],[STATE]],"-",Table16[[#This Row],[YEAR]])</f>
        <v>Maharashtra-2010</v>
      </c>
      <c r="D2007" t="s">
        <v>730</v>
      </c>
      <c r="E2007">
        <v>72</v>
      </c>
    </row>
    <row r="2008" spans="1:5" x14ac:dyDescent="0.3">
      <c r="A2008" t="s">
        <v>20</v>
      </c>
      <c r="B2008">
        <v>2011</v>
      </c>
      <c r="C2008" t="str">
        <f>_xlfn.CONCAT(Table16[[#This Row],[STATE]],"-",Table16[[#This Row],[YEAR]])</f>
        <v>Maharashtra-2011</v>
      </c>
      <c r="D2008" t="s">
        <v>391</v>
      </c>
      <c r="E2008">
        <v>588</v>
      </c>
    </row>
    <row r="2009" spans="1:5" x14ac:dyDescent="0.3">
      <c r="A2009" t="s">
        <v>20</v>
      </c>
      <c r="B2009">
        <v>2011</v>
      </c>
      <c r="C2009" t="str">
        <f>_xlfn.CONCAT(Table16[[#This Row],[STATE]],"-",Table16[[#This Row],[YEAR]])</f>
        <v>Maharashtra-2011</v>
      </c>
      <c r="D2009" t="s">
        <v>192</v>
      </c>
      <c r="E2009">
        <v>338</v>
      </c>
    </row>
    <row r="2010" spans="1:5" x14ac:dyDescent="0.3">
      <c r="A2010" t="s">
        <v>20</v>
      </c>
      <c r="B2010">
        <v>2011</v>
      </c>
      <c r="C2010" t="str">
        <f>_xlfn.CONCAT(Table16[[#This Row],[STATE]],"-",Table16[[#This Row],[YEAR]])</f>
        <v>Maharashtra-2011</v>
      </c>
      <c r="D2010" t="s">
        <v>123</v>
      </c>
      <c r="E2010">
        <v>353</v>
      </c>
    </row>
    <row r="2011" spans="1:5" x14ac:dyDescent="0.3">
      <c r="A2011" t="s">
        <v>20</v>
      </c>
      <c r="B2011">
        <v>2011</v>
      </c>
      <c r="C2011" t="str">
        <f>_xlfn.CONCAT(Table16[[#This Row],[STATE]],"-",Table16[[#This Row],[YEAR]])</f>
        <v>Maharashtra-2011</v>
      </c>
      <c r="D2011" t="s">
        <v>103</v>
      </c>
      <c r="E2011">
        <v>653</v>
      </c>
    </row>
    <row r="2012" spans="1:5" x14ac:dyDescent="0.3">
      <c r="A2012" t="s">
        <v>20</v>
      </c>
      <c r="B2012">
        <v>2011</v>
      </c>
      <c r="C2012" t="str">
        <f>_xlfn.CONCAT(Table16[[#This Row],[STATE]],"-",Table16[[#This Row],[YEAR]])</f>
        <v>Maharashtra-2011</v>
      </c>
      <c r="D2012" t="s">
        <v>90</v>
      </c>
      <c r="E2012">
        <v>50</v>
      </c>
    </row>
    <row r="2013" spans="1:5" x14ac:dyDescent="0.3">
      <c r="A2013" t="s">
        <v>20</v>
      </c>
      <c r="B2013">
        <v>2011</v>
      </c>
      <c r="C2013" t="str">
        <f>_xlfn.CONCAT(Table16[[#This Row],[STATE]],"-",Table16[[#This Row],[YEAR]])</f>
        <v>Maharashtra-2011</v>
      </c>
      <c r="D2013" t="s">
        <v>351</v>
      </c>
      <c r="E2013">
        <v>84</v>
      </c>
    </row>
    <row r="2014" spans="1:5" x14ac:dyDescent="0.3">
      <c r="A2014" t="s">
        <v>20</v>
      </c>
      <c r="B2014">
        <v>2011</v>
      </c>
      <c r="C2014" t="str">
        <f>_xlfn.CONCAT(Table16[[#This Row],[STATE]],"-",Table16[[#This Row],[YEAR]])</f>
        <v>Maharashtra-2011</v>
      </c>
      <c r="D2014" t="s">
        <v>287</v>
      </c>
      <c r="E2014">
        <v>12</v>
      </c>
    </row>
    <row r="2015" spans="1:5" x14ac:dyDescent="0.3">
      <c r="A2015" t="s">
        <v>20</v>
      </c>
      <c r="B2015">
        <v>2011</v>
      </c>
      <c r="C2015" t="str">
        <f>_xlfn.CONCAT(Table16[[#This Row],[STATE]],"-",Table16[[#This Row],[YEAR]])</f>
        <v>Maharashtra-2011</v>
      </c>
      <c r="D2015" t="s">
        <v>484</v>
      </c>
      <c r="E2015">
        <v>78</v>
      </c>
    </row>
    <row r="2016" spans="1:5" x14ac:dyDescent="0.3">
      <c r="A2016" t="s">
        <v>20</v>
      </c>
      <c r="B2016">
        <v>2011</v>
      </c>
      <c r="C2016" t="str">
        <f>_xlfn.CONCAT(Table16[[#This Row],[STATE]],"-",Table16[[#This Row],[YEAR]])</f>
        <v>Maharashtra-2011</v>
      </c>
      <c r="D2016" t="s">
        <v>726</v>
      </c>
      <c r="E2016">
        <v>33</v>
      </c>
    </row>
    <row r="2017" spans="1:5" x14ac:dyDescent="0.3">
      <c r="A2017" t="s">
        <v>20</v>
      </c>
      <c r="B2017">
        <v>2011</v>
      </c>
      <c r="C2017" t="str">
        <f>_xlfn.CONCAT(Table16[[#This Row],[STATE]],"-",Table16[[#This Row],[YEAR]])</f>
        <v>Maharashtra-2011</v>
      </c>
      <c r="D2017" t="s">
        <v>730</v>
      </c>
      <c r="E2017">
        <v>85</v>
      </c>
    </row>
    <row r="2018" spans="1:5" x14ac:dyDescent="0.3">
      <c r="A2018" t="s">
        <v>20</v>
      </c>
      <c r="B2018">
        <v>2011</v>
      </c>
      <c r="C2018" t="str">
        <f>_xlfn.CONCAT(Table16[[#This Row],[STATE]],"-",Table16[[#This Row],[YEAR]])</f>
        <v>Maharashtra-2011</v>
      </c>
      <c r="D2018" t="s">
        <v>731</v>
      </c>
      <c r="E2018">
        <v>20</v>
      </c>
    </row>
    <row r="2019" spans="1:5" x14ac:dyDescent="0.3">
      <c r="A2019" t="s">
        <v>20</v>
      </c>
      <c r="B2019">
        <v>2011</v>
      </c>
      <c r="C2019" t="str">
        <f>_xlfn.CONCAT(Table16[[#This Row],[STATE]],"-",Table16[[#This Row],[YEAR]])</f>
        <v>Maharashtra-2011</v>
      </c>
      <c r="D2019" t="s">
        <v>230</v>
      </c>
      <c r="E2019">
        <v>203</v>
      </c>
    </row>
    <row r="2020" spans="1:5" x14ac:dyDescent="0.3">
      <c r="A2020" t="s">
        <v>20</v>
      </c>
      <c r="B2020">
        <v>2011</v>
      </c>
      <c r="C2020" t="str">
        <f>_xlfn.CONCAT(Table16[[#This Row],[STATE]],"-",Table16[[#This Row],[YEAR]])</f>
        <v>Maharashtra-2011</v>
      </c>
      <c r="D2020" t="s">
        <v>96</v>
      </c>
      <c r="E2020">
        <v>180</v>
      </c>
    </row>
    <row r="2021" spans="1:5" x14ac:dyDescent="0.3">
      <c r="A2021" t="s">
        <v>20</v>
      </c>
      <c r="B2021">
        <v>2011</v>
      </c>
      <c r="C2021" t="str">
        <f>_xlfn.CONCAT(Table16[[#This Row],[STATE]],"-",Table16[[#This Row],[YEAR]])</f>
        <v>Maharashtra-2011</v>
      </c>
      <c r="D2021" t="s">
        <v>109</v>
      </c>
      <c r="E2021">
        <v>205</v>
      </c>
    </row>
    <row r="2022" spans="1:5" x14ac:dyDescent="0.3">
      <c r="A2022" t="s">
        <v>20</v>
      </c>
      <c r="B2022">
        <v>2011</v>
      </c>
      <c r="C2022" t="str">
        <f>_xlfn.CONCAT(Table16[[#This Row],[STATE]],"-",Table16[[#This Row],[YEAR]])</f>
        <v>Maharashtra-2011</v>
      </c>
      <c r="D2022" t="s">
        <v>737</v>
      </c>
      <c r="E2022">
        <v>20</v>
      </c>
    </row>
    <row r="2023" spans="1:5" x14ac:dyDescent="0.3">
      <c r="A2023" t="s">
        <v>20</v>
      </c>
      <c r="B2023">
        <v>2012</v>
      </c>
      <c r="C2023" t="str">
        <f>_xlfn.CONCAT(Table16[[#This Row],[STATE]],"-",Table16[[#This Row],[YEAR]])</f>
        <v>Maharashtra-2012</v>
      </c>
      <c r="D2023" t="s">
        <v>732</v>
      </c>
      <c r="E2023">
        <v>174</v>
      </c>
    </row>
    <row r="2024" spans="1:5" x14ac:dyDescent="0.3">
      <c r="A2024" t="s">
        <v>20</v>
      </c>
      <c r="B2024">
        <v>2012</v>
      </c>
      <c r="C2024" t="str">
        <f>_xlfn.CONCAT(Table16[[#This Row],[STATE]],"-",Table16[[#This Row],[YEAR]])</f>
        <v>Maharashtra-2012</v>
      </c>
      <c r="D2024" t="s">
        <v>192</v>
      </c>
      <c r="E2024">
        <v>241</v>
      </c>
    </row>
    <row r="2025" spans="1:5" x14ac:dyDescent="0.3">
      <c r="A2025" t="s">
        <v>20</v>
      </c>
      <c r="B2025">
        <v>2012</v>
      </c>
      <c r="C2025" t="str">
        <f>_xlfn.CONCAT(Table16[[#This Row],[STATE]],"-",Table16[[#This Row],[YEAR]])</f>
        <v>Maharashtra-2012</v>
      </c>
      <c r="D2025" t="s">
        <v>123</v>
      </c>
      <c r="E2025">
        <v>293</v>
      </c>
    </row>
    <row r="2026" spans="1:5" x14ac:dyDescent="0.3">
      <c r="A2026" t="s">
        <v>20</v>
      </c>
      <c r="B2026">
        <v>2012</v>
      </c>
      <c r="C2026" t="str">
        <f>_xlfn.CONCAT(Table16[[#This Row],[STATE]],"-",Table16[[#This Row],[YEAR]])</f>
        <v>Maharashtra-2012</v>
      </c>
      <c r="D2026" t="s">
        <v>103</v>
      </c>
      <c r="E2026">
        <v>543</v>
      </c>
    </row>
    <row r="2027" spans="1:5" x14ac:dyDescent="0.3">
      <c r="A2027" t="s">
        <v>20</v>
      </c>
      <c r="B2027">
        <v>2012</v>
      </c>
      <c r="C2027" t="str">
        <f>_xlfn.CONCAT(Table16[[#This Row],[STATE]],"-",Table16[[#This Row],[YEAR]])</f>
        <v>Maharashtra-2012</v>
      </c>
      <c r="D2027" t="s">
        <v>90</v>
      </c>
      <c r="E2027">
        <v>45</v>
      </c>
    </row>
    <row r="2028" spans="1:5" x14ac:dyDescent="0.3">
      <c r="A2028" t="s">
        <v>20</v>
      </c>
      <c r="B2028">
        <v>2012</v>
      </c>
      <c r="C2028" t="str">
        <f>_xlfn.CONCAT(Table16[[#This Row],[STATE]],"-",Table16[[#This Row],[YEAR]])</f>
        <v>Maharashtra-2012</v>
      </c>
      <c r="D2028" t="s">
        <v>351</v>
      </c>
      <c r="E2028">
        <v>2</v>
      </c>
    </row>
    <row r="2029" spans="1:5" x14ac:dyDescent="0.3">
      <c r="A2029" t="s">
        <v>20</v>
      </c>
      <c r="B2029">
        <v>2012</v>
      </c>
      <c r="C2029" t="str">
        <f>_xlfn.CONCAT(Table16[[#This Row],[STATE]],"-",Table16[[#This Row],[YEAR]])</f>
        <v>Maharashtra-2012</v>
      </c>
      <c r="D2029" t="s">
        <v>287</v>
      </c>
      <c r="E2029">
        <v>63</v>
      </c>
    </row>
    <row r="2030" spans="1:5" x14ac:dyDescent="0.3">
      <c r="A2030" t="s">
        <v>20</v>
      </c>
      <c r="B2030">
        <v>2012</v>
      </c>
      <c r="C2030" t="str">
        <f>_xlfn.CONCAT(Table16[[#This Row],[STATE]],"-",Table16[[#This Row],[YEAR]])</f>
        <v>Maharashtra-2012</v>
      </c>
      <c r="D2030" t="s">
        <v>484</v>
      </c>
      <c r="E2030">
        <v>5</v>
      </c>
    </row>
    <row r="2031" spans="1:5" x14ac:dyDescent="0.3">
      <c r="A2031" t="s">
        <v>20</v>
      </c>
      <c r="B2031">
        <v>2012</v>
      </c>
      <c r="C2031" t="str">
        <f>_xlfn.CONCAT(Table16[[#This Row],[STATE]],"-",Table16[[#This Row],[YEAR]])</f>
        <v>Maharashtra-2012</v>
      </c>
      <c r="D2031" t="s">
        <v>726</v>
      </c>
      <c r="E2031">
        <v>12</v>
      </c>
    </row>
    <row r="2032" spans="1:5" x14ac:dyDescent="0.3">
      <c r="A2032" t="s">
        <v>20</v>
      </c>
      <c r="B2032">
        <v>2012</v>
      </c>
      <c r="C2032" t="str">
        <f>_xlfn.CONCAT(Table16[[#This Row],[STATE]],"-",Table16[[#This Row],[YEAR]])</f>
        <v>Maharashtra-2012</v>
      </c>
      <c r="D2032" t="s">
        <v>730</v>
      </c>
      <c r="E2032">
        <v>2</v>
      </c>
    </row>
    <row r="2033" spans="1:5" x14ac:dyDescent="0.3">
      <c r="A2033" t="s">
        <v>20</v>
      </c>
      <c r="B2033">
        <v>2012</v>
      </c>
      <c r="C2033" t="str">
        <f>_xlfn.CONCAT(Table16[[#This Row],[STATE]],"-",Table16[[#This Row],[YEAR]])</f>
        <v>Maharashtra-2012</v>
      </c>
      <c r="D2033" t="s">
        <v>731</v>
      </c>
      <c r="E2033">
        <v>3</v>
      </c>
    </row>
    <row r="2034" spans="1:5" x14ac:dyDescent="0.3">
      <c r="A2034" t="s">
        <v>20</v>
      </c>
      <c r="B2034">
        <v>2012</v>
      </c>
      <c r="C2034" t="str">
        <f>_xlfn.CONCAT(Table16[[#This Row],[STATE]],"-",Table16[[#This Row],[YEAR]])</f>
        <v>Maharashtra-2012</v>
      </c>
      <c r="D2034" t="s">
        <v>230</v>
      </c>
      <c r="E2034">
        <v>32</v>
      </c>
    </row>
    <row r="2035" spans="1:5" x14ac:dyDescent="0.3">
      <c r="A2035" t="s">
        <v>20</v>
      </c>
      <c r="B2035">
        <v>2012</v>
      </c>
      <c r="C2035" t="str">
        <f>_xlfn.CONCAT(Table16[[#This Row],[STATE]],"-",Table16[[#This Row],[YEAR]])</f>
        <v>Maharashtra-2012</v>
      </c>
      <c r="D2035" t="s">
        <v>96</v>
      </c>
      <c r="E2035">
        <v>185</v>
      </c>
    </row>
    <row r="2036" spans="1:5" x14ac:dyDescent="0.3">
      <c r="A2036" t="s">
        <v>20</v>
      </c>
      <c r="B2036">
        <v>2012</v>
      </c>
      <c r="C2036" t="str">
        <f>_xlfn.CONCAT(Table16[[#This Row],[STATE]],"-",Table16[[#This Row],[YEAR]])</f>
        <v>Maharashtra-2012</v>
      </c>
      <c r="D2036" t="s">
        <v>109</v>
      </c>
      <c r="E2036">
        <v>1</v>
      </c>
    </row>
    <row r="2037" spans="1:5" x14ac:dyDescent="0.3">
      <c r="A2037" t="s">
        <v>20</v>
      </c>
      <c r="B2037">
        <v>2012</v>
      </c>
      <c r="C2037" t="str">
        <f>_xlfn.CONCAT(Table16[[#This Row],[STATE]],"-",Table16[[#This Row],[YEAR]])</f>
        <v>Maharashtra-2012</v>
      </c>
      <c r="D2037" t="s">
        <v>143</v>
      </c>
      <c r="E2037">
        <v>160</v>
      </c>
    </row>
    <row r="2038" spans="1:5" x14ac:dyDescent="0.3">
      <c r="A2038" t="s">
        <v>20</v>
      </c>
      <c r="B2038">
        <v>2012</v>
      </c>
      <c r="C2038" t="str">
        <f>_xlfn.CONCAT(Table16[[#This Row],[STATE]],"-",Table16[[#This Row],[YEAR]])</f>
        <v>Maharashtra-2012</v>
      </c>
      <c r="D2038" t="s">
        <v>230</v>
      </c>
      <c r="E2038">
        <v>50</v>
      </c>
    </row>
    <row r="2039" spans="1:5" x14ac:dyDescent="0.3">
      <c r="A2039" t="s">
        <v>20</v>
      </c>
      <c r="B2039">
        <v>2012</v>
      </c>
      <c r="C2039" t="str">
        <f>_xlfn.CONCAT(Table16[[#This Row],[STATE]],"-",Table16[[#This Row],[YEAR]])</f>
        <v>Maharashtra-2012</v>
      </c>
      <c r="D2039" t="s">
        <v>96</v>
      </c>
      <c r="E2039">
        <v>245</v>
      </c>
    </row>
    <row r="2040" spans="1:5" x14ac:dyDescent="0.3">
      <c r="A2040" t="s">
        <v>20</v>
      </c>
      <c r="B2040">
        <v>2012</v>
      </c>
      <c r="C2040" t="str">
        <f>_xlfn.CONCAT(Table16[[#This Row],[STATE]],"-",Table16[[#This Row],[YEAR]])</f>
        <v>Maharashtra-2012</v>
      </c>
      <c r="D2040" t="s">
        <v>109</v>
      </c>
      <c r="E2040">
        <v>22</v>
      </c>
    </row>
    <row r="2041" spans="1:5" x14ac:dyDescent="0.3">
      <c r="A2041" t="s">
        <v>20</v>
      </c>
      <c r="B2041">
        <v>2012</v>
      </c>
      <c r="C2041" t="str">
        <f>_xlfn.CONCAT(Table16[[#This Row],[STATE]],"-",Table16[[#This Row],[YEAR]])</f>
        <v>Maharashtra-2012</v>
      </c>
      <c r="D2041" t="s">
        <v>738</v>
      </c>
      <c r="E2041">
        <v>92</v>
      </c>
    </row>
    <row r="2042" spans="1:5" x14ac:dyDescent="0.3">
      <c r="A2042" t="s">
        <v>20</v>
      </c>
      <c r="B2042">
        <v>2012</v>
      </c>
      <c r="C2042" t="str">
        <f>_xlfn.CONCAT(Table16[[#This Row],[STATE]],"-",Table16[[#This Row],[YEAR]])</f>
        <v>Maharashtra-2012</v>
      </c>
      <c r="D2042" t="s">
        <v>378</v>
      </c>
      <c r="E2042">
        <v>10</v>
      </c>
    </row>
    <row r="2043" spans="1:5" x14ac:dyDescent="0.3">
      <c r="A2043" t="s">
        <v>20</v>
      </c>
      <c r="B2043">
        <v>2012</v>
      </c>
      <c r="C2043" t="str">
        <f>_xlfn.CONCAT(Table16[[#This Row],[STATE]],"-",Table16[[#This Row],[YEAR]])</f>
        <v>Maharashtra-2012</v>
      </c>
      <c r="D2043" t="s">
        <v>110</v>
      </c>
      <c r="E2043">
        <v>16</v>
      </c>
    </row>
    <row r="2044" spans="1:5" x14ac:dyDescent="0.3">
      <c r="A2044" t="s">
        <v>20</v>
      </c>
      <c r="B2044">
        <v>2012</v>
      </c>
      <c r="C2044" t="str">
        <f>_xlfn.CONCAT(Table16[[#This Row],[STATE]],"-",Table16[[#This Row],[YEAR]])</f>
        <v>Maharashtra-2012</v>
      </c>
      <c r="D2044" t="s">
        <v>99</v>
      </c>
      <c r="E2044">
        <v>96</v>
      </c>
    </row>
    <row r="2045" spans="1:5" x14ac:dyDescent="0.3">
      <c r="A2045" t="s">
        <v>21</v>
      </c>
      <c r="B2045">
        <v>2009</v>
      </c>
      <c r="C2045" t="str">
        <f>_xlfn.CONCAT(Table16[[#This Row],[STATE]],"-",Table16[[#This Row],[YEAR]])</f>
        <v>Manipur-2009</v>
      </c>
      <c r="D2045" t="s">
        <v>181</v>
      </c>
      <c r="E2045">
        <v>0</v>
      </c>
    </row>
    <row r="2046" spans="1:5" x14ac:dyDescent="0.3">
      <c r="A2046" t="s">
        <v>21</v>
      </c>
      <c r="B2046">
        <v>2009</v>
      </c>
      <c r="C2046" t="str">
        <f>_xlfn.CONCAT(Table16[[#This Row],[STATE]],"-",Table16[[#This Row],[YEAR]])</f>
        <v>Manipur-2009</v>
      </c>
      <c r="D2046" t="s">
        <v>181</v>
      </c>
      <c r="E2046">
        <v>0</v>
      </c>
    </row>
    <row r="2047" spans="1:5" x14ac:dyDescent="0.3">
      <c r="A2047" t="s">
        <v>21</v>
      </c>
      <c r="B2047">
        <v>2012</v>
      </c>
      <c r="C2047" t="str">
        <f>_xlfn.CONCAT(Table16[[#This Row],[STATE]],"-",Table16[[#This Row],[YEAR]])</f>
        <v>Manipur-2012</v>
      </c>
      <c r="D2047" t="s">
        <v>181</v>
      </c>
      <c r="E2047">
        <v>0</v>
      </c>
    </row>
    <row r="2048" spans="1:5" x14ac:dyDescent="0.3">
      <c r="A2048" t="s">
        <v>22</v>
      </c>
      <c r="B2048">
        <v>2001</v>
      </c>
      <c r="C2048" t="str">
        <f>_xlfn.CONCAT(Table16[[#This Row],[STATE]],"-",Table16[[#This Row],[YEAR]])</f>
        <v>Meghalaya-2001</v>
      </c>
      <c r="D2048" t="s">
        <v>739</v>
      </c>
      <c r="E2048">
        <v>8</v>
      </c>
    </row>
    <row r="2049" spans="1:5" x14ac:dyDescent="0.3">
      <c r="A2049" t="s">
        <v>22</v>
      </c>
      <c r="B2049">
        <v>2001</v>
      </c>
      <c r="C2049" t="str">
        <f>_xlfn.CONCAT(Table16[[#This Row],[STATE]],"-",Table16[[#This Row],[YEAR]])</f>
        <v>Meghalaya-2001</v>
      </c>
      <c r="D2049" t="s">
        <v>123</v>
      </c>
      <c r="E2049">
        <v>6</v>
      </c>
    </row>
    <row r="2050" spans="1:5" x14ac:dyDescent="0.3">
      <c r="A2050" t="s">
        <v>22</v>
      </c>
      <c r="B2050">
        <v>2002</v>
      </c>
      <c r="C2050" t="str">
        <f>_xlfn.CONCAT(Table16[[#This Row],[STATE]],"-",Table16[[#This Row],[YEAR]])</f>
        <v>Meghalaya-2002</v>
      </c>
      <c r="D2050" t="s">
        <v>739</v>
      </c>
      <c r="E2050">
        <v>4</v>
      </c>
    </row>
    <row r="2051" spans="1:5" x14ac:dyDescent="0.3">
      <c r="A2051" t="s">
        <v>22</v>
      </c>
      <c r="B2051">
        <v>2002</v>
      </c>
      <c r="C2051" t="str">
        <f>_xlfn.CONCAT(Table16[[#This Row],[STATE]],"-",Table16[[#This Row],[YEAR]])</f>
        <v>Meghalaya-2002</v>
      </c>
      <c r="D2051" t="s">
        <v>123</v>
      </c>
      <c r="E2051">
        <v>3</v>
      </c>
    </row>
    <row r="2052" spans="1:5" x14ac:dyDescent="0.3">
      <c r="A2052" t="s">
        <v>22</v>
      </c>
      <c r="B2052">
        <v>2003</v>
      </c>
      <c r="C2052" t="str">
        <f>_xlfn.CONCAT(Table16[[#This Row],[STATE]],"-",Table16[[#This Row],[YEAR]])</f>
        <v>Meghalaya-2003</v>
      </c>
      <c r="D2052" t="s">
        <v>739</v>
      </c>
      <c r="E2052">
        <v>4</v>
      </c>
    </row>
    <row r="2053" spans="1:5" x14ac:dyDescent="0.3">
      <c r="A2053" t="s">
        <v>22</v>
      </c>
      <c r="B2053">
        <v>2003</v>
      </c>
      <c r="C2053" t="str">
        <f>_xlfn.CONCAT(Table16[[#This Row],[STATE]],"-",Table16[[#This Row],[YEAR]])</f>
        <v>Meghalaya-2003</v>
      </c>
      <c r="D2053" t="s">
        <v>123</v>
      </c>
      <c r="E2053">
        <v>2</v>
      </c>
    </row>
    <row r="2054" spans="1:5" x14ac:dyDescent="0.3">
      <c r="A2054" t="s">
        <v>22</v>
      </c>
      <c r="B2054">
        <v>2004</v>
      </c>
      <c r="C2054" t="str">
        <f>_xlfn.CONCAT(Table16[[#This Row],[STATE]],"-",Table16[[#This Row],[YEAR]])</f>
        <v>Meghalaya-2004</v>
      </c>
      <c r="D2054" t="s">
        <v>740</v>
      </c>
      <c r="E2054">
        <v>6</v>
      </c>
    </row>
    <row r="2055" spans="1:5" x14ac:dyDescent="0.3">
      <c r="A2055" t="s">
        <v>22</v>
      </c>
      <c r="B2055">
        <v>2004</v>
      </c>
      <c r="C2055" t="str">
        <f>_xlfn.CONCAT(Table16[[#This Row],[STATE]],"-",Table16[[#This Row],[YEAR]])</f>
        <v>Meghalaya-2004</v>
      </c>
      <c r="D2055" t="s">
        <v>355</v>
      </c>
      <c r="E2055">
        <v>6</v>
      </c>
    </row>
    <row r="2056" spans="1:5" x14ac:dyDescent="0.3">
      <c r="A2056" t="s">
        <v>22</v>
      </c>
      <c r="B2056">
        <v>2004</v>
      </c>
      <c r="C2056" t="str">
        <f>_xlfn.CONCAT(Table16[[#This Row],[STATE]],"-",Table16[[#This Row],[YEAR]])</f>
        <v>Meghalaya-2004</v>
      </c>
      <c r="D2056" t="s">
        <v>123</v>
      </c>
      <c r="E2056">
        <v>3</v>
      </c>
    </row>
    <row r="2057" spans="1:5" x14ac:dyDescent="0.3">
      <c r="A2057" t="s">
        <v>22</v>
      </c>
      <c r="B2057">
        <v>2005</v>
      </c>
      <c r="C2057" t="str">
        <f>_xlfn.CONCAT(Table16[[#This Row],[STATE]],"-",Table16[[#This Row],[YEAR]])</f>
        <v>Meghalaya-2005</v>
      </c>
      <c r="D2057" t="s">
        <v>569</v>
      </c>
      <c r="E2057">
        <v>7</v>
      </c>
    </row>
    <row r="2058" spans="1:5" x14ac:dyDescent="0.3">
      <c r="A2058" t="s">
        <v>22</v>
      </c>
      <c r="B2058">
        <v>2005</v>
      </c>
      <c r="C2058" t="str">
        <f>_xlfn.CONCAT(Table16[[#This Row],[STATE]],"-",Table16[[#This Row],[YEAR]])</f>
        <v>Meghalaya-2005</v>
      </c>
      <c r="D2058" t="s">
        <v>123</v>
      </c>
      <c r="E2058">
        <v>6</v>
      </c>
    </row>
    <row r="2059" spans="1:5" x14ac:dyDescent="0.3">
      <c r="A2059" t="s">
        <v>22</v>
      </c>
      <c r="B2059">
        <v>2006</v>
      </c>
      <c r="C2059" t="str">
        <f>_xlfn.CONCAT(Table16[[#This Row],[STATE]],"-",Table16[[#This Row],[YEAR]])</f>
        <v>Meghalaya-2006</v>
      </c>
      <c r="D2059" t="s">
        <v>569</v>
      </c>
      <c r="E2059">
        <v>10</v>
      </c>
    </row>
    <row r="2060" spans="1:5" x14ac:dyDescent="0.3">
      <c r="A2060" t="s">
        <v>22</v>
      </c>
      <c r="B2060">
        <v>2006</v>
      </c>
      <c r="C2060" t="str">
        <f>_xlfn.CONCAT(Table16[[#This Row],[STATE]],"-",Table16[[#This Row],[YEAR]])</f>
        <v>Meghalaya-2006</v>
      </c>
      <c r="D2060" t="s">
        <v>123</v>
      </c>
      <c r="E2060">
        <v>9</v>
      </c>
    </row>
    <row r="2061" spans="1:5" x14ac:dyDescent="0.3">
      <c r="A2061" t="s">
        <v>22</v>
      </c>
      <c r="B2061">
        <v>2006</v>
      </c>
      <c r="C2061" t="str">
        <f>_xlfn.CONCAT(Table16[[#This Row],[STATE]],"-",Table16[[#This Row],[YEAR]])</f>
        <v>Meghalaya-2006</v>
      </c>
      <c r="D2061" t="s">
        <v>739</v>
      </c>
      <c r="E2061">
        <v>11</v>
      </c>
    </row>
    <row r="2062" spans="1:5" x14ac:dyDescent="0.3">
      <c r="A2062" t="s">
        <v>22</v>
      </c>
      <c r="B2062">
        <v>2007</v>
      </c>
      <c r="C2062" t="str">
        <f>_xlfn.CONCAT(Table16[[#This Row],[STATE]],"-",Table16[[#This Row],[YEAR]])</f>
        <v>Meghalaya-2007</v>
      </c>
      <c r="D2062" t="s">
        <v>741</v>
      </c>
      <c r="E2062">
        <v>35</v>
      </c>
    </row>
    <row r="2063" spans="1:5" x14ac:dyDescent="0.3">
      <c r="A2063" t="s">
        <v>22</v>
      </c>
      <c r="B2063">
        <v>2007</v>
      </c>
      <c r="C2063" t="str">
        <f>_xlfn.CONCAT(Table16[[#This Row],[STATE]],"-",Table16[[#This Row],[YEAR]])</f>
        <v>Meghalaya-2007</v>
      </c>
      <c r="D2063" t="s">
        <v>123</v>
      </c>
      <c r="E2063">
        <v>2</v>
      </c>
    </row>
    <row r="2064" spans="1:5" x14ac:dyDescent="0.3">
      <c r="A2064" t="s">
        <v>22</v>
      </c>
      <c r="B2064">
        <v>2007</v>
      </c>
      <c r="C2064" t="str">
        <f>_xlfn.CONCAT(Table16[[#This Row],[STATE]],"-",Table16[[#This Row],[YEAR]])</f>
        <v>Meghalaya-2007</v>
      </c>
      <c r="D2064" t="s">
        <v>103</v>
      </c>
      <c r="E2064">
        <v>4</v>
      </c>
    </row>
    <row r="2065" spans="1:5" x14ac:dyDescent="0.3">
      <c r="A2065" t="s">
        <v>22</v>
      </c>
      <c r="B2065">
        <v>2008</v>
      </c>
      <c r="C2065" t="str">
        <f>_xlfn.CONCAT(Table16[[#This Row],[STATE]],"-",Table16[[#This Row],[YEAR]])</f>
        <v>Meghalaya-2008</v>
      </c>
      <c r="D2065" t="s">
        <v>742</v>
      </c>
      <c r="E2065">
        <v>59</v>
      </c>
    </row>
    <row r="2066" spans="1:5" x14ac:dyDescent="0.3">
      <c r="A2066" t="s">
        <v>22</v>
      </c>
      <c r="B2066">
        <v>2008</v>
      </c>
      <c r="C2066" t="str">
        <f>_xlfn.CONCAT(Table16[[#This Row],[STATE]],"-",Table16[[#This Row],[YEAR]])</f>
        <v>Meghalaya-2008</v>
      </c>
      <c r="D2066" t="s">
        <v>123</v>
      </c>
      <c r="E2066">
        <v>39</v>
      </c>
    </row>
    <row r="2067" spans="1:5" x14ac:dyDescent="0.3">
      <c r="A2067" t="s">
        <v>22</v>
      </c>
      <c r="B2067">
        <v>2008</v>
      </c>
      <c r="C2067" t="str">
        <f>_xlfn.CONCAT(Table16[[#This Row],[STATE]],"-",Table16[[#This Row],[YEAR]])</f>
        <v>Meghalaya-2008</v>
      </c>
      <c r="D2067" t="s">
        <v>743</v>
      </c>
      <c r="E2067">
        <v>2</v>
      </c>
    </row>
    <row r="2068" spans="1:5" x14ac:dyDescent="0.3">
      <c r="A2068" t="s">
        <v>22</v>
      </c>
      <c r="B2068">
        <v>2009</v>
      </c>
      <c r="C2068" t="str">
        <f>_xlfn.CONCAT(Table16[[#This Row],[STATE]],"-",Table16[[#This Row],[YEAR]])</f>
        <v>Meghalaya-2009</v>
      </c>
      <c r="D2068" t="s">
        <v>742</v>
      </c>
      <c r="E2068">
        <v>12</v>
      </c>
    </row>
    <row r="2069" spans="1:5" x14ac:dyDescent="0.3">
      <c r="A2069" t="s">
        <v>22</v>
      </c>
      <c r="B2069">
        <v>2009</v>
      </c>
      <c r="C2069" t="str">
        <f>_xlfn.CONCAT(Table16[[#This Row],[STATE]],"-",Table16[[#This Row],[YEAR]])</f>
        <v>Meghalaya-2009</v>
      </c>
      <c r="D2069" t="s">
        <v>123</v>
      </c>
      <c r="E2069">
        <v>8</v>
      </c>
    </row>
    <row r="2070" spans="1:5" x14ac:dyDescent="0.3">
      <c r="A2070" t="s">
        <v>22</v>
      </c>
      <c r="B2070">
        <v>2010</v>
      </c>
      <c r="C2070" t="str">
        <f>_xlfn.CONCAT(Table16[[#This Row],[STATE]],"-",Table16[[#This Row],[YEAR]])</f>
        <v>Meghalaya-2010</v>
      </c>
      <c r="D2070" t="s">
        <v>744</v>
      </c>
      <c r="E2070">
        <v>29</v>
      </c>
    </row>
    <row r="2071" spans="1:5" x14ac:dyDescent="0.3">
      <c r="A2071" t="s">
        <v>22</v>
      </c>
      <c r="B2071">
        <v>2010</v>
      </c>
      <c r="C2071" t="str">
        <f>_xlfn.CONCAT(Table16[[#This Row],[STATE]],"-",Table16[[#This Row],[YEAR]])</f>
        <v>Meghalaya-2010</v>
      </c>
      <c r="D2071" t="s">
        <v>123</v>
      </c>
      <c r="E2071">
        <v>22</v>
      </c>
    </row>
    <row r="2072" spans="1:5" x14ac:dyDescent="0.3">
      <c r="A2072" t="s">
        <v>22</v>
      </c>
      <c r="B2072">
        <v>2010</v>
      </c>
      <c r="C2072" t="str">
        <f>_xlfn.CONCAT(Table16[[#This Row],[STATE]],"-",Table16[[#This Row],[YEAR]])</f>
        <v>Meghalaya-2010</v>
      </c>
      <c r="D2072" t="s">
        <v>745</v>
      </c>
      <c r="E2072">
        <v>2</v>
      </c>
    </row>
    <row r="2073" spans="1:5" x14ac:dyDescent="0.3">
      <c r="A2073" t="s">
        <v>22</v>
      </c>
      <c r="B2073">
        <v>2011</v>
      </c>
      <c r="C2073" t="str">
        <f>_xlfn.CONCAT(Table16[[#This Row],[STATE]],"-",Table16[[#This Row],[YEAR]])</f>
        <v>Meghalaya-2011</v>
      </c>
      <c r="D2073" t="s">
        <v>746</v>
      </c>
      <c r="E2073">
        <v>18</v>
      </c>
    </row>
    <row r="2074" spans="1:5" x14ac:dyDescent="0.3">
      <c r="A2074" t="s">
        <v>22</v>
      </c>
      <c r="B2074">
        <v>2011</v>
      </c>
      <c r="C2074" t="str">
        <f>_xlfn.CONCAT(Table16[[#This Row],[STATE]],"-",Table16[[#This Row],[YEAR]])</f>
        <v>Meghalaya-2011</v>
      </c>
      <c r="D2074" t="s">
        <v>123</v>
      </c>
      <c r="E2074">
        <v>22</v>
      </c>
    </row>
    <row r="2075" spans="1:5" x14ac:dyDescent="0.3">
      <c r="A2075" t="s">
        <v>22</v>
      </c>
      <c r="B2075">
        <v>2011</v>
      </c>
      <c r="C2075" t="str">
        <f>_xlfn.CONCAT(Table16[[#This Row],[STATE]],"-",Table16[[#This Row],[YEAR]])</f>
        <v>Meghalaya-2011</v>
      </c>
      <c r="D2075" t="s">
        <v>747</v>
      </c>
      <c r="E2075">
        <v>2</v>
      </c>
    </row>
    <row r="2076" spans="1:5" x14ac:dyDescent="0.3">
      <c r="A2076" t="s">
        <v>22</v>
      </c>
      <c r="B2076">
        <v>2012</v>
      </c>
      <c r="C2076" t="str">
        <f>_xlfn.CONCAT(Table16[[#This Row],[STATE]],"-",Table16[[#This Row],[YEAR]])</f>
        <v>Meghalaya-2012</v>
      </c>
      <c r="D2076" t="s">
        <v>742</v>
      </c>
      <c r="E2076">
        <v>27</v>
      </c>
    </row>
    <row r="2077" spans="1:5" x14ac:dyDescent="0.3">
      <c r="A2077" t="s">
        <v>22</v>
      </c>
      <c r="B2077">
        <v>2012</v>
      </c>
      <c r="C2077" t="str">
        <f>_xlfn.CONCAT(Table16[[#This Row],[STATE]],"-",Table16[[#This Row],[YEAR]])</f>
        <v>Meghalaya-2012</v>
      </c>
      <c r="D2077" t="s">
        <v>123</v>
      </c>
      <c r="E2077">
        <v>15</v>
      </c>
    </row>
    <row r="2078" spans="1:5" x14ac:dyDescent="0.3">
      <c r="A2078" t="s">
        <v>23</v>
      </c>
      <c r="B2078">
        <v>2001</v>
      </c>
      <c r="C2078" t="str">
        <f>_xlfn.CONCAT(Table16[[#This Row],[STATE]],"-",Table16[[#This Row],[YEAR]])</f>
        <v>Mizoram-2001</v>
      </c>
      <c r="D2078" t="s">
        <v>123</v>
      </c>
      <c r="E2078">
        <v>40</v>
      </c>
    </row>
    <row r="2079" spans="1:5" x14ac:dyDescent="0.3">
      <c r="A2079" t="s">
        <v>23</v>
      </c>
      <c r="B2079">
        <v>2001</v>
      </c>
      <c r="C2079" t="str">
        <f>_xlfn.CONCAT(Table16[[#This Row],[STATE]],"-",Table16[[#This Row],[YEAR]])</f>
        <v>Mizoram-2001</v>
      </c>
      <c r="D2079" t="s">
        <v>90</v>
      </c>
      <c r="E2079">
        <v>18</v>
      </c>
    </row>
    <row r="2080" spans="1:5" x14ac:dyDescent="0.3">
      <c r="A2080" t="s">
        <v>23</v>
      </c>
      <c r="B2080">
        <v>2002</v>
      </c>
      <c r="C2080" t="str">
        <f>_xlfn.CONCAT(Table16[[#This Row],[STATE]],"-",Table16[[#This Row],[YEAR]])</f>
        <v>Mizoram-2002</v>
      </c>
      <c r="D2080" t="s">
        <v>123</v>
      </c>
      <c r="E2080">
        <v>45</v>
      </c>
    </row>
    <row r="2081" spans="1:5" x14ac:dyDescent="0.3">
      <c r="A2081" t="s">
        <v>23</v>
      </c>
      <c r="B2081">
        <v>2002</v>
      </c>
      <c r="C2081" t="str">
        <f>_xlfn.CONCAT(Table16[[#This Row],[STATE]],"-",Table16[[#This Row],[YEAR]])</f>
        <v>Mizoram-2002</v>
      </c>
      <c r="D2081" t="s">
        <v>90</v>
      </c>
      <c r="E2081">
        <v>22</v>
      </c>
    </row>
    <row r="2082" spans="1:5" x14ac:dyDescent="0.3">
      <c r="A2082" t="s">
        <v>23</v>
      </c>
      <c r="B2082">
        <v>2003</v>
      </c>
      <c r="C2082" t="str">
        <f>_xlfn.CONCAT(Table16[[#This Row],[STATE]],"-",Table16[[#This Row],[YEAR]])</f>
        <v>Mizoram-2003</v>
      </c>
      <c r="D2082" t="s">
        <v>123</v>
      </c>
      <c r="E2082">
        <v>15</v>
      </c>
    </row>
    <row r="2083" spans="1:5" x14ac:dyDescent="0.3">
      <c r="A2083" t="s">
        <v>23</v>
      </c>
      <c r="B2083">
        <v>2003</v>
      </c>
      <c r="C2083" t="str">
        <f>_xlfn.CONCAT(Table16[[#This Row],[STATE]],"-",Table16[[#This Row],[YEAR]])</f>
        <v>Mizoram-2003</v>
      </c>
      <c r="D2083" t="s">
        <v>748</v>
      </c>
      <c r="E2083">
        <v>13</v>
      </c>
    </row>
    <row r="2084" spans="1:5" x14ac:dyDescent="0.3">
      <c r="A2084" t="s">
        <v>23</v>
      </c>
      <c r="B2084">
        <v>2003</v>
      </c>
      <c r="C2084" t="str">
        <f>_xlfn.CONCAT(Table16[[#This Row],[STATE]],"-",Table16[[#This Row],[YEAR]])</f>
        <v>Mizoram-2003</v>
      </c>
      <c r="D2084" t="s">
        <v>103</v>
      </c>
      <c r="E2084">
        <v>6</v>
      </c>
    </row>
    <row r="2085" spans="1:5" x14ac:dyDescent="0.3">
      <c r="A2085" t="s">
        <v>23</v>
      </c>
      <c r="B2085">
        <v>2004</v>
      </c>
      <c r="C2085" t="str">
        <f>_xlfn.CONCAT(Table16[[#This Row],[STATE]],"-",Table16[[#This Row],[YEAR]])</f>
        <v>Mizoram-2004</v>
      </c>
      <c r="D2085" t="s">
        <v>123</v>
      </c>
      <c r="E2085">
        <v>30</v>
      </c>
    </row>
    <row r="2086" spans="1:5" x14ac:dyDescent="0.3">
      <c r="A2086" t="s">
        <v>23</v>
      </c>
      <c r="B2086">
        <v>2004</v>
      </c>
      <c r="C2086" t="str">
        <f>_xlfn.CONCAT(Table16[[#This Row],[STATE]],"-",Table16[[#This Row],[YEAR]])</f>
        <v>Mizoram-2004</v>
      </c>
      <c r="D2086" t="s">
        <v>748</v>
      </c>
      <c r="E2086">
        <v>29</v>
      </c>
    </row>
    <row r="2087" spans="1:5" x14ac:dyDescent="0.3">
      <c r="A2087" t="s">
        <v>23</v>
      </c>
      <c r="B2087">
        <v>2004</v>
      </c>
      <c r="C2087" t="str">
        <f>_xlfn.CONCAT(Table16[[#This Row],[STATE]],"-",Table16[[#This Row],[YEAR]])</f>
        <v>Mizoram-2004</v>
      </c>
      <c r="D2087" t="s">
        <v>103</v>
      </c>
      <c r="E2087">
        <v>5</v>
      </c>
    </row>
    <row r="2088" spans="1:5" x14ac:dyDescent="0.3">
      <c r="A2088" t="s">
        <v>23</v>
      </c>
      <c r="B2088">
        <v>2005</v>
      </c>
      <c r="C2088" t="str">
        <f>_xlfn.CONCAT(Table16[[#This Row],[STATE]],"-",Table16[[#This Row],[YEAR]])</f>
        <v>Mizoram-2005</v>
      </c>
      <c r="D2088" t="s">
        <v>123</v>
      </c>
      <c r="E2088">
        <v>12</v>
      </c>
    </row>
    <row r="2089" spans="1:5" x14ac:dyDescent="0.3">
      <c r="A2089" t="s">
        <v>23</v>
      </c>
      <c r="B2089">
        <v>2005</v>
      </c>
      <c r="C2089" t="str">
        <f>_xlfn.CONCAT(Table16[[#This Row],[STATE]],"-",Table16[[#This Row],[YEAR]])</f>
        <v>Mizoram-2005</v>
      </c>
      <c r="D2089" t="s">
        <v>185</v>
      </c>
      <c r="E2089">
        <v>10</v>
      </c>
    </row>
    <row r="2090" spans="1:5" x14ac:dyDescent="0.3">
      <c r="A2090" t="s">
        <v>23</v>
      </c>
      <c r="B2090">
        <v>2005</v>
      </c>
      <c r="C2090" t="str">
        <f>_xlfn.CONCAT(Table16[[#This Row],[STATE]],"-",Table16[[#This Row],[YEAR]])</f>
        <v>Mizoram-2005</v>
      </c>
      <c r="D2090" t="s">
        <v>103</v>
      </c>
      <c r="E2090">
        <v>4</v>
      </c>
    </row>
    <row r="2091" spans="1:5" x14ac:dyDescent="0.3">
      <c r="A2091" t="s">
        <v>23</v>
      </c>
      <c r="B2091">
        <v>2006</v>
      </c>
      <c r="C2091" t="str">
        <f>_xlfn.CONCAT(Table16[[#This Row],[STATE]],"-",Table16[[#This Row],[YEAR]])</f>
        <v>Mizoram-2006</v>
      </c>
      <c r="D2091" t="s">
        <v>369</v>
      </c>
      <c r="E2091">
        <v>10</v>
      </c>
    </row>
    <row r="2092" spans="1:5" x14ac:dyDescent="0.3">
      <c r="A2092" t="s">
        <v>23</v>
      </c>
      <c r="B2092">
        <v>2006</v>
      </c>
      <c r="C2092" t="str">
        <f>_xlfn.CONCAT(Table16[[#This Row],[STATE]],"-",Table16[[#This Row],[YEAR]])</f>
        <v>Mizoram-2006</v>
      </c>
      <c r="D2092" t="s">
        <v>749</v>
      </c>
      <c r="E2092">
        <v>5</v>
      </c>
    </row>
    <row r="2093" spans="1:5" x14ac:dyDescent="0.3">
      <c r="A2093" t="s">
        <v>23</v>
      </c>
      <c r="B2093">
        <v>2006</v>
      </c>
      <c r="C2093" t="str">
        <f>_xlfn.CONCAT(Table16[[#This Row],[STATE]],"-",Table16[[#This Row],[YEAR]])</f>
        <v>Mizoram-2006</v>
      </c>
      <c r="D2093" t="s">
        <v>374</v>
      </c>
      <c r="E2093">
        <v>2</v>
      </c>
    </row>
    <row r="2094" spans="1:5" x14ac:dyDescent="0.3">
      <c r="A2094" t="s">
        <v>23</v>
      </c>
      <c r="B2094">
        <v>2006</v>
      </c>
      <c r="C2094" t="str">
        <f>_xlfn.CONCAT(Table16[[#This Row],[STATE]],"-",Table16[[#This Row],[YEAR]])</f>
        <v>Mizoram-2006</v>
      </c>
      <c r="D2094" t="s">
        <v>750</v>
      </c>
      <c r="E2094">
        <v>3</v>
      </c>
    </row>
    <row r="2095" spans="1:5" x14ac:dyDescent="0.3">
      <c r="A2095" t="s">
        <v>23</v>
      </c>
      <c r="B2095">
        <v>2007</v>
      </c>
      <c r="C2095" t="str">
        <f>_xlfn.CONCAT(Table16[[#This Row],[STATE]],"-",Table16[[#This Row],[YEAR]])</f>
        <v>Mizoram-2007</v>
      </c>
      <c r="D2095" t="s">
        <v>123</v>
      </c>
      <c r="E2095">
        <v>13</v>
      </c>
    </row>
    <row r="2096" spans="1:5" x14ac:dyDescent="0.3">
      <c r="A2096" t="s">
        <v>23</v>
      </c>
      <c r="B2096">
        <v>2007</v>
      </c>
      <c r="C2096" t="str">
        <f>_xlfn.CONCAT(Table16[[#This Row],[STATE]],"-",Table16[[#This Row],[YEAR]])</f>
        <v>Mizoram-2007</v>
      </c>
      <c r="D2096" t="s">
        <v>185</v>
      </c>
      <c r="E2096">
        <v>5</v>
      </c>
    </row>
    <row r="2097" spans="1:5" x14ac:dyDescent="0.3">
      <c r="A2097" t="s">
        <v>23</v>
      </c>
      <c r="B2097">
        <v>2007</v>
      </c>
      <c r="C2097" t="str">
        <f>_xlfn.CONCAT(Table16[[#This Row],[STATE]],"-",Table16[[#This Row],[YEAR]])</f>
        <v>Mizoram-2007</v>
      </c>
      <c r="D2097" t="s">
        <v>103</v>
      </c>
      <c r="E2097">
        <v>3</v>
      </c>
    </row>
    <row r="2098" spans="1:5" x14ac:dyDescent="0.3">
      <c r="A2098" t="s">
        <v>23</v>
      </c>
      <c r="B2098">
        <v>2007</v>
      </c>
      <c r="C2098" t="str">
        <f>_xlfn.CONCAT(Table16[[#This Row],[STATE]],"-",Table16[[#This Row],[YEAR]])</f>
        <v>Mizoram-2007</v>
      </c>
      <c r="D2098" t="s">
        <v>190</v>
      </c>
      <c r="E2098">
        <v>3</v>
      </c>
    </row>
    <row r="2099" spans="1:5" x14ac:dyDescent="0.3">
      <c r="A2099" t="s">
        <v>23</v>
      </c>
      <c r="B2099">
        <v>2007</v>
      </c>
      <c r="C2099" t="str">
        <f>_xlfn.CONCAT(Table16[[#This Row],[STATE]],"-",Table16[[#This Row],[YEAR]])</f>
        <v>Mizoram-2007</v>
      </c>
      <c r="D2099" t="s">
        <v>751</v>
      </c>
      <c r="E2099">
        <v>25</v>
      </c>
    </row>
    <row r="2100" spans="1:5" x14ac:dyDescent="0.3">
      <c r="A2100" t="s">
        <v>23</v>
      </c>
      <c r="B2100">
        <v>2008</v>
      </c>
      <c r="C2100" t="str">
        <f>_xlfn.CONCAT(Table16[[#This Row],[STATE]],"-",Table16[[#This Row],[YEAR]])</f>
        <v>Mizoram-2008</v>
      </c>
      <c r="D2100" t="s">
        <v>369</v>
      </c>
      <c r="E2100">
        <v>15</v>
      </c>
    </row>
    <row r="2101" spans="1:5" x14ac:dyDescent="0.3">
      <c r="A2101" t="s">
        <v>23</v>
      </c>
      <c r="B2101">
        <v>2008</v>
      </c>
      <c r="C2101" t="str">
        <f>_xlfn.CONCAT(Table16[[#This Row],[STATE]],"-",Table16[[#This Row],[YEAR]])</f>
        <v>Mizoram-2008</v>
      </c>
      <c r="D2101" t="s">
        <v>749</v>
      </c>
      <c r="E2101">
        <v>5</v>
      </c>
    </row>
    <row r="2102" spans="1:5" x14ac:dyDescent="0.3">
      <c r="A2102" t="s">
        <v>23</v>
      </c>
      <c r="B2102">
        <v>2008</v>
      </c>
      <c r="C2102" t="str">
        <f>_xlfn.CONCAT(Table16[[#This Row],[STATE]],"-",Table16[[#This Row],[YEAR]])</f>
        <v>Mizoram-2008</v>
      </c>
      <c r="D2102" t="s">
        <v>103</v>
      </c>
      <c r="E2102">
        <v>2</v>
      </c>
    </row>
    <row r="2103" spans="1:5" x14ac:dyDescent="0.3">
      <c r="A2103" t="s">
        <v>23</v>
      </c>
      <c r="B2103">
        <v>2009</v>
      </c>
      <c r="C2103" t="str">
        <f>_xlfn.CONCAT(Table16[[#This Row],[STATE]],"-",Table16[[#This Row],[YEAR]])</f>
        <v>Mizoram-2009</v>
      </c>
      <c r="D2103" t="s">
        <v>369</v>
      </c>
      <c r="E2103">
        <v>25</v>
      </c>
    </row>
    <row r="2104" spans="1:5" x14ac:dyDescent="0.3">
      <c r="A2104" t="s">
        <v>23</v>
      </c>
      <c r="B2104">
        <v>2009</v>
      </c>
      <c r="C2104" t="str">
        <f>_xlfn.CONCAT(Table16[[#This Row],[STATE]],"-",Table16[[#This Row],[YEAR]])</f>
        <v>Mizoram-2009</v>
      </c>
      <c r="D2104" t="s">
        <v>749</v>
      </c>
      <c r="E2104">
        <v>20</v>
      </c>
    </row>
    <row r="2105" spans="1:5" x14ac:dyDescent="0.3">
      <c r="A2105" t="s">
        <v>23</v>
      </c>
      <c r="B2105">
        <v>2009</v>
      </c>
      <c r="C2105" t="str">
        <f>_xlfn.CONCAT(Table16[[#This Row],[STATE]],"-",Table16[[#This Row],[YEAR]])</f>
        <v>Mizoram-2009</v>
      </c>
      <c r="D2105" t="s">
        <v>374</v>
      </c>
      <c r="E2105">
        <v>10</v>
      </c>
    </row>
    <row r="2106" spans="1:5" x14ac:dyDescent="0.3">
      <c r="A2106" t="s">
        <v>23</v>
      </c>
      <c r="B2106">
        <v>2010</v>
      </c>
      <c r="C2106" t="str">
        <f>_xlfn.CONCAT(Table16[[#This Row],[STATE]],"-",Table16[[#This Row],[YEAR]])</f>
        <v>Mizoram-2010</v>
      </c>
      <c r="D2106" t="s">
        <v>369</v>
      </c>
      <c r="E2106">
        <v>25</v>
      </c>
    </row>
    <row r="2107" spans="1:5" x14ac:dyDescent="0.3">
      <c r="A2107" t="s">
        <v>23</v>
      </c>
      <c r="B2107">
        <v>2010</v>
      </c>
      <c r="C2107" t="str">
        <f>_xlfn.CONCAT(Table16[[#This Row],[STATE]],"-",Table16[[#This Row],[YEAR]])</f>
        <v>Mizoram-2010</v>
      </c>
      <c r="D2107" t="s">
        <v>185</v>
      </c>
      <c r="E2107">
        <v>20</v>
      </c>
    </row>
    <row r="2108" spans="1:5" x14ac:dyDescent="0.3">
      <c r="A2108" t="s">
        <v>23</v>
      </c>
      <c r="B2108">
        <v>2010</v>
      </c>
      <c r="C2108" t="str">
        <f>_xlfn.CONCAT(Table16[[#This Row],[STATE]],"-",Table16[[#This Row],[YEAR]])</f>
        <v>Mizoram-2010</v>
      </c>
      <c r="D2108" t="s">
        <v>103</v>
      </c>
      <c r="E2108">
        <v>12</v>
      </c>
    </row>
    <row r="2109" spans="1:5" x14ac:dyDescent="0.3">
      <c r="A2109" t="s">
        <v>23</v>
      </c>
      <c r="B2109">
        <v>2011</v>
      </c>
      <c r="C2109" t="str">
        <f>_xlfn.CONCAT(Table16[[#This Row],[STATE]],"-",Table16[[#This Row],[YEAR]])</f>
        <v>Mizoram-2011</v>
      </c>
      <c r="D2109" t="s">
        <v>369</v>
      </c>
      <c r="E2109">
        <v>25</v>
      </c>
    </row>
    <row r="2110" spans="1:5" x14ac:dyDescent="0.3">
      <c r="A2110" t="s">
        <v>23</v>
      </c>
      <c r="B2110">
        <v>2011</v>
      </c>
      <c r="C2110" t="str">
        <f>_xlfn.CONCAT(Table16[[#This Row],[STATE]],"-",Table16[[#This Row],[YEAR]])</f>
        <v>Mizoram-2011</v>
      </c>
      <c r="D2110" t="s">
        <v>185</v>
      </c>
      <c r="E2110">
        <v>10</v>
      </c>
    </row>
    <row r="2111" spans="1:5" x14ac:dyDescent="0.3">
      <c r="A2111" t="s">
        <v>23</v>
      </c>
      <c r="B2111">
        <v>2011</v>
      </c>
      <c r="C2111" t="str">
        <f>_xlfn.CONCAT(Table16[[#This Row],[STATE]],"-",Table16[[#This Row],[YEAR]])</f>
        <v>Mizoram-2011</v>
      </c>
      <c r="D2111" t="s">
        <v>103</v>
      </c>
      <c r="E2111">
        <v>8</v>
      </c>
    </row>
    <row r="2112" spans="1:5" x14ac:dyDescent="0.3">
      <c r="A2112" t="s">
        <v>23</v>
      </c>
      <c r="B2112">
        <v>2012</v>
      </c>
      <c r="C2112" t="str">
        <f>_xlfn.CONCAT(Table16[[#This Row],[STATE]],"-",Table16[[#This Row],[YEAR]])</f>
        <v>Mizoram-2012</v>
      </c>
      <c r="D2112" t="s">
        <v>123</v>
      </c>
      <c r="E2112">
        <v>30</v>
      </c>
    </row>
    <row r="2113" spans="1:5" x14ac:dyDescent="0.3">
      <c r="A2113" t="s">
        <v>23</v>
      </c>
      <c r="B2113">
        <v>2012</v>
      </c>
      <c r="C2113" t="str">
        <f>_xlfn.CONCAT(Table16[[#This Row],[STATE]],"-",Table16[[#This Row],[YEAR]])</f>
        <v>Mizoram-2012</v>
      </c>
      <c r="D2113" t="s">
        <v>185</v>
      </c>
      <c r="E2113">
        <v>25</v>
      </c>
    </row>
    <row r="2114" spans="1:5" x14ac:dyDescent="0.3">
      <c r="A2114" t="s">
        <v>23</v>
      </c>
      <c r="B2114">
        <v>2012</v>
      </c>
      <c r="C2114" t="str">
        <f>_xlfn.CONCAT(Table16[[#This Row],[STATE]],"-",Table16[[#This Row],[YEAR]])</f>
        <v>Mizoram-2012</v>
      </c>
      <c r="D2114" t="s">
        <v>103</v>
      </c>
      <c r="E2114">
        <v>20</v>
      </c>
    </row>
    <row r="2115" spans="1:5" x14ac:dyDescent="0.3">
      <c r="A2115" t="s">
        <v>24</v>
      </c>
      <c r="B2115">
        <v>2004</v>
      </c>
      <c r="C2115" t="str">
        <f>_xlfn.CONCAT(Table16[[#This Row],[STATE]],"-",Table16[[#This Row],[YEAR]])</f>
        <v>Nagaland-2004</v>
      </c>
      <c r="D2115" t="s">
        <v>99</v>
      </c>
      <c r="E2115">
        <v>123</v>
      </c>
    </row>
    <row r="2116" spans="1:5" x14ac:dyDescent="0.3">
      <c r="A2116" t="s">
        <v>24</v>
      </c>
      <c r="B2116">
        <v>2005</v>
      </c>
      <c r="C2116" t="str">
        <f>_xlfn.CONCAT(Table16[[#This Row],[STATE]],"-",Table16[[#This Row],[YEAR]])</f>
        <v>Nagaland-2005</v>
      </c>
      <c r="D2116" t="s">
        <v>99</v>
      </c>
      <c r="E2116">
        <v>310</v>
      </c>
    </row>
    <row r="2117" spans="1:5" x14ac:dyDescent="0.3">
      <c r="A2117" t="s">
        <v>24</v>
      </c>
      <c r="B2117">
        <v>2007</v>
      </c>
      <c r="C2117" t="str">
        <f>_xlfn.CONCAT(Table16[[#This Row],[STATE]],"-",Table16[[#This Row],[YEAR]])</f>
        <v>Nagaland-2007</v>
      </c>
      <c r="D2117" t="s">
        <v>103</v>
      </c>
      <c r="E2117">
        <v>121</v>
      </c>
    </row>
    <row r="2118" spans="1:5" x14ac:dyDescent="0.3">
      <c r="A2118" t="s">
        <v>24</v>
      </c>
      <c r="B2118">
        <v>2008</v>
      </c>
      <c r="C2118" t="str">
        <f>_xlfn.CONCAT(Table16[[#This Row],[STATE]],"-",Table16[[#This Row],[YEAR]])</f>
        <v>Nagaland-2008</v>
      </c>
      <c r="D2118" t="s">
        <v>752</v>
      </c>
      <c r="E2118">
        <v>119</v>
      </c>
    </row>
    <row r="2119" spans="1:5" x14ac:dyDescent="0.3">
      <c r="A2119" t="s">
        <v>24</v>
      </c>
      <c r="B2119">
        <v>2009</v>
      </c>
      <c r="C2119" t="str">
        <f>_xlfn.CONCAT(Table16[[#This Row],[STATE]],"-",Table16[[#This Row],[YEAR]])</f>
        <v>Nagaland-2009</v>
      </c>
      <c r="D2119" t="s">
        <v>753</v>
      </c>
      <c r="E2119">
        <v>41</v>
      </c>
    </row>
    <row r="2120" spans="1:5" x14ac:dyDescent="0.3">
      <c r="A2120" t="s">
        <v>24</v>
      </c>
      <c r="B2120">
        <v>2010</v>
      </c>
      <c r="C2120" t="str">
        <f>_xlfn.CONCAT(Table16[[#This Row],[STATE]],"-",Table16[[#This Row],[YEAR]])</f>
        <v>Nagaland-2010</v>
      </c>
      <c r="D2120" t="s">
        <v>754</v>
      </c>
      <c r="E2120">
        <v>30</v>
      </c>
    </row>
    <row r="2121" spans="1:5" x14ac:dyDescent="0.3">
      <c r="A2121" t="s">
        <v>24</v>
      </c>
      <c r="B2121">
        <v>2010</v>
      </c>
      <c r="C2121" t="str">
        <f>_xlfn.CONCAT(Table16[[#This Row],[STATE]],"-",Table16[[#This Row],[YEAR]])</f>
        <v>Nagaland-2010</v>
      </c>
      <c r="D2121" t="s">
        <v>755</v>
      </c>
      <c r="E2121">
        <v>5</v>
      </c>
    </row>
    <row r="2122" spans="1:5" x14ac:dyDescent="0.3">
      <c r="A2122" t="s">
        <v>24</v>
      </c>
      <c r="B2122">
        <v>2011</v>
      </c>
      <c r="C2122" t="str">
        <f>_xlfn.CONCAT(Table16[[#This Row],[STATE]],"-",Table16[[#This Row],[YEAR]])</f>
        <v>Nagaland-2011</v>
      </c>
      <c r="D2122" t="s">
        <v>103</v>
      </c>
      <c r="E2122">
        <v>5</v>
      </c>
    </row>
    <row r="2123" spans="1:5" x14ac:dyDescent="0.3">
      <c r="A2123" t="s">
        <v>24</v>
      </c>
      <c r="B2123">
        <v>2011</v>
      </c>
      <c r="C2123" t="str">
        <f>_xlfn.CONCAT(Table16[[#This Row],[STATE]],"-",Table16[[#This Row],[YEAR]])</f>
        <v>Nagaland-2011</v>
      </c>
      <c r="D2123" t="s">
        <v>183</v>
      </c>
      <c r="E2123">
        <v>10</v>
      </c>
    </row>
    <row r="2124" spans="1:5" x14ac:dyDescent="0.3">
      <c r="A2124" t="s">
        <v>24</v>
      </c>
      <c r="B2124">
        <v>2012</v>
      </c>
      <c r="C2124" t="str">
        <f>_xlfn.CONCAT(Table16[[#This Row],[STATE]],"-",Table16[[#This Row],[YEAR]])</f>
        <v>Nagaland-2012</v>
      </c>
      <c r="D2124" t="s">
        <v>103</v>
      </c>
      <c r="E2124">
        <v>4</v>
      </c>
    </row>
    <row r="2125" spans="1:5" x14ac:dyDescent="0.3">
      <c r="A2125" t="s">
        <v>24</v>
      </c>
      <c r="B2125">
        <v>2012</v>
      </c>
      <c r="C2125" t="str">
        <f>_xlfn.CONCAT(Table16[[#This Row],[STATE]],"-",Table16[[#This Row],[YEAR]])</f>
        <v>Nagaland-2012</v>
      </c>
      <c r="D2125" t="s">
        <v>183</v>
      </c>
      <c r="E2125">
        <v>13</v>
      </c>
    </row>
    <row r="2126" spans="1:5" x14ac:dyDescent="0.3">
      <c r="A2126" t="s">
        <v>25</v>
      </c>
      <c r="B2126">
        <v>2001</v>
      </c>
      <c r="C2126" t="str">
        <f>_xlfn.CONCAT(Table16[[#This Row],[STATE]],"-",Table16[[#This Row],[YEAR]])</f>
        <v>Orissa-2001</v>
      </c>
      <c r="D2126" t="s">
        <v>103</v>
      </c>
      <c r="E2126">
        <v>64</v>
      </c>
    </row>
    <row r="2127" spans="1:5" x14ac:dyDescent="0.3">
      <c r="A2127" t="s">
        <v>25</v>
      </c>
      <c r="B2127">
        <v>2001</v>
      </c>
      <c r="C2127" t="str">
        <f>_xlfn.CONCAT(Table16[[#This Row],[STATE]],"-",Table16[[#This Row],[YEAR]])</f>
        <v>Orissa-2001</v>
      </c>
      <c r="D2127" t="s">
        <v>756</v>
      </c>
      <c r="E2127">
        <v>51</v>
      </c>
    </row>
    <row r="2128" spans="1:5" x14ac:dyDescent="0.3">
      <c r="A2128" t="s">
        <v>25</v>
      </c>
      <c r="B2128">
        <v>2001</v>
      </c>
      <c r="C2128" t="str">
        <f>_xlfn.CONCAT(Table16[[#This Row],[STATE]],"-",Table16[[#This Row],[YEAR]])</f>
        <v>Orissa-2001</v>
      </c>
      <c r="D2128" t="s">
        <v>185</v>
      </c>
      <c r="E2128">
        <v>21</v>
      </c>
    </row>
    <row r="2129" spans="1:5" x14ac:dyDescent="0.3">
      <c r="A2129" t="s">
        <v>25</v>
      </c>
      <c r="B2129">
        <v>2001</v>
      </c>
      <c r="C2129" t="str">
        <f>_xlfn.CONCAT(Table16[[#This Row],[STATE]],"-",Table16[[#This Row],[YEAR]])</f>
        <v>Orissa-2001</v>
      </c>
      <c r="D2129" t="s">
        <v>355</v>
      </c>
      <c r="E2129">
        <v>14</v>
      </c>
    </row>
    <row r="2130" spans="1:5" x14ac:dyDescent="0.3">
      <c r="A2130" t="s">
        <v>25</v>
      </c>
      <c r="B2130">
        <v>2001</v>
      </c>
      <c r="C2130" t="str">
        <f>_xlfn.CONCAT(Table16[[#This Row],[STATE]],"-",Table16[[#This Row],[YEAR]])</f>
        <v>Orissa-2001</v>
      </c>
      <c r="D2130" t="s">
        <v>90</v>
      </c>
      <c r="E2130">
        <v>181</v>
      </c>
    </row>
    <row r="2131" spans="1:5" x14ac:dyDescent="0.3">
      <c r="A2131" t="s">
        <v>25</v>
      </c>
      <c r="B2131">
        <v>2001</v>
      </c>
      <c r="C2131" t="str">
        <f>_xlfn.CONCAT(Table16[[#This Row],[STATE]],"-",Table16[[#This Row],[YEAR]])</f>
        <v>Orissa-2001</v>
      </c>
      <c r="D2131" t="s">
        <v>96</v>
      </c>
      <c r="E2131">
        <v>28</v>
      </c>
    </row>
    <row r="2132" spans="1:5" x14ac:dyDescent="0.3">
      <c r="A2132" t="s">
        <v>25</v>
      </c>
      <c r="B2132">
        <v>2001</v>
      </c>
      <c r="C2132" t="str">
        <f>_xlfn.CONCAT(Table16[[#This Row],[STATE]],"-",Table16[[#This Row],[YEAR]])</f>
        <v>Orissa-2001</v>
      </c>
      <c r="D2132" t="s">
        <v>757</v>
      </c>
      <c r="E2132">
        <v>18</v>
      </c>
    </row>
    <row r="2133" spans="1:5" x14ac:dyDescent="0.3">
      <c r="A2133" t="s">
        <v>25</v>
      </c>
      <c r="B2133">
        <v>2001</v>
      </c>
      <c r="C2133" t="str">
        <f>_xlfn.CONCAT(Table16[[#This Row],[STATE]],"-",Table16[[#This Row],[YEAR]])</f>
        <v>Orissa-2001</v>
      </c>
      <c r="D2133" t="s">
        <v>758</v>
      </c>
      <c r="E2133">
        <v>51</v>
      </c>
    </row>
    <row r="2134" spans="1:5" x14ac:dyDescent="0.3">
      <c r="A2134" t="s">
        <v>25</v>
      </c>
      <c r="B2134">
        <v>2001</v>
      </c>
      <c r="C2134" t="str">
        <f>_xlfn.CONCAT(Table16[[#This Row],[STATE]],"-",Table16[[#This Row],[YEAR]])</f>
        <v>Orissa-2001</v>
      </c>
      <c r="D2134" t="s">
        <v>614</v>
      </c>
      <c r="E2134">
        <v>16</v>
      </c>
    </row>
    <row r="2135" spans="1:5" x14ac:dyDescent="0.3">
      <c r="A2135" t="s">
        <v>25</v>
      </c>
      <c r="B2135">
        <v>2001</v>
      </c>
      <c r="C2135" t="str">
        <f>_xlfn.CONCAT(Table16[[#This Row],[STATE]],"-",Table16[[#This Row],[YEAR]])</f>
        <v>Orissa-2001</v>
      </c>
      <c r="D2135" t="s">
        <v>759</v>
      </c>
      <c r="E2135">
        <v>6</v>
      </c>
    </row>
    <row r="2136" spans="1:5" x14ac:dyDescent="0.3">
      <c r="A2136" t="s">
        <v>25</v>
      </c>
      <c r="B2136">
        <v>2002</v>
      </c>
      <c r="C2136" t="str">
        <f>_xlfn.CONCAT(Table16[[#This Row],[STATE]],"-",Table16[[#This Row],[YEAR]])</f>
        <v>Orissa-2002</v>
      </c>
      <c r="D2136" t="s">
        <v>103</v>
      </c>
      <c r="E2136">
        <v>87</v>
      </c>
    </row>
    <row r="2137" spans="1:5" x14ac:dyDescent="0.3">
      <c r="A2137" t="s">
        <v>25</v>
      </c>
      <c r="B2137">
        <v>2002</v>
      </c>
      <c r="C2137" t="str">
        <f>_xlfn.CONCAT(Table16[[#This Row],[STATE]],"-",Table16[[#This Row],[YEAR]])</f>
        <v>Orissa-2002</v>
      </c>
      <c r="D2137" t="s">
        <v>756</v>
      </c>
      <c r="E2137">
        <v>72</v>
      </c>
    </row>
    <row r="2138" spans="1:5" x14ac:dyDescent="0.3">
      <c r="A2138" t="s">
        <v>25</v>
      </c>
      <c r="B2138">
        <v>2002</v>
      </c>
      <c r="C2138" t="str">
        <f>_xlfn.CONCAT(Table16[[#This Row],[STATE]],"-",Table16[[#This Row],[YEAR]])</f>
        <v>Orissa-2002</v>
      </c>
      <c r="D2138" t="s">
        <v>185</v>
      </c>
      <c r="E2138">
        <v>61</v>
      </c>
    </row>
    <row r="2139" spans="1:5" x14ac:dyDescent="0.3">
      <c r="A2139" t="s">
        <v>25</v>
      </c>
      <c r="B2139">
        <v>2002</v>
      </c>
      <c r="C2139" t="str">
        <f>_xlfn.CONCAT(Table16[[#This Row],[STATE]],"-",Table16[[#This Row],[YEAR]])</f>
        <v>Orissa-2002</v>
      </c>
      <c r="D2139" t="s">
        <v>355</v>
      </c>
      <c r="E2139">
        <v>34</v>
      </c>
    </row>
    <row r="2140" spans="1:5" x14ac:dyDescent="0.3">
      <c r="A2140" t="s">
        <v>25</v>
      </c>
      <c r="B2140">
        <v>2002</v>
      </c>
      <c r="C2140" t="str">
        <f>_xlfn.CONCAT(Table16[[#This Row],[STATE]],"-",Table16[[#This Row],[YEAR]])</f>
        <v>Orissa-2002</v>
      </c>
      <c r="D2140" t="s">
        <v>90</v>
      </c>
      <c r="E2140">
        <v>204</v>
      </c>
    </row>
    <row r="2141" spans="1:5" x14ac:dyDescent="0.3">
      <c r="A2141" t="s">
        <v>25</v>
      </c>
      <c r="B2141">
        <v>2002</v>
      </c>
      <c r="C2141" t="str">
        <f>_xlfn.CONCAT(Table16[[#This Row],[STATE]],"-",Table16[[#This Row],[YEAR]])</f>
        <v>Orissa-2002</v>
      </c>
      <c r="D2141" t="s">
        <v>96</v>
      </c>
      <c r="E2141">
        <v>38</v>
      </c>
    </row>
    <row r="2142" spans="1:5" x14ac:dyDescent="0.3">
      <c r="A2142" t="s">
        <v>25</v>
      </c>
      <c r="B2142">
        <v>2002</v>
      </c>
      <c r="C2142" t="str">
        <f>_xlfn.CONCAT(Table16[[#This Row],[STATE]],"-",Table16[[#This Row],[YEAR]])</f>
        <v>Orissa-2002</v>
      </c>
      <c r="D2142" t="s">
        <v>757</v>
      </c>
      <c r="E2142">
        <v>56</v>
      </c>
    </row>
    <row r="2143" spans="1:5" x14ac:dyDescent="0.3">
      <c r="A2143" t="s">
        <v>25</v>
      </c>
      <c r="B2143">
        <v>2002</v>
      </c>
      <c r="C2143" t="str">
        <f>_xlfn.CONCAT(Table16[[#This Row],[STATE]],"-",Table16[[#This Row],[YEAR]])</f>
        <v>Orissa-2002</v>
      </c>
      <c r="D2143" t="s">
        <v>760</v>
      </c>
      <c r="E2143">
        <v>34</v>
      </c>
    </row>
    <row r="2144" spans="1:5" x14ac:dyDescent="0.3">
      <c r="A2144" t="s">
        <v>25</v>
      </c>
      <c r="B2144">
        <v>2002</v>
      </c>
      <c r="C2144" t="str">
        <f>_xlfn.CONCAT(Table16[[#This Row],[STATE]],"-",Table16[[#This Row],[YEAR]])</f>
        <v>Orissa-2002</v>
      </c>
      <c r="D2144" t="s">
        <v>614</v>
      </c>
      <c r="E2144">
        <v>12</v>
      </c>
    </row>
    <row r="2145" spans="1:5" x14ac:dyDescent="0.3">
      <c r="A2145" t="s">
        <v>25</v>
      </c>
      <c r="B2145">
        <v>2002</v>
      </c>
      <c r="C2145" t="str">
        <f>_xlfn.CONCAT(Table16[[#This Row],[STATE]],"-",Table16[[#This Row],[YEAR]])</f>
        <v>Orissa-2002</v>
      </c>
      <c r="D2145" t="s">
        <v>759</v>
      </c>
      <c r="E2145">
        <v>11</v>
      </c>
    </row>
    <row r="2146" spans="1:5" x14ac:dyDescent="0.3">
      <c r="A2146" t="s">
        <v>25</v>
      </c>
      <c r="B2146">
        <v>2003</v>
      </c>
      <c r="C2146" t="str">
        <f>_xlfn.CONCAT(Table16[[#This Row],[STATE]],"-",Table16[[#This Row],[YEAR]])</f>
        <v>Orissa-2003</v>
      </c>
      <c r="D2146" t="s">
        <v>103</v>
      </c>
      <c r="E2146">
        <v>102</v>
      </c>
    </row>
    <row r="2147" spans="1:5" x14ac:dyDescent="0.3">
      <c r="A2147" t="s">
        <v>25</v>
      </c>
      <c r="B2147">
        <v>2003</v>
      </c>
      <c r="C2147" t="str">
        <f>_xlfn.CONCAT(Table16[[#This Row],[STATE]],"-",Table16[[#This Row],[YEAR]])</f>
        <v>Orissa-2003</v>
      </c>
      <c r="D2147" t="s">
        <v>144</v>
      </c>
      <c r="E2147">
        <v>81</v>
      </c>
    </row>
    <row r="2148" spans="1:5" x14ac:dyDescent="0.3">
      <c r="A2148" t="s">
        <v>25</v>
      </c>
      <c r="B2148">
        <v>2003</v>
      </c>
      <c r="C2148" t="str">
        <f>_xlfn.CONCAT(Table16[[#This Row],[STATE]],"-",Table16[[#This Row],[YEAR]])</f>
        <v>Orissa-2003</v>
      </c>
      <c r="D2148" t="s">
        <v>185</v>
      </c>
      <c r="E2148">
        <v>53</v>
      </c>
    </row>
    <row r="2149" spans="1:5" x14ac:dyDescent="0.3">
      <c r="A2149" t="s">
        <v>25</v>
      </c>
      <c r="B2149">
        <v>2003</v>
      </c>
      <c r="C2149" t="str">
        <f>_xlfn.CONCAT(Table16[[#This Row],[STATE]],"-",Table16[[#This Row],[YEAR]])</f>
        <v>Orissa-2003</v>
      </c>
      <c r="D2149" t="s">
        <v>355</v>
      </c>
      <c r="E2149">
        <v>34</v>
      </c>
    </row>
    <row r="2150" spans="1:5" x14ac:dyDescent="0.3">
      <c r="A2150" t="s">
        <v>25</v>
      </c>
      <c r="B2150">
        <v>2003</v>
      </c>
      <c r="C2150" t="str">
        <f>_xlfn.CONCAT(Table16[[#This Row],[STATE]],"-",Table16[[#This Row],[YEAR]])</f>
        <v>Orissa-2003</v>
      </c>
      <c r="D2150" t="s">
        <v>90</v>
      </c>
      <c r="E2150">
        <v>210</v>
      </c>
    </row>
    <row r="2151" spans="1:5" x14ac:dyDescent="0.3">
      <c r="A2151" t="s">
        <v>25</v>
      </c>
      <c r="B2151">
        <v>2003</v>
      </c>
      <c r="C2151" t="str">
        <f>_xlfn.CONCAT(Table16[[#This Row],[STATE]],"-",Table16[[#This Row],[YEAR]])</f>
        <v>Orissa-2003</v>
      </c>
      <c r="D2151" t="s">
        <v>96</v>
      </c>
      <c r="E2151">
        <v>32</v>
      </c>
    </row>
    <row r="2152" spans="1:5" x14ac:dyDescent="0.3">
      <c r="A2152" t="s">
        <v>25</v>
      </c>
      <c r="B2152">
        <v>2003</v>
      </c>
      <c r="C2152" t="str">
        <f>_xlfn.CONCAT(Table16[[#This Row],[STATE]],"-",Table16[[#This Row],[YEAR]])</f>
        <v>Orissa-2003</v>
      </c>
      <c r="D2152" t="s">
        <v>757</v>
      </c>
      <c r="E2152">
        <v>56</v>
      </c>
    </row>
    <row r="2153" spans="1:5" x14ac:dyDescent="0.3">
      <c r="A2153" t="s">
        <v>25</v>
      </c>
      <c r="B2153">
        <v>2003</v>
      </c>
      <c r="C2153" t="str">
        <f>_xlfn.CONCAT(Table16[[#This Row],[STATE]],"-",Table16[[#This Row],[YEAR]])</f>
        <v>Orissa-2003</v>
      </c>
      <c r="D2153" t="s">
        <v>758</v>
      </c>
      <c r="E2153">
        <v>30</v>
      </c>
    </row>
    <row r="2154" spans="1:5" x14ac:dyDescent="0.3">
      <c r="A2154" t="s">
        <v>25</v>
      </c>
      <c r="B2154">
        <v>2003</v>
      </c>
      <c r="C2154" t="str">
        <f>_xlfn.CONCAT(Table16[[#This Row],[STATE]],"-",Table16[[#This Row],[YEAR]])</f>
        <v>Orissa-2003</v>
      </c>
      <c r="D2154" t="s">
        <v>614</v>
      </c>
      <c r="E2154">
        <v>10</v>
      </c>
    </row>
    <row r="2155" spans="1:5" x14ac:dyDescent="0.3">
      <c r="A2155" t="s">
        <v>25</v>
      </c>
      <c r="B2155">
        <v>2003</v>
      </c>
      <c r="C2155" t="str">
        <f>_xlfn.CONCAT(Table16[[#This Row],[STATE]],"-",Table16[[#This Row],[YEAR]])</f>
        <v>Orissa-2003</v>
      </c>
      <c r="D2155" t="s">
        <v>759</v>
      </c>
      <c r="E2155">
        <v>12</v>
      </c>
    </row>
    <row r="2156" spans="1:5" x14ac:dyDescent="0.3">
      <c r="A2156" t="s">
        <v>25</v>
      </c>
      <c r="B2156">
        <v>2004</v>
      </c>
      <c r="C2156" t="str">
        <f>_xlfn.CONCAT(Table16[[#This Row],[STATE]],"-",Table16[[#This Row],[YEAR]])</f>
        <v>Orissa-2004</v>
      </c>
      <c r="D2156" t="s">
        <v>99</v>
      </c>
      <c r="E2156">
        <v>358</v>
      </c>
    </row>
    <row r="2157" spans="1:5" x14ac:dyDescent="0.3">
      <c r="A2157" t="s">
        <v>25</v>
      </c>
      <c r="B2157">
        <v>2005</v>
      </c>
      <c r="C2157" t="str">
        <f>_xlfn.CONCAT(Table16[[#This Row],[STATE]],"-",Table16[[#This Row],[YEAR]])</f>
        <v>Orissa-2005</v>
      </c>
      <c r="D2157" t="s">
        <v>761</v>
      </c>
      <c r="E2157">
        <v>280</v>
      </c>
    </row>
    <row r="2158" spans="1:5" x14ac:dyDescent="0.3">
      <c r="A2158" t="s">
        <v>25</v>
      </c>
      <c r="B2158">
        <v>2005</v>
      </c>
      <c r="C2158" t="str">
        <f>_xlfn.CONCAT(Table16[[#This Row],[STATE]],"-",Table16[[#This Row],[YEAR]])</f>
        <v>Orissa-2005</v>
      </c>
      <c r="D2158" t="s">
        <v>626</v>
      </c>
      <c r="E2158">
        <v>33</v>
      </c>
    </row>
    <row r="2159" spans="1:5" x14ac:dyDescent="0.3">
      <c r="A2159" t="s">
        <v>25</v>
      </c>
      <c r="B2159">
        <v>2005</v>
      </c>
      <c r="C2159" t="str">
        <f>_xlfn.CONCAT(Table16[[#This Row],[STATE]],"-",Table16[[#This Row],[YEAR]])</f>
        <v>Orissa-2005</v>
      </c>
      <c r="D2159" t="s">
        <v>101</v>
      </c>
      <c r="E2159">
        <v>8</v>
      </c>
    </row>
    <row r="2160" spans="1:5" x14ac:dyDescent="0.3">
      <c r="A2160" t="s">
        <v>25</v>
      </c>
      <c r="B2160">
        <v>2005</v>
      </c>
      <c r="C2160" t="str">
        <f>_xlfn.CONCAT(Table16[[#This Row],[STATE]],"-",Table16[[#This Row],[YEAR]])</f>
        <v>Orissa-2005</v>
      </c>
      <c r="D2160" t="s">
        <v>103</v>
      </c>
      <c r="E2160">
        <v>32</v>
      </c>
    </row>
    <row r="2161" spans="1:5" x14ac:dyDescent="0.3">
      <c r="A2161" t="s">
        <v>25</v>
      </c>
      <c r="B2161">
        <v>2005</v>
      </c>
      <c r="C2161" t="str">
        <f>_xlfn.CONCAT(Table16[[#This Row],[STATE]],"-",Table16[[#This Row],[YEAR]])</f>
        <v>Orissa-2005</v>
      </c>
      <c r="D2161" t="s">
        <v>123</v>
      </c>
      <c r="E2161">
        <v>2</v>
      </c>
    </row>
    <row r="2162" spans="1:5" x14ac:dyDescent="0.3">
      <c r="A2162" t="s">
        <v>25</v>
      </c>
      <c r="B2162">
        <v>2005</v>
      </c>
      <c r="C2162" t="str">
        <f>_xlfn.CONCAT(Table16[[#This Row],[STATE]],"-",Table16[[#This Row],[YEAR]])</f>
        <v>Orissa-2005</v>
      </c>
      <c r="D2162" t="s">
        <v>762</v>
      </c>
      <c r="E2162">
        <v>10</v>
      </c>
    </row>
    <row r="2163" spans="1:5" x14ac:dyDescent="0.3">
      <c r="A2163" t="s">
        <v>25</v>
      </c>
      <c r="B2163">
        <v>2005</v>
      </c>
      <c r="C2163" t="str">
        <f>_xlfn.CONCAT(Table16[[#This Row],[STATE]],"-",Table16[[#This Row],[YEAR]])</f>
        <v>Orissa-2005</v>
      </c>
      <c r="D2163" t="s">
        <v>116</v>
      </c>
      <c r="E2163">
        <v>1</v>
      </c>
    </row>
    <row r="2164" spans="1:5" x14ac:dyDescent="0.3">
      <c r="A2164" t="s">
        <v>25</v>
      </c>
      <c r="B2164">
        <v>2005</v>
      </c>
      <c r="C2164" t="str">
        <f>_xlfn.CONCAT(Table16[[#This Row],[STATE]],"-",Table16[[#This Row],[YEAR]])</f>
        <v>Orissa-2005</v>
      </c>
      <c r="D2164" t="s">
        <v>763</v>
      </c>
      <c r="E2164">
        <v>9</v>
      </c>
    </row>
    <row r="2165" spans="1:5" x14ac:dyDescent="0.3">
      <c r="A2165" t="s">
        <v>25</v>
      </c>
      <c r="B2165">
        <v>2005</v>
      </c>
      <c r="C2165" t="str">
        <f>_xlfn.CONCAT(Table16[[#This Row],[STATE]],"-",Table16[[#This Row],[YEAR]])</f>
        <v>Orissa-2005</v>
      </c>
      <c r="D2165" t="s">
        <v>764</v>
      </c>
      <c r="E2165">
        <v>57</v>
      </c>
    </row>
    <row r="2166" spans="1:5" x14ac:dyDescent="0.3">
      <c r="A2166" t="s">
        <v>25</v>
      </c>
      <c r="B2166">
        <v>2006</v>
      </c>
      <c r="C2166" t="str">
        <f>_xlfn.CONCAT(Table16[[#This Row],[STATE]],"-",Table16[[#This Row],[YEAR]])</f>
        <v>Orissa-2006</v>
      </c>
      <c r="D2166" t="s">
        <v>765</v>
      </c>
      <c r="E2166">
        <v>310</v>
      </c>
    </row>
    <row r="2167" spans="1:5" x14ac:dyDescent="0.3">
      <c r="A2167" t="s">
        <v>25</v>
      </c>
      <c r="B2167">
        <v>2006</v>
      </c>
      <c r="C2167" t="str">
        <f>_xlfn.CONCAT(Table16[[#This Row],[STATE]],"-",Table16[[#This Row],[YEAR]])</f>
        <v>Orissa-2006</v>
      </c>
      <c r="D2167" t="s">
        <v>626</v>
      </c>
      <c r="E2167">
        <v>38</v>
      </c>
    </row>
    <row r="2168" spans="1:5" x14ac:dyDescent="0.3">
      <c r="A2168" t="s">
        <v>25</v>
      </c>
      <c r="B2168">
        <v>2006</v>
      </c>
      <c r="C2168" t="str">
        <f>_xlfn.CONCAT(Table16[[#This Row],[STATE]],"-",Table16[[#This Row],[YEAR]])</f>
        <v>Orissa-2006</v>
      </c>
      <c r="D2168" t="s">
        <v>766</v>
      </c>
      <c r="E2168">
        <v>10</v>
      </c>
    </row>
    <row r="2169" spans="1:5" x14ac:dyDescent="0.3">
      <c r="A2169" t="s">
        <v>25</v>
      </c>
      <c r="B2169">
        <v>2006</v>
      </c>
      <c r="C2169" t="str">
        <f>_xlfn.CONCAT(Table16[[#This Row],[STATE]],"-",Table16[[#This Row],[YEAR]])</f>
        <v>Orissa-2006</v>
      </c>
      <c r="D2169" t="s">
        <v>103</v>
      </c>
      <c r="E2169">
        <v>40</v>
      </c>
    </row>
    <row r="2170" spans="1:5" x14ac:dyDescent="0.3">
      <c r="A2170" t="s">
        <v>25</v>
      </c>
      <c r="B2170">
        <v>2006</v>
      </c>
      <c r="C2170" t="str">
        <f>_xlfn.CONCAT(Table16[[#This Row],[STATE]],"-",Table16[[#This Row],[YEAR]])</f>
        <v>Orissa-2006</v>
      </c>
      <c r="D2170" t="s">
        <v>767</v>
      </c>
      <c r="E2170">
        <v>15</v>
      </c>
    </row>
    <row r="2171" spans="1:5" x14ac:dyDescent="0.3">
      <c r="A2171" t="s">
        <v>25</v>
      </c>
      <c r="B2171">
        <v>2006</v>
      </c>
      <c r="C2171" t="str">
        <f>_xlfn.CONCAT(Table16[[#This Row],[STATE]],"-",Table16[[#This Row],[YEAR]])</f>
        <v>Orissa-2006</v>
      </c>
      <c r="D2171" t="s">
        <v>768</v>
      </c>
      <c r="E2171">
        <v>64</v>
      </c>
    </row>
    <row r="2172" spans="1:5" x14ac:dyDescent="0.3">
      <c r="A2172" t="s">
        <v>25</v>
      </c>
      <c r="B2172">
        <v>2007</v>
      </c>
      <c r="C2172" t="str">
        <f>_xlfn.CONCAT(Table16[[#This Row],[STATE]],"-",Table16[[#This Row],[YEAR]])</f>
        <v>Orissa-2007</v>
      </c>
      <c r="D2172" t="s">
        <v>90</v>
      </c>
      <c r="E2172">
        <v>322</v>
      </c>
    </row>
    <row r="2173" spans="1:5" x14ac:dyDescent="0.3">
      <c r="A2173" t="s">
        <v>25</v>
      </c>
      <c r="B2173">
        <v>2007</v>
      </c>
      <c r="C2173" t="str">
        <f>_xlfn.CONCAT(Table16[[#This Row],[STATE]],"-",Table16[[#This Row],[YEAR]])</f>
        <v>Orissa-2007</v>
      </c>
      <c r="D2173" t="s">
        <v>626</v>
      </c>
      <c r="E2173">
        <v>40</v>
      </c>
    </row>
    <row r="2174" spans="1:5" x14ac:dyDescent="0.3">
      <c r="A2174" t="s">
        <v>25</v>
      </c>
      <c r="B2174">
        <v>2007</v>
      </c>
      <c r="C2174" t="str">
        <f>_xlfn.CONCAT(Table16[[#This Row],[STATE]],"-",Table16[[#This Row],[YEAR]])</f>
        <v>Orissa-2007</v>
      </c>
      <c r="D2174" t="s">
        <v>101</v>
      </c>
      <c r="E2174">
        <v>12</v>
      </c>
    </row>
    <row r="2175" spans="1:5" x14ac:dyDescent="0.3">
      <c r="A2175" t="s">
        <v>25</v>
      </c>
      <c r="B2175">
        <v>2007</v>
      </c>
      <c r="C2175" t="str">
        <f>_xlfn.CONCAT(Table16[[#This Row],[STATE]],"-",Table16[[#This Row],[YEAR]])</f>
        <v>Orissa-2007</v>
      </c>
      <c r="D2175" t="s">
        <v>103</v>
      </c>
      <c r="E2175">
        <v>45</v>
      </c>
    </row>
    <row r="2176" spans="1:5" x14ac:dyDescent="0.3">
      <c r="A2176" t="s">
        <v>25</v>
      </c>
      <c r="B2176">
        <v>2007</v>
      </c>
      <c r="C2176" t="str">
        <f>_xlfn.CONCAT(Table16[[#This Row],[STATE]],"-",Table16[[#This Row],[YEAR]])</f>
        <v>Orissa-2007</v>
      </c>
      <c r="D2176" t="s">
        <v>123</v>
      </c>
      <c r="E2176">
        <v>16</v>
      </c>
    </row>
    <row r="2177" spans="1:5" x14ac:dyDescent="0.3">
      <c r="A2177" t="s">
        <v>25</v>
      </c>
      <c r="B2177">
        <v>2007</v>
      </c>
      <c r="C2177" t="str">
        <f>_xlfn.CONCAT(Table16[[#This Row],[STATE]],"-",Table16[[#This Row],[YEAR]])</f>
        <v>Orissa-2007</v>
      </c>
      <c r="D2177" t="s">
        <v>769</v>
      </c>
      <c r="E2177">
        <v>32</v>
      </c>
    </row>
    <row r="2178" spans="1:5" x14ac:dyDescent="0.3">
      <c r="A2178" t="s">
        <v>25</v>
      </c>
      <c r="B2178">
        <v>2008</v>
      </c>
      <c r="C2178" t="str">
        <f>_xlfn.CONCAT(Table16[[#This Row],[STATE]],"-",Table16[[#This Row],[YEAR]])</f>
        <v>Orissa-2008</v>
      </c>
      <c r="D2178" t="s">
        <v>770</v>
      </c>
      <c r="E2178">
        <v>322</v>
      </c>
    </row>
    <row r="2179" spans="1:5" x14ac:dyDescent="0.3">
      <c r="A2179" t="s">
        <v>25</v>
      </c>
      <c r="B2179">
        <v>2008</v>
      </c>
      <c r="C2179" t="str">
        <f>_xlfn.CONCAT(Table16[[#This Row],[STATE]],"-",Table16[[#This Row],[YEAR]])</f>
        <v>Orissa-2008</v>
      </c>
      <c r="D2179" t="s">
        <v>449</v>
      </c>
      <c r="E2179">
        <v>46</v>
      </c>
    </row>
    <row r="2180" spans="1:5" x14ac:dyDescent="0.3">
      <c r="A2180" t="s">
        <v>25</v>
      </c>
      <c r="B2180">
        <v>2008</v>
      </c>
      <c r="C2180" t="str">
        <f>_xlfn.CONCAT(Table16[[#This Row],[STATE]],"-",Table16[[#This Row],[YEAR]])</f>
        <v>Orissa-2008</v>
      </c>
      <c r="D2180" t="s">
        <v>151</v>
      </c>
      <c r="E2180">
        <v>12</v>
      </c>
    </row>
    <row r="2181" spans="1:5" x14ac:dyDescent="0.3">
      <c r="A2181" t="s">
        <v>25</v>
      </c>
      <c r="B2181">
        <v>2008</v>
      </c>
      <c r="C2181" t="str">
        <f>_xlfn.CONCAT(Table16[[#This Row],[STATE]],"-",Table16[[#This Row],[YEAR]])</f>
        <v>Orissa-2008</v>
      </c>
      <c r="D2181" t="s">
        <v>103</v>
      </c>
      <c r="E2181">
        <v>80</v>
      </c>
    </row>
    <row r="2182" spans="1:5" x14ac:dyDescent="0.3">
      <c r="A2182" t="s">
        <v>25</v>
      </c>
      <c r="B2182">
        <v>2008</v>
      </c>
      <c r="C2182" t="str">
        <f>_xlfn.CONCAT(Table16[[#This Row],[STATE]],"-",Table16[[#This Row],[YEAR]])</f>
        <v>Orissa-2008</v>
      </c>
      <c r="D2182" t="s">
        <v>123</v>
      </c>
      <c r="E2182">
        <v>23</v>
      </c>
    </row>
    <row r="2183" spans="1:5" x14ac:dyDescent="0.3">
      <c r="A2183" t="s">
        <v>25</v>
      </c>
      <c r="B2183">
        <v>2008</v>
      </c>
      <c r="C2183" t="str">
        <f>_xlfn.CONCAT(Table16[[#This Row],[STATE]],"-",Table16[[#This Row],[YEAR]])</f>
        <v>Orissa-2008</v>
      </c>
      <c r="D2183" t="s">
        <v>771</v>
      </c>
      <c r="E2183">
        <v>112</v>
      </c>
    </row>
    <row r="2184" spans="1:5" x14ac:dyDescent="0.3">
      <c r="A2184" t="s">
        <v>25</v>
      </c>
      <c r="B2184">
        <v>2009</v>
      </c>
      <c r="C2184" t="str">
        <f>_xlfn.CONCAT(Table16[[#This Row],[STATE]],"-",Table16[[#This Row],[YEAR]])</f>
        <v>Orissa-2009</v>
      </c>
      <c r="D2184" t="s">
        <v>772</v>
      </c>
      <c r="E2184">
        <v>301</v>
      </c>
    </row>
    <row r="2185" spans="1:5" x14ac:dyDescent="0.3">
      <c r="A2185" t="s">
        <v>25</v>
      </c>
      <c r="B2185">
        <v>2009</v>
      </c>
      <c r="C2185" t="str">
        <f>_xlfn.CONCAT(Table16[[#This Row],[STATE]],"-",Table16[[#This Row],[YEAR]])</f>
        <v>Orissa-2009</v>
      </c>
      <c r="D2185" t="s">
        <v>773</v>
      </c>
      <c r="E2185">
        <v>22</v>
      </c>
    </row>
    <row r="2186" spans="1:5" x14ac:dyDescent="0.3">
      <c r="A2186" t="s">
        <v>25</v>
      </c>
      <c r="B2186">
        <v>2009</v>
      </c>
      <c r="C2186" t="str">
        <f>_xlfn.CONCAT(Table16[[#This Row],[STATE]],"-",Table16[[#This Row],[YEAR]])</f>
        <v>Orissa-2009</v>
      </c>
      <c r="D2186" t="s">
        <v>245</v>
      </c>
      <c r="E2186">
        <v>10</v>
      </c>
    </row>
    <row r="2187" spans="1:5" x14ac:dyDescent="0.3">
      <c r="A2187" t="s">
        <v>25</v>
      </c>
      <c r="B2187">
        <v>2009</v>
      </c>
      <c r="C2187" t="str">
        <f>_xlfn.CONCAT(Table16[[#This Row],[STATE]],"-",Table16[[#This Row],[YEAR]])</f>
        <v>Orissa-2009</v>
      </c>
      <c r="D2187" t="s">
        <v>103</v>
      </c>
      <c r="E2187">
        <v>65</v>
      </c>
    </row>
    <row r="2188" spans="1:5" x14ac:dyDescent="0.3">
      <c r="A2188" t="s">
        <v>25</v>
      </c>
      <c r="B2188">
        <v>2009</v>
      </c>
      <c r="C2188" t="str">
        <f>_xlfn.CONCAT(Table16[[#This Row],[STATE]],"-",Table16[[#This Row],[YEAR]])</f>
        <v>Orissa-2009</v>
      </c>
      <c r="D2188" t="s">
        <v>767</v>
      </c>
      <c r="E2188">
        <v>18</v>
      </c>
    </row>
    <row r="2189" spans="1:5" x14ac:dyDescent="0.3">
      <c r="A2189" t="s">
        <v>25</v>
      </c>
      <c r="B2189">
        <v>2009</v>
      </c>
      <c r="C2189" t="str">
        <f>_xlfn.CONCAT(Table16[[#This Row],[STATE]],"-",Table16[[#This Row],[YEAR]])</f>
        <v>Orissa-2009</v>
      </c>
      <c r="D2189" t="s">
        <v>768</v>
      </c>
      <c r="E2189">
        <v>82</v>
      </c>
    </row>
    <row r="2190" spans="1:5" x14ac:dyDescent="0.3">
      <c r="A2190" t="s">
        <v>25</v>
      </c>
      <c r="B2190">
        <v>2010</v>
      </c>
      <c r="C2190" t="str">
        <f>_xlfn.CONCAT(Table16[[#This Row],[STATE]],"-",Table16[[#This Row],[YEAR]])</f>
        <v>Orissa-2010</v>
      </c>
      <c r="D2190" t="s">
        <v>772</v>
      </c>
      <c r="E2190">
        <v>280</v>
      </c>
    </row>
    <row r="2191" spans="1:5" x14ac:dyDescent="0.3">
      <c r="A2191" t="s">
        <v>25</v>
      </c>
      <c r="B2191">
        <v>2010</v>
      </c>
      <c r="C2191" t="str">
        <f>_xlfn.CONCAT(Table16[[#This Row],[STATE]],"-",Table16[[#This Row],[YEAR]])</f>
        <v>Orissa-2010</v>
      </c>
      <c r="D2191" t="s">
        <v>449</v>
      </c>
      <c r="E2191">
        <v>25</v>
      </c>
    </row>
    <row r="2192" spans="1:5" x14ac:dyDescent="0.3">
      <c r="A2192" t="s">
        <v>25</v>
      </c>
      <c r="B2192">
        <v>2010</v>
      </c>
      <c r="C2192" t="str">
        <f>_xlfn.CONCAT(Table16[[#This Row],[STATE]],"-",Table16[[#This Row],[YEAR]])</f>
        <v>Orissa-2010</v>
      </c>
      <c r="D2192" t="s">
        <v>225</v>
      </c>
      <c r="E2192">
        <v>12</v>
      </c>
    </row>
    <row r="2193" spans="1:5" x14ac:dyDescent="0.3">
      <c r="A2193" t="s">
        <v>25</v>
      </c>
      <c r="B2193">
        <v>2010</v>
      </c>
      <c r="C2193" t="str">
        <f>_xlfn.CONCAT(Table16[[#This Row],[STATE]],"-",Table16[[#This Row],[YEAR]])</f>
        <v>Orissa-2010</v>
      </c>
      <c r="D2193" t="s">
        <v>103</v>
      </c>
      <c r="E2193">
        <v>72</v>
      </c>
    </row>
    <row r="2194" spans="1:5" x14ac:dyDescent="0.3">
      <c r="A2194" t="s">
        <v>25</v>
      </c>
      <c r="B2194">
        <v>2010</v>
      </c>
      <c r="C2194" t="str">
        <f>_xlfn.CONCAT(Table16[[#This Row],[STATE]],"-",Table16[[#This Row],[YEAR]])</f>
        <v>Orissa-2010</v>
      </c>
      <c r="D2194" t="s">
        <v>774</v>
      </c>
      <c r="E2194">
        <v>20</v>
      </c>
    </row>
    <row r="2195" spans="1:5" x14ac:dyDescent="0.3">
      <c r="A2195" t="s">
        <v>25</v>
      </c>
      <c r="B2195">
        <v>2010</v>
      </c>
      <c r="C2195" t="str">
        <f>_xlfn.CONCAT(Table16[[#This Row],[STATE]],"-",Table16[[#This Row],[YEAR]])</f>
        <v>Orissa-2010</v>
      </c>
      <c r="D2195" t="s">
        <v>769</v>
      </c>
      <c r="E2195">
        <v>72</v>
      </c>
    </row>
    <row r="2196" spans="1:5" x14ac:dyDescent="0.3">
      <c r="A2196" t="s">
        <v>25</v>
      </c>
      <c r="B2196">
        <v>2011</v>
      </c>
      <c r="C2196" t="str">
        <f>_xlfn.CONCAT(Table16[[#This Row],[STATE]],"-",Table16[[#This Row],[YEAR]])</f>
        <v>Orissa-2011</v>
      </c>
      <c r="D2196" t="s">
        <v>772</v>
      </c>
      <c r="E2196">
        <v>275</v>
      </c>
    </row>
    <row r="2197" spans="1:5" x14ac:dyDescent="0.3">
      <c r="A2197" t="s">
        <v>25</v>
      </c>
      <c r="B2197">
        <v>2011</v>
      </c>
      <c r="C2197" t="str">
        <f>_xlfn.CONCAT(Table16[[#This Row],[STATE]],"-",Table16[[#This Row],[YEAR]])</f>
        <v>Orissa-2011</v>
      </c>
      <c r="D2197" t="s">
        <v>449</v>
      </c>
      <c r="E2197">
        <v>27</v>
      </c>
    </row>
    <row r="2198" spans="1:5" x14ac:dyDescent="0.3">
      <c r="A2198" t="s">
        <v>25</v>
      </c>
      <c r="B2198">
        <v>2011</v>
      </c>
      <c r="C2198" t="str">
        <f>_xlfn.CONCAT(Table16[[#This Row],[STATE]],"-",Table16[[#This Row],[YEAR]])</f>
        <v>Orissa-2011</v>
      </c>
      <c r="D2198" t="s">
        <v>245</v>
      </c>
      <c r="E2198">
        <v>16</v>
      </c>
    </row>
    <row r="2199" spans="1:5" x14ac:dyDescent="0.3">
      <c r="A2199" t="s">
        <v>25</v>
      </c>
      <c r="B2199">
        <v>2011</v>
      </c>
      <c r="C2199" t="str">
        <f>_xlfn.CONCAT(Table16[[#This Row],[STATE]],"-",Table16[[#This Row],[YEAR]])</f>
        <v>Orissa-2011</v>
      </c>
      <c r="D2199" t="s">
        <v>103</v>
      </c>
      <c r="E2199">
        <v>70</v>
      </c>
    </row>
    <row r="2200" spans="1:5" x14ac:dyDescent="0.3">
      <c r="A2200" t="s">
        <v>25</v>
      </c>
      <c r="B2200">
        <v>2011</v>
      </c>
      <c r="C2200" t="str">
        <f>_xlfn.CONCAT(Table16[[#This Row],[STATE]],"-",Table16[[#This Row],[YEAR]])</f>
        <v>Orissa-2011</v>
      </c>
      <c r="D2200" t="s">
        <v>775</v>
      </c>
      <c r="E2200">
        <v>23</v>
      </c>
    </row>
    <row r="2201" spans="1:5" x14ac:dyDescent="0.3">
      <c r="A2201" t="s">
        <v>25</v>
      </c>
      <c r="B2201">
        <v>2011</v>
      </c>
      <c r="C2201" t="str">
        <f>_xlfn.CONCAT(Table16[[#This Row],[STATE]],"-",Table16[[#This Row],[YEAR]])</f>
        <v>Orissa-2011</v>
      </c>
      <c r="D2201" t="s">
        <v>768</v>
      </c>
      <c r="E2201">
        <v>77</v>
      </c>
    </row>
    <row r="2202" spans="1:5" x14ac:dyDescent="0.3">
      <c r="A2202" t="s">
        <v>25</v>
      </c>
      <c r="B2202">
        <v>2012</v>
      </c>
      <c r="C2202" t="str">
        <f>_xlfn.CONCAT(Table16[[#This Row],[STATE]],"-",Table16[[#This Row],[YEAR]])</f>
        <v>Orissa-2012</v>
      </c>
      <c r="D2202" t="s">
        <v>776</v>
      </c>
      <c r="E2202">
        <v>103</v>
      </c>
    </row>
    <row r="2203" spans="1:5" x14ac:dyDescent="0.3">
      <c r="A2203" t="s">
        <v>25</v>
      </c>
      <c r="B2203">
        <v>2012</v>
      </c>
      <c r="C2203" t="str">
        <f>_xlfn.CONCAT(Table16[[#This Row],[STATE]],"-",Table16[[#This Row],[YEAR]])</f>
        <v>Orissa-2012</v>
      </c>
      <c r="D2203" t="s">
        <v>123</v>
      </c>
      <c r="E2203">
        <v>17</v>
      </c>
    </row>
    <row r="2204" spans="1:5" x14ac:dyDescent="0.3">
      <c r="A2204" t="s">
        <v>25</v>
      </c>
      <c r="B2204">
        <v>2012</v>
      </c>
      <c r="C2204" t="str">
        <f>_xlfn.CONCAT(Table16[[#This Row],[STATE]],"-",Table16[[#This Row],[YEAR]])</f>
        <v>Orissa-2012</v>
      </c>
      <c r="D2204" t="s">
        <v>449</v>
      </c>
      <c r="E2204">
        <v>22</v>
      </c>
    </row>
    <row r="2205" spans="1:5" x14ac:dyDescent="0.3">
      <c r="A2205" t="s">
        <v>25</v>
      </c>
      <c r="B2205">
        <v>2012</v>
      </c>
      <c r="C2205" t="str">
        <f>_xlfn.CONCAT(Table16[[#This Row],[STATE]],"-",Table16[[#This Row],[YEAR]])</f>
        <v>Orissa-2012</v>
      </c>
      <c r="D2205" t="s">
        <v>777</v>
      </c>
      <c r="E2205">
        <v>15</v>
      </c>
    </row>
    <row r="2206" spans="1:5" x14ac:dyDescent="0.3">
      <c r="A2206" t="s">
        <v>25</v>
      </c>
      <c r="B2206">
        <v>2012</v>
      </c>
      <c r="C2206" t="str">
        <f>_xlfn.CONCAT(Table16[[#This Row],[STATE]],"-",Table16[[#This Row],[YEAR]])</f>
        <v>Orissa-2012</v>
      </c>
      <c r="D2206" t="s">
        <v>103</v>
      </c>
      <c r="E2206">
        <v>93</v>
      </c>
    </row>
    <row r="2207" spans="1:5" x14ac:dyDescent="0.3">
      <c r="A2207" t="s">
        <v>25</v>
      </c>
      <c r="B2207">
        <v>2012</v>
      </c>
      <c r="C2207" t="str">
        <f>_xlfn.CONCAT(Table16[[#This Row],[STATE]],"-",Table16[[#This Row],[YEAR]])</f>
        <v>Orissa-2012</v>
      </c>
      <c r="D2207" t="s">
        <v>778</v>
      </c>
      <c r="E2207">
        <v>319</v>
      </c>
    </row>
    <row r="2208" spans="1:5" x14ac:dyDescent="0.3">
      <c r="A2208" t="s">
        <v>26</v>
      </c>
      <c r="B2208">
        <v>2001</v>
      </c>
      <c r="C2208" t="str">
        <f>_xlfn.CONCAT(Table16[[#This Row],[STATE]],"-",Table16[[#This Row],[YEAR]])</f>
        <v>Punjab-2001</v>
      </c>
      <c r="D2208" t="s">
        <v>123</v>
      </c>
      <c r="E2208">
        <v>215</v>
      </c>
    </row>
    <row r="2209" spans="1:5" x14ac:dyDescent="0.3">
      <c r="A2209" t="s">
        <v>26</v>
      </c>
      <c r="B2209">
        <v>2001</v>
      </c>
      <c r="C2209" t="str">
        <f>_xlfn.CONCAT(Table16[[#This Row],[STATE]],"-",Table16[[#This Row],[YEAR]])</f>
        <v>Punjab-2001</v>
      </c>
      <c r="D2209" t="s">
        <v>391</v>
      </c>
      <c r="E2209">
        <v>156</v>
      </c>
    </row>
    <row r="2210" spans="1:5" x14ac:dyDescent="0.3">
      <c r="A2210" t="s">
        <v>26</v>
      </c>
      <c r="B2210">
        <v>2001</v>
      </c>
      <c r="C2210" t="str">
        <f>_xlfn.CONCAT(Table16[[#This Row],[STATE]],"-",Table16[[#This Row],[YEAR]])</f>
        <v>Punjab-2001</v>
      </c>
      <c r="D2210" t="s">
        <v>385</v>
      </c>
      <c r="E2210">
        <v>90</v>
      </c>
    </row>
    <row r="2211" spans="1:5" x14ac:dyDescent="0.3">
      <c r="A2211" t="s">
        <v>26</v>
      </c>
      <c r="B2211">
        <v>2001</v>
      </c>
      <c r="C2211" t="str">
        <f>_xlfn.CONCAT(Table16[[#This Row],[STATE]],"-",Table16[[#This Row],[YEAR]])</f>
        <v>Punjab-2001</v>
      </c>
      <c r="D2211" t="s">
        <v>388</v>
      </c>
      <c r="E2211">
        <v>12</v>
      </c>
    </row>
    <row r="2212" spans="1:5" x14ac:dyDescent="0.3">
      <c r="A2212" t="s">
        <v>26</v>
      </c>
      <c r="B2212">
        <v>2001</v>
      </c>
      <c r="C2212" t="str">
        <f>_xlfn.CONCAT(Table16[[#This Row],[STATE]],"-",Table16[[#This Row],[YEAR]])</f>
        <v>Punjab-2001</v>
      </c>
      <c r="D2212" t="s">
        <v>779</v>
      </c>
      <c r="E2212">
        <v>68</v>
      </c>
    </row>
    <row r="2213" spans="1:5" x14ac:dyDescent="0.3">
      <c r="A2213" t="s">
        <v>26</v>
      </c>
      <c r="B2213">
        <v>2001</v>
      </c>
      <c r="C2213" t="str">
        <f>_xlfn.CONCAT(Table16[[#This Row],[STATE]],"-",Table16[[#This Row],[YEAR]])</f>
        <v>Punjab-2001</v>
      </c>
      <c r="D2213" t="s">
        <v>141</v>
      </c>
      <c r="E2213">
        <v>39</v>
      </c>
    </row>
    <row r="2214" spans="1:5" x14ac:dyDescent="0.3">
      <c r="A2214" t="s">
        <v>26</v>
      </c>
      <c r="B2214">
        <v>2001</v>
      </c>
      <c r="C2214" t="str">
        <f>_xlfn.CONCAT(Table16[[#This Row],[STATE]],"-",Table16[[#This Row],[YEAR]])</f>
        <v>Punjab-2001</v>
      </c>
      <c r="D2214" t="s">
        <v>103</v>
      </c>
      <c r="E2214">
        <v>26</v>
      </c>
    </row>
    <row r="2215" spans="1:5" x14ac:dyDescent="0.3">
      <c r="A2215" t="s">
        <v>26</v>
      </c>
      <c r="B2215">
        <v>2001</v>
      </c>
      <c r="C2215" t="str">
        <f>_xlfn.CONCAT(Table16[[#This Row],[STATE]],"-",Table16[[#This Row],[YEAR]])</f>
        <v>Punjab-2001</v>
      </c>
      <c r="D2215" t="s">
        <v>780</v>
      </c>
      <c r="E2215">
        <v>103</v>
      </c>
    </row>
    <row r="2216" spans="1:5" x14ac:dyDescent="0.3">
      <c r="A2216" t="s">
        <v>26</v>
      </c>
      <c r="B2216">
        <v>2001</v>
      </c>
      <c r="C2216" t="str">
        <f>_xlfn.CONCAT(Table16[[#This Row],[STATE]],"-",Table16[[#This Row],[YEAR]])</f>
        <v>Punjab-2001</v>
      </c>
      <c r="D2216" t="s">
        <v>221</v>
      </c>
      <c r="E2216">
        <v>14</v>
      </c>
    </row>
    <row r="2217" spans="1:5" x14ac:dyDescent="0.3">
      <c r="A2217" t="s">
        <v>26</v>
      </c>
      <c r="B2217">
        <v>2001</v>
      </c>
      <c r="C2217" t="str">
        <f>_xlfn.CONCAT(Table16[[#This Row],[STATE]],"-",Table16[[#This Row],[YEAR]])</f>
        <v>Punjab-2001</v>
      </c>
      <c r="D2217" t="s">
        <v>471</v>
      </c>
      <c r="E2217">
        <v>18</v>
      </c>
    </row>
    <row r="2218" spans="1:5" x14ac:dyDescent="0.3">
      <c r="A2218" t="s">
        <v>26</v>
      </c>
      <c r="B2218">
        <v>2001</v>
      </c>
      <c r="C2218" t="str">
        <f>_xlfn.CONCAT(Table16[[#This Row],[STATE]],"-",Table16[[#This Row],[YEAR]])</f>
        <v>Punjab-2001</v>
      </c>
      <c r="D2218" t="s">
        <v>781</v>
      </c>
      <c r="E2218">
        <v>10</v>
      </c>
    </row>
    <row r="2219" spans="1:5" x14ac:dyDescent="0.3">
      <c r="A2219" t="s">
        <v>26</v>
      </c>
      <c r="B2219">
        <v>2001</v>
      </c>
      <c r="C2219" t="str">
        <f>_xlfn.CONCAT(Table16[[#This Row],[STATE]],"-",Table16[[#This Row],[YEAR]])</f>
        <v>Punjab-2001</v>
      </c>
      <c r="D2219" t="s">
        <v>782</v>
      </c>
      <c r="E2219">
        <v>21</v>
      </c>
    </row>
    <row r="2220" spans="1:5" x14ac:dyDescent="0.3">
      <c r="A2220" t="s">
        <v>26</v>
      </c>
      <c r="B2220">
        <v>2002</v>
      </c>
      <c r="C2220" t="str">
        <f>_xlfn.CONCAT(Table16[[#This Row],[STATE]],"-",Table16[[#This Row],[YEAR]])</f>
        <v>Punjab-2002</v>
      </c>
      <c r="D2220" t="s">
        <v>783</v>
      </c>
      <c r="E2220">
        <v>990</v>
      </c>
    </row>
    <row r="2221" spans="1:5" x14ac:dyDescent="0.3">
      <c r="A2221" t="s">
        <v>26</v>
      </c>
      <c r="B2221">
        <v>2002</v>
      </c>
      <c r="C2221" t="str">
        <f>_xlfn.CONCAT(Table16[[#This Row],[STATE]],"-",Table16[[#This Row],[YEAR]])</f>
        <v>Punjab-2002</v>
      </c>
      <c r="D2221" t="s">
        <v>784</v>
      </c>
      <c r="E2221">
        <v>180</v>
      </c>
    </row>
    <row r="2222" spans="1:5" x14ac:dyDescent="0.3">
      <c r="A2222" t="s">
        <v>26</v>
      </c>
      <c r="B2222">
        <v>2002</v>
      </c>
      <c r="C2222" t="str">
        <f>_xlfn.CONCAT(Table16[[#This Row],[STATE]],"-",Table16[[#This Row],[YEAR]])</f>
        <v>Punjab-2002</v>
      </c>
      <c r="D2222" t="s">
        <v>679</v>
      </c>
      <c r="E2222">
        <v>250</v>
      </c>
    </row>
    <row r="2223" spans="1:5" x14ac:dyDescent="0.3">
      <c r="A2223" t="s">
        <v>26</v>
      </c>
      <c r="B2223">
        <v>2002</v>
      </c>
      <c r="C2223" t="str">
        <f>_xlfn.CONCAT(Table16[[#This Row],[STATE]],"-",Table16[[#This Row],[YEAR]])</f>
        <v>Punjab-2002</v>
      </c>
      <c r="D2223" t="s">
        <v>123</v>
      </c>
      <c r="E2223">
        <v>25</v>
      </c>
    </row>
    <row r="2224" spans="1:5" x14ac:dyDescent="0.3">
      <c r="A2224" t="s">
        <v>26</v>
      </c>
      <c r="B2224">
        <v>2002</v>
      </c>
      <c r="C2224" t="str">
        <f>_xlfn.CONCAT(Table16[[#This Row],[STATE]],"-",Table16[[#This Row],[YEAR]])</f>
        <v>Punjab-2002</v>
      </c>
      <c r="D2224" t="s">
        <v>785</v>
      </c>
      <c r="E2224">
        <v>18</v>
      </c>
    </row>
    <row r="2225" spans="1:5" x14ac:dyDescent="0.3">
      <c r="A2225" t="s">
        <v>26</v>
      </c>
      <c r="B2225">
        <v>2002</v>
      </c>
      <c r="C2225" t="str">
        <f>_xlfn.CONCAT(Table16[[#This Row],[STATE]],"-",Table16[[#This Row],[YEAR]])</f>
        <v>Punjab-2002</v>
      </c>
      <c r="D2225" t="s">
        <v>146</v>
      </c>
      <c r="E2225">
        <v>10</v>
      </c>
    </row>
    <row r="2226" spans="1:5" x14ac:dyDescent="0.3">
      <c r="A2226" t="s">
        <v>26</v>
      </c>
      <c r="B2226">
        <v>2002</v>
      </c>
      <c r="C2226" t="str">
        <f>_xlfn.CONCAT(Table16[[#This Row],[STATE]],"-",Table16[[#This Row],[YEAR]])</f>
        <v>Punjab-2002</v>
      </c>
      <c r="D2226" t="s">
        <v>786</v>
      </c>
      <c r="E2226">
        <v>168</v>
      </c>
    </row>
    <row r="2227" spans="1:5" x14ac:dyDescent="0.3">
      <c r="A2227" t="s">
        <v>26</v>
      </c>
      <c r="B2227">
        <v>2003</v>
      </c>
      <c r="C2227" t="str">
        <f>_xlfn.CONCAT(Table16[[#This Row],[STATE]],"-",Table16[[#This Row],[YEAR]])</f>
        <v>Punjab-2003</v>
      </c>
      <c r="D2227" t="s">
        <v>783</v>
      </c>
      <c r="E2227">
        <v>980</v>
      </c>
    </row>
    <row r="2228" spans="1:5" x14ac:dyDescent="0.3">
      <c r="A2228" t="s">
        <v>26</v>
      </c>
      <c r="B2228">
        <v>2003</v>
      </c>
      <c r="C2228" t="str">
        <f>_xlfn.CONCAT(Table16[[#This Row],[STATE]],"-",Table16[[#This Row],[YEAR]])</f>
        <v>Punjab-2003</v>
      </c>
      <c r="D2228" t="s">
        <v>144</v>
      </c>
      <c r="E2228">
        <v>179</v>
      </c>
    </row>
    <row r="2229" spans="1:5" x14ac:dyDescent="0.3">
      <c r="A2229" t="s">
        <v>26</v>
      </c>
      <c r="B2229">
        <v>2003</v>
      </c>
      <c r="C2229" t="str">
        <f>_xlfn.CONCAT(Table16[[#This Row],[STATE]],"-",Table16[[#This Row],[YEAR]])</f>
        <v>Punjab-2003</v>
      </c>
      <c r="D2229" t="s">
        <v>679</v>
      </c>
      <c r="E2229">
        <v>244</v>
      </c>
    </row>
    <row r="2230" spans="1:5" x14ac:dyDescent="0.3">
      <c r="A2230" t="s">
        <v>26</v>
      </c>
      <c r="B2230">
        <v>2003</v>
      </c>
      <c r="C2230" t="str">
        <f>_xlfn.CONCAT(Table16[[#This Row],[STATE]],"-",Table16[[#This Row],[YEAR]])</f>
        <v>Punjab-2003</v>
      </c>
      <c r="D2230" t="s">
        <v>123</v>
      </c>
      <c r="E2230">
        <v>25</v>
      </c>
    </row>
    <row r="2231" spans="1:5" x14ac:dyDescent="0.3">
      <c r="A2231" t="s">
        <v>26</v>
      </c>
      <c r="B2231">
        <v>2003</v>
      </c>
      <c r="C2231" t="str">
        <f>_xlfn.CONCAT(Table16[[#This Row],[STATE]],"-",Table16[[#This Row],[YEAR]])</f>
        <v>Punjab-2003</v>
      </c>
      <c r="D2231" t="s">
        <v>151</v>
      </c>
      <c r="E2231">
        <v>18</v>
      </c>
    </row>
    <row r="2232" spans="1:5" x14ac:dyDescent="0.3">
      <c r="A2232" t="s">
        <v>26</v>
      </c>
      <c r="B2232">
        <v>2003</v>
      </c>
      <c r="C2232" t="str">
        <f>_xlfn.CONCAT(Table16[[#This Row],[STATE]],"-",Table16[[#This Row],[YEAR]])</f>
        <v>Punjab-2003</v>
      </c>
      <c r="D2232" t="s">
        <v>779</v>
      </c>
      <c r="E2232">
        <v>16</v>
      </c>
    </row>
    <row r="2233" spans="1:5" x14ac:dyDescent="0.3">
      <c r="A2233" t="s">
        <v>26</v>
      </c>
      <c r="B2233">
        <v>2003</v>
      </c>
      <c r="C2233" t="str">
        <f>_xlfn.CONCAT(Table16[[#This Row],[STATE]],"-",Table16[[#This Row],[YEAR]])</f>
        <v>Punjab-2003</v>
      </c>
      <c r="D2233" t="s">
        <v>786</v>
      </c>
      <c r="E2233">
        <v>168</v>
      </c>
    </row>
    <row r="2234" spans="1:5" x14ac:dyDescent="0.3">
      <c r="A2234" t="s">
        <v>26</v>
      </c>
      <c r="B2234">
        <v>2004</v>
      </c>
      <c r="C2234" t="str">
        <f>_xlfn.CONCAT(Table16[[#This Row],[STATE]],"-",Table16[[#This Row],[YEAR]])</f>
        <v>Punjab-2004</v>
      </c>
      <c r="D2234" t="s">
        <v>783</v>
      </c>
      <c r="E2234">
        <v>608</v>
      </c>
    </row>
    <row r="2235" spans="1:5" x14ac:dyDescent="0.3">
      <c r="A2235" t="s">
        <v>26</v>
      </c>
      <c r="B2235">
        <v>2004</v>
      </c>
      <c r="C2235" t="str">
        <f>_xlfn.CONCAT(Table16[[#This Row],[STATE]],"-",Table16[[#This Row],[YEAR]])</f>
        <v>Punjab-2004</v>
      </c>
      <c r="D2235" t="s">
        <v>787</v>
      </c>
      <c r="E2235">
        <v>170</v>
      </c>
    </row>
    <row r="2236" spans="1:5" x14ac:dyDescent="0.3">
      <c r="A2236" t="s">
        <v>26</v>
      </c>
      <c r="B2236">
        <v>2004</v>
      </c>
      <c r="C2236" t="str">
        <f>_xlfn.CONCAT(Table16[[#This Row],[STATE]],"-",Table16[[#This Row],[YEAR]])</f>
        <v>Punjab-2004</v>
      </c>
      <c r="D2236" t="s">
        <v>679</v>
      </c>
      <c r="E2236">
        <v>150</v>
      </c>
    </row>
    <row r="2237" spans="1:5" x14ac:dyDescent="0.3">
      <c r="A2237" t="s">
        <v>26</v>
      </c>
      <c r="B2237">
        <v>2004</v>
      </c>
      <c r="C2237" t="str">
        <f>_xlfn.CONCAT(Table16[[#This Row],[STATE]],"-",Table16[[#This Row],[YEAR]])</f>
        <v>Punjab-2004</v>
      </c>
      <c r="D2237" t="s">
        <v>123</v>
      </c>
      <c r="E2237">
        <v>28</v>
      </c>
    </row>
    <row r="2238" spans="1:5" x14ac:dyDescent="0.3">
      <c r="A2238" t="s">
        <v>26</v>
      </c>
      <c r="B2238">
        <v>2004</v>
      </c>
      <c r="C2238" t="str">
        <f>_xlfn.CONCAT(Table16[[#This Row],[STATE]],"-",Table16[[#This Row],[YEAR]])</f>
        <v>Punjab-2004</v>
      </c>
      <c r="D2238" t="s">
        <v>788</v>
      </c>
      <c r="E2238">
        <v>12</v>
      </c>
    </row>
    <row r="2239" spans="1:5" x14ac:dyDescent="0.3">
      <c r="A2239" t="s">
        <v>26</v>
      </c>
      <c r="B2239">
        <v>2004</v>
      </c>
      <c r="C2239" t="str">
        <f>_xlfn.CONCAT(Table16[[#This Row],[STATE]],"-",Table16[[#This Row],[YEAR]])</f>
        <v>Punjab-2004</v>
      </c>
      <c r="D2239" t="s">
        <v>146</v>
      </c>
      <c r="E2239">
        <v>10</v>
      </c>
    </row>
    <row r="2240" spans="1:5" x14ac:dyDescent="0.3">
      <c r="A2240" t="s">
        <v>26</v>
      </c>
      <c r="B2240">
        <v>2004</v>
      </c>
      <c r="C2240" t="str">
        <f>_xlfn.CONCAT(Table16[[#This Row],[STATE]],"-",Table16[[#This Row],[YEAR]])</f>
        <v>Punjab-2004</v>
      </c>
      <c r="D2240" t="s">
        <v>789</v>
      </c>
      <c r="E2240">
        <v>123</v>
      </c>
    </row>
    <row r="2241" spans="1:5" x14ac:dyDescent="0.3">
      <c r="A2241" t="s">
        <v>26</v>
      </c>
      <c r="B2241">
        <v>2005</v>
      </c>
      <c r="C2241" t="str">
        <f>_xlfn.CONCAT(Table16[[#This Row],[STATE]],"-",Table16[[#This Row],[YEAR]])</f>
        <v>Punjab-2005</v>
      </c>
      <c r="D2241" t="s">
        <v>783</v>
      </c>
      <c r="E2241">
        <v>610</v>
      </c>
    </row>
    <row r="2242" spans="1:5" x14ac:dyDescent="0.3">
      <c r="A2242" t="s">
        <v>26</v>
      </c>
      <c r="B2242">
        <v>2005</v>
      </c>
      <c r="C2242" t="str">
        <f>_xlfn.CONCAT(Table16[[#This Row],[STATE]],"-",Table16[[#This Row],[YEAR]])</f>
        <v>Punjab-2005</v>
      </c>
      <c r="D2242" t="s">
        <v>790</v>
      </c>
      <c r="E2242">
        <v>190</v>
      </c>
    </row>
    <row r="2243" spans="1:5" x14ac:dyDescent="0.3">
      <c r="A2243" t="s">
        <v>26</v>
      </c>
      <c r="B2243">
        <v>2005</v>
      </c>
      <c r="C2243" t="str">
        <f>_xlfn.CONCAT(Table16[[#This Row],[STATE]],"-",Table16[[#This Row],[YEAR]])</f>
        <v>Punjab-2005</v>
      </c>
      <c r="D2243" t="s">
        <v>679</v>
      </c>
      <c r="E2243">
        <v>155</v>
      </c>
    </row>
    <row r="2244" spans="1:5" x14ac:dyDescent="0.3">
      <c r="A2244" t="s">
        <v>26</v>
      </c>
      <c r="B2244">
        <v>2005</v>
      </c>
      <c r="C2244" t="str">
        <f>_xlfn.CONCAT(Table16[[#This Row],[STATE]],"-",Table16[[#This Row],[YEAR]])</f>
        <v>Punjab-2005</v>
      </c>
      <c r="D2244" t="s">
        <v>123</v>
      </c>
      <c r="E2244">
        <v>40</v>
      </c>
    </row>
    <row r="2245" spans="1:5" x14ac:dyDescent="0.3">
      <c r="A2245" t="s">
        <v>26</v>
      </c>
      <c r="B2245">
        <v>2005</v>
      </c>
      <c r="C2245" t="str">
        <f>_xlfn.CONCAT(Table16[[#This Row],[STATE]],"-",Table16[[#This Row],[YEAR]])</f>
        <v>Punjab-2005</v>
      </c>
      <c r="D2245" t="s">
        <v>785</v>
      </c>
      <c r="E2245">
        <v>15</v>
      </c>
    </row>
    <row r="2246" spans="1:5" x14ac:dyDescent="0.3">
      <c r="A2246" t="s">
        <v>26</v>
      </c>
      <c r="B2246">
        <v>2005</v>
      </c>
      <c r="C2246" t="str">
        <f>_xlfn.CONCAT(Table16[[#This Row],[STATE]],"-",Table16[[#This Row],[YEAR]])</f>
        <v>Punjab-2005</v>
      </c>
      <c r="D2246" t="s">
        <v>146</v>
      </c>
      <c r="E2246">
        <v>20</v>
      </c>
    </row>
    <row r="2247" spans="1:5" x14ac:dyDescent="0.3">
      <c r="A2247" t="s">
        <v>26</v>
      </c>
      <c r="B2247">
        <v>2005</v>
      </c>
      <c r="C2247" t="str">
        <f>_xlfn.CONCAT(Table16[[#This Row],[STATE]],"-",Table16[[#This Row],[YEAR]])</f>
        <v>Punjab-2005</v>
      </c>
      <c r="D2247" t="s">
        <v>103</v>
      </c>
      <c r="E2247">
        <v>123</v>
      </c>
    </row>
    <row r="2248" spans="1:5" x14ac:dyDescent="0.3">
      <c r="A2248" t="s">
        <v>26</v>
      </c>
      <c r="B2248">
        <v>2006</v>
      </c>
      <c r="C2248" t="str">
        <f>_xlfn.CONCAT(Table16[[#This Row],[STATE]],"-",Table16[[#This Row],[YEAR]])</f>
        <v>Punjab-2006</v>
      </c>
      <c r="D2248" t="s">
        <v>783</v>
      </c>
      <c r="E2248">
        <v>827</v>
      </c>
    </row>
    <row r="2249" spans="1:5" x14ac:dyDescent="0.3">
      <c r="A2249" t="s">
        <v>26</v>
      </c>
      <c r="B2249">
        <v>2006</v>
      </c>
      <c r="C2249" t="str">
        <f>_xlfn.CONCAT(Table16[[#This Row],[STATE]],"-",Table16[[#This Row],[YEAR]])</f>
        <v>Punjab-2006</v>
      </c>
      <c r="D2249" t="s">
        <v>791</v>
      </c>
      <c r="E2249">
        <v>187</v>
      </c>
    </row>
    <row r="2250" spans="1:5" x14ac:dyDescent="0.3">
      <c r="A2250" t="s">
        <v>26</v>
      </c>
      <c r="B2250">
        <v>2006</v>
      </c>
      <c r="C2250" t="str">
        <f>_xlfn.CONCAT(Table16[[#This Row],[STATE]],"-",Table16[[#This Row],[YEAR]])</f>
        <v>Punjab-2006</v>
      </c>
      <c r="D2250" t="s">
        <v>689</v>
      </c>
      <c r="E2250">
        <v>170</v>
      </c>
    </row>
    <row r="2251" spans="1:5" x14ac:dyDescent="0.3">
      <c r="A2251" t="s">
        <v>26</v>
      </c>
      <c r="B2251">
        <v>2006</v>
      </c>
      <c r="C2251" t="str">
        <f>_xlfn.CONCAT(Table16[[#This Row],[STATE]],"-",Table16[[#This Row],[YEAR]])</f>
        <v>Punjab-2006</v>
      </c>
      <c r="D2251" t="s">
        <v>123</v>
      </c>
      <c r="E2251">
        <v>3123</v>
      </c>
    </row>
    <row r="2252" spans="1:5" x14ac:dyDescent="0.3">
      <c r="A2252" t="s">
        <v>26</v>
      </c>
      <c r="B2252">
        <v>2006</v>
      </c>
      <c r="C2252" t="str">
        <f>_xlfn.CONCAT(Table16[[#This Row],[STATE]],"-",Table16[[#This Row],[YEAR]])</f>
        <v>Punjab-2006</v>
      </c>
      <c r="D2252" t="s">
        <v>102</v>
      </c>
      <c r="E2252">
        <v>23</v>
      </c>
    </row>
    <row r="2253" spans="1:5" x14ac:dyDescent="0.3">
      <c r="A2253" t="s">
        <v>26</v>
      </c>
      <c r="B2253">
        <v>2006</v>
      </c>
      <c r="C2253" t="str">
        <f>_xlfn.CONCAT(Table16[[#This Row],[STATE]],"-",Table16[[#This Row],[YEAR]])</f>
        <v>Punjab-2006</v>
      </c>
      <c r="D2253" t="s">
        <v>146</v>
      </c>
      <c r="E2253">
        <v>57</v>
      </c>
    </row>
    <row r="2254" spans="1:5" x14ac:dyDescent="0.3">
      <c r="A2254" t="s">
        <v>26</v>
      </c>
      <c r="B2254">
        <v>2006</v>
      </c>
      <c r="C2254" t="str">
        <f>_xlfn.CONCAT(Table16[[#This Row],[STATE]],"-",Table16[[#This Row],[YEAR]])</f>
        <v>Punjab-2006</v>
      </c>
      <c r="D2254" t="s">
        <v>789</v>
      </c>
      <c r="E2254">
        <v>163</v>
      </c>
    </row>
    <row r="2255" spans="1:5" x14ac:dyDescent="0.3">
      <c r="A2255" t="s">
        <v>26</v>
      </c>
      <c r="B2255">
        <v>2007</v>
      </c>
      <c r="C2255" t="str">
        <f>_xlfn.CONCAT(Table16[[#This Row],[STATE]],"-",Table16[[#This Row],[YEAR]])</f>
        <v>Punjab-2007</v>
      </c>
      <c r="D2255" t="s">
        <v>783</v>
      </c>
      <c r="E2255">
        <v>793</v>
      </c>
    </row>
    <row r="2256" spans="1:5" x14ac:dyDescent="0.3">
      <c r="A2256" t="s">
        <v>26</v>
      </c>
      <c r="B2256">
        <v>2007</v>
      </c>
      <c r="C2256" t="str">
        <f>_xlfn.CONCAT(Table16[[#This Row],[STATE]],"-",Table16[[#This Row],[YEAR]])</f>
        <v>Punjab-2007</v>
      </c>
      <c r="D2256" t="s">
        <v>792</v>
      </c>
      <c r="E2256">
        <v>157</v>
      </c>
    </row>
    <row r="2257" spans="1:5" x14ac:dyDescent="0.3">
      <c r="A2257" t="s">
        <v>26</v>
      </c>
      <c r="B2257">
        <v>2007</v>
      </c>
      <c r="C2257" t="str">
        <f>_xlfn.CONCAT(Table16[[#This Row],[STATE]],"-",Table16[[#This Row],[YEAR]])</f>
        <v>Punjab-2007</v>
      </c>
      <c r="D2257" t="s">
        <v>190</v>
      </c>
      <c r="E2257">
        <v>194</v>
      </c>
    </row>
    <row r="2258" spans="1:5" x14ac:dyDescent="0.3">
      <c r="A2258" t="s">
        <v>26</v>
      </c>
      <c r="B2258">
        <v>2007</v>
      </c>
      <c r="C2258" t="str">
        <f>_xlfn.CONCAT(Table16[[#This Row],[STATE]],"-",Table16[[#This Row],[YEAR]])</f>
        <v>Punjab-2007</v>
      </c>
      <c r="D2258" t="s">
        <v>123</v>
      </c>
      <c r="E2258">
        <v>3019</v>
      </c>
    </row>
    <row r="2259" spans="1:5" x14ac:dyDescent="0.3">
      <c r="A2259" t="s">
        <v>26</v>
      </c>
      <c r="B2259">
        <v>2007</v>
      </c>
      <c r="C2259" t="str">
        <f>_xlfn.CONCAT(Table16[[#This Row],[STATE]],"-",Table16[[#This Row],[YEAR]])</f>
        <v>Punjab-2007</v>
      </c>
      <c r="D2259" t="s">
        <v>102</v>
      </c>
      <c r="E2259">
        <v>29</v>
      </c>
    </row>
    <row r="2260" spans="1:5" x14ac:dyDescent="0.3">
      <c r="A2260" t="s">
        <v>26</v>
      </c>
      <c r="B2260">
        <v>2007</v>
      </c>
      <c r="C2260" t="str">
        <f>_xlfn.CONCAT(Table16[[#This Row],[STATE]],"-",Table16[[#This Row],[YEAR]])</f>
        <v>Punjab-2007</v>
      </c>
      <c r="D2260" t="s">
        <v>146</v>
      </c>
      <c r="E2260">
        <v>67</v>
      </c>
    </row>
    <row r="2261" spans="1:5" x14ac:dyDescent="0.3">
      <c r="A2261" t="s">
        <v>26</v>
      </c>
      <c r="B2261">
        <v>2007</v>
      </c>
      <c r="C2261" t="str">
        <f>_xlfn.CONCAT(Table16[[#This Row],[STATE]],"-",Table16[[#This Row],[YEAR]])</f>
        <v>Punjab-2007</v>
      </c>
      <c r="D2261" t="s">
        <v>103</v>
      </c>
      <c r="E2261">
        <v>177</v>
      </c>
    </row>
    <row r="2262" spans="1:5" x14ac:dyDescent="0.3">
      <c r="A2262" t="s">
        <v>26</v>
      </c>
      <c r="B2262">
        <v>2008</v>
      </c>
      <c r="C2262" t="str">
        <f>_xlfn.CONCAT(Table16[[#This Row],[STATE]],"-",Table16[[#This Row],[YEAR]])</f>
        <v>Punjab-2008</v>
      </c>
      <c r="D2262" t="s">
        <v>123</v>
      </c>
      <c r="E2262">
        <v>264</v>
      </c>
    </row>
    <row r="2263" spans="1:5" x14ac:dyDescent="0.3">
      <c r="A2263" t="s">
        <v>26</v>
      </c>
      <c r="B2263">
        <v>2008</v>
      </c>
      <c r="C2263" t="str">
        <f>_xlfn.CONCAT(Table16[[#This Row],[STATE]],"-",Table16[[#This Row],[YEAR]])</f>
        <v>Punjab-2008</v>
      </c>
      <c r="D2263" t="s">
        <v>90</v>
      </c>
      <c r="E2263">
        <v>315</v>
      </c>
    </row>
    <row r="2264" spans="1:5" x14ac:dyDescent="0.3">
      <c r="A2264" t="s">
        <v>26</v>
      </c>
      <c r="B2264">
        <v>2008</v>
      </c>
      <c r="C2264" t="str">
        <f>_xlfn.CONCAT(Table16[[#This Row],[STATE]],"-",Table16[[#This Row],[YEAR]])</f>
        <v>Punjab-2008</v>
      </c>
      <c r="D2264" t="s">
        <v>793</v>
      </c>
      <c r="E2264">
        <v>8</v>
      </c>
    </row>
    <row r="2265" spans="1:5" x14ac:dyDescent="0.3">
      <c r="A2265" t="s">
        <v>26</v>
      </c>
      <c r="B2265">
        <v>2008</v>
      </c>
      <c r="C2265" t="str">
        <f>_xlfn.CONCAT(Table16[[#This Row],[STATE]],"-",Table16[[#This Row],[YEAR]])</f>
        <v>Punjab-2008</v>
      </c>
      <c r="D2265" t="s">
        <v>386</v>
      </c>
      <c r="E2265">
        <v>11</v>
      </c>
    </row>
    <row r="2266" spans="1:5" x14ac:dyDescent="0.3">
      <c r="A2266" t="s">
        <v>26</v>
      </c>
      <c r="B2266">
        <v>2008</v>
      </c>
      <c r="C2266" t="str">
        <f>_xlfn.CONCAT(Table16[[#This Row],[STATE]],"-",Table16[[#This Row],[YEAR]])</f>
        <v>Punjab-2008</v>
      </c>
      <c r="D2266" t="s">
        <v>794</v>
      </c>
      <c r="E2266">
        <v>4</v>
      </c>
    </row>
    <row r="2267" spans="1:5" x14ac:dyDescent="0.3">
      <c r="A2267" t="s">
        <v>26</v>
      </c>
      <c r="B2267">
        <v>2008</v>
      </c>
      <c r="C2267" t="str">
        <f>_xlfn.CONCAT(Table16[[#This Row],[STATE]],"-",Table16[[#This Row],[YEAR]])</f>
        <v>Punjab-2008</v>
      </c>
      <c r="D2267" t="s">
        <v>783</v>
      </c>
      <c r="E2267">
        <v>180</v>
      </c>
    </row>
    <row r="2268" spans="1:5" x14ac:dyDescent="0.3">
      <c r="A2268" t="s">
        <v>26</v>
      </c>
      <c r="B2268">
        <v>2008</v>
      </c>
      <c r="C2268" t="str">
        <f>_xlfn.CONCAT(Table16[[#This Row],[STATE]],"-",Table16[[#This Row],[YEAR]])</f>
        <v>Punjab-2008</v>
      </c>
      <c r="D2268" t="s">
        <v>151</v>
      </c>
      <c r="E2268">
        <v>35</v>
      </c>
    </row>
    <row r="2269" spans="1:5" x14ac:dyDescent="0.3">
      <c r="A2269" t="s">
        <v>26</v>
      </c>
      <c r="B2269">
        <v>2008</v>
      </c>
      <c r="C2269" t="str">
        <f>_xlfn.CONCAT(Table16[[#This Row],[STATE]],"-",Table16[[#This Row],[YEAR]])</f>
        <v>Punjab-2008</v>
      </c>
      <c r="D2269" t="s">
        <v>102</v>
      </c>
      <c r="E2269">
        <v>81</v>
      </c>
    </row>
    <row r="2270" spans="1:5" x14ac:dyDescent="0.3">
      <c r="A2270" t="s">
        <v>26</v>
      </c>
      <c r="B2270">
        <v>2008</v>
      </c>
      <c r="C2270" t="str">
        <f>_xlfn.CONCAT(Table16[[#This Row],[STATE]],"-",Table16[[#This Row],[YEAR]])</f>
        <v>Punjab-2008</v>
      </c>
      <c r="D2270" t="s">
        <v>103</v>
      </c>
      <c r="E2270">
        <v>143</v>
      </c>
    </row>
    <row r="2271" spans="1:5" x14ac:dyDescent="0.3">
      <c r="A2271" t="s">
        <v>26</v>
      </c>
      <c r="B2271">
        <v>2008</v>
      </c>
      <c r="C2271" t="str">
        <f>_xlfn.CONCAT(Table16[[#This Row],[STATE]],"-",Table16[[#This Row],[YEAR]])</f>
        <v>Punjab-2008</v>
      </c>
      <c r="D2271" t="s">
        <v>144</v>
      </c>
      <c r="E2271">
        <v>32</v>
      </c>
    </row>
    <row r="2272" spans="1:5" x14ac:dyDescent="0.3">
      <c r="A2272" t="s">
        <v>26</v>
      </c>
      <c r="B2272">
        <v>2008</v>
      </c>
      <c r="C2272" t="str">
        <f>_xlfn.CONCAT(Table16[[#This Row],[STATE]],"-",Table16[[#This Row],[YEAR]])</f>
        <v>Punjab-2008</v>
      </c>
      <c r="D2272" t="s">
        <v>657</v>
      </c>
      <c r="E2272">
        <v>89</v>
      </c>
    </row>
    <row r="2273" spans="1:5" x14ac:dyDescent="0.3">
      <c r="A2273" t="s">
        <v>26</v>
      </c>
      <c r="B2273">
        <v>2008</v>
      </c>
      <c r="C2273" t="str">
        <f>_xlfn.CONCAT(Table16[[#This Row],[STATE]],"-",Table16[[#This Row],[YEAR]])</f>
        <v>Punjab-2008</v>
      </c>
      <c r="D2273" t="s">
        <v>197</v>
      </c>
      <c r="E2273">
        <v>30</v>
      </c>
    </row>
    <row r="2274" spans="1:5" x14ac:dyDescent="0.3">
      <c r="A2274" t="s">
        <v>26</v>
      </c>
      <c r="B2274">
        <v>2008</v>
      </c>
      <c r="C2274" t="str">
        <f>_xlfn.CONCAT(Table16[[#This Row],[STATE]],"-",Table16[[#This Row],[YEAR]])</f>
        <v>Punjab-2008</v>
      </c>
      <c r="D2274" t="s">
        <v>795</v>
      </c>
      <c r="E2274">
        <v>14</v>
      </c>
    </row>
    <row r="2275" spans="1:5" x14ac:dyDescent="0.3">
      <c r="A2275" t="s">
        <v>26</v>
      </c>
      <c r="B2275">
        <v>2008</v>
      </c>
      <c r="C2275" t="str">
        <f>_xlfn.CONCAT(Table16[[#This Row],[STATE]],"-",Table16[[#This Row],[YEAR]])</f>
        <v>Punjab-2008</v>
      </c>
      <c r="D2275" t="s">
        <v>141</v>
      </c>
      <c r="E2275">
        <v>6</v>
      </c>
    </row>
    <row r="2276" spans="1:5" x14ac:dyDescent="0.3">
      <c r="A2276" t="s">
        <v>26</v>
      </c>
      <c r="B2276">
        <v>2008</v>
      </c>
      <c r="C2276" t="str">
        <f>_xlfn.CONCAT(Table16[[#This Row],[STATE]],"-",Table16[[#This Row],[YEAR]])</f>
        <v>Punjab-2008</v>
      </c>
      <c r="D2276" t="s">
        <v>796</v>
      </c>
      <c r="E2276">
        <v>10</v>
      </c>
    </row>
    <row r="2277" spans="1:5" x14ac:dyDescent="0.3">
      <c r="A2277" t="s">
        <v>26</v>
      </c>
      <c r="B2277">
        <v>2008</v>
      </c>
      <c r="C2277" t="str">
        <f>_xlfn.CONCAT(Table16[[#This Row],[STATE]],"-",Table16[[#This Row],[YEAR]])</f>
        <v>Punjab-2008</v>
      </c>
      <c r="D2277" t="s">
        <v>286</v>
      </c>
      <c r="E2277">
        <v>12</v>
      </c>
    </row>
    <row r="2278" spans="1:5" x14ac:dyDescent="0.3">
      <c r="A2278" t="s">
        <v>26</v>
      </c>
      <c r="B2278">
        <v>2009</v>
      </c>
      <c r="C2278" t="str">
        <f>_xlfn.CONCAT(Table16[[#This Row],[STATE]],"-",Table16[[#This Row],[YEAR]])</f>
        <v>Punjab-2009</v>
      </c>
      <c r="D2278" t="s">
        <v>123</v>
      </c>
      <c r="E2278">
        <v>265</v>
      </c>
    </row>
    <row r="2279" spans="1:5" x14ac:dyDescent="0.3">
      <c r="A2279" t="s">
        <v>26</v>
      </c>
      <c r="B2279">
        <v>2009</v>
      </c>
      <c r="C2279" t="str">
        <f>_xlfn.CONCAT(Table16[[#This Row],[STATE]],"-",Table16[[#This Row],[YEAR]])</f>
        <v>Punjab-2009</v>
      </c>
      <c r="D2279" t="s">
        <v>90</v>
      </c>
      <c r="E2279">
        <v>310</v>
      </c>
    </row>
    <row r="2280" spans="1:5" x14ac:dyDescent="0.3">
      <c r="A2280" t="s">
        <v>26</v>
      </c>
      <c r="B2280">
        <v>2009</v>
      </c>
      <c r="C2280" t="str">
        <f>_xlfn.CONCAT(Table16[[#This Row],[STATE]],"-",Table16[[#This Row],[YEAR]])</f>
        <v>Punjab-2009</v>
      </c>
      <c r="D2280" t="s">
        <v>793</v>
      </c>
      <c r="E2280">
        <v>8</v>
      </c>
    </row>
    <row r="2281" spans="1:5" x14ac:dyDescent="0.3">
      <c r="A2281" t="s">
        <v>26</v>
      </c>
      <c r="B2281">
        <v>2009</v>
      </c>
      <c r="C2281" t="str">
        <f>_xlfn.CONCAT(Table16[[#This Row],[STATE]],"-",Table16[[#This Row],[YEAR]])</f>
        <v>Punjab-2009</v>
      </c>
      <c r="D2281" t="s">
        <v>390</v>
      </c>
      <c r="E2281">
        <v>12</v>
      </c>
    </row>
    <row r="2282" spans="1:5" x14ac:dyDescent="0.3">
      <c r="A2282" t="s">
        <v>26</v>
      </c>
      <c r="B2282">
        <v>2009</v>
      </c>
      <c r="C2282" t="str">
        <f>_xlfn.CONCAT(Table16[[#This Row],[STATE]],"-",Table16[[#This Row],[YEAR]])</f>
        <v>Punjab-2009</v>
      </c>
      <c r="D2282" t="s">
        <v>797</v>
      </c>
      <c r="E2282">
        <v>4</v>
      </c>
    </row>
    <row r="2283" spans="1:5" x14ac:dyDescent="0.3">
      <c r="A2283" t="s">
        <v>26</v>
      </c>
      <c r="B2283">
        <v>2009</v>
      </c>
      <c r="C2283" t="str">
        <f>_xlfn.CONCAT(Table16[[#This Row],[STATE]],"-",Table16[[#This Row],[YEAR]])</f>
        <v>Punjab-2009</v>
      </c>
      <c r="D2283" t="s">
        <v>385</v>
      </c>
      <c r="E2283">
        <v>175</v>
      </c>
    </row>
    <row r="2284" spans="1:5" x14ac:dyDescent="0.3">
      <c r="A2284" t="s">
        <v>26</v>
      </c>
      <c r="B2284">
        <v>2009</v>
      </c>
      <c r="C2284" t="str">
        <f>_xlfn.CONCAT(Table16[[#This Row],[STATE]],"-",Table16[[#This Row],[YEAR]])</f>
        <v>Punjab-2009</v>
      </c>
      <c r="D2284" t="s">
        <v>798</v>
      </c>
      <c r="E2284">
        <v>120</v>
      </c>
    </row>
    <row r="2285" spans="1:5" x14ac:dyDescent="0.3">
      <c r="A2285" t="s">
        <v>26</v>
      </c>
      <c r="B2285">
        <v>2009</v>
      </c>
      <c r="C2285" t="str">
        <f>_xlfn.CONCAT(Table16[[#This Row],[STATE]],"-",Table16[[#This Row],[YEAR]])</f>
        <v>Punjab-2009</v>
      </c>
      <c r="D2285" t="s">
        <v>103</v>
      </c>
      <c r="E2285">
        <v>151</v>
      </c>
    </row>
    <row r="2286" spans="1:5" x14ac:dyDescent="0.3">
      <c r="A2286" t="s">
        <v>26</v>
      </c>
      <c r="B2286">
        <v>2009</v>
      </c>
      <c r="C2286" t="str">
        <f>_xlfn.CONCAT(Table16[[#This Row],[STATE]],"-",Table16[[#This Row],[YEAR]])</f>
        <v>Punjab-2009</v>
      </c>
      <c r="D2286" t="s">
        <v>657</v>
      </c>
      <c r="E2286">
        <v>40</v>
      </c>
    </row>
    <row r="2287" spans="1:5" x14ac:dyDescent="0.3">
      <c r="A2287" t="s">
        <v>26</v>
      </c>
      <c r="B2287">
        <v>2009</v>
      </c>
      <c r="C2287" t="str">
        <f>_xlfn.CONCAT(Table16[[#This Row],[STATE]],"-",Table16[[#This Row],[YEAR]])</f>
        <v>Punjab-2009</v>
      </c>
      <c r="D2287" t="s">
        <v>197</v>
      </c>
      <c r="E2287">
        <v>30</v>
      </c>
    </row>
    <row r="2288" spans="1:5" x14ac:dyDescent="0.3">
      <c r="A2288" t="s">
        <v>26</v>
      </c>
      <c r="B2288">
        <v>2009</v>
      </c>
      <c r="C2288" t="str">
        <f>_xlfn.CONCAT(Table16[[#This Row],[STATE]],"-",Table16[[#This Row],[YEAR]])</f>
        <v>Punjab-2009</v>
      </c>
      <c r="D2288" t="s">
        <v>795</v>
      </c>
      <c r="E2288">
        <v>6</v>
      </c>
    </row>
    <row r="2289" spans="1:5" x14ac:dyDescent="0.3">
      <c r="A2289" t="s">
        <v>26</v>
      </c>
      <c r="B2289">
        <v>2009</v>
      </c>
      <c r="C2289" t="str">
        <f>_xlfn.CONCAT(Table16[[#This Row],[STATE]],"-",Table16[[#This Row],[YEAR]])</f>
        <v>Punjab-2009</v>
      </c>
      <c r="D2289" t="s">
        <v>698</v>
      </c>
      <c r="E2289">
        <v>4</v>
      </c>
    </row>
    <row r="2290" spans="1:5" x14ac:dyDescent="0.3">
      <c r="A2290" t="s">
        <v>26</v>
      </c>
      <c r="B2290">
        <v>2009</v>
      </c>
      <c r="C2290" t="str">
        <f>_xlfn.CONCAT(Table16[[#This Row],[STATE]],"-",Table16[[#This Row],[YEAR]])</f>
        <v>Punjab-2009</v>
      </c>
      <c r="D2290" t="s">
        <v>478</v>
      </c>
      <c r="E2290">
        <v>22</v>
      </c>
    </row>
    <row r="2291" spans="1:5" x14ac:dyDescent="0.3">
      <c r="A2291" t="s">
        <v>26</v>
      </c>
      <c r="B2291">
        <v>2010</v>
      </c>
      <c r="C2291" t="str">
        <f>_xlfn.CONCAT(Table16[[#This Row],[STATE]],"-",Table16[[#This Row],[YEAR]])</f>
        <v>Punjab-2010</v>
      </c>
      <c r="D2291" t="s">
        <v>123</v>
      </c>
      <c r="E2291">
        <v>269</v>
      </c>
    </row>
    <row r="2292" spans="1:5" x14ac:dyDescent="0.3">
      <c r="A2292" t="s">
        <v>26</v>
      </c>
      <c r="B2292">
        <v>2010</v>
      </c>
      <c r="C2292" t="str">
        <f>_xlfn.CONCAT(Table16[[#This Row],[STATE]],"-",Table16[[#This Row],[YEAR]])</f>
        <v>Punjab-2010</v>
      </c>
      <c r="D2292" t="s">
        <v>90</v>
      </c>
      <c r="E2292">
        <v>312</v>
      </c>
    </row>
    <row r="2293" spans="1:5" x14ac:dyDescent="0.3">
      <c r="A2293" t="s">
        <v>26</v>
      </c>
      <c r="B2293">
        <v>2010</v>
      </c>
      <c r="C2293" t="str">
        <f>_xlfn.CONCAT(Table16[[#This Row],[STATE]],"-",Table16[[#This Row],[YEAR]])</f>
        <v>Punjab-2010</v>
      </c>
      <c r="D2293" t="s">
        <v>793</v>
      </c>
      <c r="E2293">
        <v>10</v>
      </c>
    </row>
    <row r="2294" spans="1:5" x14ac:dyDescent="0.3">
      <c r="A2294" t="s">
        <v>26</v>
      </c>
      <c r="B2294">
        <v>2010</v>
      </c>
      <c r="C2294" t="str">
        <f>_xlfn.CONCAT(Table16[[#This Row],[STATE]],"-",Table16[[#This Row],[YEAR]])</f>
        <v>Punjab-2010</v>
      </c>
      <c r="D2294" t="s">
        <v>390</v>
      </c>
      <c r="E2294">
        <v>11</v>
      </c>
    </row>
    <row r="2295" spans="1:5" x14ac:dyDescent="0.3">
      <c r="A2295" t="s">
        <v>26</v>
      </c>
      <c r="B2295">
        <v>2010</v>
      </c>
      <c r="C2295" t="str">
        <f>_xlfn.CONCAT(Table16[[#This Row],[STATE]],"-",Table16[[#This Row],[YEAR]])</f>
        <v>Punjab-2010</v>
      </c>
      <c r="D2295" t="s">
        <v>797</v>
      </c>
      <c r="E2295">
        <v>2</v>
      </c>
    </row>
    <row r="2296" spans="1:5" x14ac:dyDescent="0.3">
      <c r="A2296" t="s">
        <v>26</v>
      </c>
      <c r="B2296">
        <v>2010</v>
      </c>
      <c r="C2296" t="str">
        <f>_xlfn.CONCAT(Table16[[#This Row],[STATE]],"-",Table16[[#This Row],[YEAR]])</f>
        <v>Punjab-2010</v>
      </c>
      <c r="D2296" t="s">
        <v>799</v>
      </c>
      <c r="E2296">
        <v>190</v>
      </c>
    </row>
    <row r="2297" spans="1:5" x14ac:dyDescent="0.3">
      <c r="A2297" t="s">
        <v>26</v>
      </c>
      <c r="B2297">
        <v>2010</v>
      </c>
      <c r="C2297" t="str">
        <f>_xlfn.CONCAT(Table16[[#This Row],[STATE]],"-",Table16[[#This Row],[YEAR]])</f>
        <v>Punjab-2010</v>
      </c>
      <c r="D2297" t="s">
        <v>225</v>
      </c>
      <c r="E2297">
        <v>40</v>
      </c>
    </row>
    <row r="2298" spans="1:5" x14ac:dyDescent="0.3">
      <c r="A2298" t="s">
        <v>26</v>
      </c>
      <c r="B2298">
        <v>2010</v>
      </c>
      <c r="C2298" t="str">
        <f>_xlfn.CONCAT(Table16[[#This Row],[STATE]],"-",Table16[[#This Row],[YEAR]])</f>
        <v>Punjab-2010</v>
      </c>
      <c r="D2298" t="s">
        <v>102</v>
      </c>
      <c r="E2298">
        <v>78</v>
      </c>
    </row>
    <row r="2299" spans="1:5" x14ac:dyDescent="0.3">
      <c r="A2299" t="s">
        <v>26</v>
      </c>
      <c r="B2299">
        <v>2010</v>
      </c>
      <c r="C2299" t="str">
        <f>_xlfn.CONCAT(Table16[[#This Row],[STATE]],"-",Table16[[#This Row],[YEAR]])</f>
        <v>Punjab-2010</v>
      </c>
      <c r="D2299" t="s">
        <v>103</v>
      </c>
      <c r="E2299">
        <v>148</v>
      </c>
    </row>
    <row r="2300" spans="1:5" x14ac:dyDescent="0.3">
      <c r="A2300" t="s">
        <v>26</v>
      </c>
      <c r="B2300">
        <v>2010</v>
      </c>
      <c r="C2300" t="str">
        <f>_xlfn.CONCAT(Table16[[#This Row],[STATE]],"-",Table16[[#This Row],[YEAR]])</f>
        <v>Punjab-2010</v>
      </c>
      <c r="D2300" t="s">
        <v>800</v>
      </c>
      <c r="E2300">
        <v>42</v>
      </c>
    </row>
    <row r="2301" spans="1:5" x14ac:dyDescent="0.3">
      <c r="A2301" t="s">
        <v>26</v>
      </c>
      <c r="B2301">
        <v>2010</v>
      </c>
      <c r="C2301" t="str">
        <f>_xlfn.CONCAT(Table16[[#This Row],[STATE]],"-",Table16[[#This Row],[YEAR]])</f>
        <v>Punjab-2010</v>
      </c>
      <c r="D2301" t="s">
        <v>197</v>
      </c>
      <c r="E2301">
        <v>45</v>
      </c>
    </row>
    <row r="2302" spans="1:5" x14ac:dyDescent="0.3">
      <c r="A2302" t="s">
        <v>26</v>
      </c>
      <c r="B2302">
        <v>2010</v>
      </c>
      <c r="C2302" t="str">
        <f>_xlfn.CONCAT(Table16[[#This Row],[STATE]],"-",Table16[[#This Row],[YEAR]])</f>
        <v>Punjab-2010</v>
      </c>
      <c r="D2302" t="s">
        <v>795</v>
      </c>
      <c r="E2302">
        <v>6</v>
      </c>
    </row>
    <row r="2303" spans="1:5" x14ac:dyDescent="0.3">
      <c r="A2303" t="s">
        <v>26</v>
      </c>
      <c r="B2303">
        <v>2010</v>
      </c>
      <c r="C2303" t="str">
        <f>_xlfn.CONCAT(Table16[[#This Row],[STATE]],"-",Table16[[#This Row],[YEAR]])</f>
        <v>Punjab-2010</v>
      </c>
      <c r="D2303" t="s">
        <v>698</v>
      </c>
      <c r="E2303">
        <v>8</v>
      </c>
    </row>
    <row r="2304" spans="1:5" x14ac:dyDescent="0.3">
      <c r="A2304" t="s">
        <v>26</v>
      </c>
      <c r="B2304">
        <v>2010</v>
      </c>
      <c r="C2304" t="str">
        <f>_xlfn.CONCAT(Table16[[#This Row],[STATE]],"-",Table16[[#This Row],[YEAR]])</f>
        <v>Punjab-2010</v>
      </c>
      <c r="D2304" t="s">
        <v>478</v>
      </c>
      <c r="E2304">
        <v>29</v>
      </c>
    </row>
    <row r="2305" spans="1:5" x14ac:dyDescent="0.3">
      <c r="A2305" t="s">
        <v>26</v>
      </c>
      <c r="B2305">
        <v>2010</v>
      </c>
      <c r="C2305" t="str">
        <f>_xlfn.CONCAT(Table16[[#This Row],[STATE]],"-",Table16[[#This Row],[YEAR]])</f>
        <v>Punjab-2010</v>
      </c>
      <c r="D2305" t="s">
        <v>389</v>
      </c>
      <c r="E2305">
        <v>6</v>
      </c>
    </row>
    <row r="2306" spans="1:5" x14ac:dyDescent="0.3">
      <c r="A2306" t="s">
        <v>26</v>
      </c>
      <c r="B2306">
        <v>2011</v>
      </c>
      <c r="C2306" t="str">
        <f>_xlfn.CONCAT(Table16[[#This Row],[STATE]],"-",Table16[[#This Row],[YEAR]])</f>
        <v>Punjab-2011</v>
      </c>
      <c r="D2306" t="s">
        <v>123</v>
      </c>
      <c r="E2306">
        <v>280</v>
      </c>
    </row>
    <row r="2307" spans="1:5" x14ac:dyDescent="0.3">
      <c r="A2307" t="s">
        <v>26</v>
      </c>
      <c r="B2307">
        <v>2011</v>
      </c>
      <c r="C2307" t="str">
        <f>_xlfn.CONCAT(Table16[[#This Row],[STATE]],"-",Table16[[#This Row],[YEAR]])</f>
        <v>Punjab-2011</v>
      </c>
      <c r="D2307" t="s">
        <v>90</v>
      </c>
      <c r="E2307">
        <v>320</v>
      </c>
    </row>
    <row r="2308" spans="1:5" x14ac:dyDescent="0.3">
      <c r="A2308" t="s">
        <v>26</v>
      </c>
      <c r="B2308">
        <v>2011</v>
      </c>
      <c r="C2308" t="str">
        <f>_xlfn.CONCAT(Table16[[#This Row],[STATE]],"-",Table16[[#This Row],[YEAR]])</f>
        <v>Punjab-2011</v>
      </c>
      <c r="D2308" t="s">
        <v>793</v>
      </c>
      <c r="E2308">
        <v>14</v>
      </c>
    </row>
    <row r="2309" spans="1:5" x14ac:dyDescent="0.3">
      <c r="A2309" t="s">
        <v>26</v>
      </c>
      <c r="B2309">
        <v>2011</v>
      </c>
      <c r="C2309" t="str">
        <f>_xlfn.CONCAT(Table16[[#This Row],[STATE]],"-",Table16[[#This Row],[YEAR]])</f>
        <v>Punjab-2011</v>
      </c>
      <c r="D2309" t="s">
        <v>390</v>
      </c>
      <c r="E2309">
        <v>12</v>
      </c>
    </row>
    <row r="2310" spans="1:5" x14ac:dyDescent="0.3">
      <c r="A2310" t="s">
        <v>26</v>
      </c>
      <c r="B2310">
        <v>2011</v>
      </c>
      <c r="C2310" t="str">
        <f>_xlfn.CONCAT(Table16[[#This Row],[STATE]],"-",Table16[[#This Row],[YEAR]])</f>
        <v>Punjab-2011</v>
      </c>
      <c r="D2310" t="s">
        <v>794</v>
      </c>
      <c r="E2310">
        <v>2</v>
      </c>
    </row>
    <row r="2311" spans="1:5" x14ac:dyDescent="0.3">
      <c r="A2311" t="s">
        <v>26</v>
      </c>
      <c r="B2311">
        <v>2011</v>
      </c>
      <c r="C2311" t="str">
        <f>_xlfn.CONCAT(Table16[[#This Row],[STATE]],"-",Table16[[#This Row],[YEAR]])</f>
        <v>Punjab-2011</v>
      </c>
      <c r="D2311" t="s">
        <v>385</v>
      </c>
      <c r="E2311">
        <v>205</v>
      </c>
    </row>
    <row r="2312" spans="1:5" x14ac:dyDescent="0.3">
      <c r="A2312" t="s">
        <v>26</v>
      </c>
      <c r="B2312">
        <v>2011</v>
      </c>
      <c r="C2312" t="str">
        <f>_xlfn.CONCAT(Table16[[#This Row],[STATE]],"-",Table16[[#This Row],[YEAR]])</f>
        <v>Punjab-2011</v>
      </c>
      <c r="D2312" t="s">
        <v>798</v>
      </c>
      <c r="E2312">
        <v>47</v>
      </c>
    </row>
    <row r="2313" spans="1:5" x14ac:dyDescent="0.3">
      <c r="A2313" t="s">
        <v>26</v>
      </c>
      <c r="B2313">
        <v>2011</v>
      </c>
      <c r="C2313" t="str">
        <f>_xlfn.CONCAT(Table16[[#This Row],[STATE]],"-",Table16[[#This Row],[YEAR]])</f>
        <v>Punjab-2011</v>
      </c>
      <c r="D2313" t="s">
        <v>102</v>
      </c>
      <c r="E2313">
        <v>78</v>
      </c>
    </row>
    <row r="2314" spans="1:5" x14ac:dyDescent="0.3">
      <c r="A2314" t="s">
        <v>26</v>
      </c>
      <c r="B2314">
        <v>2011</v>
      </c>
      <c r="C2314" t="str">
        <f>_xlfn.CONCAT(Table16[[#This Row],[STATE]],"-",Table16[[#This Row],[YEAR]])</f>
        <v>Punjab-2011</v>
      </c>
      <c r="D2314" t="s">
        <v>103</v>
      </c>
      <c r="E2314">
        <v>162</v>
      </c>
    </row>
    <row r="2315" spans="1:5" x14ac:dyDescent="0.3">
      <c r="A2315" t="s">
        <v>26</v>
      </c>
      <c r="B2315">
        <v>2011</v>
      </c>
      <c r="C2315" t="str">
        <f>_xlfn.CONCAT(Table16[[#This Row],[STATE]],"-",Table16[[#This Row],[YEAR]])</f>
        <v>Punjab-2011</v>
      </c>
      <c r="D2315" t="s">
        <v>801</v>
      </c>
      <c r="E2315">
        <v>45</v>
      </c>
    </row>
    <row r="2316" spans="1:5" x14ac:dyDescent="0.3">
      <c r="A2316" t="s">
        <v>26</v>
      </c>
      <c r="B2316">
        <v>2011</v>
      </c>
      <c r="C2316" t="str">
        <f>_xlfn.CONCAT(Table16[[#This Row],[STATE]],"-",Table16[[#This Row],[YEAR]])</f>
        <v>Punjab-2011</v>
      </c>
      <c r="D2316" t="s">
        <v>800</v>
      </c>
      <c r="E2316">
        <v>49</v>
      </c>
    </row>
    <row r="2317" spans="1:5" x14ac:dyDescent="0.3">
      <c r="A2317" t="s">
        <v>26</v>
      </c>
      <c r="B2317">
        <v>2011</v>
      </c>
      <c r="C2317" t="str">
        <f>_xlfn.CONCAT(Table16[[#This Row],[STATE]],"-",Table16[[#This Row],[YEAR]])</f>
        <v>Punjab-2011</v>
      </c>
      <c r="D2317" t="s">
        <v>197</v>
      </c>
      <c r="E2317">
        <v>50</v>
      </c>
    </row>
    <row r="2318" spans="1:5" x14ac:dyDescent="0.3">
      <c r="A2318" t="s">
        <v>26</v>
      </c>
      <c r="B2318">
        <v>2011</v>
      </c>
      <c r="C2318" t="str">
        <f>_xlfn.CONCAT(Table16[[#This Row],[STATE]],"-",Table16[[#This Row],[YEAR]])</f>
        <v>Punjab-2011</v>
      </c>
      <c r="D2318" t="s">
        <v>795</v>
      </c>
      <c r="E2318">
        <v>7</v>
      </c>
    </row>
    <row r="2319" spans="1:5" x14ac:dyDescent="0.3">
      <c r="A2319" t="s">
        <v>26</v>
      </c>
      <c r="B2319">
        <v>2011</v>
      </c>
      <c r="C2319" t="str">
        <f>_xlfn.CONCAT(Table16[[#This Row],[STATE]],"-",Table16[[#This Row],[YEAR]])</f>
        <v>Punjab-2011</v>
      </c>
      <c r="D2319" t="s">
        <v>698</v>
      </c>
      <c r="E2319">
        <v>9</v>
      </c>
    </row>
    <row r="2320" spans="1:5" x14ac:dyDescent="0.3">
      <c r="A2320" t="s">
        <v>26</v>
      </c>
      <c r="B2320">
        <v>2011</v>
      </c>
      <c r="C2320" t="str">
        <f>_xlfn.CONCAT(Table16[[#This Row],[STATE]],"-",Table16[[#This Row],[YEAR]])</f>
        <v>Punjab-2011</v>
      </c>
      <c r="D2320" t="s">
        <v>286</v>
      </c>
      <c r="E2320">
        <v>33</v>
      </c>
    </row>
    <row r="2321" spans="1:5" x14ac:dyDescent="0.3">
      <c r="A2321" t="s">
        <v>26</v>
      </c>
      <c r="B2321">
        <v>2011</v>
      </c>
      <c r="C2321" t="str">
        <f>_xlfn.CONCAT(Table16[[#This Row],[STATE]],"-",Table16[[#This Row],[YEAR]])</f>
        <v>Punjab-2011</v>
      </c>
      <c r="D2321" t="s">
        <v>389</v>
      </c>
      <c r="E2321">
        <v>7</v>
      </c>
    </row>
    <row r="2322" spans="1:5" x14ac:dyDescent="0.3">
      <c r="A2322" t="s">
        <v>26</v>
      </c>
      <c r="B2322">
        <v>2012</v>
      </c>
      <c r="C2322" t="str">
        <f>_xlfn.CONCAT(Table16[[#This Row],[STATE]],"-",Table16[[#This Row],[YEAR]])</f>
        <v>Punjab-2012</v>
      </c>
      <c r="D2322" t="s">
        <v>123</v>
      </c>
      <c r="E2322">
        <v>309</v>
      </c>
    </row>
    <row r="2323" spans="1:5" x14ac:dyDescent="0.3">
      <c r="A2323" t="s">
        <v>26</v>
      </c>
      <c r="B2323">
        <v>2012</v>
      </c>
      <c r="C2323" t="str">
        <f>_xlfn.CONCAT(Table16[[#This Row],[STATE]],"-",Table16[[#This Row],[YEAR]])</f>
        <v>Punjab-2012</v>
      </c>
      <c r="D2323" t="s">
        <v>90</v>
      </c>
      <c r="E2323">
        <v>902</v>
      </c>
    </row>
    <row r="2324" spans="1:5" x14ac:dyDescent="0.3">
      <c r="A2324" t="s">
        <v>26</v>
      </c>
      <c r="B2324">
        <v>2012</v>
      </c>
      <c r="C2324" t="str">
        <f>_xlfn.CONCAT(Table16[[#This Row],[STATE]],"-",Table16[[#This Row],[YEAR]])</f>
        <v>Punjab-2012</v>
      </c>
      <c r="D2324" t="s">
        <v>793</v>
      </c>
      <c r="E2324">
        <v>7</v>
      </c>
    </row>
    <row r="2325" spans="1:5" x14ac:dyDescent="0.3">
      <c r="A2325" t="s">
        <v>26</v>
      </c>
      <c r="B2325">
        <v>2012</v>
      </c>
      <c r="C2325" t="str">
        <f>_xlfn.CONCAT(Table16[[#This Row],[STATE]],"-",Table16[[#This Row],[YEAR]])</f>
        <v>Punjab-2012</v>
      </c>
      <c r="D2325" t="s">
        <v>390</v>
      </c>
      <c r="E2325">
        <v>127</v>
      </c>
    </row>
    <row r="2326" spans="1:5" x14ac:dyDescent="0.3">
      <c r="A2326" t="s">
        <v>26</v>
      </c>
      <c r="B2326">
        <v>2012</v>
      </c>
      <c r="C2326" t="str">
        <f>_xlfn.CONCAT(Table16[[#This Row],[STATE]],"-",Table16[[#This Row],[YEAR]])</f>
        <v>Punjab-2012</v>
      </c>
      <c r="D2326" t="s">
        <v>794</v>
      </c>
      <c r="E2326">
        <v>14</v>
      </c>
    </row>
    <row r="2327" spans="1:5" x14ac:dyDescent="0.3">
      <c r="A2327" t="s">
        <v>26</v>
      </c>
      <c r="B2327">
        <v>2012</v>
      </c>
      <c r="C2327" t="str">
        <f>_xlfn.CONCAT(Table16[[#This Row],[STATE]],"-",Table16[[#This Row],[YEAR]])</f>
        <v>Punjab-2012</v>
      </c>
      <c r="D2327" t="s">
        <v>385</v>
      </c>
      <c r="E2327">
        <v>90</v>
      </c>
    </row>
    <row r="2328" spans="1:5" x14ac:dyDescent="0.3">
      <c r="A2328" t="s">
        <v>26</v>
      </c>
      <c r="B2328">
        <v>2012</v>
      </c>
      <c r="C2328" t="str">
        <f>_xlfn.CONCAT(Table16[[#This Row],[STATE]],"-",Table16[[#This Row],[YEAR]])</f>
        <v>Punjab-2012</v>
      </c>
      <c r="D2328" t="s">
        <v>151</v>
      </c>
      <c r="E2328">
        <v>56</v>
      </c>
    </row>
    <row r="2329" spans="1:5" x14ac:dyDescent="0.3">
      <c r="A2329" t="s">
        <v>26</v>
      </c>
      <c r="B2329">
        <v>2012</v>
      </c>
      <c r="C2329" t="str">
        <f>_xlfn.CONCAT(Table16[[#This Row],[STATE]],"-",Table16[[#This Row],[YEAR]])</f>
        <v>Punjab-2012</v>
      </c>
      <c r="D2329" t="s">
        <v>102</v>
      </c>
      <c r="E2329">
        <v>80</v>
      </c>
    </row>
    <row r="2330" spans="1:5" x14ac:dyDescent="0.3">
      <c r="A2330" t="s">
        <v>26</v>
      </c>
      <c r="B2330">
        <v>2012</v>
      </c>
      <c r="C2330" t="str">
        <f>_xlfn.CONCAT(Table16[[#This Row],[STATE]],"-",Table16[[#This Row],[YEAR]])</f>
        <v>Punjab-2012</v>
      </c>
      <c r="D2330" t="s">
        <v>103</v>
      </c>
      <c r="E2330">
        <v>234</v>
      </c>
    </row>
    <row r="2331" spans="1:5" x14ac:dyDescent="0.3">
      <c r="A2331" t="s">
        <v>26</v>
      </c>
      <c r="B2331">
        <v>2012</v>
      </c>
      <c r="C2331" t="str">
        <f>_xlfn.CONCAT(Table16[[#This Row],[STATE]],"-",Table16[[#This Row],[YEAR]])</f>
        <v>Punjab-2012</v>
      </c>
      <c r="D2331" t="s">
        <v>801</v>
      </c>
      <c r="E2331">
        <v>194</v>
      </c>
    </row>
    <row r="2332" spans="1:5" x14ac:dyDescent="0.3">
      <c r="A2332" t="s">
        <v>26</v>
      </c>
      <c r="B2332">
        <v>2012</v>
      </c>
      <c r="C2332" t="str">
        <f>_xlfn.CONCAT(Table16[[#This Row],[STATE]],"-",Table16[[#This Row],[YEAR]])</f>
        <v>Punjab-2012</v>
      </c>
      <c r="D2332" t="s">
        <v>657</v>
      </c>
      <c r="E2332">
        <v>234</v>
      </c>
    </row>
    <row r="2333" spans="1:5" x14ac:dyDescent="0.3">
      <c r="A2333" t="s">
        <v>26</v>
      </c>
      <c r="B2333">
        <v>2012</v>
      </c>
      <c r="C2333" t="str">
        <f>_xlfn.CONCAT(Table16[[#This Row],[STATE]],"-",Table16[[#This Row],[YEAR]])</f>
        <v>Punjab-2012</v>
      </c>
      <c r="D2333" t="s">
        <v>197</v>
      </c>
      <c r="E2333">
        <v>523</v>
      </c>
    </row>
    <row r="2334" spans="1:5" x14ac:dyDescent="0.3">
      <c r="A2334" t="s">
        <v>26</v>
      </c>
      <c r="B2334">
        <v>2012</v>
      </c>
      <c r="C2334" t="str">
        <f>_xlfn.CONCAT(Table16[[#This Row],[STATE]],"-",Table16[[#This Row],[YEAR]])</f>
        <v>Punjab-2012</v>
      </c>
      <c r="D2334" t="s">
        <v>795</v>
      </c>
      <c r="E2334">
        <v>99</v>
      </c>
    </row>
    <row r="2335" spans="1:5" x14ac:dyDescent="0.3">
      <c r="A2335" t="s">
        <v>26</v>
      </c>
      <c r="B2335">
        <v>2012</v>
      </c>
      <c r="C2335" t="str">
        <f>_xlfn.CONCAT(Table16[[#This Row],[STATE]],"-",Table16[[#This Row],[YEAR]])</f>
        <v>Punjab-2012</v>
      </c>
      <c r="D2335" t="s">
        <v>698</v>
      </c>
      <c r="E2335">
        <v>62</v>
      </c>
    </row>
    <row r="2336" spans="1:5" x14ac:dyDescent="0.3">
      <c r="A2336" t="s">
        <v>26</v>
      </c>
      <c r="B2336">
        <v>2012</v>
      </c>
      <c r="C2336" t="str">
        <f>_xlfn.CONCAT(Table16[[#This Row],[STATE]],"-",Table16[[#This Row],[YEAR]])</f>
        <v>Punjab-2012</v>
      </c>
      <c r="D2336" t="s">
        <v>286</v>
      </c>
      <c r="E2336">
        <v>15</v>
      </c>
    </row>
    <row r="2337" spans="1:5" x14ac:dyDescent="0.3">
      <c r="A2337" t="s">
        <v>26</v>
      </c>
      <c r="B2337">
        <v>2012</v>
      </c>
      <c r="C2337" t="str">
        <f>_xlfn.CONCAT(Table16[[#This Row],[STATE]],"-",Table16[[#This Row],[YEAR]])</f>
        <v>Punjab-2012</v>
      </c>
      <c r="D2337" t="s">
        <v>389</v>
      </c>
      <c r="E2337">
        <v>174</v>
      </c>
    </row>
    <row r="2338" spans="1:5" x14ac:dyDescent="0.3">
      <c r="A2338" t="s">
        <v>27</v>
      </c>
      <c r="B2338">
        <v>2001</v>
      </c>
      <c r="C2338" t="str">
        <f>_xlfn.CONCAT(Table16[[#This Row],[STATE]],"-",Table16[[#This Row],[YEAR]])</f>
        <v>Rajasthan-2001</v>
      </c>
      <c r="D2338" t="s">
        <v>802</v>
      </c>
      <c r="E2338">
        <v>157</v>
      </c>
    </row>
    <row r="2339" spans="1:5" x14ac:dyDescent="0.3">
      <c r="A2339" t="s">
        <v>27</v>
      </c>
      <c r="B2339">
        <v>2001</v>
      </c>
      <c r="C2339" t="str">
        <f>_xlfn.CONCAT(Table16[[#This Row],[STATE]],"-",Table16[[#This Row],[YEAR]])</f>
        <v>Rajasthan-2001</v>
      </c>
      <c r="D2339" t="s">
        <v>803</v>
      </c>
      <c r="E2339">
        <v>664</v>
      </c>
    </row>
    <row r="2340" spans="1:5" x14ac:dyDescent="0.3">
      <c r="A2340" t="s">
        <v>27</v>
      </c>
      <c r="B2340">
        <v>2001</v>
      </c>
      <c r="C2340" t="str">
        <f>_xlfn.CONCAT(Table16[[#This Row],[STATE]],"-",Table16[[#This Row],[YEAR]])</f>
        <v>Rajasthan-2001</v>
      </c>
      <c r="D2340" t="s">
        <v>103</v>
      </c>
      <c r="E2340">
        <v>37</v>
      </c>
    </row>
    <row r="2341" spans="1:5" x14ac:dyDescent="0.3">
      <c r="A2341" t="s">
        <v>27</v>
      </c>
      <c r="B2341">
        <v>2001</v>
      </c>
      <c r="C2341" t="str">
        <f>_xlfn.CONCAT(Table16[[#This Row],[STATE]],"-",Table16[[#This Row],[YEAR]])</f>
        <v>Rajasthan-2001</v>
      </c>
      <c r="D2341" t="s">
        <v>390</v>
      </c>
      <c r="E2341">
        <v>570</v>
      </c>
    </row>
    <row r="2342" spans="1:5" x14ac:dyDescent="0.3">
      <c r="A2342" t="s">
        <v>27</v>
      </c>
      <c r="B2342">
        <v>2001</v>
      </c>
      <c r="C2342" t="str">
        <f>_xlfn.CONCAT(Table16[[#This Row],[STATE]],"-",Table16[[#This Row],[YEAR]])</f>
        <v>Rajasthan-2001</v>
      </c>
      <c r="D2342" t="s">
        <v>123</v>
      </c>
      <c r="E2342">
        <v>115</v>
      </c>
    </row>
    <row r="2343" spans="1:5" x14ac:dyDescent="0.3">
      <c r="A2343" t="s">
        <v>27</v>
      </c>
      <c r="B2343">
        <v>2001</v>
      </c>
      <c r="C2343" t="str">
        <f>_xlfn.CONCAT(Table16[[#This Row],[STATE]],"-",Table16[[#This Row],[YEAR]])</f>
        <v>Rajasthan-2001</v>
      </c>
      <c r="D2343" t="s">
        <v>122</v>
      </c>
      <c r="E2343">
        <v>5</v>
      </c>
    </row>
    <row r="2344" spans="1:5" x14ac:dyDescent="0.3">
      <c r="A2344" t="s">
        <v>27</v>
      </c>
      <c r="B2344">
        <v>2001</v>
      </c>
      <c r="C2344" t="str">
        <f>_xlfn.CONCAT(Table16[[#This Row],[STATE]],"-",Table16[[#This Row],[YEAR]])</f>
        <v>Rajasthan-2001</v>
      </c>
      <c r="D2344" t="s">
        <v>804</v>
      </c>
      <c r="E2344">
        <v>10</v>
      </c>
    </row>
    <row r="2345" spans="1:5" x14ac:dyDescent="0.3">
      <c r="A2345" t="s">
        <v>27</v>
      </c>
      <c r="B2345">
        <v>2001</v>
      </c>
      <c r="C2345" t="str">
        <f>_xlfn.CONCAT(Table16[[#This Row],[STATE]],"-",Table16[[#This Row],[YEAR]])</f>
        <v>Rajasthan-2001</v>
      </c>
      <c r="D2345" t="s">
        <v>626</v>
      </c>
      <c r="E2345">
        <v>36</v>
      </c>
    </row>
    <row r="2346" spans="1:5" x14ac:dyDescent="0.3">
      <c r="A2346" t="s">
        <v>27</v>
      </c>
      <c r="B2346">
        <v>2001</v>
      </c>
      <c r="C2346" t="str">
        <f>_xlfn.CONCAT(Table16[[#This Row],[STATE]],"-",Table16[[#This Row],[YEAR]])</f>
        <v>Rajasthan-2001</v>
      </c>
      <c r="D2346" t="s">
        <v>99</v>
      </c>
      <c r="E2346">
        <v>227</v>
      </c>
    </row>
    <row r="2347" spans="1:5" x14ac:dyDescent="0.3">
      <c r="A2347" t="s">
        <v>27</v>
      </c>
      <c r="B2347">
        <v>2002</v>
      </c>
      <c r="C2347" t="str">
        <f>_xlfn.CONCAT(Table16[[#This Row],[STATE]],"-",Table16[[#This Row],[YEAR]])</f>
        <v>Rajasthan-2002</v>
      </c>
      <c r="D2347" t="s">
        <v>802</v>
      </c>
      <c r="E2347">
        <v>17</v>
      </c>
    </row>
    <row r="2348" spans="1:5" x14ac:dyDescent="0.3">
      <c r="A2348" t="s">
        <v>27</v>
      </c>
      <c r="B2348">
        <v>2002</v>
      </c>
      <c r="C2348" t="str">
        <f>_xlfn.CONCAT(Table16[[#This Row],[STATE]],"-",Table16[[#This Row],[YEAR]])</f>
        <v>Rajasthan-2002</v>
      </c>
      <c r="D2348" t="s">
        <v>803</v>
      </c>
      <c r="E2348">
        <v>130</v>
      </c>
    </row>
    <row r="2349" spans="1:5" x14ac:dyDescent="0.3">
      <c r="A2349" t="s">
        <v>27</v>
      </c>
      <c r="B2349">
        <v>2002</v>
      </c>
      <c r="C2349" t="str">
        <f>_xlfn.CONCAT(Table16[[#This Row],[STATE]],"-",Table16[[#This Row],[YEAR]])</f>
        <v>Rajasthan-2002</v>
      </c>
      <c r="D2349" t="s">
        <v>103</v>
      </c>
      <c r="E2349">
        <v>17</v>
      </c>
    </row>
    <row r="2350" spans="1:5" x14ac:dyDescent="0.3">
      <c r="A2350" t="s">
        <v>27</v>
      </c>
      <c r="B2350">
        <v>2002</v>
      </c>
      <c r="C2350" t="str">
        <f>_xlfn.CONCAT(Table16[[#This Row],[STATE]],"-",Table16[[#This Row],[YEAR]])</f>
        <v>Rajasthan-2002</v>
      </c>
      <c r="D2350" t="s">
        <v>390</v>
      </c>
      <c r="E2350">
        <v>190</v>
      </c>
    </row>
    <row r="2351" spans="1:5" x14ac:dyDescent="0.3">
      <c r="A2351" t="s">
        <v>27</v>
      </c>
      <c r="B2351">
        <v>2002</v>
      </c>
      <c r="C2351" t="str">
        <f>_xlfn.CONCAT(Table16[[#This Row],[STATE]],"-",Table16[[#This Row],[YEAR]])</f>
        <v>Rajasthan-2002</v>
      </c>
      <c r="D2351" t="s">
        <v>626</v>
      </c>
      <c r="E2351">
        <v>1</v>
      </c>
    </row>
    <row r="2352" spans="1:5" x14ac:dyDescent="0.3">
      <c r="A2352" t="s">
        <v>27</v>
      </c>
      <c r="B2352">
        <v>2002</v>
      </c>
      <c r="C2352" t="str">
        <f>_xlfn.CONCAT(Table16[[#This Row],[STATE]],"-",Table16[[#This Row],[YEAR]])</f>
        <v>Rajasthan-2002</v>
      </c>
      <c r="D2352" t="s">
        <v>805</v>
      </c>
      <c r="E2352">
        <v>14</v>
      </c>
    </row>
    <row r="2353" spans="1:5" x14ac:dyDescent="0.3">
      <c r="A2353" t="s">
        <v>27</v>
      </c>
      <c r="B2353">
        <v>2002</v>
      </c>
      <c r="C2353" t="str">
        <f>_xlfn.CONCAT(Table16[[#This Row],[STATE]],"-",Table16[[#This Row],[YEAR]])</f>
        <v>Rajasthan-2002</v>
      </c>
      <c r="D2353" t="s">
        <v>804</v>
      </c>
      <c r="E2353">
        <v>3</v>
      </c>
    </row>
    <row r="2354" spans="1:5" x14ac:dyDescent="0.3">
      <c r="A2354" t="s">
        <v>27</v>
      </c>
      <c r="B2354">
        <v>2002</v>
      </c>
      <c r="C2354" t="str">
        <f>_xlfn.CONCAT(Table16[[#This Row],[STATE]],"-",Table16[[#This Row],[YEAR]])</f>
        <v>Rajasthan-2002</v>
      </c>
      <c r="D2354" t="s">
        <v>806</v>
      </c>
      <c r="E2354">
        <v>15</v>
      </c>
    </row>
    <row r="2355" spans="1:5" x14ac:dyDescent="0.3">
      <c r="A2355" t="s">
        <v>27</v>
      </c>
      <c r="B2355">
        <v>2002</v>
      </c>
      <c r="C2355" t="str">
        <f>_xlfn.CONCAT(Table16[[#This Row],[STATE]],"-",Table16[[#This Row],[YEAR]])</f>
        <v>Rajasthan-2002</v>
      </c>
      <c r="D2355" t="s">
        <v>142</v>
      </c>
      <c r="E2355">
        <v>15</v>
      </c>
    </row>
    <row r="2356" spans="1:5" x14ac:dyDescent="0.3">
      <c r="A2356" t="s">
        <v>27</v>
      </c>
      <c r="B2356">
        <v>2002</v>
      </c>
      <c r="C2356" t="str">
        <f>_xlfn.CONCAT(Table16[[#This Row],[STATE]],"-",Table16[[#This Row],[YEAR]])</f>
        <v>Rajasthan-2002</v>
      </c>
      <c r="D2356" t="s">
        <v>170</v>
      </c>
      <c r="E2356">
        <v>19</v>
      </c>
    </row>
    <row r="2357" spans="1:5" x14ac:dyDescent="0.3">
      <c r="A2357" t="s">
        <v>27</v>
      </c>
      <c r="B2357">
        <v>2002</v>
      </c>
      <c r="C2357" t="str">
        <f>_xlfn.CONCAT(Table16[[#This Row],[STATE]],"-",Table16[[#This Row],[YEAR]])</f>
        <v>Rajasthan-2002</v>
      </c>
      <c r="D2357" t="s">
        <v>99</v>
      </c>
      <c r="E2357">
        <v>23</v>
      </c>
    </row>
    <row r="2358" spans="1:5" x14ac:dyDescent="0.3">
      <c r="A2358" t="s">
        <v>27</v>
      </c>
      <c r="B2358">
        <v>2003</v>
      </c>
      <c r="C2358" t="str">
        <f>_xlfn.CONCAT(Table16[[#This Row],[STATE]],"-",Table16[[#This Row],[YEAR]])</f>
        <v>Rajasthan-2003</v>
      </c>
      <c r="D2358" t="s">
        <v>802</v>
      </c>
      <c r="E2358">
        <v>23</v>
      </c>
    </row>
    <row r="2359" spans="1:5" x14ac:dyDescent="0.3">
      <c r="A2359" t="s">
        <v>27</v>
      </c>
      <c r="B2359">
        <v>2003</v>
      </c>
      <c r="C2359" t="str">
        <f>_xlfn.CONCAT(Table16[[#This Row],[STATE]],"-",Table16[[#This Row],[YEAR]])</f>
        <v>Rajasthan-2003</v>
      </c>
      <c r="D2359" t="s">
        <v>144</v>
      </c>
      <c r="E2359">
        <v>146</v>
      </c>
    </row>
    <row r="2360" spans="1:5" x14ac:dyDescent="0.3">
      <c r="A2360" t="s">
        <v>27</v>
      </c>
      <c r="B2360">
        <v>2003</v>
      </c>
      <c r="C2360" t="str">
        <f>_xlfn.CONCAT(Table16[[#This Row],[STATE]],"-",Table16[[#This Row],[YEAR]])</f>
        <v>Rajasthan-2003</v>
      </c>
      <c r="D2360" t="s">
        <v>103</v>
      </c>
      <c r="E2360">
        <v>40</v>
      </c>
    </row>
    <row r="2361" spans="1:5" x14ac:dyDescent="0.3">
      <c r="A2361" t="s">
        <v>27</v>
      </c>
      <c r="B2361">
        <v>2003</v>
      </c>
      <c r="C2361" t="str">
        <f>_xlfn.CONCAT(Table16[[#This Row],[STATE]],"-",Table16[[#This Row],[YEAR]])</f>
        <v>Rajasthan-2003</v>
      </c>
      <c r="D2361" t="s">
        <v>390</v>
      </c>
      <c r="E2361">
        <v>178</v>
      </c>
    </row>
    <row r="2362" spans="1:5" x14ac:dyDescent="0.3">
      <c r="A2362" t="s">
        <v>27</v>
      </c>
      <c r="B2362">
        <v>2003</v>
      </c>
      <c r="C2362" t="str">
        <f>_xlfn.CONCAT(Table16[[#This Row],[STATE]],"-",Table16[[#This Row],[YEAR]])</f>
        <v>Rajasthan-2003</v>
      </c>
      <c r="D2362" t="s">
        <v>626</v>
      </c>
      <c r="E2362">
        <v>1</v>
      </c>
    </row>
    <row r="2363" spans="1:5" x14ac:dyDescent="0.3">
      <c r="A2363" t="s">
        <v>27</v>
      </c>
      <c r="B2363">
        <v>2003</v>
      </c>
      <c r="C2363" t="str">
        <f>_xlfn.CONCAT(Table16[[#This Row],[STATE]],"-",Table16[[#This Row],[YEAR]])</f>
        <v>Rajasthan-2003</v>
      </c>
      <c r="D2363" t="s">
        <v>805</v>
      </c>
      <c r="E2363">
        <v>25</v>
      </c>
    </row>
    <row r="2364" spans="1:5" x14ac:dyDescent="0.3">
      <c r="A2364" t="s">
        <v>27</v>
      </c>
      <c r="B2364">
        <v>2003</v>
      </c>
      <c r="C2364" t="str">
        <f>_xlfn.CONCAT(Table16[[#This Row],[STATE]],"-",Table16[[#This Row],[YEAR]])</f>
        <v>Rajasthan-2003</v>
      </c>
      <c r="D2364" t="s">
        <v>807</v>
      </c>
      <c r="E2364">
        <v>1</v>
      </c>
    </row>
    <row r="2365" spans="1:5" x14ac:dyDescent="0.3">
      <c r="A2365" t="s">
        <v>27</v>
      </c>
      <c r="B2365">
        <v>2003</v>
      </c>
      <c r="C2365" t="str">
        <f>_xlfn.CONCAT(Table16[[#This Row],[STATE]],"-",Table16[[#This Row],[YEAR]])</f>
        <v>Rajasthan-2003</v>
      </c>
      <c r="D2365" t="s">
        <v>806</v>
      </c>
      <c r="E2365">
        <v>16</v>
      </c>
    </row>
    <row r="2366" spans="1:5" x14ac:dyDescent="0.3">
      <c r="A2366" t="s">
        <v>27</v>
      </c>
      <c r="B2366">
        <v>2003</v>
      </c>
      <c r="C2366" t="str">
        <f>_xlfn.CONCAT(Table16[[#This Row],[STATE]],"-",Table16[[#This Row],[YEAR]])</f>
        <v>Rajasthan-2003</v>
      </c>
      <c r="D2366" t="s">
        <v>142</v>
      </c>
      <c r="E2366">
        <v>19</v>
      </c>
    </row>
    <row r="2367" spans="1:5" x14ac:dyDescent="0.3">
      <c r="A2367" t="s">
        <v>27</v>
      </c>
      <c r="B2367">
        <v>2003</v>
      </c>
      <c r="C2367" t="str">
        <f>_xlfn.CONCAT(Table16[[#This Row],[STATE]],"-",Table16[[#This Row],[YEAR]])</f>
        <v>Rajasthan-2003</v>
      </c>
      <c r="D2367" t="s">
        <v>170</v>
      </c>
      <c r="E2367">
        <v>30</v>
      </c>
    </row>
    <row r="2368" spans="1:5" x14ac:dyDescent="0.3">
      <c r="A2368" t="s">
        <v>27</v>
      </c>
      <c r="B2368">
        <v>2003</v>
      </c>
      <c r="C2368" t="str">
        <f>_xlfn.CONCAT(Table16[[#This Row],[STATE]],"-",Table16[[#This Row],[YEAR]])</f>
        <v>Rajasthan-2003</v>
      </c>
      <c r="D2368" t="s">
        <v>99</v>
      </c>
      <c r="E2368">
        <v>17</v>
      </c>
    </row>
    <row r="2369" spans="1:5" x14ac:dyDescent="0.3">
      <c r="A2369" t="s">
        <v>27</v>
      </c>
      <c r="B2369">
        <v>2004</v>
      </c>
      <c r="C2369" t="str">
        <f>_xlfn.CONCAT(Table16[[#This Row],[STATE]],"-",Table16[[#This Row],[YEAR]])</f>
        <v>Rajasthan-2004</v>
      </c>
      <c r="D2369" t="s">
        <v>802</v>
      </c>
      <c r="E2369">
        <v>50</v>
      </c>
    </row>
    <row r="2370" spans="1:5" x14ac:dyDescent="0.3">
      <c r="A2370" t="s">
        <v>27</v>
      </c>
      <c r="B2370">
        <v>2004</v>
      </c>
      <c r="C2370" t="str">
        <f>_xlfn.CONCAT(Table16[[#This Row],[STATE]],"-",Table16[[#This Row],[YEAR]])</f>
        <v>Rajasthan-2004</v>
      </c>
      <c r="D2370" t="s">
        <v>298</v>
      </c>
      <c r="E2370">
        <v>261</v>
      </c>
    </row>
    <row r="2371" spans="1:5" x14ac:dyDescent="0.3">
      <c r="A2371" t="s">
        <v>27</v>
      </c>
      <c r="B2371">
        <v>2004</v>
      </c>
      <c r="C2371" t="str">
        <f>_xlfn.CONCAT(Table16[[#This Row],[STATE]],"-",Table16[[#This Row],[YEAR]])</f>
        <v>Rajasthan-2004</v>
      </c>
      <c r="D2371" t="s">
        <v>103</v>
      </c>
      <c r="E2371">
        <v>39</v>
      </c>
    </row>
    <row r="2372" spans="1:5" x14ac:dyDescent="0.3">
      <c r="A2372" t="s">
        <v>27</v>
      </c>
      <c r="B2372">
        <v>2004</v>
      </c>
      <c r="C2372" t="str">
        <f>_xlfn.CONCAT(Table16[[#This Row],[STATE]],"-",Table16[[#This Row],[YEAR]])</f>
        <v>Rajasthan-2004</v>
      </c>
      <c r="D2372" t="s">
        <v>390</v>
      </c>
      <c r="E2372">
        <v>693</v>
      </c>
    </row>
    <row r="2373" spans="1:5" x14ac:dyDescent="0.3">
      <c r="A2373" t="s">
        <v>27</v>
      </c>
      <c r="B2373">
        <v>2004</v>
      </c>
      <c r="C2373" t="str">
        <f>_xlfn.CONCAT(Table16[[#This Row],[STATE]],"-",Table16[[#This Row],[YEAR]])</f>
        <v>Rajasthan-2004</v>
      </c>
      <c r="D2373" t="s">
        <v>626</v>
      </c>
      <c r="E2373">
        <v>11</v>
      </c>
    </row>
    <row r="2374" spans="1:5" x14ac:dyDescent="0.3">
      <c r="A2374" t="s">
        <v>27</v>
      </c>
      <c r="B2374">
        <v>2004</v>
      </c>
      <c r="C2374" t="str">
        <f>_xlfn.CONCAT(Table16[[#This Row],[STATE]],"-",Table16[[#This Row],[YEAR]])</f>
        <v>Rajasthan-2004</v>
      </c>
      <c r="D2374" t="s">
        <v>805</v>
      </c>
      <c r="E2374">
        <v>73</v>
      </c>
    </row>
    <row r="2375" spans="1:5" x14ac:dyDescent="0.3">
      <c r="A2375" t="s">
        <v>27</v>
      </c>
      <c r="B2375">
        <v>2004</v>
      </c>
      <c r="C2375" t="str">
        <f>_xlfn.CONCAT(Table16[[#This Row],[STATE]],"-",Table16[[#This Row],[YEAR]])</f>
        <v>Rajasthan-2004</v>
      </c>
      <c r="D2375" t="s">
        <v>807</v>
      </c>
      <c r="E2375">
        <v>15</v>
      </c>
    </row>
    <row r="2376" spans="1:5" x14ac:dyDescent="0.3">
      <c r="A2376" t="s">
        <v>27</v>
      </c>
      <c r="B2376">
        <v>2004</v>
      </c>
      <c r="C2376" t="str">
        <f>_xlfn.CONCAT(Table16[[#This Row],[STATE]],"-",Table16[[#This Row],[YEAR]])</f>
        <v>Rajasthan-2004</v>
      </c>
      <c r="D2376" t="s">
        <v>806</v>
      </c>
      <c r="E2376">
        <v>63</v>
      </c>
    </row>
    <row r="2377" spans="1:5" x14ac:dyDescent="0.3">
      <c r="A2377" t="s">
        <v>27</v>
      </c>
      <c r="B2377">
        <v>2004</v>
      </c>
      <c r="C2377" t="str">
        <f>_xlfn.CONCAT(Table16[[#This Row],[STATE]],"-",Table16[[#This Row],[YEAR]])</f>
        <v>Rajasthan-2004</v>
      </c>
      <c r="D2377" t="s">
        <v>142</v>
      </c>
      <c r="E2377">
        <v>16</v>
      </c>
    </row>
    <row r="2378" spans="1:5" x14ac:dyDescent="0.3">
      <c r="A2378" t="s">
        <v>27</v>
      </c>
      <c r="B2378">
        <v>2004</v>
      </c>
      <c r="C2378" t="str">
        <f>_xlfn.CONCAT(Table16[[#This Row],[STATE]],"-",Table16[[#This Row],[YEAR]])</f>
        <v>Rajasthan-2004</v>
      </c>
      <c r="D2378" t="s">
        <v>170</v>
      </c>
      <c r="E2378">
        <v>16</v>
      </c>
    </row>
    <row r="2379" spans="1:5" x14ac:dyDescent="0.3">
      <c r="A2379" t="s">
        <v>27</v>
      </c>
      <c r="B2379">
        <v>2004</v>
      </c>
      <c r="C2379" t="str">
        <f>_xlfn.CONCAT(Table16[[#This Row],[STATE]],"-",Table16[[#This Row],[YEAR]])</f>
        <v>Rajasthan-2004</v>
      </c>
      <c r="D2379" t="s">
        <v>99</v>
      </c>
      <c r="E2379">
        <v>31</v>
      </c>
    </row>
    <row r="2380" spans="1:5" x14ac:dyDescent="0.3">
      <c r="A2380" t="s">
        <v>27</v>
      </c>
      <c r="B2380">
        <v>2005</v>
      </c>
      <c r="C2380" t="str">
        <f>_xlfn.CONCAT(Table16[[#This Row],[STATE]],"-",Table16[[#This Row],[YEAR]])</f>
        <v>Rajasthan-2005</v>
      </c>
      <c r="D2380" t="s">
        <v>802</v>
      </c>
      <c r="E2380">
        <v>33</v>
      </c>
    </row>
    <row r="2381" spans="1:5" x14ac:dyDescent="0.3">
      <c r="A2381" t="s">
        <v>27</v>
      </c>
      <c r="B2381">
        <v>2005</v>
      </c>
      <c r="C2381" t="str">
        <f>_xlfn.CONCAT(Table16[[#This Row],[STATE]],"-",Table16[[#This Row],[YEAR]])</f>
        <v>Rajasthan-2005</v>
      </c>
      <c r="D2381" t="s">
        <v>298</v>
      </c>
      <c r="E2381">
        <v>256</v>
      </c>
    </row>
    <row r="2382" spans="1:5" x14ac:dyDescent="0.3">
      <c r="A2382" t="s">
        <v>27</v>
      </c>
      <c r="B2382">
        <v>2005</v>
      </c>
      <c r="C2382" t="str">
        <f>_xlfn.CONCAT(Table16[[#This Row],[STATE]],"-",Table16[[#This Row],[YEAR]])</f>
        <v>Rajasthan-2005</v>
      </c>
      <c r="D2382" t="s">
        <v>103</v>
      </c>
      <c r="E2382">
        <v>14</v>
      </c>
    </row>
    <row r="2383" spans="1:5" x14ac:dyDescent="0.3">
      <c r="A2383" t="s">
        <v>27</v>
      </c>
      <c r="B2383">
        <v>2005</v>
      </c>
      <c r="C2383" t="str">
        <f>_xlfn.CONCAT(Table16[[#This Row],[STATE]],"-",Table16[[#This Row],[YEAR]])</f>
        <v>Rajasthan-2005</v>
      </c>
      <c r="D2383" t="s">
        <v>390</v>
      </c>
      <c r="E2383">
        <v>28</v>
      </c>
    </row>
    <row r="2384" spans="1:5" x14ac:dyDescent="0.3">
      <c r="A2384" t="s">
        <v>27</v>
      </c>
      <c r="B2384">
        <v>2005</v>
      </c>
      <c r="C2384" t="str">
        <f>_xlfn.CONCAT(Table16[[#This Row],[STATE]],"-",Table16[[#This Row],[YEAR]])</f>
        <v>Rajasthan-2005</v>
      </c>
      <c r="D2384" t="s">
        <v>626</v>
      </c>
      <c r="E2384">
        <v>16</v>
      </c>
    </row>
    <row r="2385" spans="1:5" x14ac:dyDescent="0.3">
      <c r="A2385" t="s">
        <v>27</v>
      </c>
      <c r="B2385">
        <v>2005</v>
      </c>
      <c r="C2385" t="str">
        <f>_xlfn.CONCAT(Table16[[#This Row],[STATE]],"-",Table16[[#This Row],[YEAR]])</f>
        <v>Rajasthan-2005</v>
      </c>
      <c r="D2385" t="s">
        <v>805</v>
      </c>
      <c r="E2385">
        <v>10</v>
      </c>
    </row>
    <row r="2386" spans="1:5" x14ac:dyDescent="0.3">
      <c r="A2386" t="s">
        <v>27</v>
      </c>
      <c r="B2386">
        <v>2005</v>
      </c>
      <c r="C2386" t="str">
        <f>_xlfn.CONCAT(Table16[[#This Row],[STATE]],"-",Table16[[#This Row],[YEAR]])</f>
        <v>Rajasthan-2005</v>
      </c>
      <c r="D2386" t="s">
        <v>808</v>
      </c>
      <c r="E2386">
        <v>19</v>
      </c>
    </row>
    <row r="2387" spans="1:5" x14ac:dyDescent="0.3">
      <c r="A2387" t="s">
        <v>27</v>
      </c>
      <c r="B2387">
        <v>2005</v>
      </c>
      <c r="C2387" t="str">
        <f>_xlfn.CONCAT(Table16[[#This Row],[STATE]],"-",Table16[[#This Row],[YEAR]])</f>
        <v>Rajasthan-2005</v>
      </c>
      <c r="D2387" t="s">
        <v>806</v>
      </c>
      <c r="E2387">
        <v>38</v>
      </c>
    </row>
    <row r="2388" spans="1:5" x14ac:dyDescent="0.3">
      <c r="A2388" t="s">
        <v>27</v>
      </c>
      <c r="B2388">
        <v>2005</v>
      </c>
      <c r="C2388" t="str">
        <f>_xlfn.CONCAT(Table16[[#This Row],[STATE]],"-",Table16[[#This Row],[YEAR]])</f>
        <v>Rajasthan-2005</v>
      </c>
      <c r="D2388" t="s">
        <v>142</v>
      </c>
      <c r="E2388">
        <v>19</v>
      </c>
    </row>
    <row r="2389" spans="1:5" x14ac:dyDescent="0.3">
      <c r="A2389" t="s">
        <v>27</v>
      </c>
      <c r="B2389">
        <v>2005</v>
      </c>
      <c r="C2389" t="str">
        <f>_xlfn.CONCAT(Table16[[#This Row],[STATE]],"-",Table16[[#This Row],[YEAR]])</f>
        <v>Rajasthan-2005</v>
      </c>
      <c r="D2389" t="s">
        <v>170</v>
      </c>
      <c r="E2389">
        <v>16</v>
      </c>
    </row>
    <row r="2390" spans="1:5" x14ac:dyDescent="0.3">
      <c r="A2390" t="s">
        <v>27</v>
      </c>
      <c r="B2390">
        <v>2005</v>
      </c>
      <c r="C2390" t="str">
        <f>_xlfn.CONCAT(Table16[[#This Row],[STATE]],"-",Table16[[#This Row],[YEAR]])</f>
        <v>Rajasthan-2005</v>
      </c>
      <c r="D2390" t="s">
        <v>99</v>
      </c>
      <c r="E2390">
        <v>15</v>
      </c>
    </row>
    <row r="2391" spans="1:5" x14ac:dyDescent="0.3">
      <c r="A2391" t="s">
        <v>27</v>
      </c>
      <c r="B2391">
        <v>2006</v>
      </c>
      <c r="C2391" t="str">
        <f>_xlfn.CONCAT(Table16[[#This Row],[STATE]],"-",Table16[[#This Row],[YEAR]])</f>
        <v>Rajasthan-2006</v>
      </c>
      <c r="D2391" t="s">
        <v>802</v>
      </c>
      <c r="E2391">
        <v>34</v>
      </c>
    </row>
    <row r="2392" spans="1:5" x14ac:dyDescent="0.3">
      <c r="A2392" t="s">
        <v>27</v>
      </c>
      <c r="B2392">
        <v>2006</v>
      </c>
      <c r="C2392" t="str">
        <f>_xlfn.CONCAT(Table16[[#This Row],[STATE]],"-",Table16[[#This Row],[YEAR]])</f>
        <v>Rajasthan-2006</v>
      </c>
      <c r="D2392" t="s">
        <v>298</v>
      </c>
      <c r="E2392">
        <v>133</v>
      </c>
    </row>
    <row r="2393" spans="1:5" x14ac:dyDescent="0.3">
      <c r="A2393" t="s">
        <v>27</v>
      </c>
      <c r="B2393">
        <v>2006</v>
      </c>
      <c r="C2393" t="str">
        <f>_xlfn.CONCAT(Table16[[#This Row],[STATE]],"-",Table16[[#This Row],[YEAR]])</f>
        <v>Rajasthan-2006</v>
      </c>
      <c r="D2393" t="s">
        <v>103</v>
      </c>
      <c r="E2393">
        <v>32</v>
      </c>
    </row>
    <row r="2394" spans="1:5" x14ac:dyDescent="0.3">
      <c r="A2394" t="s">
        <v>27</v>
      </c>
      <c r="B2394">
        <v>2006</v>
      </c>
      <c r="C2394" t="str">
        <f>_xlfn.CONCAT(Table16[[#This Row],[STATE]],"-",Table16[[#This Row],[YEAR]])</f>
        <v>Rajasthan-2006</v>
      </c>
      <c r="D2394" t="s">
        <v>390</v>
      </c>
      <c r="E2394">
        <v>36</v>
      </c>
    </row>
    <row r="2395" spans="1:5" x14ac:dyDescent="0.3">
      <c r="A2395" t="s">
        <v>27</v>
      </c>
      <c r="B2395">
        <v>2006</v>
      </c>
      <c r="C2395" t="str">
        <f>_xlfn.CONCAT(Table16[[#This Row],[STATE]],"-",Table16[[#This Row],[YEAR]])</f>
        <v>Rajasthan-2006</v>
      </c>
      <c r="D2395" t="s">
        <v>626</v>
      </c>
      <c r="E2395">
        <v>1</v>
      </c>
    </row>
    <row r="2396" spans="1:5" x14ac:dyDescent="0.3">
      <c r="A2396" t="s">
        <v>27</v>
      </c>
      <c r="B2396">
        <v>2006</v>
      </c>
      <c r="C2396" t="str">
        <f>_xlfn.CONCAT(Table16[[#This Row],[STATE]],"-",Table16[[#This Row],[YEAR]])</f>
        <v>Rajasthan-2006</v>
      </c>
      <c r="D2396" t="s">
        <v>805</v>
      </c>
      <c r="E2396">
        <v>26</v>
      </c>
    </row>
    <row r="2397" spans="1:5" x14ac:dyDescent="0.3">
      <c r="A2397" t="s">
        <v>27</v>
      </c>
      <c r="B2397">
        <v>2006</v>
      </c>
      <c r="C2397" t="str">
        <f>_xlfn.CONCAT(Table16[[#This Row],[STATE]],"-",Table16[[#This Row],[YEAR]])</f>
        <v>Rajasthan-2006</v>
      </c>
      <c r="D2397" t="s">
        <v>808</v>
      </c>
      <c r="E2397">
        <v>16</v>
      </c>
    </row>
    <row r="2398" spans="1:5" x14ac:dyDescent="0.3">
      <c r="A2398" t="s">
        <v>27</v>
      </c>
      <c r="B2398">
        <v>2006</v>
      </c>
      <c r="C2398" t="str">
        <f>_xlfn.CONCAT(Table16[[#This Row],[STATE]],"-",Table16[[#This Row],[YEAR]])</f>
        <v>Rajasthan-2006</v>
      </c>
      <c r="D2398" t="s">
        <v>806</v>
      </c>
      <c r="E2398">
        <v>35</v>
      </c>
    </row>
    <row r="2399" spans="1:5" x14ac:dyDescent="0.3">
      <c r="A2399" t="s">
        <v>27</v>
      </c>
      <c r="B2399">
        <v>2006</v>
      </c>
      <c r="C2399" t="str">
        <f>_xlfn.CONCAT(Table16[[#This Row],[STATE]],"-",Table16[[#This Row],[YEAR]])</f>
        <v>Rajasthan-2006</v>
      </c>
      <c r="D2399" t="s">
        <v>142</v>
      </c>
      <c r="E2399">
        <v>19</v>
      </c>
    </row>
    <row r="2400" spans="1:5" x14ac:dyDescent="0.3">
      <c r="A2400" t="s">
        <v>27</v>
      </c>
      <c r="B2400">
        <v>2006</v>
      </c>
      <c r="C2400" t="str">
        <f>_xlfn.CONCAT(Table16[[#This Row],[STATE]],"-",Table16[[#This Row],[YEAR]])</f>
        <v>Rajasthan-2006</v>
      </c>
      <c r="D2400" t="s">
        <v>809</v>
      </c>
      <c r="E2400">
        <v>17</v>
      </c>
    </row>
    <row r="2401" spans="1:5" x14ac:dyDescent="0.3">
      <c r="A2401" t="s">
        <v>27</v>
      </c>
      <c r="B2401">
        <v>2006</v>
      </c>
      <c r="C2401" t="str">
        <f>_xlfn.CONCAT(Table16[[#This Row],[STATE]],"-",Table16[[#This Row],[YEAR]])</f>
        <v>Rajasthan-2006</v>
      </c>
      <c r="D2401" t="s">
        <v>99</v>
      </c>
      <c r="E2401">
        <v>7</v>
      </c>
    </row>
    <row r="2402" spans="1:5" x14ac:dyDescent="0.3">
      <c r="A2402" t="s">
        <v>27</v>
      </c>
      <c r="B2402">
        <v>2007</v>
      </c>
      <c r="C2402" t="str">
        <f>_xlfn.CONCAT(Table16[[#This Row],[STATE]],"-",Table16[[#This Row],[YEAR]])</f>
        <v>Rajasthan-2007</v>
      </c>
      <c r="D2402" t="s">
        <v>802</v>
      </c>
      <c r="E2402">
        <v>31</v>
      </c>
    </row>
    <row r="2403" spans="1:5" x14ac:dyDescent="0.3">
      <c r="A2403" t="s">
        <v>27</v>
      </c>
      <c r="B2403">
        <v>2007</v>
      </c>
      <c r="C2403" t="str">
        <f>_xlfn.CONCAT(Table16[[#This Row],[STATE]],"-",Table16[[#This Row],[YEAR]])</f>
        <v>Rajasthan-2007</v>
      </c>
      <c r="D2403" t="s">
        <v>139</v>
      </c>
      <c r="E2403">
        <v>233</v>
      </c>
    </row>
    <row r="2404" spans="1:5" x14ac:dyDescent="0.3">
      <c r="A2404" t="s">
        <v>27</v>
      </c>
      <c r="B2404">
        <v>2007</v>
      </c>
      <c r="C2404" t="str">
        <f>_xlfn.CONCAT(Table16[[#This Row],[STATE]],"-",Table16[[#This Row],[YEAR]])</f>
        <v>Rajasthan-2007</v>
      </c>
      <c r="D2404" t="s">
        <v>103</v>
      </c>
      <c r="E2404">
        <v>10</v>
      </c>
    </row>
    <row r="2405" spans="1:5" x14ac:dyDescent="0.3">
      <c r="A2405" t="s">
        <v>27</v>
      </c>
      <c r="B2405">
        <v>2007</v>
      </c>
      <c r="C2405" t="str">
        <f>_xlfn.CONCAT(Table16[[#This Row],[STATE]],"-",Table16[[#This Row],[YEAR]])</f>
        <v>Rajasthan-2007</v>
      </c>
      <c r="D2405" t="s">
        <v>390</v>
      </c>
      <c r="E2405">
        <v>11</v>
      </c>
    </row>
    <row r="2406" spans="1:5" x14ac:dyDescent="0.3">
      <c r="A2406" t="s">
        <v>27</v>
      </c>
      <c r="B2406">
        <v>2007</v>
      </c>
      <c r="C2406" t="str">
        <f>_xlfn.CONCAT(Table16[[#This Row],[STATE]],"-",Table16[[#This Row],[YEAR]])</f>
        <v>Rajasthan-2007</v>
      </c>
      <c r="D2406" t="s">
        <v>626</v>
      </c>
      <c r="E2406">
        <v>2</v>
      </c>
    </row>
    <row r="2407" spans="1:5" x14ac:dyDescent="0.3">
      <c r="A2407" t="s">
        <v>27</v>
      </c>
      <c r="B2407">
        <v>2007</v>
      </c>
      <c r="C2407" t="str">
        <f>_xlfn.CONCAT(Table16[[#This Row],[STATE]],"-",Table16[[#This Row],[YEAR]])</f>
        <v>Rajasthan-2007</v>
      </c>
      <c r="D2407" t="s">
        <v>805</v>
      </c>
      <c r="E2407">
        <v>10</v>
      </c>
    </row>
    <row r="2408" spans="1:5" x14ac:dyDescent="0.3">
      <c r="A2408" t="s">
        <v>27</v>
      </c>
      <c r="B2408">
        <v>2007</v>
      </c>
      <c r="C2408" t="str">
        <f>_xlfn.CONCAT(Table16[[#This Row],[STATE]],"-",Table16[[#This Row],[YEAR]])</f>
        <v>Rajasthan-2007</v>
      </c>
      <c r="D2408" t="s">
        <v>808</v>
      </c>
      <c r="E2408">
        <v>10</v>
      </c>
    </row>
    <row r="2409" spans="1:5" x14ac:dyDescent="0.3">
      <c r="A2409" t="s">
        <v>27</v>
      </c>
      <c r="B2409">
        <v>2007</v>
      </c>
      <c r="C2409" t="str">
        <f>_xlfn.CONCAT(Table16[[#This Row],[STATE]],"-",Table16[[#This Row],[YEAR]])</f>
        <v>Rajasthan-2007</v>
      </c>
      <c r="D2409" t="s">
        <v>806</v>
      </c>
      <c r="E2409">
        <v>16</v>
      </c>
    </row>
    <row r="2410" spans="1:5" x14ac:dyDescent="0.3">
      <c r="A2410" t="s">
        <v>27</v>
      </c>
      <c r="B2410">
        <v>2007</v>
      </c>
      <c r="C2410" t="str">
        <f>_xlfn.CONCAT(Table16[[#This Row],[STATE]],"-",Table16[[#This Row],[YEAR]])</f>
        <v>Rajasthan-2007</v>
      </c>
      <c r="D2410" t="s">
        <v>142</v>
      </c>
      <c r="E2410">
        <v>16</v>
      </c>
    </row>
    <row r="2411" spans="1:5" x14ac:dyDescent="0.3">
      <c r="A2411" t="s">
        <v>27</v>
      </c>
      <c r="B2411">
        <v>2007</v>
      </c>
      <c r="C2411" t="str">
        <f>_xlfn.CONCAT(Table16[[#This Row],[STATE]],"-",Table16[[#This Row],[YEAR]])</f>
        <v>Rajasthan-2007</v>
      </c>
      <c r="D2411" t="s">
        <v>189</v>
      </c>
      <c r="E2411">
        <v>3</v>
      </c>
    </row>
    <row r="2412" spans="1:5" x14ac:dyDescent="0.3">
      <c r="A2412" t="s">
        <v>27</v>
      </c>
      <c r="B2412">
        <v>2007</v>
      </c>
      <c r="C2412" t="str">
        <f>_xlfn.CONCAT(Table16[[#This Row],[STATE]],"-",Table16[[#This Row],[YEAR]])</f>
        <v>Rajasthan-2007</v>
      </c>
      <c r="D2412" t="s">
        <v>99</v>
      </c>
      <c r="E2412">
        <v>6</v>
      </c>
    </row>
    <row r="2413" spans="1:5" x14ac:dyDescent="0.3">
      <c r="A2413" t="s">
        <v>27</v>
      </c>
      <c r="B2413">
        <v>2008</v>
      </c>
      <c r="C2413" t="str">
        <f>_xlfn.CONCAT(Table16[[#This Row],[STATE]],"-",Table16[[#This Row],[YEAR]])</f>
        <v>Rajasthan-2008</v>
      </c>
      <c r="D2413" t="s">
        <v>802</v>
      </c>
      <c r="E2413">
        <v>2424</v>
      </c>
    </row>
    <row r="2414" spans="1:5" x14ac:dyDescent="0.3">
      <c r="A2414" t="s">
        <v>27</v>
      </c>
      <c r="B2414">
        <v>2008</v>
      </c>
      <c r="C2414" t="str">
        <f>_xlfn.CONCAT(Table16[[#This Row],[STATE]],"-",Table16[[#This Row],[YEAR]])</f>
        <v>Rajasthan-2008</v>
      </c>
      <c r="D2414" t="s">
        <v>144</v>
      </c>
      <c r="E2414">
        <v>5824</v>
      </c>
    </row>
    <row r="2415" spans="1:5" x14ac:dyDescent="0.3">
      <c r="A2415" t="s">
        <v>27</v>
      </c>
      <c r="B2415">
        <v>2008</v>
      </c>
      <c r="C2415" t="str">
        <f>_xlfn.CONCAT(Table16[[#This Row],[STATE]],"-",Table16[[#This Row],[YEAR]])</f>
        <v>Rajasthan-2008</v>
      </c>
      <c r="D2415" t="s">
        <v>103</v>
      </c>
      <c r="E2415">
        <v>1657</v>
      </c>
    </row>
    <row r="2416" spans="1:5" x14ac:dyDescent="0.3">
      <c r="A2416" t="s">
        <v>27</v>
      </c>
      <c r="B2416">
        <v>2008</v>
      </c>
      <c r="C2416" t="str">
        <f>_xlfn.CONCAT(Table16[[#This Row],[STATE]],"-",Table16[[#This Row],[YEAR]])</f>
        <v>Rajasthan-2008</v>
      </c>
      <c r="D2416" t="s">
        <v>386</v>
      </c>
      <c r="E2416">
        <v>465</v>
      </c>
    </row>
    <row r="2417" spans="1:5" x14ac:dyDescent="0.3">
      <c r="A2417" t="s">
        <v>27</v>
      </c>
      <c r="B2417">
        <v>2008</v>
      </c>
      <c r="C2417" t="str">
        <f>_xlfn.CONCAT(Table16[[#This Row],[STATE]],"-",Table16[[#This Row],[YEAR]])</f>
        <v>Rajasthan-2008</v>
      </c>
      <c r="D2417" t="s">
        <v>449</v>
      </c>
      <c r="E2417">
        <v>14</v>
      </c>
    </row>
    <row r="2418" spans="1:5" x14ac:dyDescent="0.3">
      <c r="A2418" t="s">
        <v>27</v>
      </c>
      <c r="B2418">
        <v>2008</v>
      </c>
      <c r="C2418" t="str">
        <f>_xlfn.CONCAT(Table16[[#This Row],[STATE]],"-",Table16[[#This Row],[YEAR]])</f>
        <v>Rajasthan-2008</v>
      </c>
      <c r="D2418" t="s">
        <v>805</v>
      </c>
      <c r="E2418">
        <v>455</v>
      </c>
    </row>
    <row r="2419" spans="1:5" x14ac:dyDescent="0.3">
      <c r="A2419" t="s">
        <v>27</v>
      </c>
      <c r="B2419">
        <v>2008</v>
      </c>
      <c r="C2419" t="str">
        <f>_xlfn.CONCAT(Table16[[#This Row],[STATE]],"-",Table16[[#This Row],[YEAR]])</f>
        <v>Rajasthan-2008</v>
      </c>
      <c r="D2419" t="s">
        <v>806</v>
      </c>
      <c r="E2419">
        <v>0</v>
      </c>
    </row>
    <row r="2420" spans="1:5" x14ac:dyDescent="0.3">
      <c r="A2420" t="s">
        <v>27</v>
      </c>
      <c r="B2420">
        <v>2008</v>
      </c>
      <c r="C2420" t="str">
        <f>_xlfn.CONCAT(Table16[[#This Row],[STATE]],"-",Table16[[#This Row],[YEAR]])</f>
        <v>Rajasthan-2008</v>
      </c>
      <c r="D2420" t="s">
        <v>122</v>
      </c>
      <c r="E2420">
        <v>931</v>
      </c>
    </row>
    <row r="2421" spans="1:5" x14ac:dyDescent="0.3">
      <c r="A2421" t="s">
        <v>27</v>
      </c>
      <c r="B2421">
        <v>2008</v>
      </c>
      <c r="C2421" t="str">
        <f>_xlfn.CONCAT(Table16[[#This Row],[STATE]],"-",Table16[[#This Row],[YEAR]])</f>
        <v>Rajasthan-2008</v>
      </c>
      <c r="D2421" t="s">
        <v>99</v>
      </c>
      <c r="E2421">
        <v>19</v>
      </c>
    </row>
    <row r="2422" spans="1:5" x14ac:dyDescent="0.3">
      <c r="A2422" t="s">
        <v>27</v>
      </c>
      <c r="B2422">
        <v>2009</v>
      </c>
      <c r="C2422" t="str">
        <f>_xlfn.CONCAT(Table16[[#This Row],[STATE]],"-",Table16[[#This Row],[YEAR]])</f>
        <v>Rajasthan-2009</v>
      </c>
      <c r="D2422" t="s">
        <v>802</v>
      </c>
      <c r="E2422">
        <v>148</v>
      </c>
    </row>
    <row r="2423" spans="1:5" x14ac:dyDescent="0.3">
      <c r="A2423" t="s">
        <v>27</v>
      </c>
      <c r="B2423">
        <v>2009</v>
      </c>
      <c r="C2423" t="str">
        <f>_xlfn.CONCAT(Table16[[#This Row],[STATE]],"-",Table16[[#This Row],[YEAR]])</f>
        <v>Rajasthan-2009</v>
      </c>
      <c r="D2423" t="s">
        <v>810</v>
      </c>
      <c r="E2423">
        <v>625</v>
      </c>
    </row>
    <row r="2424" spans="1:5" x14ac:dyDescent="0.3">
      <c r="A2424" t="s">
        <v>27</v>
      </c>
      <c r="B2424">
        <v>2009</v>
      </c>
      <c r="C2424" t="str">
        <f>_xlfn.CONCAT(Table16[[#This Row],[STATE]],"-",Table16[[#This Row],[YEAR]])</f>
        <v>Rajasthan-2009</v>
      </c>
      <c r="D2424" t="s">
        <v>103</v>
      </c>
      <c r="E2424">
        <v>33</v>
      </c>
    </row>
    <row r="2425" spans="1:5" x14ac:dyDescent="0.3">
      <c r="A2425" t="s">
        <v>27</v>
      </c>
      <c r="B2425">
        <v>2009</v>
      </c>
      <c r="C2425" t="str">
        <f>_xlfn.CONCAT(Table16[[#This Row],[STATE]],"-",Table16[[#This Row],[YEAR]])</f>
        <v>Rajasthan-2009</v>
      </c>
      <c r="D2425" t="s">
        <v>390</v>
      </c>
      <c r="E2425">
        <v>203</v>
      </c>
    </row>
    <row r="2426" spans="1:5" x14ac:dyDescent="0.3">
      <c r="A2426" t="s">
        <v>27</v>
      </c>
      <c r="B2426">
        <v>2009</v>
      </c>
      <c r="C2426" t="str">
        <f>_xlfn.CONCAT(Table16[[#This Row],[STATE]],"-",Table16[[#This Row],[YEAR]])</f>
        <v>Rajasthan-2009</v>
      </c>
      <c r="D2426" t="s">
        <v>805</v>
      </c>
      <c r="E2426">
        <v>6</v>
      </c>
    </row>
    <row r="2427" spans="1:5" x14ac:dyDescent="0.3">
      <c r="A2427" t="s">
        <v>27</v>
      </c>
      <c r="B2427">
        <v>2009</v>
      </c>
      <c r="C2427" t="str">
        <f>_xlfn.CONCAT(Table16[[#This Row],[STATE]],"-",Table16[[#This Row],[YEAR]])</f>
        <v>Rajasthan-2009</v>
      </c>
      <c r="D2427" t="s">
        <v>192</v>
      </c>
      <c r="E2427">
        <v>8</v>
      </c>
    </row>
    <row r="2428" spans="1:5" x14ac:dyDescent="0.3">
      <c r="A2428" t="s">
        <v>27</v>
      </c>
      <c r="B2428">
        <v>2009</v>
      </c>
      <c r="C2428" t="str">
        <f>_xlfn.CONCAT(Table16[[#This Row],[STATE]],"-",Table16[[#This Row],[YEAR]])</f>
        <v>Rajasthan-2009</v>
      </c>
      <c r="D2428" t="s">
        <v>99</v>
      </c>
      <c r="E2428">
        <v>14</v>
      </c>
    </row>
    <row r="2429" spans="1:5" x14ac:dyDescent="0.3">
      <c r="A2429" t="s">
        <v>27</v>
      </c>
      <c r="B2429">
        <v>2010</v>
      </c>
      <c r="C2429" t="str">
        <f>_xlfn.CONCAT(Table16[[#This Row],[STATE]],"-",Table16[[#This Row],[YEAR]])</f>
        <v>Rajasthan-2010</v>
      </c>
      <c r="D2429" t="s">
        <v>802</v>
      </c>
      <c r="E2429">
        <v>254</v>
      </c>
    </row>
    <row r="2430" spans="1:5" x14ac:dyDescent="0.3">
      <c r="A2430" t="s">
        <v>27</v>
      </c>
      <c r="B2430">
        <v>2010</v>
      </c>
      <c r="C2430" t="str">
        <f>_xlfn.CONCAT(Table16[[#This Row],[STATE]],"-",Table16[[#This Row],[YEAR]])</f>
        <v>Rajasthan-2010</v>
      </c>
      <c r="D2430" t="s">
        <v>810</v>
      </c>
      <c r="E2430">
        <v>319</v>
      </c>
    </row>
    <row r="2431" spans="1:5" x14ac:dyDescent="0.3">
      <c r="A2431" t="s">
        <v>27</v>
      </c>
      <c r="B2431">
        <v>2010</v>
      </c>
      <c r="C2431" t="str">
        <f>_xlfn.CONCAT(Table16[[#This Row],[STATE]],"-",Table16[[#This Row],[YEAR]])</f>
        <v>Rajasthan-2010</v>
      </c>
      <c r="D2431" t="s">
        <v>103</v>
      </c>
      <c r="E2431">
        <v>64</v>
      </c>
    </row>
    <row r="2432" spans="1:5" x14ac:dyDescent="0.3">
      <c r="A2432" t="s">
        <v>27</v>
      </c>
      <c r="B2432">
        <v>2010</v>
      </c>
      <c r="C2432" t="str">
        <f>_xlfn.CONCAT(Table16[[#This Row],[STATE]],"-",Table16[[#This Row],[YEAR]])</f>
        <v>Rajasthan-2010</v>
      </c>
      <c r="D2432" t="s">
        <v>390</v>
      </c>
      <c r="E2432">
        <v>504</v>
      </c>
    </row>
    <row r="2433" spans="1:5" x14ac:dyDescent="0.3">
      <c r="A2433" t="s">
        <v>27</v>
      </c>
      <c r="B2433">
        <v>2010</v>
      </c>
      <c r="C2433" t="str">
        <f>_xlfn.CONCAT(Table16[[#This Row],[STATE]],"-",Table16[[#This Row],[YEAR]])</f>
        <v>Rajasthan-2010</v>
      </c>
      <c r="D2433" t="s">
        <v>449</v>
      </c>
      <c r="E2433">
        <v>124</v>
      </c>
    </row>
    <row r="2434" spans="1:5" x14ac:dyDescent="0.3">
      <c r="A2434" t="s">
        <v>27</v>
      </c>
      <c r="B2434">
        <v>2010</v>
      </c>
      <c r="C2434" t="str">
        <f>_xlfn.CONCAT(Table16[[#This Row],[STATE]],"-",Table16[[#This Row],[YEAR]])</f>
        <v>Rajasthan-2010</v>
      </c>
      <c r="D2434" t="s">
        <v>805</v>
      </c>
      <c r="E2434">
        <v>77</v>
      </c>
    </row>
    <row r="2435" spans="1:5" x14ac:dyDescent="0.3">
      <c r="A2435" t="s">
        <v>27</v>
      </c>
      <c r="B2435">
        <v>2010</v>
      </c>
      <c r="C2435" t="str">
        <f>_xlfn.CONCAT(Table16[[#This Row],[STATE]],"-",Table16[[#This Row],[YEAR]])</f>
        <v>Rajasthan-2010</v>
      </c>
      <c r="D2435" t="s">
        <v>811</v>
      </c>
      <c r="E2435">
        <v>6</v>
      </c>
    </row>
    <row r="2436" spans="1:5" x14ac:dyDescent="0.3">
      <c r="A2436" t="s">
        <v>27</v>
      </c>
      <c r="B2436">
        <v>2010</v>
      </c>
      <c r="C2436" t="str">
        <f>_xlfn.CONCAT(Table16[[#This Row],[STATE]],"-",Table16[[#This Row],[YEAR]])</f>
        <v>Rajasthan-2010</v>
      </c>
      <c r="D2436" t="s">
        <v>806</v>
      </c>
      <c r="E2436">
        <v>20</v>
      </c>
    </row>
    <row r="2437" spans="1:5" x14ac:dyDescent="0.3">
      <c r="A2437" t="s">
        <v>27</v>
      </c>
      <c r="B2437">
        <v>2010</v>
      </c>
      <c r="C2437" t="str">
        <f>_xlfn.CONCAT(Table16[[#This Row],[STATE]],"-",Table16[[#This Row],[YEAR]])</f>
        <v>Rajasthan-2010</v>
      </c>
      <c r="D2437" t="s">
        <v>142</v>
      </c>
      <c r="E2437">
        <v>16</v>
      </c>
    </row>
    <row r="2438" spans="1:5" x14ac:dyDescent="0.3">
      <c r="A2438" t="s">
        <v>27</v>
      </c>
      <c r="B2438">
        <v>2010</v>
      </c>
      <c r="C2438" t="str">
        <f>_xlfn.CONCAT(Table16[[#This Row],[STATE]],"-",Table16[[#This Row],[YEAR]])</f>
        <v>Rajasthan-2010</v>
      </c>
      <c r="D2438" t="s">
        <v>192</v>
      </c>
      <c r="E2438">
        <v>12</v>
      </c>
    </row>
    <row r="2439" spans="1:5" x14ac:dyDescent="0.3">
      <c r="A2439" t="s">
        <v>27</v>
      </c>
      <c r="B2439">
        <v>2010</v>
      </c>
      <c r="C2439" t="str">
        <f>_xlfn.CONCAT(Table16[[#This Row],[STATE]],"-",Table16[[#This Row],[YEAR]])</f>
        <v>Rajasthan-2010</v>
      </c>
      <c r="D2439" t="s">
        <v>99</v>
      </c>
      <c r="E2439">
        <v>295</v>
      </c>
    </row>
    <row r="2440" spans="1:5" x14ac:dyDescent="0.3">
      <c r="A2440" t="s">
        <v>27</v>
      </c>
      <c r="B2440">
        <v>2011</v>
      </c>
      <c r="C2440" t="str">
        <f>_xlfn.CONCAT(Table16[[#This Row],[STATE]],"-",Table16[[#This Row],[YEAR]])</f>
        <v>Rajasthan-2011</v>
      </c>
      <c r="D2440" t="s">
        <v>802</v>
      </c>
      <c r="E2440">
        <v>291</v>
      </c>
    </row>
    <row r="2441" spans="1:5" x14ac:dyDescent="0.3">
      <c r="A2441" t="s">
        <v>27</v>
      </c>
      <c r="B2441">
        <v>2011</v>
      </c>
      <c r="C2441" t="str">
        <f>_xlfn.CONCAT(Table16[[#This Row],[STATE]],"-",Table16[[#This Row],[YEAR]])</f>
        <v>Rajasthan-2011</v>
      </c>
      <c r="D2441" t="s">
        <v>810</v>
      </c>
      <c r="E2441">
        <v>4</v>
      </c>
    </row>
    <row r="2442" spans="1:5" x14ac:dyDescent="0.3">
      <c r="A2442" t="s">
        <v>27</v>
      </c>
      <c r="B2442">
        <v>2011</v>
      </c>
      <c r="C2442" t="str">
        <f>_xlfn.CONCAT(Table16[[#This Row],[STATE]],"-",Table16[[#This Row],[YEAR]])</f>
        <v>Rajasthan-2011</v>
      </c>
      <c r="D2442" t="s">
        <v>103</v>
      </c>
      <c r="E2442">
        <v>180</v>
      </c>
    </row>
    <row r="2443" spans="1:5" x14ac:dyDescent="0.3">
      <c r="A2443" t="s">
        <v>27</v>
      </c>
      <c r="B2443">
        <v>2011</v>
      </c>
      <c r="C2443" t="str">
        <f>_xlfn.CONCAT(Table16[[#This Row],[STATE]],"-",Table16[[#This Row],[YEAR]])</f>
        <v>Rajasthan-2011</v>
      </c>
      <c r="D2443" t="s">
        <v>390</v>
      </c>
      <c r="E2443">
        <v>1246</v>
      </c>
    </row>
    <row r="2444" spans="1:5" x14ac:dyDescent="0.3">
      <c r="A2444" t="s">
        <v>27</v>
      </c>
      <c r="B2444">
        <v>2011</v>
      </c>
      <c r="C2444" t="str">
        <f>_xlfn.CONCAT(Table16[[#This Row],[STATE]],"-",Table16[[#This Row],[YEAR]])</f>
        <v>Rajasthan-2011</v>
      </c>
      <c r="D2444" t="s">
        <v>449</v>
      </c>
      <c r="E2444">
        <v>1</v>
      </c>
    </row>
    <row r="2445" spans="1:5" x14ac:dyDescent="0.3">
      <c r="A2445" t="s">
        <v>27</v>
      </c>
      <c r="B2445">
        <v>2011</v>
      </c>
      <c r="C2445" t="str">
        <f>_xlfn.CONCAT(Table16[[#This Row],[STATE]],"-",Table16[[#This Row],[YEAR]])</f>
        <v>Rajasthan-2011</v>
      </c>
      <c r="D2445" t="s">
        <v>805</v>
      </c>
      <c r="E2445">
        <v>63</v>
      </c>
    </row>
    <row r="2446" spans="1:5" x14ac:dyDescent="0.3">
      <c r="A2446" t="s">
        <v>27</v>
      </c>
      <c r="B2446">
        <v>2011</v>
      </c>
      <c r="C2446" t="str">
        <f>_xlfn.CONCAT(Table16[[#This Row],[STATE]],"-",Table16[[#This Row],[YEAR]])</f>
        <v>Rajasthan-2011</v>
      </c>
      <c r="D2446" t="s">
        <v>811</v>
      </c>
      <c r="E2446">
        <v>8</v>
      </c>
    </row>
    <row r="2447" spans="1:5" x14ac:dyDescent="0.3">
      <c r="A2447" t="s">
        <v>27</v>
      </c>
      <c r="B2447">
        <v>2011</v>
      </c>
      <c r="C2447" t="str">
        <f>_xlfn.CONCAT(Table16[[#This Row],[STATE]],"-",Table16[[#This Row],[YEAR]])</f>
        <v>Rajasthan-2011</v>
      </c>
      <c r="D2447" t="s">
        <v>806</v>
      </c>
      <c r="E2447">
        <v>6</v>
      </c>
    </row>
    <row r="2448" spans="1:5" x14ac:dyDescent="0.3">
      <c r="A2448" t="s">
        <v>27</v>
      </c>
      <c r="B2448">
        <v>2011</v>
      </c>
      <c r="C2448" t="str">
        <f>_xlfn.CONCAT(Table16[[#This Row],[STATE]],"-",Table16[[#This Row],[YEAR]])</f>
        <v>Rajasthan-2011</v>
      </c>
      <c r="D2448" t="s">
        <v>192</v>
      </c>
      <c r="E2448">
        <v>10</v>
      </c>
    </row>
    <row r="2449" spans="1:5" x14ac:dyDescent="0.3">
      <c r="A2449" t="s">
        <v>27</v>
      </c>
      <c r="B2449">
        <v>2011</v>
      </c>
      <c r="C2449" t="str">
        <f>_xlfn.CONCAT(Table16[[#This Row],[STATE]],"-",Table16[[#This Row],[YEAR]])</f>
        <v>Rajasthan-2011</v>
      </c>
      <c r="D2449" t="s">
        <v>99</v>
      </c>
      <c r="E2449">
        <v>25</v>
      </c>
    </row>
    <row r="2450" spans="1:5" x14ac:dyDescent="0.3">
      <c r="A2450" t="s">
        <v>27</v>
      </c>
      <c r="B2450">
        <v>2012</v>
      </c>
      <c r="C2450" t="str">
        <f>_xlfn.CONCAT(Table16[[#This Row],[STATE]],"-",Table16[[#This Row],[YEAR]])</f>
        <v>Rajasthan-2012</v>
      </c>
      <c r="D2450" t="s">
        <v>812</v>
      </c>
      <c r="E2450">
        <v>8</v>
      </c>
    </row>
    <row r="2451" spans="1:5" x14ac:dyDescent="0.3">
      <c r="A2451" t="s">
        <v>27</v>
      </c>
      <c r="B2451">
        <v>2012</v>
      </c>
      <c r="C2451" t="str">
        <f>_xlfn.CONCAT(Table16[[#This Row],[STATE]],"-",Table16[[#This Row],[YEAR]])</f>
        <v>Rajasthan-2012</v>
      </c>
      <c r="D2451" t="s">
        <v>813</v>
      </c>
      <c r="E2451">
        <v>63</v>
      </c>
    </row>
    <row r="2452" spans="1:5" x14ac:dyDescent="0.3">
      <c r="A2452" t="s">
        <v>27</v>
      </c>
      <c r="B2452">
        <v>2012</v>
      </c>
      <c r="C2452" t="str">
        <f>_xlfn.CONCAT(Table16[[#This Row],[STATE]],"-",Table16[[#This Row],[YEAR]])</f>
        <v>Rajasthan-2012</v>
      </c>
      <c r="D2452" t="s">
        <v>814</v>
      </c>
      <c r="E2452">
        <v>5</v>
      </c>
    </row>
    <row r="2453" spans="1:5" x14ac:dyDescent="0.3">
      <c r="A2453" t="s">
        <v>27</v>
      </c>
      <c r="B2453">
        <v>2012</v>
      </c>
      <c r="C2453" t="str">
        <f>_xlfn.CONCAT(Table16[[#This Row],[STATE]],"-",Table16[[#This Row],[YEAR]])</f>
        <v>Rajasthan-2012</v>
      </c>
      <c r="D2453" t="s">
        <v>805</v>
      </c>
      <c r="E2453">
        <v>8</v>
      </c>
    </row>
    <row r="2454" spans="1:5" x14ac:dyDescent="0.3">
      <c r="A2454" t="s">
        <v>27</v>
      </c>
      <c r="B2454">
        <v>2012</v>
      </c>
      <c r="C2454" t="str">
        <f>_xlfn.CONCAT(Table16[[#This Row],[STATE]],"-",Table16[[#This Row],[YEAR]])</f>
        <v>Rajasthan-2012</v>
      </c>
      <c r="D2454" t="s">
        <v>815</v>
      </c>
      <c r="E2454">
        <v>9</v>
      </c>
    </row>
    <row r="2455" spans="1:5" x14ac:dyDescent="0.3">
      <c r="A2455" t="s">
        <v>27</v>
      </c>
      <c r="B2455">
        <v>2012</v>
      </c>
      <c r="C2455" t="str">
        <f>_xlfn.CONCAT(Table16[[#This Row],[STATE]],"-",Table16[[#This Row],[YEAR]])</f>
        <v>Rajasthan-2012</v>
      </c>
      <c r="D2455" t="s">
        <v>806</v>
      </c>
      <c r="E2455">
        <v>10</v>
      </c>
    </row>
    <row r="2456" spans="1:5" x14ac:dyDescent="0.3">
      <c r="A2456" t="s">
        <v>27</v>
      </c>
      <c r="B2456">
        <v>2012</v>
      </c>
      <c r="C2456" t="str">
        <f>_xlfn.CONCAT(Table16[[#This Row],[STATE]],"-",Table16[[#This Row],[YEAR]])</f>
        <v>Rajasthan-2012</v>
      </c>
      <c r="D2456" t="s">
        <v>142</v>
      </c>
      <c r="E2456">
        <v>10</v>
      </c>
    </row>
    <row r="2457" spans="1:5" x14ac:dyDescent="0.3">
      <c r="A2457" t="s">
        <v>27</v>
      </c>
      <c r="B2457">
        <v>2012</v>
      </c>
      <c r="C2457" t="str">
        <f>_xlfn.CONCAT(Table16[[#This Row],[STATE]],"-",Table16[[#This Row],[YEAR]])</f>
        <v>Rajasthan-2012</v>
      </c>
      <c r="D2457" t="s">
        <v>816</v>
      </c>
      <c r="E2457">
        <v>12</v>
      </c>
    </row>
    <row r="2458" spans="1:5" x14ac:dyDescent="0.3">
      <c r="A2458" t="s">
        <v>27</v>
      </c>
      <c r="B2458">
        <v>2012</v>
      </c>
      <c r="C2458" t="str">
        <f>_xlfn.CONCAT(Table16[[#This Row],[STATE]],"-",Table16[[#This Row],[YEAR]])</f>
        <v>Rajasthan-2012</v>
      </c>
      <c r="D2458" t="s">
        <v>817</v>
      </c>
      <c r="E2458">
        <v>14</v>
      </c>
    </row>
    <row r="2459" spans="1:5" x14ac:dyDescent="0.3">
      <c r="A2459" t="s">
        <v>27</v>
      </c>
      <c r="B2459">
        <v>2012</v>
      </c>
      <c r="C2459" t="str">
        <f>_xlfn.CONCAT(Table16[[#This Row],[STATE]],"-",Table16[[#This Row],[YEAR]])</f>
        <v>Rajasthan-2012</v>
      </c>
      <c r="D2459" t="s">
        <v>170</v>
      </c>
      <c r="E2459">
        <v>26</v>
      </c>
    </row>
    <row r="2460" spans="1:5" x14ac:dyDescent="0.3">
      <c r="A2460" t="s">
        <v>27</v>
      </c>
      <c r="B2460">
        <v>2012</v>
      </c>
      <c r="C2460" t="str">
        <f>_xlfn.CONCAT(Table16[[#This Row],[STATE]],"-",Table16[[#This Row],[YEAR]])</f>
        <v>Rajasthan-2012</v>
      </c>
      <c r="D2460" t="s">
        <v>818</v>
      </c>
      <c r="E2460">
        <v>9</v>
      </c>
    </row>
    <row r="2461" spans="1:5" x14ac:dyDescent="0.3">
      <c r="A2461" t="s">
        <v>27</v>
      </c>
      <c r="B2461">
        <v>2012</v>
      </c>
      <c r="C2461" t="str">
        <f>_xlfn.CONCAT(Table16[[#This Row],[STATE]],"-",Table16[[#This Row],[YEAR]])</f>
        <v>Rajasthan-2012</v>
      </c>
      <c r="D2461" t="s">
        <v>819</v>
      </c>
      <c r="E2461">
        <v>16</v>
      </c>
    </row>
    <row r="2462" spans="1:5" x14ac:dyDescent="0.3">
      <c r="A2462" t="s">
        <v>27</v>
      </c>
      <c r="B2462">
        <v>2012</v>
      </c>
      <c r="C2462" t="str">
        <f>_xlfn.CONCAT(Table16[[#This Row],[STATE]],"-",Table16[[#This Row],[YEAR]])</f>
        <v>Rajasthan-2012</v>
      </c>
      <c r="D2462" t="s">
        <v>820</v>
      </c>
      <c r="E2462">
        <v>13</v>
      </c>
    </row>
    <row r="2463" spans="1:5" x14ac:dyDescent="0.3">
      <c r="A2463" t="s">
        <v>27</v>
      </c>
      <c r="B2463">
        <v>2012</v>
      </c>
      <c r="C2463" t="str">
        <f>_xlfn.CONCAT(Table16[[#This Row],[STATE]],"-",Table16[[#This Row],[YEAR]])</f>
        <v>Rajasthan-2012</v>
      </c>
      <c r="D2463" t="s">
        <v>821</v>
      </c>
      <c r="E2463">
        <v>230</v>
      </c>
    </row>
    <row r="2464" spans="1:5" x14ac:dyDescent="0.3">
      <c r="A2464" t="s">
        <v>27</v>
      </c>
      <c r="B2464">
        <v>2012</v>
      </c>
      <c r="C2464" t="str">
        <f>_xlfn.CONCAT(Table16[[#This Row],[STATE]],"-",Table16[[#This Row],[YEAR]])</f>
        <v>Rajasthan-2012</v>
      </c>
      <c r="D2464" t="s">
        <v>221</v>
      </c>
      <c r="E2464">
        <v>13</v>
      </c>
    </row>
    <row r="2465" spans="1:5" x14ac:dyDescent="0.3">
      <c r="A2465" t="s">
        <v>27</v>
      </c>
      <c r="B2465">
        <v>2012</v>
      </c>
      <c r="C2465" t="str">
        <f>_xlfn.CONCAT(Table16[[#This Row],[STATE]],"-",Table16[[#This Row],[YEAR]])</f>
        <v>Rajasthan-2012</v>
      </c>
      <c r="D2465" t="s">
        <v>822</v>
      </c>
      <c r="E2465">
        <v>8</v>
      </c>
    </row>
    <row r="2466" spans="1:5" x14ac:dyDescent="0.3">
      <c r="A2466" t="s">
        <v>27</v>
      </c>
      <c r="B2466">
        <v>2012</v>
      </c>
      <c r="C2466" t="str">
        <f>_xlfn.CONCAT(Table16[[#This Row],[STATE]],"-",Table16[[#This Row],[YEAR]])</f>
        <v>Rajasthan-2012</v>
      </c>
      <c r="D2466" t="s">
        <v>823</v>
      </c>
      <c r="E2466">
        <v>8</v>
      </c>
    </row>
    <row r="2467" spans="1:5" x14ac:dyDescent="0.3">
      <c r="A2467" t="s">
        <v>27</v>
      </c>
      <c r="B2467">
        <v>2012</v>
      </c>
      <c r="C2467" t="str">
        <f>_xlfn.CONCAT(Table16[[#This Row],[STATE]],"-",Table16[[#This Row],[YEAR]])</f>
        <v>Rajasthan-2012</v>
      </c>
      <c r="D2467" t="s">
        <v>821</v>
      </c>
      <c r="E2467">
        <v>75</v>
      </c>
    </row>
    <row r="2468" spans="1:5" x14ac:dyDescent="0.3">
      <c r="A2468" t="s">
        <v>27</v>
      </c>
      <c r="B2468">
        <v>2012</v>
      </c>
      <c r="C2468" t="str">
        <f>_xlfn.CONCAT(Table16[[#This Row],[STATE]],"-",Table16[[#This Row],[YEAR]])</f>
        <v>Rajasthan-2012</v>
      </c>
      <c r="D2468" t="s">
        <v>805</v>
      </c>
      <c r="E2468">
        <v>7</v>
      </c>
    </row>
    <row r="2469" spans="1:5" x14ac:dyDescent="0.3">
      <c r="A2469" t="s">
        <v>27</v>
      </c>
      <c r="B2469">
        <v>2012</v>
      </c>
      <c r="C2469" t="str">
        <f>_xlfn.CONCAT(Table16[[#This Row],[STATE]],"-",Table16[[#This Row],[YEAR]])</f>
        <v>Rajasthan-2012</v>
      </c>
      <c r="D2469" t="s">
        <v>99</v>
      </c>
      <c r="E2469">
        <v>7</v>
      </c>
    </row>
    <row r="2470" spans="1:5" x14ac:dyDescent="0.3">
      <c r="A2470" t="s">
        <v>28</v>
      </c>
      <c r="B2470">
        <v>2001</v>
      </c>
      <c r="C2470" t="str">
        <f>_xlfn.CONCAT(Table16[[#This Row],[STATE]],"-",Table16[[#This Row],[YEAR]])</f>
        <v>Sikkim-2001</v>
      </c>
      <c r="D2470" t="s">
        <v>739</v>
      </c>
      <c r="E2470">
        <v>12</v>
      </c>
    </row>
    <row r="2471" spans="1:5" x14ac:dyDescent="0.3">
      <c r="A2471" t="s">
        <v>28</v>
      </c>
      <c r="B2471">
        <v>2001</v>
      </c>
      <c r="C2471" t="str">
        <f>_xlfn.CONCAT(Table16[[#This Row],[STATE]],"-",Table16[[#This Row],[YEAR]])</f>
        <v>Sikkim-2001</v>
      </c>
      <c r="D2471" t="s">
        <v>824</v>
      </c>
      <c r="E2471">
        <v>10</v>
      </c>
    </row>
    <row r="2472" spans="1:5" x14ac:dyDescent="0.3">
      <c r="A2472" t="s">
        <v>28</v>
      </c>
      <c r="B2472">
        <v>2002</v>
      </c>
      <c r="C2472" t="str">
        <f>_xlfn.CONCAT(Table16[[#This Row],[STATE]],"-",Table16[[#This Row],[YEAR]])</f>
        <v>Sikkim-2002</v>
      </c>
      <c r="D2472" t="s">
        <v>739</v>
      </c>
      <c r="E2472">
        <v>15</v>
      </c>
    </row>
    <row r="2473" spans="1:5" x14ac:dyDescent="0.3">
      <c r="A2473" t="s">
        <v>28</v>
      </c>
      <c r="B2473">
        <v>2002</v>
      </c>
      <c r="C2473" t="str">
        <f>_xlfn.CONCAT(Table16[[#This Row],[STATE]],"-",Table16[[#This Row],[YEAR]])</f>
        <v>Sikkim-2002</v>
      </c>
      <c r="D2473" t="s">
        <v>824</v>
      </c>
      <c r="E2473">
        <v>15</v>
      </c>
    </row>
    <row r="2474" spans="1:5" x14ac:dyDescent="0.3">
      <c r="A2474" t="s">
        <v>28</v>
      </c>
      <c r="B2474">
        <v>2003</v>
      </c>
      <c r="C2474" t="str">
        <f>_xlfn.CONCAT(Table16[[#This Row],[STATE]],"-",Table16[[#This Row],[YEAR]])</f>
        <v>Sikkim-2003</v>
      </c>
      <c r="D2474" t="s">
        <v>739</v>
      </c>
      <c r="E2474">
        <v>4</v>
      </c>
    </row>
    <row r="2475" spans="1:5" x14ac:dyDescent="0.3">
      <c r="A2475" t="s">
        <v>28</v>
      </c>
      <c r="B2475">
        <v>2003</v>
      </c>
      <c r="C2475" t="str">
        <f>_xlfn.CONCAT(Table16[[#This Row],[STATE]],"-",Table16[[#This Row],[YEAR]])</f>
        <v>Sikkim-2003</v>
      </c>
      <c r="D2475" t="s">
        <v>825</v>
      </c>
      <c r="E2475">
        <v>4</v>
      </c>
    </row>
    <row r="2476" spans="1:5" x14ac:dyDescent="0.3">
      <c r="A2476" t="s">
        <v>28</v>
      </c>
      <c r="B2476">
        <v>2003</v>
      </c>
      <c r="C2476" t="str">
        <f>_xlfn.CONCAT(Table16[[#This Row],[STATE]],"-",Table16[[#This Row],[YEAR]])</f>
        <v>Sikkim-2003</v>
      </c>
      <c r="D2476" t="s">
        <v>103</v>
      </c>
      <c r="E2476">
        <v>2</v>
      </c>
    </row>
    <row r="2477" spans="1:5" x14ac:dyDescent="0.3">
      <c r="A2477" t="s">
        <v>28</v>
      </c>
      <c r="B2477">
        <v>2003</v>
      </c>
      <c r="C2477" t="str">
        <f>_xlfn.CONCAT(Table16[[#This Row],[STATE]],"-",Table16[[#This Row],[YEAR]])</f>
        <v>Sikkim-2003</v>
      </c>
      <c r="D2477" t="s">
        <v>824</v>
      </c>
      <c r="E2477">
        <v>2</v>
      </c>
    </row>
    <row r="2478" spans="1:5" x14ac:dyDescent="0.3">
      <c r="A2478" t="s">
        <v>28</v>
      </c>
      <c r="B2478">
        <v>2004</v>
      </c>
      <c r="C2478" t="str">
        <f>_xlfn.CONCAT(Table16[[#This Row],[STATE]],"-",Table16[[#This Row],[YEAR]])</f>
        <v>Sikkim-2004</v>
      </c>
      <c r="D2478" t="s">
        <v>739</v>
      </c>
      <c r="E2478">
        <v>7</v>
      </c>
    </row>
    <row r="2479" spans="1:5" x14ac:dyDescent="0.3">
      <c r="A2479" t="s">
        <v>28</v>
      </c>
      <c r="B2479">
        <v>2004</v>
      </c>
      <c r="C2479" t="str">
        <f>_xlfn.CONCAT(Table16[[#This Row],[STATE]],"-",Table16[[#This Row],[YEAR]])</f>
        <v>Sikkim-2004</v>
      </c>
      <c r="D2479" t="s">
        <v>826</v>
      </c>
      <c r="E2479">
        <v>8</v>
      </c>
    </row>
    <row r="2480" spans="1:5" x14ac:dyDescent="0.3">
      <c r="A2480" t="s">
        <v>28</v>
      </c>
      <c r="B2480">
        <v>2004</v>
      </c>
      <c r="C2480" t="str">
        <f>_xlfn.CONCAT(Table16[[#This Row],[STATE]],"-",Table16[[#This Row],[YEAR]])</f>
        <v>Sikkim-2004</v>
      </c>
      <c r="D2480" t="s">
        <v>103</v>
      </c>
      <c r="E2480">
        <v>3</v>
      </c>
    </row>
    <row r="2481" spans="1:5" x14ac:dyDescent="0.3">
      <c r="A2481" t="s">
        <v>28</v>
      </c>
      <c r="B2481">
        <v>2004</v>
      </c>
      <c r="C2481" t="str">
        <f>_xlfn.CONCAT(Table16[[#This Row],[STATE]],"-",Table16[[#This Row],[YEAR]])</f>
        <v>Sikkim-2004</v>
      </c>
      <c r="D2481" t="s">
        <v>824</v>
      </c>
      <c r="E2481">
        <v>3</v>
      </c>
    </row>
    <row r="2482" spans="1:5" x14ac:dyDescent="0.3">
      <c r="A2482" t="s">
        <v>28</v>
      </c>
      <c r="B2482">
        <v>2005</v>
      </c>
      <c r="C2482" t="str">
        <f>_xlfn.CONCAT(Table16[[#This Row],[STATE]],"-",Table16[[#This Row],[YEAR]])</f>
        <v>Sikkim-2005</v>
      </c>
      <c r="D2482" t="s">
        <v>827</v>
      </c>
      <c r="E2482">
        <v>7</v>
      </c>
    </row>
    <row r="2483" spans="1:5" x14ac:dyDescent="0.3">
      <c r="A2483" t="s">
        <v>28</v>
      </c>
      <c r="B2483">
        <v>2005</v>
      </c>
      <c r="C2483" t="str">
        <f>_xlfn.CONCAT(Table16[[#This Row],[STATE]],"-",Table16[[#This Row],[YEAR]])</f>
        <v>Sikkim-2005</v>
      </c>
      <c r="D2483" t="s">
        <v>828</v>
      </c>
      <c r="E2483">
        <v>8</v>
      </c>
    </row>
    <row r="2484" spans="1:5" x14ac:dyDescent="0.3">
      <c r="A2484" t="s">
        <v>28</v>
      </c>
      <c r="B2484">
        <v>2005</v>
      </c>
      <c r="C2484" t="str">
        <f>_xlfn.CONCAT(Table16[[#This Row],[STATE]],"-",Table16[[#This Row],[YEAR]])</f>
        <v>Sikkim-2005</v>
      </c>
      <c r="D2484" t="s">
        <v>103</v>
      </c>
      <c r="E2484">
        <v>3</v>
      </c>
    </row>
    <row r="2485" spans="1:5" x14ac:dyDescent="0.3">
      <c r="A2485" t="s">
        <v>28</v>
      </c>
      <c r="B2485">
        <v>2006</v>
      </c>
      <c r="C2485" t="str">
        <f>_xlfn.CONCAT(Table16[[#This Row],[STATE]],"-",Table16[[#This Row],[YEAR]])</f>
        <v>Sikkim-2006</v>
      </c>
      <c r="D2485" t="s">
        <v>827</v>
      </c>
      <c r="E2485">
        <v>12</v>
      </c>
    </row>
    <row r="2486" spans="1:5" x14ac:dyDescent="0.3">
      <c r="A2486" t="s">
        <v>28</v>
      </c>
      <c r="B2486">
        <v>2006</v>
      </c>
      <c r="C2486" t="str">
        <f>_xlfn.CONCAT(Table16[[#This Row],[STATE]],"-",Table16[[#This Row],[YEAR]])</f>
        <v>Sikkim-2006</v>
      </c>
      <c r="D2486" t="s">
        <v>828</v>
      </c>
      <c r="E2486">
        <v>11</v>
      </c>
    </row>
    <row r="2487" spans="1:5" x14ac:dyDescent="0.3">
      <c r="A2487" t="s">
        <v>28</v>
      </c>
      <c r="B2487">
        <v>2006</v>
      </c>
      <c r="C2487" t="str">
        <f>_xlfn.CONCAT(Table16[[#This Row],[STATE]],"-",Table16[[#This Row],[YEAR]])</f>
        <v>Sikkim-2006</v>
      </c>
      <c r="D2487" t="s">
        <v>103</v>
      </c>
      <c r="E2487">
        <v>7</v>
      </c>
    </row>
    <row r="2488" spans="1:5" x14ac:dyDescent="0.3">
      <c r="A2488" t="s">
        <v>28</v>
      </c>
      <c r="B2488">
        <v>2007</v>
      </c>
      <c r="C2488" t="str">
        <f>_xlfn.CONCAT(Table16[[#This Row],[STATE]],"-",Table16[[#This Row],[YEAR]])</f>
        <v>Sikkim-2007</v>
      </c>
      <c r="D2488" t="s">
        <v>190</v>
      </c>
      <c r="E2488">
        <v>34</v>
      </c>
    </row>
    <row r="2489" spans="1:5" x14ac:dyDescent="0.3">
      <c r="A2489" t="s">
        <v>28</v>
      </c>
      <c r="B2489">
        <v>2007</v>
      </c>
      <c r="C2489" t="str">
        <f>_xlfn.CONCAT(Table16[[#This Row],[STATE]],"-",Table16[[#This Row],[YEAR]])</f>
        <v>Sikkim-2007</v>
      </c>
      <c r="D2489" t="s">
        <v>90</v>
      </c>
      <c r="E2489">
        <v>15</v>
      </c>
    </row>
    <row r="2490" spans="1:5" x14ac:dyDescent="0.3">
      <c r="A2490" t="s">
        <v>28</v>
      </c>
      <c r="B2490">
        <v>2007</v>
      </c>
      <c r="C2490" t="str">
        <f>_xlfn.CONCAT(Table16[[#This Row],[STATE]],"-",Table16[[#This Row],[YEAR]])</f>
        <v>Sikkim-2007</v>
      </c>
      <c r="D2490" t="s">
        <v>829</v>
      </c>
      <c r="E2490">
        <v>4</v>
      </c>
    </row>
    <row r="2491" spans="1:5" x14ac:dyDescent="0.3">
      <c r="A2491" t="s">
        <v>28</v>
      </c>
      <c r="B2491">
        <v>2007</v>
      </c>
      <c r="C2491" t="str">
        <f>_xlfn.CONCAT(Table16[[#This Row],[STATE]],"-",Table16[[#This Row],[YEAR]])</f>
        <v>Sikkim-2007</v>
      </c>
      <c r="D2491" t="s">
        <v>103</v>
      </c>
      <c r="E2491">
        <v>19</v>
      </c>
    </row>
    <row r="2492" spans="1:5" x14ac:dyDescent="0.3">
      <c r="A2492" t="s">
        <v>28</v>
      </c>
      <c r="B2492">
        <v>2007</v>
      </c>
      <c r="C2492" t="str">
        <f>_xlfn.CONCAT(Table16[[#This Row],[STATE]],"-",Table16[[#This Row],[YEAR]])</f>
        <v>Sikkim-2007</v>
      </c>
      <c r="D2492" t="s">
        <v>830</v>
      </c>
      <c r="E2492">
        <v>6</v>
      </c>
    </row>
    <row r="2493" spans="1:5" x14ac:dyDescent="0.3">
      <c r="A2493" t="s">
        <v>28</v>
      </c>
      <c r="B2493">
        <v>2007</v>
      </c>
      <c r="C2493" t="str">
        <f>_xlfn.CONCAT(Table16[[#This Row],[STATE]],"-",Table16[[#This Row],[YEAR]])</f>
        <v>Sikkim-2007</v>
      </c>
      <c r="D2493" t="s">
        <v>123</v>
      </c>
      <c r="E2493">
        <v>8</v>
      </c>
    </row>
    <row r="2494" spans="1:5" x14ac:dyDescent="0.3">
      <c r="A2494" t="s">
        <v>28</v>
      </c>
      <c r="B2494">
        <v>2007</v>
      </c>
      <c r="C2494" t="str">
        <f>_xlfn.CONCAT(Table16[[#This Row],[STATE]],"-",Table16[[#This Row],[YEAR]])</f>
        <v>Sikkim-2007</v>
      </c>
      <c r="D2494" t="s">
        <v>831</v>
      </c>
      <c r="E2494">
        <v>4</v>
      </c>
    </row>
    <row r="2495" spans="1:5" x14ac:dyDescent="0.3">
      <c r="A2495" t="s">
        <v>28</v>
      </c>
      <c r="B2495">
        <v>2007</v>
      </c>
      <c r="C2495" t="str">
        <f>_xlfn.CONCAT(Table16[[#This Row],[STATE]],"-",Table16[[#This Row],[YEAR]])</f>
        <v>Sikkim-2007</v>
      </c>
      <c r="D2495" t="s">
        <v>197</v>
      </c>
      <c r="E2495">
        <v>32</v>
      </c>
    </row>
    <row r="2496" spans="1:5" x14ac:dyDescent="0.3">
      <c r="A2496" t="s">
        <v>28</v>
      </c>
      <c r="B2496">
        <v>2007</v>
      </c>
      <c r="C2496" t="str">
        <f>_xlfn.CONCAT(Table16[[#This Row],[STATE]],"-",Table16[[#This Row],[YEAR]])</f>
        <v>Sikkim-2007</v>
      </c>
      <c r="D2496" t="s">
        <v>671</v>
      </c>
      <c r="E2496">
        <v>4</v>
      </c>
    </row>
    <row r="2497" spans="1:5" x14ac:dyDescent="0.3">
      <c r="A2497" t="s">
        <v>28</v>
      </c>
      <c r="B2497">
        <v>2007</v>
      </c>
      <c r="C2497" t="str">
        <f>_xlfn.CONCAT(Table16[[#This Row],[STATE]],"-",Table16[[#This Row],[YEAR]])</f>
        <v>Sikkim-2007</v>
      </c>
      <c r="D2497" t="s">
        <v>832</v>
      </c>
      <c r="E2497">
        <v>21</v>
      </c>
    </row>
    <row r="2498" spans="1:5" x14ac:dyDescent="0.3">
      <c r="A2498" t="s">
        <v>28</v>
      </c>
      <c r="B2498">
        <v>2007</v>
      </c>
      <c r="C2498" t="str">
        <f>_xlfn.CONCAT(Table16[[#This Row],[STATE]],"-",Table16[[#This Row],[YEAR]])</f>
        <v>Sikkim-2007</v>
      </c>
      <c r="D2498" t="s">
        <v>833</v>
      </c>
      <c r="E2498">
        <v>21</v>
      </c>
    </row>
    <row r="2499" spans="1:5" x14ac:dyDescent="0.3">
      <c r="A2499" t="s">
        <v>28</v>
      </c>
      <c r="B2499">
        <v>2008</v>
      </c>
      <c r="C2499" t="str">
        <f>_xlfn.CONCAT(Table16[[#This Row],[STATE]],"-",Table16[[#This Row],[YEAR]])</f>
        <v>Sikkim-2008</v>
      </c>
      <c r="D2499" t="s">
        <v>191</v>
      </c>
      <c r="E2499">
        <v>13</v>
      </c>
    </row>
    <row r="2500" spans="1:5" x14ac:dyDescent="0.3">
      <c r="A2500" t="s">
        <v>28</v>
      </c>
      <c r="B2500">
        <v>2008</v>
      </c>
      <c r="C2500" t="str">
        <f>_xlfn.CONCAT(Table16[[#This Row],[STATE]],"-",Table16[[#This Row],[YEAR]])</f>
        <v>Sikkim-2008</v>
      </c>
      <c r="D2500" t="s">
        <v>829</v>
      </c>
      <c r="E2500">
        <v>4</v>
      </c>
    </row>
    <row r="2501" spans="1:5" x14ac:dyDescent="0.3">
      <c r="A2501" t="s">
        <v>28</v>
      </c>
      <c r="B2501">
        <v>2008</v>
      </c>
      <c r="C2501" t="str">
        <f>_xlfn.CONCAT(Table16[[#This Row],[STATE]],"-",Table16[[#This Row],[YEAR]])</f>
        <v>Sikkim-2008</v>
      </c>
      <c r="D2501" t="s">
        <v>103</v>
      </c>
      <c r="E2501">
        <v>24</v>
      </c>
    </row>
    <row r="2502" spans="1:5" x14ac:dyDescent="0.3">
      <c r="A2502" t="s">
        <v>28</v>
      </c>
      <c r="B2502">
        <v>2008</v>
      </c>
      <c r="C2502" t="str">
        <f>_xlfn.CONCAT(Table16[[#This Row],[STATE]],"-",Table16[[#This Row],[YEAR]])</f>
        <v>Sikkim-2008</v>
      </c>
      <c r="D2502" t="s">
        <v>830</v>
      </c>
      <c r="E2502">
        <v>8</v>
      </c>
    </row>
    <row r="2503" spans="1:5" x14ac:dyDescent="0.3">
      <c r="A2503" t="s">
        <v>28</v>
      </c>
      <c r="B2503">
        <v>2008</v>
      </c>
      <c r="C2503" t="str">
        <f>_xlfn.CONCAT(Table16[[#This Row],[STATE]],"-",Table16[[#This Row],[YEAR]])</f>
        <v>Sikkim-2008</v>
      </c>
      <c r="D2503" t="s">
        <v>123</v>
      </c>
      <c r="E2503">
        <v>10</v>
      </c>
    </row>
    <row r="2504" spans="1:5" x14ac:dyDescent="0.3">
      <c r="A2504" t="s">
        <v>28</v>
      </c>
      <c r="B2504">
        <v>2008</v>
      </c>
      <c r="C2504" t="str">
        <f>_xlfn.CONCAT(Table16[[#This Row],[STATE]],"-",Table16[[#This Row],[YEAR]])</f>
        <v>Sikkim-2008</v>
      </c>
      <c r="D2504" t="s">
        <v>831</v>
      </c>
      <c r="E2504">
        <v>4</v>
      </c>
    </row>
    <row r="2505" spans="1:5" x14ac:dyDescent="0.3">
      <c r="A2505" t="s">
        <v>28</v>
      </c>
      <c r="B2505">
        <v>2008</v>
      </c>
      <c r="C2505" t="str">
        <f>_xlfn.CONCAT(Table16[[#This Row],[STATE]],"-",Table16[[#This Row],[YEAR]])</f>
        <v>Sikkim-2008</v>
      </c>
      <c r="D2505" t="s">
        <v>197</v>
      </c>
      <c r="E2505">
        <v>18</v>
      </c>
    </row>
    <row r="2506" spans="1:5" x14ac:dyDescent="0.3">
      <c r="A2506" t="s">
        <v>28</v>
      </c>
      <c r="B2506">
        <v>2008</v>
      </c>
      <c r="C2506" t="str">
        <f>_xlfn.CONCAT(Table16[[#This Row],[STATE]],"-",Table16[[#This Row],[YEAR]])</f>
        <v>Sikkim-2008</v>
      </c>
      <c r="D2506" t="s">
        <v>834</v>
      </c>
      <c r="E2506">
        <v>14</v>
      </c>
    </row>
    <row r="2507" spans="1:5" x14ac:dyDescent="0.3">
      <c r="A2507" t="s">
        <v>28</v>
      </c>
      <c r="B2507">
        <v>2008</v>
      </c>
      <c r="C2507" t="str">
        <f>_xlfn.CONCAT(Table16[[#This Row],[STATE]],"-",Table16[[#This Row],[YEAR]])</f>
        <v>Sikkim-2008</v>
      </c>
      <c r="D2507" t="s">
        <v>832</v>
      </c>
      <c r="E2507">
        <v>25</v>
      </c>
    </row>
    <row r="2508" spans="1:5" x14ac:dyDescent="0.3">
      <c r="A2508" t="s">
        <v>28</v>
      </c>
      <c r="B2508">
        <v>2008</v>
      </c>
      <c r="C2508" t="str">
        <f>_xlfn.CONCAT(Table16[[#This Row],[STATE]],"-",Table16[[#This Row],[YEAR]])</f>
        <v>Sikkim-2008</v>
      </c>
      <c r="D2508" t="s">
        <v>504</v>
      </c>
      <c r="E2508">
        <v>14</v>
      </c>
    </row>
    <row r="2509" spans="1:5" x14ac:dyDescent="0.3">
      <c r="A2509" t="s">
        <v>28</v>
      </c>
      <c r="B2509">
        <v>2008</v>
      </c>
      <c r="C2509" t="str">
        <f>_xlfn.CONCAT(Table16[[#This Row],[STATE]],"-",Table16[[#This Row],[YEAR]])</f>
        <v>Sikkim-2008</v>
      </c>
      <c r="D2509" t="s">
        <v>835</v>
      </c>
      <c r="E2509">
        <v>8</v>
      </c>
    </row>
    <row r="2510" spans="1:5" x14ac:dyDescent="0.3">
      <c r="A2510" t="s">
        <v>28</v>
      </c>
      <c r="B2510">
        <v>2009</v>
      </c>
      <c r="C2510" t="str">
        <f>_xlfn.CONCAT(Table16[[#This Row],[STATE]],"-",Table16[[#This Row],[YEAR]])</f>
        <v>Sikkim-2009</v>
      </c>
      <c r="D2510" t="s">
        <v>191</v>
      </c>
      <c r="E2510">
        <v>13</v>
      </c>
    </row>
    <row r="2511" spans="1:5" x14ac:dyDescent="0.3">
      <c r="A2511" t="s">
        <v>28</v>
      </c>
      <c r="B2511">
        <v>2009</v>
      </c>
      <c r="C2511" t="str">
        <f>_xlfn.CONCAT(Table16[[#This Row],[STATE]],"-",Table16[[#This Row],[YEAR]])</f>
        <v>Sikkim-2009</v>
      </c>
      <c r="D2511" t="s">
        <v>829</v>
      </c>
      <c r="E2511">
        <v>2</v>
      </c>
    </row>
    <row r="2512" spans="1:5" x14ac:dyDescent="0.3">
      <c r="A2512" t="s">
        <v>28</v>
      </c>
      <c r="B2512">
        <v>2009</v>
      </c>
      <c r="C2512" t="str">
        <f>_xlfn.CONCAT(Table16[[#This Row],[STATE]],"-",Table16[[#This Row],[YEAR]])</f>
        <v>Sikkim-2009</v>
      </c>
      <c r="D2512" t="s">
        <v>103</v>
      </c>
      <c r="E2512">
        <v>6</v>
      </c>
    </row>
    <row r="2513" spans="1:5" x14ac:dyDescent="0.3">
      <c r="A2513" t="s">
        <v>28</v>
      </c>
      <c r="B2513">
        <v>2009</v>
      </c>
      <c r="C2513" t="str">
        <f>_xlfn.CONCAT(Table16[[#This Row],[STATE]],"-",Table16[[#This Row],[YEAR]])</f>
        <v>Sikkim-2009</v>
      </c>
      <c r="D2513" t="s">
        <v>830</v>
      </c>
      <c r="E2513">
        <v>5</v>
      </c>
    </row>
    <row r="2514" spans="1:5" x14ac:dyDescent="0.3">
      <c r="A2514" t="s">
        <v>28</v>
      </c>
      <c r="B2514">
        <v>2009</v>
      </c>
      <c r="C2514" t="str">
        <f>_xlfn.CONCAT(Table16[[#This Row],[STATE]],"-",Table16[[#This Row],[YEAR]])</f>
        <v>Sikkim-2009</v>
      </c>
      <c r="D2514" t="s">
        <v>123</v>
      </c>
      <c r="E2514">
        <v>5</v>
      </c>
    </row>
    <row r="2515" spans="1:5" x14ac:dyDescent="0.3">
      <c r="A2515" t="s">
        <v>28</v>
      </c>
      <c r="B2515">
        <v>2009</v>
      </c>
      <c r="C2515" t="str">
        <f>_xlfn.CONCAT(Table16[[#This Row],[STATE]],"-",Table16[[#This Row],[YEAR]])</f>
        <v>Sikkim-2009</v>
      </c>
      <c r="D2515" t="s">
        <v>831</v>
      </c>
      <c r="E2515">
        <v>2</v>
      </c>
    </row>
    <row r="2516" spans="1:5" x14ac:dyDescent="0.3">
      <c r="A2516" t="s">
        <v>28</v>
      </c>
      <c r="B2516">
        <v>2009</v>
      </c>
      <c r="C2516" t="str">
        <f>_xlfn.CONCAT(Table16[[#This Row],[STATE]],"-",Table16[[#This Row],[YEAR]])</f>
        <v>Sikkim-2009</v>
      </c>
      <c r="D2516" t="s">
        <v>197</v>
      </c>
      <c r="E2516">
        <v>10</v>
      </c>
    </row>
    <row r="2517" spans="1:5" x14ac:dyDescent="0.3">
      <c r="A2517" t="s">
        <v>28</v>
      </c>
      <c r="B2517">
        <v>2009</v>
      </c>
      <c r="C2517" t="str">
        <f>_xlfn.CONCAT(Table16[[#This Row],[STATE]],"-",Table16[[#This Row],[YEAR]])</f>
        <v>Sikkim-2009</v>
      </c>
      <c r="D2517" t="s">
        <v>834</v>
      </c>
      <c r="E2517">
        <v>12</v>
      </c>
    </row>
    <row r="2518" spans="1:5" x14ac:dyDescent="0.3">
      <c r="A2518" t="s">
        <v>28</v>
      </c>
      <c r="B2518">
        <v>2009</v>
      </c>
      <c r="C2518" t="str">
        <f>_xlfn.CONCAT(Table16[[#This Row],[STATE]],"-",Table16[[#This Row],[YEAR]])</f>
        <v>Sikkim-2009</v>
      </c>
      <c r="D2518" t="s">
        <v>835</v>
      </c>
      <c r="E2518">
        <v>2</v>
      </c>
    </row>
    <row r="2519" spans="1:5" x14ac:dyDescent="0.3">
      <c r="A2519" t="s">
        <v>28</v>
      </c>
      <c r="B2519">
        <v>2009</v>
      </c>
      <c r="C2519" t="str">
        <f>_xlfn.CONCAT(Table16[[#This Row],[STATE]],"-",Table16[[#This Row],[YEAR]])</f>
        <v>Sikkim-2009</v>
      </c>
      <c r="D2519" t="s">
        <v>836</v>
      </c>
      <c r="E2519">
        <v>9</v>
      </c>
    </row>
    <row r="2520" spans="1:5" x14ac:dyDescent="0.3">
      <c r="A2520" t="s">
        <v>28</v>
      </c>
      <c r="B2520">
        <v>2009</v>
      </c>
      <c r="C2520" t="str">
        <f>_xlfn.CONCAT(Table16[[#This Row],[STATE]],"-",Table16[[#This Row],[YEAR]])</f>
        <v>Sikkim-2009</v>
      </c>
      <c r="D2520" t="s">
        <v>837</v>
      </c>
      <c r="E2520">
        <v>6</v>
      </c>
    </row>
    <row r="2521" spans="1:5" x14ac:dyDescent="0.3">
      <c r="A2521" t="s">
        <v>28</v>
      </c>
      <c r="B2521">
        <v>2010</v>
      </c>
      <c r="C2521" t="str">
        <f>_xlfn.CONCAT(Table16[[#This Row],[STATE]],"-",Table16[[#This Row],[YEAR]])</f>
        <v>Sikkim-2010</v>
      </c>
      <c r="D2521" t="s">
        <v>191</v>
      </c>
      <c r="E2521">
        <v>12</v>
      </c>
    </row>
    <row r="2522" spans="1:5" x14ac:dyDescent="0.3">
      <c r="A2522" t="s">
        <v>28</v>
      </c>
      <c r="B2522">
        <v>2010</v>
      </c>
      <c r="C2522" t="str">
        <f>_xlfn.CONCAT(Table16[[#This Row],[STATE]],"-",Table16[[#This Row],[YEAR]])</f>
        <v>Sikkim-2010</v>
      </c>
      <c r="D2522" t="s">
        <v>838</v>
      </c>
      <c r="E2522">
        <v>4</v>
      </c>
    </row>
    <row r="2523" spans="1:5" x14ac:dyDescent="0.3">
      <c r="A2523" t="s">
        <v>28</v>
      </c>
      <c r="B2523">
        <v>2010</v>
      </c>
      <c r="C2523" t="str">
        <f>_xlfn.CONCAT(Table16[[#This Row],[STATE]],"-",Table16[[#This Row],[YEAR]])</f>
        <v>Sikkim-2010</v>
      </c>
      <c r="D2523" t="s">
        <v>103</v>
      </c>
      <c r="E2523">
        <v>2</v>
      </c>
    </row>
    <row r="2524" spans="1:5" x14ac:dyDescent="0.3">
      <c r="A2524" t="s">
        <v>28</v>
      </c>
      <c r="B2524">
        <v>2010</v>
      </c>
      <c r="C2524" t="str">
        <f>_xlfn.CONCAT(Table16[[#This Row],[STATE]],"-",Table16[[#This Row],[YEAR]])</f>
        <v>Sikkim-2010</v>
      </c>
      <c r="D2524" t="s">
        <v>830</v>
      </c>
      <c r="E2524">
        <v>6</v>
      </c>
    </row>
    <row r="2525" spans="1:5" x14ac:dyDescent="0.3">
      <c r="A2525" t="s">
        <v>28</v>
      </c>
      <c r="B2525">
        <v>2010</v>
      </c>
      <c r="C2525" t="str">
        <f>_xlfn.CONCAT(Table16[[#This Row],[STATE]],"-",Table16[[#This Row],[YEAR]])</f>
        <v>Sikkim-2010</v>
      </c>
      <c r="D2525" t="s">
        <v>839</v>
      </c>
      <c r="E2525">
        <v>13</v>
      </c>
    </row>
    <row r="2526" spans="1:5" x14ac:dyDescent="0.3">
      <c r="A2526" t="s">
        <v>28</v>
      </c>
      <c r="B2526">
        <v>2010</v>
      </c>
      <c r="C2526" t="str">
        <f>_xlfn.CONCAT(Table16[[#This Row],[STATE]],"-",Table16[[#This Row],[YEAR]])</f>
        <v>Sikkim-2010</v>
      </c>
      <c r="D2526" t="s">
        <v>351</v>
      </c>
      <c r="E2526">
        <v>5</v>
      </c>
    </row>
    <row r="2527" spans="1:5" x14ac:dyDescent="0.3">
      <c r="A2527" t="s">
        <v>28</v>
      </c>
      <c r="B2527">
        <v>2010</v>
      </c>
      <c r="C2527" t="str">
        <f>_xlfn.CONCAT(Table16[[#This Row],[STATE]],"-",Table16[[#This Row],[YEAR]])</f>
        <v>Sikkim-2010</v>
      </c>
      <c r="D2527" t="s">
        <v>197</v>
      </c>
      <c r="E2527">
        <v>10</v>
      </c>
    </row>
    <row r="2528" spans="1:5" x14ac:dyDescent="0.3">
      <c r="A2528" t="s">
        <v>28</v>
      </c>
      <c r="B2528">
        <v>2010</v>
      </c>
      <c r="C2528" t="str">
        <f>_xlfn.CONCAT(Table16[[#This Row],[STATE]],"-",Table16[[#This Row],[YEAR]])</f>
        <v>Sikkim-2010</v>
      </c>
      <c r="D2528" t="s">
        <v>835</v>
      </c>
      <c r="E2528">
        <v>3</v>
      </c>
    </row>
    <row r="2529" spans="1:5" x14ac:dyDescent="0.3">
      <c r="A2529" t="s">
        <v>28</v>
      </c>
      <c r="B2529">
        <v>2010</v>
      </c>
      <c r="C2529" t="str">
        <f>_xlfn.CONCAT(Table16[[#This Row],[STATE]],"-",Table16[[#This Row],[YEAR]])</f>
        <v>Sikkim-2010</v>
      </c>
      <c r="D2529" t="s">
        <v>266</v>
      </c>
      <c r="E2529">
        <v>5</v>
      </c>
    </row>
    <row r="2530" spans="1:5" x14ac:dyDescent="0.3">
      <c r="A2530" t="s">
        <v>28</v>
      </c>
      <c r="B2530">
        <v>2010</v>
      </c>
      <c r="C2530" t="str">
        <f>_xlfn.CONCAT(Table16[[#This Row],[STATE]],"-",Table16[[#This Row],[YEAR]])</f>
        <v>Sikkim-2010</v>
      </c>
      <c r="D2530" t="s">
        <v>504</v>
      </c>
      <c r="E2530">
        <v>13</v>
      </c>
    </row>
    <row r="2531" spans="1:5" x14ac:dyDescent="0.3">
      <c r="A2531" t="s">
        <v>28</v>
      </c>
      <c r="B2531">
        <v>2011</v>
      </c>
      <c r="C2531" t="str">
        <f>_xlfn.CONCAT(Table16[[#This Row],[STATE]],"-",Table16[[#This Row],[YEAR]])</f>
        <v>Sikkim-2011</v>
      </c>
      <c r="D2531" t="s">
        <v>827</v>
      </c>
      <c r="E2531">
        <v>16</v>
      </c>
    </row>
    <row r="2532" spans="1:5" x14ac:dyDescent="0.3">
      <c r="A2532" t="s">
        <v>28</v>
      </c>
      <c r="B2532">
        <v>2011</v>
      </c>
      <c r="C2532" t="str">
        <f>_xlfn.CONCAT(Table16[[#This Row],[STATE]],"-",Table16[[#This Row],[YEAR]])</f>
        <v>Sikkim-2011</v>
      </c>
      <c r="D2532" t="s">
        <v>829</v>
      </c>
      <c r="E2532">
        <v>1</v>
      </c>
    </row>
    <row r="2533" spans="1:5" x14ac:dyDescent="0.3">
      <c r="A2533" t="s">
        <v>28</v>
      </c>
      <c r="B2533">
        <v>2011</v>
      </c>
      <c r="C2533" t="str">
        <f>_xlfn.CONCAT(Table16[[#This Row],[STATE]],"-",Table16[[#This Row],[YEAR]])</f>
        <v>Sikkim-2011</v>
      </c>
      <c r="D2533" t="s">
        <v>103</v>
      </c>
      <c r="E2533">
        <v>1</v>
      </c>
    </row>
    <row r="2534" spans="1:5" x14ac:dyDescent="0.3">
      <c r="A2534" t="s">
        <v>28</v>
      </c>
      <c r="B2534">
        <v>2011</v>
      </c>
      <c r="C2534" t="str">
        <f>_xlfn.CONCAT(Table16[[#This Row],[STATE]],"-",Table16[[#This Row],[YEAR]])</f>
        <v>Sikkim-2011</v>
      </c>
      <c r="D2534" t="s">
        <v>830</v>
      </c>
      <c r="E2534">
        <v>6</v>
      </c>
    </row>
    <row r="2535" spans="1:5" x14ac:dyDescent="0.3">
      <c r="A2535" t="s">
        <v>28</v>
      </c>
      <c r="B2535">
        <v>2011</v>
      </c>
      <c r="C2535" t="str">
        <f>_xlfn.CONCAT(Table16[[#This Row],[STATE]],"-",Table16[[#This Row],[YEAR]])</f>
        <v>Sikkim-2011</v>
      </c>
      <c r="D2535" t="s">
        <v>123</v>
      </c>
      <c r="E2535">
        <v>12</v>
      </c>
    </row>
    <row r="2536" spans="1:5" x14ac:dyDescent="0.3">
      <c r="A2536" t="s">
        <v>28</v>
      </c>
      <c r="B2536">
        <v>2011</v>
      </c>
      <c r="C2536" t="str">
        <f>_xlfn.CONCAT(Table16[[#This Row],[STATE]],"-",Table16[[#This Row],[YEAR]])</f>
        <v>Sikkim-2011</v>
      </c>
      <c r="D2536" t="s">
        <v>197</v>
      </c>
      <c r="E2536">
        <v>6</v>
      </c>
    </row>
    <row r="2537" spans="1:5" x14ac:dyDescent="0.3">
      <c r="A2537" t="s">
        <v>28</v>
      </c>
      <c r="B2537">
        <v>2011</v>
      </c>
      <c r="C2537" t="str">
        <f>_xlfn.CONCAT(Table16[[#This Row],[STATE]],"-",Table16[[#This Row],[YEAR]])</f>
        <v>Sikkim-2011</v>
      </c>
      <c r="D2537" t="s">
        <v>671</v>
      </c>
      <c r="E2537">
        <v>4</v>
      </c>
    </row>
    <row r="2538" spans="1:5" x14ac:dyDescent="0.3">
      <c r="A2538" t="s">
        <v>28</v>
      </c>
      <c r="B2538">
        <v>2011</v>
      </c>
      <c r="C2538" t="str">
        <f>_xlfn.CONCAT(Table16[[#This Row],[STATE]],"-",Table16[[#This Row],[YEAR]])</f>
        <v>Sikkim-2011</v>
      </c>
      <c r="D2538" t="s">
        <v>835</v>
      </c>
      <c r="E2538">
        <v>1</v>
      </c>
    </row>
    <row r="2539" spans="1:5" x14ac:dyDescent="0.3">
      <c r="A2539" t="s">
        <v>28</v>
      </c>
      <c r="B2539">
        <v>2011</v>
      </c>
      <c r="C2539" t="str">
        <f>_xlfn.CONCAT(Table16[[#This Row],[STATE]],"-",Table16[[#This Row],[YEAR]])</f>
        <v>Sikkim-2011</v>
      </c>
      <c r="D2539" t="s">
        <v>836</v>
      </c>
      <c r="E2539">
        <v>4</v>
      </c>
    </row>
    <row r="2540" spans="1:5" x14ac:dyDescent="0.3">
      <c r="A2540" t="s">
        <v>28</v>
      </c>
      <c r="B2540">
        <v>2011</v>
      </c>
      <c r="C2540" t="str">
        <f>_xlfn.CONCAT(Table16[[#This Row],[STATE]],"-",Table16[[#This Row],[YEAR]])</f>
        <v>Sikkim-2011</v>
      </c>
      <c r="D2540" t="s">
        <v>837</v>
      </c>
      <c r="E2540">
        <v>4</v>
      </c>
    </row>
    <row r="2541" spans="1:5" x14ac:dyDescent="0.3">
      <c r="A2541" t="s">
        <v>28</v>
      </c>
      <c r="B2541">
        <v>2012</v>
      </c>
      <c r="C2541" t="str">
        <f>_xlfn.CONCAT(Table16[[#This Row],[STATE]],"-",Table16[[#This Row],[YEAR]])</f>
        <v>Sikkim-2012</v>
      </c>
      <c r="D2541" t="s">
        <v>191</v>
      </c>
      <c r="E2541">
        <v>20</v>
      </c>
    </row>
    <row r="2542" spans="1:5" x14ac:dyDescent="0.3">
      <c r="A2542" t="s">
        <v>28</v>
      </c>
      <c r="B2542">
        <v>2012</v>
      </c>
      <c r="C2542" t="str">
        <f>_xlfn.CONCAT(Table16[[#This Row],[STATE]],"-",Table16[[#This Row],[YEAR]])</f>
        <v>Sikkim-2012</v>
      </c>
      <c r="D2542" t="s">
        <v>829</v>
      </c>
      <c r="E2542">
        <v>2</v>
      </c>
    </row>
    <row r="2543" spans="1:5" x14ac:dyDescent="0.3">
      <c r="A2543" t="s">
        <v>28</v>
      </c>
      <c r="B2543">
        <v>2012</v>
      </c>
      <c r="C2543" t="str">
        <f>_xlfn.CONCAT(Table16[[#This Row],[STATE]],"-",Table16[[#This Row],[YEAR]])</f>
        <v>Sikkim-2012</v>
      </c>
      <c r="D2543" t="s">
        <v>103</v>
      </c>
      <c r="E2543">
        <v>1</v>
      </c>
    </row>
    <row r="2544" spans="1:5" x14ac:dyDescent="0.3">
      <c r="A2544" t="s">
        <v>28</v>
      </c>
      <c r="B2544">
        <v>2012</v>
      </c>
      <c r="C2544" t="str">
        <f>_xlfn.CONCAT(Table16[[#This Row],[STATE]],"-",Table16[[#This Row],[YEAR]])</f>
        <v>Sikkim-2012</v>
      </c>
      <c r="D2544" t="s">
        <v>830</v>
      </c>
      <c r="E2544">
        <v>6</v>
      </c>
    </row>
    <row r="2545" spans="1:5" x14ac:dyDescent="0.3">
      <c r="A2545" t="s">
        <v>28</v>
      </c>
      <c r="B2545">
        <v>2012</v>
      </c>
      <c r="C2545" t="str">
        <f>_xlfn.CONCAT(Table16[[#This Row],[STATE]],"-",Table16[[#This Row],[YEAR]])</f>
        <v>Sikkim-2012</v>
      </c>
      <c r="D2545" t="s">
        <v>123</v>
      </c>
      <c r="E2545">
        <v>13</v>
      </c>
    </row>
    <row r="2546" spans="1:5" x14ac:dyDescent="0.3">
      <c r="A2546" t="s">
        <v>28</v>
      </c>
      <c r="B2546">
        <v>2012</v>
      </c>
      <c r="C2546" t="str">
        <f>_xlfn.CONCAT(Table16[[#This Row],[STATE]],"-",Table16[[#This Row],[YEAR]])</f>
        <v>Sikkim-2012</v>
      </c>
      <c r="D2546" t="s">
        <v>197</v>
      </c>
      <c r="E2546">
        <v>7</v>
      </c>
    </row>
    <row r="2547" spans="1:5" x14ac:dyDescent="0.3">
      <c r="A2547" t="s">
        <v>28</v>
      </c>
      <c r="B2547">
        <v>2012</v>
      </c>
      <c r="C2547" t="str">
        <f>_xlfn.CONCAT(Table16[[#This Row],[STATE]],"-",Table16[[#This Row],[YEAR]])</f>
        <v>Sikkim-2012</v>
      </c>
      <c r="D2547" t="s">
        <v>671</v>
      </c>
      <c r="E2547">
        <v>4</v>
      </c>
    </row>
    <row r="2548" spans="1:5" x14ac:dyDescent="0.3">
      <c r="A2548" t="s">
        <v>28</v>
      </c>
      <c r="B2548">
        <v>2012</v>
      </c>
      <c r="C2548" t="str">
        <f>_xlfn.CONCAT(Table16[[#This Row],[STATE]],"-",Table16[[#This Row],[YEAR]])</f>
        <v>Sikkim-2012</v>
      </c>
      <c r="D2548" t="s">
        <v>835</v>
      </c>
      <c r="E2548">
        <v>1</v>
      </c>
    </row>
    <row r="2549" spans="1:5" x14ac:dyDescent="0.3">
      <c r="A2549" t="s">
        <v>28</v>
      </c>
      <c r="B2549">
        <v>2012</v>
      </c>
      <c r="C2549" t="str">
        <f>_xlfn.CONCAT(Table16[[#This Row],[STATE]],"-",Table16[[#This Row],[YEAR]])</f>
        <v>Sikkim-2012</v>
      </c>
      <c r="D2549" t="s">
        <v>840</v>
      </c>
      <c r="E2549">
        <v>4</v>
      </c>
    </row>
    <row r="2550" spans="1:5" x14ac:dyDescent="0.3">
      <c r="A2550" t="s">
        <v>28</v>
      </c>
      <c r="B2550">
        <v>2012</v>
      </c>
      <c r="C2550" t="str">
        <f>_xlfn.CONCAT(Table16[[#This Row],[STATE]],"-",Table16[[#This Row],[YEAR]])</f>
        <v>Sikkim-2012</v>
      </c>
      <c r="D2550" t="s">
        <v>837</v>
      </c>
      <c r="E2550">
        <v>4</v>
      </c>
    </row>
    <row r="2551" spans="1:5" x14ac:dyDescent="0.3">
      <c r="A2551" t="s">
        <v>29</v>
      </c>
      <c r="B2551">
        <v>2001</v>
      </c>
      <c r="C2551" t="str">
        <f>_xlfn.CONCAT(Table16[[#This Row],[STATE]],"-",Table16[[#This Row],[YEAR]])</f>
        <v>Tamilnadu-2001</v>
      </c>
      <c r="D2551" t="s">
        <v>841</v>
      </c>
      <c r="E2551">
        <v>130</v>
      </c>
    </row>
    <row r="2552" spans="1:5" x14ac:dyDescent="0.3">
      <c r="A2552" t="s">
        <v>29</v>
      </c>
      <c r="B2552">
        <v>2001</v>
      </c>
      <c r="C2552" t="str">
        <f>_xlfn.CONCAT(Table16[[#This Row],[STATE]],"-",Table16[[#This Row],[YEAR]])</f>
        <v>Tamilnadu-2001</v>
      </c>
      <c r="D2552" t="s">
        <v>109</v>
      </c>
      <c r="E2552">
        <v>142</v>
      </c>
    </row>
    <row r="2553" spans="1:5" x14ac:dyDescent="0.3">
      <c r="A2553" t="s">
        <v>29</v>
      </c>
      <c r="B2553">
        <v>2001</v>
      </c>
      <c r="C2553" t="str">
        <f>_xlfn.CONCAT(Table16[[#This Row],[STATE]],"-",Table16[[#This Row],[YEAR]])</f>
        <v>Tamilnadu-2001</v>
      </c>
      <c r="D2553" t="s">
        <v>842</v>
      </c>
      <c r="E2553">
        <v>103</v>
      </c>
    </row>
    <row r="2554" spans="1:5" x14ac:dyDescent="0.3">
      <c r="A2554" t="s">
        <v>29</v>
      </c>
      <c r="B2554">
        <v>2001</v>
      </c>
      <c r="C2554" t="str">
        <f>_xlfn.CONCAT(Table16[[#This Row],[STATE]],"-",Table16[[#This Row],[YEAR]])</f>
        <v>Tamilnadu-2001</v>
      </c>
      <c r="D2554" t="s">
        <v>98</v>
      </c>
      <c r="E2554">
        <v>80</v>
      </c>
    </row>
    <row r="2555" spans="1:5" x14ac:dyDescent="0.3">
      <c r="A2555" t="s">
        <v>29</v>
      </c>
      <c r="B2555">
        <v>2001</v>
      </c>
      <c r="C2555" t="str">
        <f>_xlfn.CONCAT(Table16[[#This Row],[STATE]],"-",Table16[[#This Row],[YEAR]])</f>
        <v>Tamilnadu-2001</v>
      </c>
      <c r="D2555" t="s">
        <v>843</v>
      </c>
      <c r="E2555">
        <v>15</v>
      </c>
    </row>
    <row r="2556" spans="1:5" x14ac:dyDescent="0.3">
      <c r="A2556" t="s">
        <v>29</v>
      </c>
      <c r="B2556">
        <v>2001</v>
      </c>
      <c r="C2556" t="str">
        <f>_xlfn.CONCAT(Table16[[#This Row],[STATE]],"-",Table16[[#This Row],[YEAR]])</f>
        <v>Tamilnadu-2001</v>
      </c>
      <c r="D2556" t="s">
        <v>201</v>
      </c>
      <c r="E2556">
        <v>65</v>
      </c>
    </row>
    <row r="2557" spans="1:5" x14ac:dyDescent="0.3">
      <c r="A2557" t="s">
        <v>29</v>
      </c>
      <c r="B2557">
        <v>2001</v>
      </c>
      <c r="C2557" t="str">
        <f>_xlfn.CONCAT(Table16[[#This Row],[STATE]],"-",Table16[[#This Row],[YEAR]])</f>
        <v>Tamilnadu-2001</v>
      </c>
      <c r="D2557" t="s">
        <v>844</v>
      </c>
      <c r="E2557">
        <v>60</v>
      </c>
    </row>
    <row r="2558" spans="1:5" x14ac:dyDescent="0.3">
      <c r="A2558" t="s">
        <v>29</v>
      </c>
      <c r="B2558">
        <v>2001</v>
      </c>
      <c r="C2558" t="str">
        <f>_xlfn.CONCAT(Table16[[#This Row],[STATE]],"-",Table16[[#This Row],[YEAR]])</f>
        <v>Tamilnadu-2001</v>
      </c>
      <c r="D2558" t="s">
        <v>123</v>
      </c>
      <c r="E2558">
        <v>132</v>
      </c>
    </row>
    <row r="2559" spans="1:5" x14ac:dyDescent="0.3">
      <c r="A2559" t="s">
        <v>29</v>
      </c>
      <c r="B2559">
        <v>2001</v>
      </c>
      <c r="C2559" t="str">
        <f>_xlfn.CONCAT(Table16[[#This Row],[STATE]],"-",Table16[[#This Row],[YEAR]])</f>
        <v>Tamilnadu-2001</v>
      </c>
      <c r="D2559" t="s">
        <v>845</v>
      </c>
      <c r="E2559">
        <v>70</v>
      </c>
    </row>
    <row r="2560" spans="1:5" x14ac:dyDescent="0.3">
      <c r="A2560" t="s">
        <v>29</v>
      </c>
      <c r="B2560">
        <v>2001</v>
      </c>
      <c r="C2560" t="str">
        <f>_xlfn.CONCAT(Table16[[#This Row],[STATE]],"-",Table16[[#This Row],[YEAR]])</f>
        <v>Tamilnadu-2001</v>
      </c>
      <c r="D2560" t="s">
        <v>123</v>
      </c>
      <c r="E2560">
        <v>72</v>
      </c>
    </row>
    <row r="2561" spans="1:5" x14ac:dyDescent="0.3">
      <c r="A2561" t="s">
        <v>29</v>
      </c>
      <c r="B2561">
        <v>2001</v>
      </c>
      <c r="C2561" t="str">
        <f>_xlfn.CONCAT(Table16[[#This Row],[STATE]],"-",Table16[[#This Row],[YEAR]])</f>
        <v>Tamilnadu-2001</v>
      </c>
      <c r="D2561" t="s">
        <v>90</v>
      </c>
      <c r="E2561">
        <v>290</v>
      </c>
    </row>
    <row r="2562" spans="1:5" x14ac:dyDescent="0.3">
      <c r="A2562" t="s">
        <v>29</v>
      </c>
      <c r="B2562">
        <v>2001</v>
      </c>
      <c r="C2562" t="str">
        <f>_xlfn.CONCAT(Table16[[#This Row],[STATE]],"-",Table16[[#This Row],[YEAR]])</f>
        <v>Tamilnadu-2001</v>
      </c>
      <c r="D2562" t="s">
        <v>846</v>
      </c>
      <c r="E2562">
        <v>243</v>
      </c>
    </row>
    <row r="2563" spans="1:5" x14ac:dyDescent="0.3">
      <c r="A2563" t="s">
        <v>29</v>
      </c>
      <c r="B2563">
        <v>2001</v>
      </c>
      <c r="C2563" t="str">
        <f>_xlfn.CONCAT(Table16[[#This Row],[STATE]],"-",Table16[[#This Row],[YEAR]])</f>
        <v>Tamilnadu-2001</v>
      </c>
      <c r="D2563" t="s">
        <v>847</v>
      </c>
      <c r="E2563">
        <v>3</v>
      </c>
    </row>
    <row r="2564" spans="1:5" x14ac:dyDescent="0.3">
      <c r="A2564" t="s">
        <v>29</v>
      </c>
      <c r="B2564">
        <v>2001</v>
      </c>
      <c r="C2564" t="str">
        <f>_xlfn.CONCAT(Table16[[#This Row],[STATE]],"-",Table16[[#This Row],[YEAR]])</f>
        <v>Tamilnadu-2001</v>
      </c>
      <c r="D2564" t="s">
        <v>848</v>
      </c>
      <c r="E2564">
        <v>22</v>
      </c>
    </row>
    <row r="2565" spans="1:5" x14ac:dyDescent="0.3">
      <c r="A2565" t="s">
        <v>29</v>
      </c>
      <c r="B2565">
        <v>2001</v>
      </c>
      <c r="C2565" t="str">
        <f>_xlfn.CONCAT(Table16[[#This Row],[STATE]],"-",Table16[[#This Row],[YEAR]])</f>
        <v>Tamilnadu-2001</v>
      </c>
      <c r="D2565" t="s">
        <v>103</v>
      </c>
      <c r="E2565">
        <v>110</v>
      </c>
    </row>
    <row r="2566" spans="1:5" x14ac:dyDescent="0.3">
      <c r="A2566" t="s">
        <v>29</v>
      </c>
      <c r="B2566">
        <v>2001</v>
      </c>
      <c r="C2566" t="str">
        <f>_xlfn.CONCAT(Table16[[#This Row],[STATE]],"-",Table16[[#This Row],[YEAR]])</f>
        <v>Tamilnadu-2001</v>
      </c>
      <c r="D2566" t="s">
        <v>849</v>
      </c>
      <c r="E2566">
        <v>240</v>
      </c>
    </row>
    <row r="2567" spans="1:5" x14ac:dyDescent="0.3">
      <c r="A2567" t="s">
        <v>29</v>
      </c>
      <c r="B2567">
        <v>2002</v>
      </c>
      <c r="C2567" t="str">
        <f>_xlfn.CONCAT(Table16[[#This Row],[STATE]],"-",Table16[[#This Row],[YEAR]])</f>
        <v>Tamilnadu-2002</v>
      </c>
      <c r="D2567" t="s">
        <v>850</v>
      </c>
      <c r="E2567">
        <v>120</v>
      </c>
    </row>
    <row r="2568" spans="1:5" x14ac:dyDescent="0.3">
      <c r="A2568" t="s">
        <v>29</v>
      </c>
      <c r="B2568">
        <v>2002</v>
      </c>
      <c r="C2568" t="str">
        <f>_xlfn.CONCAT(Table16[[#This Row],[STATE]],"-",Table16[[#This Row],[YEAR]])</f>
        <v>Tamilnadu-2002</v>
      </c>
      <c r="D2568" t="s">
        <v>170</v>
      </c>
      <c r="E2568">
        <v>15</v>
      </c>
    </row>
    <row r="2569" spans="1:5" x14ac:dyDescent="0.3">
      <c r="A2569" t="s">
        <v>29</v>
      </c>
      <c r="B2569">
        <v>2002</v>
      </c>
      <c r="C2569" t="str">
        <f>_xlfn.CONCAT(Table16[[#This Row],[STATE]],"-",Table16[[#This Row],[YEAR]])</f>
        <v>Tamilnadu-2002</v>
      </c>
      <c r="D2569" t="s">
        <v>680</v>
      </c>
      <c r="E2569">
        <v>15</v>
      </c>
    </row>
    <row r="2570" spans="1:5" x14ac:dyDescent="0.3">
      <c r="A2570" t="s">
        <v>29</v>
      </c>
      <c r="B2570">
        <v>2002</v>
      </c>
      <c r="C2570" t="str">
        <f>_xlfn.CONCAT(Table16[[#This Row],[STATE]],"-",Table16[[#This Row],[YEAR]])</f>
        <v>Tamilnadu-2002</v>
      </c>
      <c r="D2570" t="s">
        <v>851</v>
      </c>
      <c r="E2570">
        <v>239</v>
      </c>
    </row>
    <row r="2571" spans="1:5" x14ac:dyDescent="0.3">
      <c r="A2571" t="s">
        <v>29</v>
      </c>
      <c r="B2571">
        <v>2002</v>
      </c>
      <c r="C2571" t="str">
        <f>_xlfn.CONCAT(Table16[[#This Row],[STATE]],"-",Table16[[#This Row],[YEAR]])</f>
        <v>Tamilnadu-2002</v>
      </c>
      <c r="D2571" t="s">
        <v>852</v>
      </c>
      <c r="E2571">
        <v>15</v>
      </c>
    </row>
    <row r="2572" spans="1:5" x14ac:dyDescent="0.3">
      <c r="A2572" t="s">
        <v>29</v>
      </c>
      <c r="B2572">
        <v>2002</v>
      </c>
      <c r="C2572" t="str">
        <f>_xlfn.CONCAT(Table16[[#This Row],[STATE]],"-",Table16[[#This Row],[YEAR]])</f>
        <v>Tamilnadu-2002</v>
      </c>
      <c r="D2572" t="s">
        <v>101</v>
      </c>
      <c r="E2572">
        <v>2</v>
      </c>
    </row>
    <row r="2573" spans="1:5" x14ac:dyDescent="0.3">
      <c r="A2573" t="s">
        <v>29</v>
      </c>
      <c r="B2573">
        <v>2002</v>
      </c>
      <c r="C2573" t="str">
        <f>_xlfn.CONCAT(Table16[[#This Row],[STATE]],"-",Table16[[#This Row],[YEAR]])</f>
        <v>Tamilnadu-2002</v>
      </c>
      <c r="D2573" t="s">
        <v>109</v>
      </c>
      <c r="E2573">
        <v>121</v>
      </c>
    </row>
    <row r="2574" spans="1:5" x14ac:dyDescent="0.3">
      <c r="A2574" t="s">
        <v>29</v>
      </c>
      <c r="B2574">
        <v>2002</v>
      </c>
      <c r="C2574" t="str">
        <f>_xlfn.CONCAT(Table16[[#This Row],[STATE]],"-",Table16[[#This Row],[YEAR]])</f>
        <v>Tamilnadu-2002</v>
      </c>
      <c r="D2574" t="s">
        <v>98</v>
      </c>
      <c r="E2574">
        <v>80</v>
      </c>
    </row>
    <row r="2575" spans="1:5" x14ac:dyDescent="0.3">
      <c r="A2575" t="s">
        <v>29</v>
      </c>
      <c r="B2575">
        <v>2002</v>
      </c>
      <c r="C2575" t="str">
        <f>_xlfn.CONCAT(Table16[[#This Row],[STATE]],"-",Table16[[#This Row],[YEAR]])</f>
        <v>Tamilnadu-2002</v>
      </c>
      <c r="D2575" t="s">
        <v>853</v>
      </c>
      <c r="E2575">
        <v>30</v>
      </c>
    </row>
    <row r="2576" spans="1:5" x14ac:dyDescent="0.3">
      <c r="A2576" t="s">
        <v>29</v>
      </c>
      <c r="B2576">
        <v>2002</v>
      </c>
      <c r="C2576" t="str">
        <f>_xlfn.CONCAT(Table16[[#This Row],[STATE]],"-",Table16[[#This Row],[YEAR]])</f>
        <v>Tamilnadu-2002</v>
      </c>
      <c r="D2576" t="s">
        <v>854</v>
      </c>
      <c r="E2576">
        <v>30</v>
      </c>
    </row>
    <row r="2577" spans="1:5" x14ac:dyDescent="0.3">
      <c r="A2577" t="s">
        <v>29</v>
      </c>
      <c r="B2577">
        <v>2002</v>
      </c>
      <c r="C2577" t="str">
        <f>_xlfn.CONCAT(Table16[[#This Row],[STATE]],"-",Table16[[#This Row],[YEAR]])</f>
        <v>Tamilnadu-2002</v>
      </c>
      <c r="D2577" t="s">
        <v>855</v>
      </c>
      <c r="E2577">
        <v>21</v>
      </c>
    </row>
    <row r="2578" spans="1:5" x14ac:dyDescent="0.3">
      <c r="A2578" t="s">
        <v>29</v>
      </c>
      <c r="B2578">
        <v>2002</v>
      </c>
      <c r="C2578" t="str">
        <f>_xlfn.CONCAT(Table16[[#This Row],[STATE]],"-",Table16[[#This Row],[YEAR]])</f>
        <v>Tamilnadu-2002</v>
      </c>
      <c r="D2578" t="s">
        <v>103</v>
      </c>
      <c r="E2578">
        <v>32</v>
      </c>
    </row>
    <row r="2579" spans="1:5" x14ac:dyDescent="0.3">
      <c r="A2579" t="s">
        <v>29</v>
      </c>
      <c r="B2579">
        <v>2002</v>
      </c>
      <c r="C2579" t="str">
        <f>_xlfn.CONCAT(Table16[[#This Row],[STATE]],"-",Table16[[#This Row],[YEAR]])</f>
        <v>Tamilnadu-2002</v>
      </c>
      <c r="D2579" t="s">
        <v>856</v>
      </c>
      <c r="E2579">
        <v>24</v>
      </c>
    </row>
    <row r="2580" spans="1:5" x14ac:dyDescent="0.3">
      <c r="A2580" t="s">
        <v>29</v>
      </c>
      <c r="B2580">
        <v>2002</v>
      </c>
      <c r="C2580" t="str">
        <f>_xlfn.CONCAT(Table16[[#This Row],[STATE]],"-",Table16[[#This Row],[YEAR]])</f>
        <v>Tamilnadu-2002</v>
      </c>
      <c r="D2580" t="s">
        <v>90</v>
      </c>
      <c r="E2580">
        <v>288</v>
      </c>
    </row>
    <row r="2581" spans="1:5" x14ac:dyDescent="0.3">
      <c r="A2581" t="s">
        <v>29</v>
      </c>
      <c r="B2581">
        <v>2003</v>
      </c>
      <c r="C2581" t="str">
        <f>_xlfn.CONCAT(Table16[[#This Row],[STATE]],"-",Table16[[#This Row],[YEAR]])</f>
        <v>Tamilnadu-2003</v>
      </c>
      <c r="D2581" t="s">
        <v>857</v>
      </c>
      <c r="E2581">
        <v>3</v>
      </c>
    </row>
    <row r="2582" spans="1:5" x14ac:dyDescent="0.3">
      <c r="A2582" t="s">
        <v>29</v>
      </c>
      <c r="B2582">
        <v>2003</v>
      </c>
      <c r="C2582" t="str">
        <f>_xlfn.CONCAT(Table16[[#This Row],[STATE]],"-",Table16[[#This Row],[YEAR]])</f>
        <v>Tamilnadu-2003</v>
      </c>
      <c r="D2582" t="s">
        <v>109</v>
      </c>
      <c r="E2582">
        <v>123</v>
      </c>
    </row>
    <row r="2583" spans="1:5" x14ac:dyDescent="0.3">
      <c r="A2583" t="s">
        <v>29</v>
      </c>
      <c r="B2583">
        <v>2003</v>
      </c>
      <c r="C2583" t="str">
        <f>_xlfn.CONCAT(Table16[[#This Row],[STATE]],"-",Table16[[#This Row],[YEAR]])</f>
        <v>Tamilnadu-2003</v>
      </c>
      <c r="D2583" t="s">
        <v>855</v>
      </c>
      <c r="E2583">
        <v>21</v>
      </c>
    </row>
    <row r="2584" spans="1:5" x14ac:dyDescent="0.3">
      <c r="A2584" t="s">
        <v>29</v>
      </c>
      <c r="B2584">
        <v>2003</v>
      </c>
      <c r="C2584" t="str">
        <f>_xlfn.CONCAT(Table16[[#This Row],[STATE]],"-",Table16[[#This Row],[YEAR]])</f>
        <v>Tamilnadu-2003</v>
      </c>
      <c r="D2584" t="s">
        <v>103</v>
      </c>
      <c r="E2584">
        <v>33</v>
      </c>
    </row>
    <row r="2585" spans="1:5" x14ac:dyDescent="0.3">
      <c r="A2585" t="s">
        <v>29</v>
      </c>
      <c r="B2585">
        <v>2003</v>
      </c>
      <c r="C2585" t="str">
        <f>_xlfn.CONCAT(Table16[[#This Row],[STATE]],"-",Table16[[#This Row],[YEAR]])</f>
        <v>Tamilnadu-2003</v>
      </c>
      <c r="D2585" t="s">
        <v>90</v>
      </c>
      <c r="E2585">
        <v>291</v>
      </c>
    </row>
    <row r="2586" spans="1:5" x14ac:dyDescent="0.3">
      <c r="A2586" t="s">
        <v>29</v>
      </c>
      <c r="B2586">
        <v>2004</v>
      </c>
      <c r="C2586" t="str">
        <f>_xlfn.CONCAT(Table16[[#This Row],[STATE]],"-",Table16[[#This Row],[YEAR]])</f>
        <v>Tamilnadu-2004</v>
      </c>
      <c r="D2586" t="s">
        <v>109</v>
      </c>
      <c r="E2586">
        <v>127</v>
      </c>
    </row>
    <row r="2587" spans="1:5" x14ac:dyDescent="0.3">
      <c r="A2587" t="s">
        <v>29</v>
      </c>
      <c r="B2587">
        <v>2004</v>
      </c>
      <c r="C2587" t="str">
        <f>_xlfn.CONCAT(Table16[[#This Row],[STATE]],"-",Table16[[#This Row],[YEAR]])</f>
        <v>Tamilnadu-2004</v>
      </c>
      <c r="D2587" t="s">
        <v>855</v>
      </c>
      <c r="E2587">
        <v>25</v>
      </c>
    </row>
    <row r="2588" spans="1:5" x14ac:dyDescent="0.3">
      <c r="A2588" t="s">
        <v>29</v>
      </c>
      <c r="B2588">
        <v>2004</v>
      </c>
      <c r="C2588" t="str">
        <f>_xlfn.CONCAT(Table16[[#This Row],[STATE]],"-",Table16[[#This Row],[YEAR]])</f>
        <v>Tamilnadu-2004</v>
      </c>
      <c r="D2588" t="s">
        <v>103</v>
      </c>
      <c r="E2588">
        <v>35</v>
      </c>
    </row>
    <row r="2589" spans="1:5" x14ac:dyDescent="0.3">
      <c r="A2589" t="s">
        <v>29</v>
      </c>
      <c r="B2589">
        <v>2004</v>
      </c>
      <c r="C2589" t="str">
        <f>_xlfn.CONCAT(Table16[[#This Row],[STATE]],"-",Table16[[#This Row],[YEAR]])</f>
        <v>Tamilnadu-2004</v>
      </c>
      <c r="D2589" t="s">
        <v>90</v>
      </c>
      <c r="E2589">
        <v>297</v>
      </c>
    </row>
    <row r="2590" spans="1:5" x14ac:dyDescent="0.3">
      <c r="A2590" t="s">
        <v>29</v>
      </c>
      <c r="B2590">
        <v>2004</v>
      </c>
      <c r="C2590" t="str">
        <f>_xlfn.CONCAT(Table16[[#This Row],[STATE]],"-",Table16[[#This Row],[YEAR]])</f>
        <v>Tamilnadu-2004</v>
      </c>
      <c r="D2590" t="s">
        <v>101</v>
      </c>
      <c r="E2590">
        <v>5</v>
      </c>
    </row>
    <row r="2591" spans="1:5" x14ac:dyDescent="0.3">
      <c r="A2591" t="s">
        <v>29</v>
      </c>
      <c r="B2591">
        <v>2005</v>
      </c>
      <c r="C2591" t="str">
        <f>_xlfn.CONCAT(Table16[[#This Row],[STATE]],"-",Table16[[#This Row],[YEAR]])</f>
        <v>Tamilnadu-2005</v>
      </c>
      <c r="D2591" t="s">
        <v>858</v>
      </c>
      <c r="E2591">
        <v>634</v>
      </c>
    </row>
    <row r="2592" spans="1:5" x14ac:dyDescent="0.3">
      <c r="A2592" t="s">
        <v>29</v>
      </c>
      <c r="B2592">
        <v>2005</v>
      </c>
      <c r="C2592" t="str">
        <f>_xlfn.CONCAT(Table16[[#This Row],[STATE]],"-",Table16[[#This Row],[YEAR]])</f>
        <v>Tamilnadu-2005</v>
      </c>
      <c r="D2592" t="s">
        <v>90</v>
      </c>
      <c r="E2592">
        <v>232</v>
      </c>
    </row>
    <row r="2593" spans="1:5" x14ac:dyDescent="0.3">
      <c r="A2593" t="s">
        <v>29</v>
      </c>
      <c r="B2593">
        <v>2005</v>
      </c>
      <c r="C2593" t="str">
        <f>_xlfn.CONCAT(Table16[[#This Row],[STATE]],"-",Table16[[#This Row],[YEAR]])</f>
        <v>Tamilnadu-2005</v>
      </c>
      <c r="D2593" t="s">
        <v>859</v>
      </c>
      <c r="E2593">
        <v>643</v>
      </c>
    </row>
    <row r="2594" spans="1:5" x14ac:dyDescent="0.3">
      <c r="A2594" t="s">
        <v>29</v>
      </c>
      <c r="B2594">
        <v>2005</v>
      </c>
      <c r="C2594" t="str">
        <f>_xlfn.CONCAT(Table16[[#This Row],[STATE]],"-",Table16[[#This Row],[YEAR]])</f>
        <v>Tamilnadu-2005</v>
      </c>
      <c r="D2594" t="s">
        <v>860</v>
      </c>
      <c r="E2594">
        <v>169</v>
      </c>
    </row>
    <row r="2595" spans="1:5" x14ac:dyDescent="0.3">
      <c r="A2595" t="s">
        <v>29</v>
      </c>
      <c r="B2595">
        <v>2005</v>
      </c>
      <c r="C2595" t="str">
        <f>_xlfn.CONCAT(Table16[[#This Row],[STATE]],"-",Table16[[#This Row],[YEAR]])</f>
        <v>Tamilnadu-2005</v>
      </c>
      <c r="D2595" t="s">
        <v>861</v>
      </c>
      <c r="E2595">
        <v>151</v>
      </c>
    </row>
    <row r="2596" spans="1:5" x14ac:dyDescent="0.3">
      <c r="A2596" t="s">
        <v>29</v>
      </c>
      <c r="B2596">
        <v>2005</v>
      </c>
      <c r="C2596" t="str">
        <f>_xlfn.CONCAT(Table16[[#This Row],[STATE]],"-",Table16[[#This Row],[YEAR]])</f>
        <v>Tamilnadu-2005</v>
      </c>
      <c r="D2596" t="s">
        <v>123</v>
      </c>
      <c r="E2596">
        <v>15</v>
      </c>
    </row>
    <row r="2597" spans="1:5" x14ac:dyDescent="0.3">
      <c r="A2597" t="s">
        <v>29</v>
      </c>
      <c r="B2597">
        <v>2005</v>
      </c>
      <c r="C2597" t="str">
        <f>_xlfn.CONCAT(Table16[[#This Row],[STATE]],"-",Table16[[#This Row],[YEAR]])</f>
        <v>Tamilnadu-2005</v>
      </c>
      <c r="D2597" t="s">
        <v>862</v>
      </c>
      <c r="E2597">
        <v>30</v>
      </c>
    </row>
    <row r="2598" spans="1:5" x14ac:dyDescent="0.3">
      <c r="A2598" t="s">
        <v>29</v>
      </c>
      <c r="B2598">
        <v>2005</v>
      </c>
      <c r="C2598" t="str">
        <f>_xlfn.CONCAT(Table16[[#This Row],[STATE]],"-",Table16[[#This Row],[YEAR]])</f>
        <v>Tamilnadu-2005</v>
      </c>
      <c r="D2598" t="s">
        <v>863</v>
      </c>
      <c r="E2598">
        <v>36</v>
      </c>
    </row>
    <row r="2599" spans="1:5" x14ac:dyDescent="0.3">
      <c r="A2599" t="s">
        <v>29</v>
      </c>
      <c r="B2599">
        <v>2005</v>
      </c>
      <c r="C2599" t="str">
        <f>_xlfn.CONCAT(Table16[[#This Row],[STATE]],"-",Table16[[#This Row],[YEAR]])</f>
        <v>Tamilnadu-2005</v>
      </c>
      <c r="D2599" t="s">
        <v>617</v>
      </c>
      <c r="E2599">
        <v>377</v>
      </c>
    </row>
    <row r="2600" spans="1:5" x14ac:dyDescent="0.3">
      <c r="A2600" t="s">
        <v>29</v>
      </c>
      <c r="B2600">
        <v>2005</v>
      </c>
      <c r="C2600" t="str">
        <f>_xlfn.CONCAT(Table16[[#This Row],[STATE]],"-",Table16[[#This Row],[YEAR]])</f>
        <v>Tamilnadu-2005</v>
      </c>
      <c r="D2600" t="s">
        <v>850</v>
      </c>
      <c r="E2600">
        <v>480</v>
      </c>
    </row>
    <row r="2601" spans="1:5" x14ac:dyDescent="0.3">
      <c r="A2601" t="s">
        <v>29</v>
      </c>
      <c r="B2601">
        <v>2006</v>
      </c>
      <c r="C2601" t="str">
        <f>_xlfn.CONCAT(Table16[[#This Row],[STATE]],"-",Table16[[#This Row],[YEAR]])</f>
        <v>Tamilnadu-2006</v>
      </c>
      <c r="D2601" t="s">
        <v>858</v>
      </c>
      <c r="E2601">
        <v>641</v>
      </c>
    </row>
    <row r="2602" spans="1:5" x14ac:dyDescent="0.3">
      <c r="A2602" t="s">
        <v>29</v>
      </c>
      <c r="B2602">
        <v>2006</v>
      </c>
      <c r="C2602" t="str">
        <f>_xlfn.CONCAT(Table16[[#This Row],[STATE]],"-",Table16[[#This Row],[YEAR]])</f>
        <v>Tamilnadu-2006</v>
      </c>
      <c r="D2602" t="s">
        <v>90</v>
      </c>
      <c r="E2602">
        <v>237</v>
      </c>
    </row>
    <row r="2603" spans="1:5" x14ac:dyDescent="0.3">
      <c r="A2603" t="s">
        <v>29</v>
      </c>
      <c r="B2603">
        <v>2006</v>
      </c>
      <c r="C2603" t="str">
        <f>_xlfn.CONCAT(Table16[[#This Row],[STATE]],"-",Table16[[#This Row],[YEAR]])</f>
        <v>Tamilnadu-2006</v>
      </c>
      <c r="D2603" t="s">
        <v>859</v>
      </c>
      <c r="E2603">
        <v>652</v>
      </c>
    </row>
    <row r="2604" spans="1:5" x14ac:dyDescent="0.3">
      <c r="A2604" t="s">
        <v>29</v>
      </c>
      <c r="B2604">
        <v>2006</v>
      </c>
      <c r="C2604" t="str">
        <f>_xlfn.CONCAT(Table16[[#This Row],[STATE]],"-",Table16[[#This Row],[YEAR]])</f>
        <v>Tamilnadu-2006</v>
      </c>
      <c r="D2604" t="s">
        <v>861</v>
      </c>
      <c r="E2604">
        <v>145</v>
      </c>
    </row>
    <row r="2605" spans="1:5" x14ac:dyDescent="0.3">
      <c r="A2605" t="s">
        <v>29</v>
      </c>
      <c r="B2605">
        <v>2006</v>
      </c>
      <c r="C2605" t="str">
        <f>_xlfn.CONCAT(Table16[[#This Row],[STATE]],"-",Table16[[#This Row],[YEAR]])</f>
        <v>Tamilnadu-2006</v>
      </c>
      <c r="D2605" t="s">
        <v>864</v>
      </c>
      <c r="E2605">
        <v>17</v>
      </c>
    </row>
    <row r="2606" spans="1:5" x14ac:dyDescent="0.3">
      <c r="A2606" t="s">
        <v>29</v>
      </c>
      <c r="B2606">
        <v>2006</v>
      </c>
      <c r="C2606" t="str">
        <f>_xlfn.CONCAT(Table16[[#This Row],[STATE]],"-",Table16[[#This Row],[YEAR]])</f>
        <v>Tamilnadu-2006</v>
      </c>
      <c r="D2606" t="s">
        <v>865</v>
      </c>
      <c r="E2606">
        <v>33</v>
      </c>
    </row>
    <row r="2607" spans="1:5" x14ac:dyDescent="0.3">
      <c r="A2607" t="s">
        <v>29</v>
      </c>
      <c r="B2607">
        <v>2006</v>
      </c>
      <c r="C2607" t="str">
        <f>_xlfn.CONCAT(Table16[[#This Row],[STATE]],"-",Table16[[#This Row],[YEAR]])</f>
        <v>Tamilnadu-2006</v>
      </c>
      <c r="D2607" t="s">
        <v>866</v>
      </c>
      <c r="E2607">
        <v>37</v>
      </c>
    </row>
    <row r="2608" spans="1:5" x14ac:dyDescent="0.3">
      <c r="A2608" t="s">
        <v>29</v>
      </c>
      <c r="B2608">
        <v>2006</v>
      </c>
      <c r="C2608" t="str">
        <f>_xlfn.CONCAT(Table16[[#This Row],[STATE]],"-",Table16[[#This Row],[YEAR]])</f>
        <v>Tamilnadu-2006</v>
      </c>
      <c r="D2608" t="s">
        <v>617</v>
      </c>
      <c r="E2608">
        <v>391</v>
      </c>
    </row>
    <row r="2609" spans="1:5" x14ac:dyDescent="0.3">
      <c r="A2609" t="s">
        <v>29</v>
      </c>
      <c r="B2609">
        <v>2006</v>
      </c>
      <c r="C2609" t="str">
        <f>_xlfn.CONCAT(Table16[[#This Row],[STATE]],"-",Table16[[#This Row],[YEAR]])</f>
        <v>Tamilnadu-2006</v>
      </c>
      <c r="D2609" t="s">
        <v>850</v>
      </c>
      <c r="E2609">
        <v>490</v>
      </c>
    </row>
    <row r="2610" spans="1:5" x14ac:dyDescent="0.3">
      <c r="A2610" t="s">
        <v>29</v>
      </c>
      <c r="B2610">
        <v>2007</v>
      </c>
      <c r="C2610" t="str">
        <f>_xlfn.CONCAT(Table16[[#This Row],[STATE]],"-",Table16[[#This Row],[YEAR]])</f>
        <v>Tamilnadu-2007</v>
      </c>
      <c r="D2610" t="s">
        <v>98</v>
      </c>
      <c r="E2610">
        <v>186</v>
      </c>
    </row>
    <row r="2611" spans="1:5" x14ac:dyDescent="0.3">
      <c r="A2611" t="s">
        <v>29</v>
      </c>
      <c r="B2611">
        <v>2007</v>
      </c>
      <c r="C2611" t="str">
        <f>_xlfn.CONCAT(Table16[[#This Row],[STATE]],"-",Table16[[#This Row],[YEAR]])</f>
        <v>Tamilnadu-2007</v>
      </c>
      <c r="D2611" t="s">
        <v>90</v>
      </c>
      <c r="E2611">
        <v>356</v>
      </c>
    </row>
    <row r="2612" spans="1:5" x14ac:dyDescent="0.3">
      <c r="A2612" t="s">
        <v>29</v>
      </c>
      <c r="B2612">
        <v>2007</v>
      </c>
      <c r="C2612" t="str">
        <f>_xlfn.CONCAT(Table16[[#This Row],[STATE]],"-",Table16[[#This Row],[YEAR]])</f>
        <v>Tamilnadu-2007</v>
      </c>
      <c r="D2612" t="s">
        <v>859</v>
      </c>
      <c r="E2612">
        <v>691</v>
      </c>
    </row>
    <row r="2613" spans="1:5" x14ac:dyDescent="0.3">
      <c r="A2613" t="s">
        <v>29</v>
      </c>
      <c r="B2613">
        <v>2007</v>
      </c>
      <c r="C2613" t="str">
        <f>_xlfn.CONCAT(Table16[[#This Row],[STATE]],"-",Table16[[#This Row],[YEAR]])</f>
        <v>Tamilnadu-2007</v>
      </c>
      <c r="D2613" t="s">
        <v>867</v>
      </c>
      <c r="E2613">
        <v>244</v>
      </c>
    </row>
    <row r="2614" spans="1:5" x14ac:dyDescent="0.3">
      <c r="A2614" t="s">
        <v>29</v>
      </c>
      <c r="B2614">
        <v>2007</v>
      </c>
      <c r="C2614" t="str">
        <f>_xlfn.CONCAT(Table16[[#This Row],[STATE]],"-",Table16[[#This Row],[YEAR]])</f>
        <v>Tamilnadu-2007</v>
      </c>
      <c r="D2614" t="s">
        <v>861</v>
      </c>
      <c r="E2614">
        <v>16</v>
      </c>
    </row>
    <row r="2615" spans="1:5" x14ac:dyDescent="0.3">
      <c r="A2615" t="s">
        <v>29</v>
      </c>
      <c r="B2615">
        <v>2007</v>
      </c>
      <c r="C2615" t="str">
        <f>_xlfn.CONCAT(Table16[[#This Row],[STATE]],"-",Table16[[#This Row],[YEAR]])</f>
        <v>Tamilnadu-2007</v>
      </c>
      <c r="D2615" t="s">
        <v>123</v>
      </c>
      <c r="E2615">
        <v>16</v>
      </c>
    </row>
    <row r="2616" spans="1:5" x14ac:dyDescent="0.3">
      <c r="A2616" t="s">
        <v>29</v>
      </c>
      <c r="B2616">
        <v>2007</v>
      </c>
      <c r="C2616" t="str">
        <f>_xlfn.CONCAT(Table16[[#This Row],[STATE]],"-",Table16[[#This Row],[YEAR]])</f>
        <v>Tamilnadu-2007</v>
      </c>
      <c r="D2616" t="s">
        <v>283</v>
      </c>
      <c r="E2616">
        <v>250</v>
      </c>
    </row>
    <row r="2617" spans="1:5" x14ac:dyDescent="0.3">
      <c r="A2617" t="s">
        <v>29</v>
      </c>
      <c r="B2617">
        <v>2007</v>
      </c>
      <c r="C2617" t="str">
        <f>_xlfn.CONCAT(Table16[[#This Row],[STATE]],"-",Table16[[#This Row],[YEAR]])</f>
        <v>Tamilnadu-2007</v>
      </c>
      <c r="D2617" t="s">
        <v>103</v>
      </c>
      <c r="E2617">
        <v>181</v>
      </c>
    </row>
    <row r="2618" spans="1:5" x14ac:dyDescent="0.3">
      <c r="A2618" t="s">
        <v>29</v>
      </c>
      <c r="B2618">
        <v>2007</v>
      </c>
      <c r="C2618" t="str">
        <f>_xlfn.CONCAT(Table16[[#This Row],[STATE]],"-",Table16[[#This Row],[YEAR]])</f>
        <v>Tamilnadu-2007</v>
      </c>
      <c r="D2618" t="s">
        <v>617</v>
      </c>
      <c r="E2618">
        <v>20</v>
      </c>
    </row>
    <row r="2619" spans="1:5" x14ac:dyDescent="0.3">
      <c r="A2619" t="s">
        <v>29</v>
      </c>
      <c r="B2619">
        <v>2007</v>
      </c>
      <c r="C2619" t="str">
        <f>_xlfn.CONCAT(Table16[[#This Row],[STATE]],"-",Table16[[#This Row],[YEAR]])</f>
        <v>Tamilnadu-2007</v>
      </c>
      <c r="D2619" t="s">
        <v>868</v>
      </c>
      <c r="E2619">
        <v>250</v>
      </c>
    </row>
    <row r="2620" spans="1:5" x14ac:dyDescent="0.3">
      <c r="A2620" t="s">
        <v>29</v>
      </c>
      <c r="B2620">
        <v>2007</v>
      </c>
      <c r="C2620" t="str">
        <f>_xlfn.CONCAT(Table16[[#This Row],[STATE]],"-",Table16[[#This Row],[YEAR]])</f>
        <v>Tamilnadu-2007</v>
      </c>
      <c r="D2620" t="s">
        <v>869</v>
      </c>
      <c r="E2620">
        <v>20</v>
      </c>
    </row>
    <row r="2621" spans="1:5" x14ac:dyDescent="0.3">
      <c r="A2621" t="s">
        <v>29</v>
      </c>
      <c r="B2621">
        <v>2007</v>
      </c>
      <c r="C2621" t="str">
        <f>_xlfn.CONCAT(Table16[[#This Row],[STATE]],"-",Table16[[#This Row],[YEAR]])</f>
        <v>Tamilnadu-2007</v>
      </c>
      <c r="D2621" t="s">
        <v>230</v>
      </c>
      <c r="E2621">
        <v>42</v>
      </c>
    </row>
    <row r="2622" spans="1:5" x14ac:dyDescent="0.3">
      <c r="A2622" t="s">
        <v>29</v>
      </c>
      <c r="B2622">
        <v>2007</v>
      </c>
      <c r="C2622" t="str">
        <f>_xlfn.CONCAT(Table16[[#This Row],[STATE]],"-",Table16[[#This Row],[YEAR]])</f>
        <v>Tamilnadu-2007</v>
      </c>
      <c r="D2622" t="s">
        <v>286</v>
      </c>
      <c r="E2622">
        <v>46</v>
      </c>
    </row>
    <row r="2623" spans="1:5" x14ac:dyDescent="0.3">
      <c r="A2623" t="s">
        <v>29</v>
      </c>
      <c r="B2623">
        <v>2007</v>
      </c>
      <c r="C2623" t="str">
        <f>_xlfn.CONCAT(Table16[[#This Row],[STATE]],"-",Table16[[#This Row],[YEAR]])</f>
        <v>Tamilnadu-2007</v>
      </c>
      <c r="D2623" t="s">
        <v>219</v>
      </c>
      <c r="E2623">
        <v>564</v>
      </c>
    </row>
    <row r="2624" spans="1:5" x14ac:dyDescent="0.3">
      <c r="A2624" t="s">
        <v>29</v>
      </c>
      <c r="B2624">
        <v>2007</v>
      </c>
      <c r="C2624" t="str">
        <f>_xlfn.CONCAT(Table16[[#This Row],[STATE]],"-",Table16[[#This Row],[YEAR]])</f>
        <v>Tamilnadu-2007</v>
      </c>
      <c r="D2624" t="s">
        <v>870</v>
      </c>
      <c r="E2624">
        <v>19</v>
      </c>
    </row>
    <row r="2625" spans="1:5" x14ac:dyDescent="0.3">
      <c r="A2625" t="s">
        <v>29</v>
      </c>
      <c r="B2625">
        <v>2007</v>
      </c>
      <c r="C2625" t="str">
        <f>_xlfn.CONCAT(Table16[[#This Row],[STATE]],"-",Table16[[#This Row],[YEAR]])</f>
        <v>Tamilnadu-2007</v>
      </c>
      <c r="D2625" t="s">
        <v>871</v>
      </c>
      <c r="E2625">
        <v>17</v>
      </c>
    </row>
    <row r="2626" spans="1:5" x14ac:dyDescent="0.3">
      <c r="A2626" t="s">
        <v>29</v>
      </c>
      <c r="B2626">
        <v>2007</v>
      </c>
      <c r="C2626" t="str">
        <f>_xlfn.CONCAT(Table16[[#This Row],[STATE]],"-",Table16[[#This Row],[YEAR]])</f>
        <v>Tamilnadu-2007</v>
      </c>
      <c r="D2626" t="s">
        <v>185</v>
      </c>
      <c r="E2626">
        <v>26</v>
      </c>
    </row>
    <row r="2627" spans="1:5" x14ac:dyDescent="0.3">
      <c r="A2627" t="s">
        <v>29</v>
      </c>
      <c r="B2627">
        <v>2007</v>
      </c>
      <c r="C2627" t="str">
        <f>_xlfn.CONCAT(Table16[[#This Row],[STATE]],"-",Table16[[#This Row],[YEAR]])</f>
        <v>Tamilnadu-2007</v>
      </c>
      <c r="D2627" t="s">
        <v>90</v>
      </c>
      <c r="E2627">
        <v>240</v>
      </c>
    </row>
    <row r="2628" spans="1:5" x14ac:dyDescent="0.3">
      <c r="A2628" t="s">
        <v>29</v>
      </c>
      <c r="B2628">
        <v>2008</v>
      </c>
      <c r="C2628" t="str">
        <f>_xlfn.CONCAT(Table16[[#This Row],[STATE]],"-",Table16[[#This Row],[YEAR]])</f>
        <v>Tamilnadu-2008</v>
      </c>
      <c r="D2628" t="s">
        <v>872</v>
      </c>
      <c r="E2628">
        <v>600</v>
      </c>
    </row>
    <row r="2629" spans="1:5" x14ac:dyDescent="0.3">
      <c r="A2629" t="s">
        <v>29</v>
      </c>
      <c r="B2629">
        <v>2008</v>
      </c>
      <c r="C2629" t="str">
        <f>_xlfn.CONCAT(Table16[[#This Row],[STATE]],"-",Table16[[#This Row],[YEAR]])</f>
        <v>Tamilnadu-2008</v>
      </c>
      <c r="D2629" t="s">
        <v>714</v>
      </c>
      <c r="E2629">
        <v>52</v>
      </c>
    </row>
    <row r="2630" spans="1:5" x14ac:dyDescent="0.3">
      <c r="A2630" t="s">
        <v>29</v>
      </c>
      <c r="B2630">
        <v>2008</v>
      </c>
      <c r="C2630" t="str">
        <f>_xlfn.CONCAT(Table16[[#This Row],[STATE]],"-",Table16[[#This Row],[YEAR]])</f>
        <v>Tamilnadu-2008</v>
      </c>
      <c r="D2630" t="s">
        <v>873</v>
      </c>
      <c r="E2630">
        <v>32</v>
      </c>
    </row>
    <row r="2631" spans="1:5" x14ac:dyDescent="0.3">
      <c r="A2631" t="s">
        <v>29</v>
      </c>
      <c r="B2631">
        <v>2008</v>
      </c>
      <c r="C2631" t="str">
        <f>_xlfn.CONCAT(Table16[[#This Row],[STATE]],"-",Table16[[#This Row],[YEAR]])</f>
        <v>Tamilnadu-2008</v>
      </c>
      <c r="D2631" t="s">
        <v>140</v>
      </c>
      <c r="E2631">
        <v>80</v>
      </c>
    </row>
    <row r="2632" spans="1:5" x14ac:dyDescent="0.3">
      <c r="A2632" t="s">
        <v>29</v>
      </c>
      <c r="B2632">
        <v>2008</v>
      </c>
      <c r="C2632" t="str">
        <f>_xlfn.CONCAT(Table16[[#This Row],[STATE]],"-",Table16[[#This Row],[YEAR]])</f>
        <v>Tamilnadu-2008</v>
      </c>
      <c r="D2632" t="s">
        <v>874</v>
      </c>
      <c r="E2632">
        <v>300</v>
      </c>
    </row>
    <row r="2633" spans="1:5" x14ac:dyDescent="0.3">
      <c r="A2633" t="s">
        <v>29</v>
      </c>
      <c r="B2633">
        <v>2008</v>
      </c>
      <c r="C2633" t="str">
        <f>_xlfn.CONCAT(Table16[[#This Row],[STATE]],"-",Table16[[#This Row],[YEAR]])</f>
        <v>Tamilnadu-2008</v>
      </c>
      <c r="D2633" t="s">
        <v>875</v>
      </c>
      <c r="E2633">
        <v>210</v>
      </c>
    </row>
    <row r="2634" spans="1:5" x14ac:dyDescent="0.3">
      <c r="A2634" t="s">
        <v>29</v>
      </c>
      <c r="B2634">
        <v>2008</v>
      </c>
      <c r="C2634" t="str">
        <f>_xlfn.CONCAT(Table16[[#This Row],[STATE]],"-",Table16[[#This Row],[YEAR]])</f>
        <v>Tamilnadu-2008</v>
      </c>
      <c r="D2634" t="s">
        <v>852</v>
      </c>
      <c r="E2634">
        <v>300</v>
      </c>
    </row>
    <row r="2635" spans="1:5" x14ac:dyDescent="0.3">
      <c r="A2635" t="s">
        <v>29</v>
      </c>
      <c r="B2635">
        <v>2008</v>
      </c>
      <c r="C2635" t="str">
        <f>_xlfn.CONCAT(Table16[[#This Row],[STATE]],"-",Table16[[#This Row],[YEAR]])</f>
        <v>Tamilnadu-2008</v>
      </c>
      <c r="D2635" t="s">
        <v>859</v>
      </c>
      <c r="E2635">
        <v>125</v>
      </c>
    </row>
    <row r="2636" spans="1:5" x14ac:dyDescent="0.3">
      <c r="A2636" t="s">
        <v>29</v>
      </c>
      <c r="B2636">
        <v>2008</v>
      </c>
      <c r="C2636" t="str">
        <f>_xlfn.CONCAT(Table16[[#This Row],[STATE]],"-",Table16[[#This Row],[YEAR]])</f>
        <v>Tamilnadu-2008</v>
      </c>
      <c r="D2636" t="s">
        <v>98</v>
      </c>
      <c r="E2636">
        <v>252</v>
      </c>
    </row>
    <row r="2637" spans="1:5" x14ac:dyDescent="0.3">
      <c r="A2637" t="s">
        <v>29</v>
      </c>
      <c r="B2637">
        <v>2008</v>
      </c>
      <c r="C2637" t="str">
        <f>_xlfn.CONCAT(Table16[[#This Row],[STATE]],"-",Table16[[#This Row],[YEAR]])</f>
        <v>Tamilnadu-2008</v>
      </c>
      <c r="D2637" t="s">
        <v>141</v>
      </c>
      <c r="E2637">
        <v>60</v>
      </c>
    </row>
    <row r="2638" spans="1:5" x14ac:dyDescent="0.3">
      <c r="A2638" t="s">
        <v>29</v>
      </c>
      <c r="B2638">
        <v>2008</v>
      </c>
      <c r="C2638" t="str">
        <f>_xlfn.CONCAT(Table16[[#This Row],[STATE]],"-",Table16[[#This Row],[YEAR]])</f>
        <v>Tamilnadu-2008</v>
      </c>
      <c r="D2638" t="s">
        <v>876</v>
      </c>
      <c r="E2638">
        <v>350</v>
      </c>
    </row>
    <row r="2639" spans="1:5" x14ac:dyDescent="0.3">
      <c r="A2639" t="s">
        <v>29</v>
      </c>
      <c r="B2639">
        <v>2008</v>
      </c>
      <c r="C2639" t="str">
        <f>_xlfn.CONCAT(Table16[[#This Row],[STATE]],"-",Table16[[#This Row],[YEAR]])</f>
        <v>Tamilnadu-2008</v>
      </c>
      <c r="D2639" t="s">
        <v>103</v>
      </c>
      <c r="E2639">
        <v>127</v>
      </c>
    </row>
    <row r="2640" spans="1:5" x14ac:dyDescent="0.3">
      <c r="A2640" t="s">
        <v>29</v>
      </c>
      <c r="B2640">
        <v>2008</v>
      </c>
      <c r="C2640" t="str">
        <f>_xlfn.CONCAT(Table16[[#This Row],[STATE]],"-",Table16[[#This Row],[YEAR]])</f>
        <v>Tamilnadu-2008</v>
      </c>
      <c r="D2640" t="s">
        <v>877</v>
      </c>
      <c r="E2640">
        <v>32</v>
      </c>
    </row>
    <row r="2641" spans="1:5" x14ac:dyDescent="0.3">
      <c r="A2641" t="s">
        <v>29</v>
      </c>
      <c r="B2641">
        <v>2008</v>
      </c>
      <c r="C2641" t="str">
        <f>_xlfn.CONCAT(Table16[[#This Row],[STATE]],"-",Table16[[#This Row],[YEAR]])</f>
        <v>Tamilnadu-2008</v>
      </c>
      <c r="D2641" t="s">
        <v>90</v>
      </c>
      <c r="E2641">
        <v>242</v>
      </c>
    </row>
    <row r="2642" spans="1:5" x14ac:dyDescent="0.3">
      <c r="A2642" t="s">
        <v>29</v>
      </c>
      <c r="B2642">
        <v>2008</v>
      </c>
      <c r="C2642" t="str">
        <f>_xlfn.CONCAT(Table16[[#This Row],[STATE]],"-",Table16[[#This Row],[YEAR]])</f>
        <v>Tamilnadu-2008</v>
      </c>
      <c r="D2642" t="s">
        <v>878</v>
      </c>
      <c r="E2642">
        <v>361</v>
      </c>
    </row>
    <row r="2643" spans="1:5" x14ac:dyDescent="0.3">
      <c r="A2643" t="s">
        <v>29</v>
      </c>
      <c r="B2643">
        <v>2009</v>
      </c>
      <c r="C2643" t="str">
        <f>_xlfn.CONCAT(Table16[[#This Row],[STATE]],"-",Table16[[#This Row],[YEAR]])</f>
        <v>Tamilnadu-2009</v>
      </c>
      <c r="D2643" t="s">
        <v>140</v>
      </c>
      <c r="E2643">
        <v>10</v>
      </c>
    </row>
    <row r="2644" spans="1:5" x14ac:dyDescent="0.3">
      <c r="A2644" t="s">
        <v>29</v>
      </c>
      <c r="B2644">
        <v>2009</v>
      </c>
      <c r="C2644" t="str">
        <f>_xlfn.CONCAT(Table16[[#This Row],[STATE]],"-",Table16[[#This Row],[YEAR]])</f>
        <v>Tamilnadu-2009</v>
      </c>
      <c r="D2644" t="s">
        <v>314</v>
      </c>
      <c r="E2644">
        <v>18</v>
      </c>
    </row>
    <row r="2645" spans="1:5" x14ac:dyDescent="0.3">
      <c r="A2645" t="s">
        <v>29</v>
      </c>
      <c r="B2645">
        <v>2009</v>
      </c>
      <c r="C2645" t="str">
        <f>_xlfn.CONCAT(Table16[[#This Row],[STATE]],"-",Table16[[#This Row],[YEAR]])</f>
        <v>Tamilnadu-2009</v>
      </c>
      <c r="D2645" t="s">
        <v>879</v>
      </c>
      <c r="E2645">
        <v>36</v>
      </c>
    </row>
    <row r="2646" spans="1:5" x14ac:dyDescent="0.3">
      <c r="A2646" t="s">
        <v>29</v>
      </c>
      <c r="B2646">
        <v>2009</v>
      </c>
      <c r="C2646" t="str">
        <f>_xlfn.CONCAT(Table16[[#This Row],[STATE]],"-",Table16[[#This Row],[YEAR]])</f>
        <v>Tamilnadu-2009</v>
      </c>
      <c r="D2646" t="s">
        <v>880</v>
      </c>
      <c r="E2646">
        <v>15</v>
      </c>
    </row>
    <row r="2647" spans="1:5" x14ac:dyDescent="0.3">
      <c r="A2647" t="s">
        <v>29</v>
      </c>
      <c r="B2647">
        <v>2009</v>
      </c>
      <c r="C2647" t="str">
        <f>_xlfn.CONCAT(Table16[[#This Row],[STATE]],"-",Table16[[#This Row],[YEAR]])</f>
        <v>Tamilnadu-2009</v>
      </c>
      <c r="D2647" t="s">
        <v>881</v>
      </c>
      <c r="E2647">
        <v>9</v>
      </c>
    </row>
    <row r="2648" spans="1:5" x14ac:dyDescent="0.3">
      <c r="A2648" t="s">
        <v>29</v>
      </c>
      <c r="B2648">
        <v>2009</v>
      </c>
      <c r="C2648" t="str">
        <f>_xlfn.CONCAT(Table16[[#This Row],[STATE]],"-",Table16[[#This Row],[YEAR]])</f>
        <v>Tamilnadu-2009</v>
      </c>
      <c r="D2648" t="s">
        <v>98</v>
      </c>
      <c r="E2648">
        <v>435</v>
      </c>
    </row>
    <row r="2649" spans="1:5" x14ac:dyDescent="0.3">
      <c r="A2649" t="s">
        <v>29</v>
      </c>
      <c r="B2649">
        <v>2009</v>
      </c>
      <c r="C2649" t="str">
        <f>_xlfn.CONCAT(Table16[[#This Row],[STATE]],"-",Table16[[#This Row],[YEAR]])</f>
        <v>Tamilnadu-2009</v>
      </c>
      <c r="D2649" t="s">
        <v>882</v>
      </c>
      <c r="E2649">
        <v>10</v>
      </c>
    </row>
    <row r="2650" spans="1:5" x14ac:dyDescent="0.3">
      <c r="A2650" t="s">
        <v>29</v>
      </c>
      <c r="B2650">
        <v>2009</v>
      </c>
      <c r="C2650" t="str">
        <f>_xlfn.CONCAT(Table16[[#This Row],[STATE]],"-",Table16[[#This Row],[YEAR]])</f>
        <v>Tamilnadu-2009</v>
      </c>
      <c r="D2650" t="s">
        <v>170</v>
      </c>
      <c r="E2650">
        <v>14</v>
      </c>
    </row>
    <row r="2651" spans="1:5" x14ac:dyDescent="0.3">
      <c r="A2651" t="s">
        <v>29</v>
      </c>
      <c r="B2651">
        <v>2009</v>
      </c>
      <c r="C2651" t="str">
        <f>_xlfn.CONCAT(Table16[[#This Row],[STATE]],"-",Table16[[#This Row],[YEAR]])</f>
        <v>Tamilnadu-2009</v>
      </c>
      <c r="D2651" t="s">
        <v>883</v>
      </c>
      <c r="E2651">
        <v>20</v>
      </c>
    </row>
    <row r="2652" spans="1:5" x14ac:dyDescent="0.3">
      <c r="A2652" t="s">
        <v>29</v>
      </c>
      <c r="B2652">
        <v>2009</v>
      </c>
      <c r="C2652" t="str">
        <f>_xlfn.CONCAT(Table16[[#This Row],[STATE]],"-",Table16[[#This Row],[YEAR]])</f>
        <v>Tamilnadu-2009</v>
      </c>
      <c r="D2652" t="s">
        <v>877</v>
      </c>
      <c r="E2652">
        <v>45</v>
      </c>
    </row>
    <row r="2653" spans="1:5" x14ac:dyDescent="0.3">
      <c r="A2653" t="s">
        <v>29</v>
      </c>
      <c r="B2653">
        <v>2009</v>
      </c>
      <c r="C2653" t="str">
        <f>_xlfn.CONCAT(Table16[[#This Row],[STATE]],"-",Table16[[#This Row],[YEAR]])</f>
        <v>Tamilnadu-2009</v>
      </c>
      <c r="D2653" t="s">
        <v>884</v>
      </c>
      <c r="E2653">
        <v>10</v>
      </c>
    </row>
    <row r="2654" spans="1:5" x14ac:dyDescent="0.3">
      <c r="A2654" t="s">
        <v>29</v>
      </c>
      <c r="B2654">
        <v>2009</v>
      </c>
      <c r="C2654" t="str">
        <f>_xlfn.CONCAT(Table16[[#This Row],[STATE]],"-",Table16[[#This Row],[YEAR]])</f>
        <v>Tamilnadu-2009</v>
      </c>
      <c r="D2654" t="s">
        <v>885</v>
      </c>
      <c r="E2654">
        <v>15</v>
      </c>
    </row>
    <row r="2655" spans="1:5" x14ac:dyDescent="0.3">
      <c r="A2655" t="s">
        <v>29</v>
      </c>
      <c r="B2655">
        <v>2009</v>
      </c>
      <c r="C2655" t="str">
        <f>_xlfn.CONCAT(Table16[[#This Row],[STATE]],"-",Table16[[#This Row],[YEAR]])</f>
        <v>Tamilnadu-2009</v>
      </c>
      <c r="D2655" t="s">
        <v>886</v>
      </c>
      <c r="E2655">
        <v>4</v>
      </c>
    </row>
    <row r="2656" spans="1:5" x14ac:dyDescent="0.3">
      <c r="A2656" t="s">
        <v>29</v>
      </c>
      <c r="B2656">
        <v>2009</v>
      </c>
      <c r="C2656" t="str">
        <f>_xlfn.CONCAT(Table16[[#This Row],[STATE]],"-",Table16[[#This Row],[YEAR]])</f>
        <v>Tamilnadu-2009</v>
      </c>
      <c r="D2656" t="s">
        <v>887</v>
      </c>
      <c r="E2656">
        <v>80</v>
      </c>
    </row>
    <row r="2657" spans="1:5" x14ac:dyDescent="0.3">
      <c r="A2657" t="s">
        <v>29</v>
      </c>
      <c r="B2657">
        <v>2009</v>
      </c>
      <c r="C2657" t="str">
        <f>_xlfn.CONCAT(Table16[[#This Row],[STATE]],"-",Table16[[#This Row],[YEAR]])</f>
        <v>Tamilnadu-2009</v>
      </c>
      <c r="D2657" t="s">
        <v>266</v>
      </c>
      <c r="E2657">
        <v>75</v>
      </c>
    </row>
    <row r="2658" spans="1:5" x14ac:dyDescent="0.3">
      <c r="A2658" t="s">
        <v>29</v>
      </c>
      <c r="B2658">
        <v>2009</v>
      </c>
      <c r="C2658" t="str">
        <f>_xlfn.CONCAT(Table16[[#This Row],[STATE]],"-",Table16[[#This Row],[YEAR]])</f>
        <v>Tamilnadu-2009</v>
      </c>
      <c r="D2658" t="s">
        <v>888</v>
      </c>
      <c r="E2658">
        <v>50</v>
      </c>
    </row>
    <row r="2659" spans="1:5" x14ac:dyDescent="0.3">
      <c r="A2659" t="s">
        <v>29</v>
      </c>
      <c r="B2659">
        <v>2009</v>
      </c>
      <c r="C2659" t="str">
        <f>_xlfn.CONCAT(Table16[[#This Row],[STATE]],"-",Table16[[#This Row],[YEAR]])</f>
        <v>Tamilnadu-2009</v>
      </c>
      <c r="D2659" t="s">
        <v>889</v>
      </c>
      <c r="E2659">
        <v>25</v>
      </c>
    </row>
    <row r="2660" spans="1:5" x14ac:dyDescent="0.3">
      <c r="A2660" t="s">
        <v>29</v>
      </c>
      <c r="B2660">
        <v>2010</v>
      </c>
      <c r="C2660" t="str">
        <f>_xlfn.CONCAT(Table16[[#This Row],[STATE]],"-",Table16[[#This Row],[YEAR]])</f>
        <v>Tamilnadu-2010</v>
      </c>
      <c r="D2660" t="s">
        <v>879</v>
      </c>
      <c r="E2660">
        <v>36</v>
      </c>
    </row>
    <row r="2661" spans="1:5" x14ac:dyDescent="0.3">
      <c r="A2661" t="s">
        <v>29</v>
      </c>
      <c r="B2661">
        <v>2010</v>
      </c>
      <c r="C2661" t="str">
        <f>_xlfn.CONCAT(Table16[[#This Row],[STATE]],"-",Table16[[#This Row],[YEAR]])</f>
        <v>Tamilnadu-2010</v>
      </c>
      <c r="D2661" t="s">
        <v>890</v>
      </c>
      <c r="E2661">
        <v>20</v>
      </c>
    </row>
    <row r="2662" spans="1:5" x14ac:dyDescent="0.3">
      <c r="A2662" t="s">
        <v>29</v>
      </c>
      <c r="B2662">
        <v>2010</v>
      </c>
      <c r="C2662" t="str">
        <f>_xlfn.CONCAT(Table16[[#This Row],[STATE]],"-",Table16[[#This Row],[YEAR]])</f>
        <v>Tamilnadu-2010</v>
      </c>
      <c r="D2662" t="s">
        <v>891</v>
      </c>
      <c r="E2662">
        <v>25</v>
      </c>
    </row>
    <row r="2663" spans="1:5" x14ac:dyDescent="0.3">
      <c r="A2663" t="s">
        <v>29</v>
      </c>
      <c r="B2663">
        <v>2010</v>
      </c>
      <c r="C2663" t="str">
        <f>_xlfn.CONCAT(Table16[[#This Row],[STATE]],"-",Table16[[#This Row],[YEAR]])</f>
        <v>Tamilnadu-2010</v>
      </c>
      <c r="D2663" t="s">
        <v>330</v>
      </c>
      <c r="E2663">
        <v>50</v>
      </c>
    </row>
    <row r="2664" spans="1:5" x14ac:dyDescent="0.3">
      <c r="A2664" t="s">
        <v>29</v>
      </c>
      <c r="B2664">
        <v>2010</v>
      </c>
      <c r="C2664" t="str">
        <f>_xlfn.CONCAT(Table16[[#This Row],[STATE]],"-",Table16[[#This Row],[YEAR]])</f>
        <v>Tamilnadu-2010</v>
      </c>
      <c r="D2664" t="s">
        <v>123</v>
      </c>
      <c r="E2664">
        <v>16</v>
      </c>
    </row>
    <row r="2665" spans="1:5" x14ac:dyDescent="0.3">
      <c r="A2665" t="s">
        <v>29</v>
      </c>
      <c r="B2665">
        <v>2010</v>
      </c>
      <c r="C2665" t="str">
        <f>_xlfn.CONCAT(Table16[[#This Row],[STATE]],"-",Table16[[#This Row],[YEAR]])</f>
        <v>Tamilnadu-2010</v>
      </c>
      <c r="D2665" t="s">
        <v>170</v>
      </c>
      <c r="E2665">
        <v>14</v>
      </c>
    </row>
    <row r="2666" spans="1:5" x14ac:dyDescent="0.3">
      <c r="A2666" t="s">
        <v>29</v>
      </c>
      <c r="B2666">
        <v>2010</v>
      </c>
      <c r="C2666" t="str">
        <f>_xlfn.CONCAT(Table16[[#This Row],[STATE]],"-",Table16[[#This Row],[YEAR]])</f>
        <v>Tamilnadu-2010</v>
      </c>
      <c r="D2666" t="s">
        <v>892</v>
      </c>
      <c r="E2666">
        <v>80</v>
      </c>
    </row>
    <row r="2667" spans="1:5" x14ac:dyDescent="0.3">
      <c r="A2667" t="s">
        <v>29</v>
      </c>
      <c r="B2667">
        <v>2010</v>
      </c>
      <c r="C2667" t="str">
        <f>_xlfn.CONCAT(Table16[[#This Row],[STATE]],"-",Table16[[#This Row],[YEAR]])</f>
        <v>Tamilnadu-2010</v>
      </c>
      <c r="D2667" t="s">
        <v>881</v>
      </c>
      <c r="E2667">
        <v>9</v>
      </c>
    </row>
    <row r="2668" spans="1:5" x14ac:dyDescent="0.3">
      <c r="A2668" t="s">
        <v>29</v>
      </c>
      <c r="B2668">
        <v>2010</v>
      </c>
      <c r="C2668" t="str">
        <f>_xlfn.CONCAT(Table16[[#This Row],[STATE]],"-",Table16[[#This Row],[YEAR]])</f>
        <v>Tamilnadu-2010</v>
      </c>
      <c r="D2668" t="s">
        <v>884</v>
      </c>
      <c r="E2668">
        <v>10</v>
      </c>
    </row>
    <row r="2669" spans="1:5" x14ac:dyDescent="0.3">
      <c r="A2669" t="s">
        <v>29</v>
      </c>
      <c r="B2669">
        <v>2010</v>
      </c>
      <c r="C2669" t="str">
        <f>_xlfn.CONCAT(Table16[[#This Row],[STATE]],"-",Table16[[#This Row],[YEAR]])</f>
        <v>Tamilnadu-2010</v>
      </c>
      <c r="D2669" t="s">
        <v>98</v>
      </c>
      <c r="E2669">
        <v>165</v>
      </c>
    </row>
    <row r="2670" spans="1:5" x14ac:dyDescent="0.3">
      <c r="A2670" t="s">
        <v>29</v>
      </c>
      <c r="B2670">
        <v>2010</v>
      </c>
      <c r="C2670" t="str">
        <f>_xlfn.CONCAT(Table16[[#This Row],[STATE]],"-",Table16[[#This Row],[YEAR]])</f>
        <v>Tamilnadu-2010</v>
      </c>
      <c r="D2670" t="s">
        <v>888</v>
      </c>
      <c r="E2670">
        <v>50</v>
      </c>
    </row>
    <row r="2671" spans="1:5" x14ac:dyDescent="0.3">
      <c r="A2671" t="s">
        <v>29</v>
      </c>
      <c r="B2671">
        <v>2010</v>
      </c>
      <c r="C2671" t="str">
        <f>_xlfn.CONCAT(Table16[[#This Row],[STATE]],"-",Table16[[#This Row],[YEAR]])</f>
        <v>Tamilnadu-2010</v>
      </c>
      <c r="D2671" t="s">
        <v>893</v>
      </c>
      <c r="E2671">
        <v>15</v>
      </c>
    </row>
    <row r="2672" spans="1:5" x14ac:dyDescent="0.3">
      <c r="A2672" t="s">
        <v>29</v>
      </c>
      <c r="B2672">
        <v>2010</v>
      </c>
      <c r="C2672" t="str">
        <f>_xlfn.CONCAT(Table16[[#This Row],[STATE]],"-",Table16[[#This Row],[YEAR]])</f>
        <v>Tamilnadu-2010</v>
      </c>
      <c r="D2672" t="s">
        <v>266</v>
      </c>
      <c r="E2672">
        <v>75</v>
      </c>
    </row>
    <row r="2673" spans="1:5" x14ac:dyDescent="0.3">
      <c r="A2673" t="s">
        <v>29</v>
      </c>
      <c r="B2673">
        <v>2010</v>
      </c>
      <c r="C2673" t="str">
        <f>_xlfn.CONCAT(Table16[[#This Row],[STATE]],"-",Table16[[#This Row],[YEAR]])</f>
        <v>Tamilnadu-2010</v>
      </c>
      <c r="D2673" t="s">
        <v>103</v>
      </c>
      <c r="E2673">
        <v>10</v>
      </c>
    </row>
    <row r="2674" spans="1:5" x14ac:dyDescent="0.3">
      <c r="A2674" t="s">
        <v>29</v>
      </c>
      <c r="B2674">
        <v>2011</v>
      </c>
      <c r="C2674" t="str">
        <f>_xlfn.CONCAT(Table16[[#This Row],[STATE]],"-",Table16[[#This Row],[YEAR]])</f>
        <v>Tamilnadu-2011</v>
      </c>
      <c r="D2674" t="s">
        <v>169</v>
      </c>
      <c r="E2674">
        <v>52</v>
      </c>
    </row>
    <row r="2675" spans="1:5" x14ac:dyDescent="0.3">
      <c r="A2675" t="s">
        <v>29</v>
      </c>
      <c r="B2675">
        <v>2011</v>
      </c>
      <c r="C2675" t="str">
        <f>_xlfn.CONCAT(Table16[[#This Row],[STATE]],"-",Table16[[#This Row],[YEAR]])</f>
        <v>Tamilnadu-2011</v>
      </c>
      <c r="D2675" t="s">
        <v>894</v>
      </c>
      <c r="E2675">
        <v>20</v>
      </c>
    </row>
    <row r="2676" spans="1:5" x14ac:dyDescent="0.3">
      <c r="A2676" t="s">
        <v>29</v>
      </c>
      <c r="B2676">
        <v>2011</v>
      </c>
      <c r="C2676" t="str">
        <f>_xlfn.CONCAT(Table16[[#This Row],[STATE]],"-",Table16[[#This Row],[YEAR]])</f>
        <v>Tamilnadu-2011</v>
      </c>
      <c r="D2676" t="s">
        <v>895</v>
      </c>
      <c r="E2676">
        <v>26</v>
      </c>
    </row>
    <row r="2677" spans="1:5" x14ac:dyDescent="0.3">
      <c r="A2677" t="s">
        <v>29</v>
      </c>
      <c r="B2677">
        <v>2011</v>
      </c>
      <c r="C2677" t="str">
        <f>_xlfn.CONCAT(Table16[[#This Row],[STATE]],"-",Table16[[#This Row],[YEAR]])</f>
        <v>Tamilnadu-2011</v>
      </c>
      <c r="D2677" t="s">
        <v>896</v>
      </c>
      <c r="E2677">
        <v>119</v>
      </c>
    </row>
    <row r="2678" spans="1:5" x14ac:dyDescent="0.3">
      <c r="A2678" t="s">
        <v>29</v>
      </c>
      <c r="B2678">
        <v>2011</v>
      </c>
      <c r="C2678" t="str">
        <f>_xlfn.CONCAT(Table16[[#This Row],[STATE]],"-",Table16[[#This Row],[YEAR]])</f>
        <v>Tamilnadu-2011</v>
      </c>
      <c r="D2678" t="s">
        <v>140</v>
      </c>
      <c r="E2678">
        <v>82</v>
      </c>
    </row>
    <row r="2679" spans="1:5" x14ac:dyDescent="0.3">
      <c r="A2679" t="s">
        <v>29</v>
      </c>
      <c r="B2679">
        <v>2011</v>
      </c>
      <c r="C2679" t="str">
        <f>_xlfn.CONCAT(Table16[[#This Row],[STATE]],"-",Table16[[#This Row],[YEAR]])</f>
        <v>Tamilnadu-2011</v>
      </c>
      <c r="D2679" t="s">
        <v>897</v>
      </c>
      <c r="E2679">
        <v>112</v>
      </c>
    </row>
    <row r="2680" spans="1:5" x14ac:dyDescent="0.3">
      <c r="A2680" t="s">
        <v>29</v>
      </c>
      <c r="B2680">
        <v>2011</v>
      </c>
      <c r="C2680" t="str">
        <f>_xlfn.CONCAT(Table16[[#This Row],[STATE]],"-",Table16[[#This Row],[YEAR]])</f>
        <v>Tamilnadu-2011</v>
      </c>
      <c r="D2680" t="s">
        <v>898</v>
      </c>
      <c r="E2680">
        <v>24</v>
      </c>
    </row>
    <row r="2681" spans="1:5" x14ac:dyDescent="0.3">
      <c r="A2681" t="s">
        <v>29</v>
      </c>
      <c r="B2681">
        <v>2011</v>
      </c>
      <c r="C2681" t="str">
        <f>_xlfn.CONCAT(Table16[[#This Row],[STATE]],"-",Table16[[#This Row],[YEAR]])</f>
        <v>Tamilnadu-2011</v>
      </c>
      <c r="D2681" t="s">
        <v>90</v>
      </c>
      <c r="E2681">
        <v>742</v>
      </c>
    </row>
    <row r="2682" spans="1:5" x14ac:dyDescent="0.3">
      <c r="A2682" t="s">
        <v>29</v>
      </c>
      <c r="B2682">
        <v>2011</v>
      </c>
      <c r="C2682" t="str">
        <f>_xlfn.CONCAT(Table16[[#This Row],[STATE]],"-",Table16[[#This Row],[YEAR]])</f>
        <v>Tamilnadu-2011</v>
      </c>
      <c r="D2682" t="s">
        <v>879</v>
      </c>
      <c r="E2682">
        <v>4</v>
      </c>
    </row>
    <row r="2683" spans="1:5" x14ac:dyDescent="0.3">
      <c r="A2683" t="s">
        <v>29</v>
      </c>
      <c r="B2683">
        <v>2011</v>
      </c>
      <c r="C2683" t="str">
        <f>_xlfn.CONCAT(Table16[[#This Row],[STATE]],"-",Table16[[#This Row],[YEAR]])</f>
        <v>Tamilnadu-2011</v>
      </c>
      <c r="D2683" t="s">
        <v>633</v>
      </c>
      <c r="E2683">
        <v>8</v>
      </c>
    </row>
    <row r="2684" spans="1:5" x14ac:dyDescent="0.3">
      <c r="A2684" t="s">
        <v>29</v>
      </c>
      <c r="B2684">
        <v>2011</v>
      </c>
      <c r="C2684" t="str">
        <f>_xlfn.CONCAT(Table16[[#This Row],[STATE]],"-",Table16[[#This Row],[YEAR]])</f>
        <v>Tamilnadu-2011</v>
      </c>
      <c r="D2684" t="s">
        <v>899</v>
      </c>
      <c r="E2684">
        <v>24</v>
      </c>
    </row>
    <row r="2685" spans="1:5" x14ac:dyDescent="0.3">
      <c r="A2685" t="s">
        <v>29</v>
      </c>
      <c r="B2685">
        <v>2011</v>
      </c>
      <c r="C2685" t="str">
        <f>_xlfn.CONCAT(Table16[[#This Row],[STATE]],"-",Table16[[#This Row],[YEAR]])</f>
        <v>Tamilnadu-2011</v>
      </c>
      <c r="D2685" t="s">
        <v>900</v>
      </c>
      <c r="E2685">
        <v>15</v>
      </c>
    </row>
    <row r="2686" spans="1:5" x14ac:dyDescent="0.3">
      <c r="A2686" t="s">
        <v>29</v>
      </c>
      <c r="B2686">
        <v>2011</v>
      </c>
      <c r="C2686" t="str">
        <f>_xlfn.CONCAT(Table16[[#This Row],[STATE]],"-",Table16[[#This Row],[YEAR]])</f>
        <v>Tamilnadu-2011</v>
      </c>
      <c r="D2686" t="s">
        <v>901</v>
      </c>
      <c r="E2686">
        <v>54</v>
      </c>
    </row>
    <row r="2687" spans="1:5" x14ac:dyDescent="0.3">
      <c r="A2687" t="s">
        <v>29</v>
      </c>
      <c r="B2687">
        <v>2011</v>
      </c>
      <c r="C2687" t="str">
        <f>_xlfn.CONCAT(Table16[[#This Row],[STATE]],"-",Table16[[#This Row],[YEAR]])</f>
        <v>Tamilnadu-2011</v>
      </c>
      <c r="D2687" t="s">
        <v>902</v>
      </c>
      <c r="E2687">
        <v>20</v>
      </c>
    </row>
    <row r="2688" spans="1:5" x14ac:dyDescent="0.3">
      <c r="A2688" t="s">
        <v>29</v>
      </c>
      <c r="B2688">
        <v>2011</v>
      </c>
      <c r="C2688" t="str">
        <f>_xlfn.CONCAT(Table16[[#This Row],[STATE]],"-",Table16[[#This Row],[YEAR]])</f>
        <v>Tamilnadu-2011</v>
      </c>
      <c r="D2688" t="s">
        <v>903</v>
      </c>
      <c r="E2688">
        <v>20</v>
      </c>
    </row>
    <row r="2689" spans="1:5" x14ac:dyDescent="0.3">
      <c r="A2689" t="s">
        <v>29</v>
      </c>
      <c r="B2689">
        <v>2011</v>
      </c>
      <c r="C2689" t="str">
        <f>_xlfn.CONCAT(Table16[[#This Row],[STATE]],"-",Table16[[#This Row],[YEAR]])</f>
        <v>Tamilnadu-2011</v>
      </c>
      <c r="D2689" t="s">
        <v>904</v>
      </c>
      <c r="E2689">
        <v>9</v>
      </c>
    </row>
    <row r="2690" spans="1:5" x14ac:dyDescent="0.3">
      <c r="A2690" t="s">
        <v>29</v>
      </c>
      <c r="B2690">
        <v>2011</v>
      </c>
      <c r="C2690" t="str">
        <f>_xlfn.CONCAT(Table16[[#This Row],[STATE]],"-",Table16[[#This Row],[YEAR]])</f>
        <v>Tamilnadu-2011</v>
      </c>
      <c r="D2690" t="s">
        <v>173</v>
      </c>
      <c r="E2690">
        <v>29</v>
      </c>
    </row>
    <row r="2691" spans="1:5" x14ac:dyDescent="0.3">
      <c r="A2691" t="s">
        <v>29</v>
      </c>
      <c r="B2691">
        <v>2011</v>
      </c>
      <c r="C2691" t="str">
        <f>_xlfn.CONCAT(Table16[[#This Row],[STATE]],"-",Table16[[#This Row],[YEAR]])</f>
        <v>Tamilnadu-2011</v>
      </c>
      <c r="D2691" t="s">
        <v>266</v>
      </c>
      <c r="E2691">
        <v>20</v>
      </c>
    </row>
    <row r="2692" spans="1:5" x14ac:dyDescent="0.3">
      <c r="A2692" t="s">
        <v>29</v>
      </c>
      <c r="B2692">
        <v>2011</v>
      </c>
      <c r="C2692" t="str">
        <f>_xlfn.CONCAT(Table16[[#This Row],[STATE]],"-",Table16[[#This Row],[YEAR]])</f>
        <v>Tamilnadu-2011</v>
      </c>
      <c r="D2692" t="s">
        <v>849</v>
      </c>
      <c r="E2692">
        <v>3288</v>
      </c>
    </row>
    <row r="2693" spans="1:5" x14ac:dyDescent="0.3">
      <c r="A2693" t="s">
        <v>29</v>
      </c>
      <c r="B2693">
        <v>2012</v>
      </c>
      <c r="C2693" t="str">
        <f>_xlfn.CONCAT(Table16[[#This Row],[STATE]],"-",Table16[[#This Row],[YEAR]])</f>
        <v>Tamilnadu-2012</v>
      </c>
      <c r="D2693" t="s">
        <v>169</v>
      </c>
      <c r="E2693">
        <v>58</v>
      </c>
    </row>
    <row r="2694" spans="1:5" x14ac:dyDescent="0.3">
      <c r="A2694" t="s">
        <v>29</v>
      </c>
      <c r="B2694">
        <v>2012</v>
      </c>
      <c r="C2694" t="str">
        <f>_xlfn.CONCAT(Table16[[#This Row],[STATE]],"-",Table16[[#This Row],[YEAR]])</f>
        <v>Tamilnadu-2012</v>
      </c>
      <c r="D2694" t="s">
        <v>230</v>
      </c>
      <c r="E2694">
        <v>619</v>
      </c>
    </row>
    <row r="2695" spans="1:5" x14ac:dyDescent="0.3">
      <c r="A2695" t="s">
        <v>29</v>
      </c>
      <c r="B2695">
        <v>2012</v>
      </c>
      <c r="C2695" t="str">
        <f>_xlfn.CONCAT(Table16[[#This Row],[STATE]],"-",Table16[[#This Row],[YEAR]])</f>
        <v>Tamilnadu-2012</v>
      </c>
      <c r="D2695" t="s">
        <v>905</v>
      </c>
      <c r="E2695">
        <v>85</v>
      </c>
    </row>
    <row r="2696" spans="1:5" x14ac:dyDescent="0.3">
      <c r="A2696" t="s">
        <v>29</v>
      </c>
      <c r="B2696">
        <v>2012</v>
      </c>
      <c r="C2696" t="str">
        <f>_xlfn.CONCAT(Table16[[#This Row],[STATE]],"-",Table16[[#This Row],[YEAR]])</f>
        <v>Tamilnadu-2012</v>
      </c>
      <c r="D2696" t="s">
        <v>906</v>
      </c>
      <c r="E2696">
        <v>2649</v>
      </c>
    </row>
    <row r="2697" spans="1:5" x14ac:dyDescent="0.3">
      <c r="A2697" t="s">
        <v>29</v>
      </c>
      <c r="B2697">
        <v>2012</v>
      </c>
      <c r="C2697" t="str">
        <f>_xlfn.CONCAT(Table16[[#This Row],[STATE]],"-",Table16[[#This Row],[YEAR]])</f>
        <v>Tamilnadu-2012</v>
      </c>
      <c r="D2697" t="s">
        <v>894</v>
      </c>
      <c r="E2697">
        <v>24</v>
      </c>
    </row>
    <row r="2698" spans="1:5" x14ac:dyDescent="0.3">
      <c r="A2698" t="s">
        <v>29</v>
      </c>
      <c r="B2698">
        <v>2012</v>
      </c>
      <c r="C2698" t="str">
        <f>_xlfn.CONCAT(Table16[[#This Row],[STATE]],"-",Table16[[#This Row],[YEAR]])</f>
        <v>Tamilnadu-2012</v>
      </c>
      <c r="D2698" t="s">
        <v>907</v>
      </c>
      <c r="E2698">
        <v>105</v>
      </c>
    </row>
    <row r="2699" spans="1:5" x14ac:dyDescent="0.3">
      <c r="A2699" t="s">
        <v>29</v>
      </c>
      <c r="B2699">
        <v>2012</v>
      </c>
      <c r="C2699" t="str">
        <f>_xlfn.CONCAT(Table16[[#This Row],[STATE]],"-",Table16[[#This Row],[YEAR]])</f>
        <v>Tamilnadu-2012</v>
      </c>
      <c r="D2699" t="s">
        <v>908</v>
      </c>
      <c r="E2699">
        <v>25</v>
      </c>
    </row>
    <row r="2700" spans="1:5" x14ac:dyDescent="0.3">
      <c r="A2700" t="s">
        <v>29</v>
      </c>
      <c r="B2700">
        <v>2012</v>
      </c>
      <c r="C2700" t="str">
        <f>_xlfn.CONCAT(Table16[[#This Row],[STATE]],"-",Table16[[#This Row],[YEAR]])</f>
        <v>Tamilnadu-2012</v>
      </c>
      <c r="D2700" t="s">
        <v>909</v>
      </c>
      <c r="E2700">
        <v>360</v>
      </c>
    </row>
    <row r="2701" spans="1:5" x14ac:dyDescent="0.3">
      <c r="A2701" t="s">
        <v>29</v>
      </c>
      <c r="B2701">
        <v>2012</v>
      </c>
      <c r="C2701" t="str">
        <f>_xlfn.CONCAT(Table16[[#This Row],[STATE]],"-",Table16[[#This Row],[YEAR]])</f>
        <v>Tamilnadu-2012</v>
      </c>
      <c r="D2701" t="s">
        <v>910</v>
      </c>
      <c r="E2701">
        <v>222</v>
      </c>
    </row>
    <row r="2702" spans="1:5" x14ac:dyDescent="0.3">
      <c r="A2702" t="s">
        <v>29</v>
      </c>
      <c r="B2702">
        <v>2012</v>
      </c>
      <c r="C2702" t="str">
        <f>_xlfn.CONCAT(Table16[[#This Row],[STATE]],"-",Table16[[#This Row],[YEAR]])</f>
        <v>Tamilnadu-2012</v>
      </c>
      <c r="D2702" t="s">
        <v>911</v>
      </c>
      <c r="E2702">
        <v>137</v>
      </c>
    </row>
    <row r="2703" spans="1:5" x14ac:dyDescent="0.3">
      <c r="A2703" t="s">
        <v>29</v>
      </c>
      <c r="B2703">
        <v>2012</v>
      </c>
      <c r="C2703" t="str">
        <f>_xlfn.CONCAT(Table16[[#This Row],[STATE]],"-",Table16[[#This Row],[YEAR]])</f>
        <v>Tamilnadu-2012</v>
      </c>
      <c r="D2703" t="s">
        <v>912</v>
      </c>
      <c r="E2703">
        <v>20</v>
      </c>
    </row>
    <row r="2704" spans="1:5" x14ac:dyDescent="0.3">
      <c r="A2704" t="s">
        <v>29</v>
      </c>
      <c r="B2704">
        <v>2012</v>
      </c>
      <c r="C2704" t="str">
        <f>_xlfn.CONCAT(Table16[[#This Row],[STATE]],"-",Table16[[#This Row],[YEAR]])</f>
        <v>Tamilnadu-2012</v>
      </c>
      <c r="D2704" t="s">
        <v>913</v>
      </c>
      <c r="E2704">
        <v>20</v>
      </c>
    </row>
    <row r="2705" spans="1:5" x14ac:dyDescent="0.3">
      <c r="A2705" t="s">
        <v>29</v>
      </c>
      <c r="B2705">
        <v>2012</v>
      </c>
      <c r="C2705" t="str">
        <f>_xlfn.CONCAT(Table16[[#This Row],[STATE]],"-",Table16[[#This Row],[YEAR]])</f>
        <v>Tamilnadu-2012</v>
      </c>
      <c r="D2705" t="s">
        <v>90</v>
      </c>
      <c r="E2705">
        <v>65</v>
      </c>
    </row>
    <row r="2706" spans="1:5" x14ac:dyDescent="0.3">
      <c r="A2706" t="s">
        <v>29</v>
      </c>
      <c r="B2706">
        <v>2012</v>
      </c>
      <c r="C2706" t="str">
        <f>_xlfn.CONCAT(Table16[[#This Row],[STATE]],"-",Table16[[#This Row],[YEAR]])</f>
        <v>Tamilnadu-2012</v>
      </c>
      <c r="D2706" t="s">
        <v>96</v>
      </c>
      <c r="E2706">
        <v>313</v>
      </c>
    </row>
    <row r="2707" spans="1:5" x14ac:dyDescent="0.3">
      <c r="A2707" t="s">
        <v>29</v>
      </c>
      <c r="B2707">
        <v>2012</v>
      </c>
      <c r="C2707" t="str">
        <f>_xlfn.CONCAT(Table16[[#This Row],[STATE]],"-",Table16[[#This Row],[YEAR]])</f>
        <v>Tamilnadu-2012</v>
      </c>
      <c r="D2707" t="s">
        <v>914</v>
      </c>
      <c r="E2707">
        <v>20</v>
      </c>
    </row>
    <row r="2708" spans="1:5" x14ac:dyDescent="0.3">
      <c r="A2708" t="s">
        <v>29</v>
      </c>
      <c r="B2708">
        <v>2012</v>
      </c>
      <c r="C2708" t="str">
        <f>_xlfn.CONCAT(Table16[[#This Row],[STATE]],"-",Table16[[#This Row],[YEAR]])</f>
        <v>Tamilnadu-2012</v>
      </c>
      <c r="D2708" t="s">
        <v>915</v>
      </c>
      <c r="E2708">
        <v>18</v>
      </c>
    </row>
    <row r="2709" spans="1:5" x14ac:dyDescent="0.3">
      <c r="A2709" t="s">
        <v>29</v>
      </c>
      <c r="B2709">
        <v>2012</v>
      </c>
      <c r="C2709" t="str">
        <f>_xlfn.CONCAT(Table16[[#This Row],[STATE]],"-",Table16[[#This Row],[YEAR]])</f>
        <v>Tamilnadu-2012</v>
      </c>
      <c r="D2709" t="s">
        <v>916</v>
      </c>
      <c r="E2709">
        <v>380</v>
      </c>
    </row>
    <row r="2710" spans="1:5" x14ac:dyDescent="0.3">
      <c r="A2710" t="s">
        <v>29</v>
      </c>
      <c r="B2710">
        <v>2012</v>
      </c>
      <c r="C2710" t="str">
        <f>_xlfn.CONCAT(Table16[[#This Row],[STATE]],"-",Table16[[#This Row],[YEAR]])</f>
        <v>Tamilnadu-2012</v>
      </c>
      <c r="D2710" t="s">
        <v>917</v>
      </c>
      <c r="E2710">
        <v>100</v>
      </c>
    </row>
    <row r="2711" spans="1:5" x14ac:dyDescent="0.3">
      <c r="A2711" t="s">
        <v>29</v>
      </c>
      <c r="B2711">
        <v>2012</v>
      </c>
      <c r="C2711" t="str">
        <f>_xlfn.CONCAT(Table16[[#This Row],[STATE]],"-",Table16[[#This Row],[YEAR]])</f>
        <v>Tamilnadu-2012</v>
      </c>
      <c r="D2711" t="s">
        <v>918</v>
      </c>
      <c r="E2711">
        <v>94</v>
      </c>
    </row>
    <row r="2712" spans="1:5" x14ac:dyDescent="0.3">
      <c r="A2712" t="s">
        <v>29</v>
      </c>
      <c r="B2712">
        <v>2012</v>
      </c>
      <c r="C2712" t="str">
        <f>_xlfn.CONCAT(Table16[[#This Row],[STATE]],"-",Table16[[#This Row],[YEAR]])</f>
        <v>Tamilnadu-2012</v>
      </c>
      <c r="D2712" t="s">
        <v>919</v>
      </c>
      <c r="E2712">
        <v>11</v>
      </c>
    </row>
    <row r="2713" spans="1:5" x14ac:dyDescent="0.3">
      <c r="A2713" t="s">
        <v>29</v>
      </c>
      <c r="B2713">
        <v>2012</v>
      </c>
      <c r="C2713" t="str">
        <f>_xlfn.CONCAT(Table16[[#This Row],[STATE]],"-",Table16[[#This Row],[YEAR]])</f>
        <v>Tamilnadu-2012</v>
      </c>
      <c r="D2713" t="s">
        <v>163</v>
      </c>
      <c r="E2713">
        <v>8</v>
      </c>
    </row>
    <row r="2714" spans="1:5" x14ac:dyDescent="0.3">
      <c r="A2714" t="s">
        <v>29</v>
      </c>
      <c r="B2714">
        <v>2012</v>
      </c>
      <c r="C2714" t="str">
        <f>_xlfn.CONCAT(Table16[[#This Row],[STATE]],"-",Table16[[#This Row],[YEAR]])</f>
        <v>Tamilnadu-2012</v>
      </c>
      <c r="D2714" t="s">
        <v>920</v>
      </c>
      <c r="E2714">
        <v>7</v>
      </c>
    </row>
    <row r="2715" spans="1:5" x14ac:dyDescent="0.3">
      <c r="A2715" t="s">
        <v>29</v>
      </c>
      <c r="B2715">
        <v>2012</v>
      </c>
      <c r="C2715" t="str">
        <f>_xlfn.CONCAT(Table16[[#This Row],[STATE]],"-",Table16[[#This Row],[YEAR]])</f>
        <v>Tamilnadu-2012</v>
      </c>
      <c r="D2715" t="s">
        <v>921</v>
      </c>
      <c r="E2715">
        <v>16</v>
      </c>
    </row>
    <row r="2716" spans="1:5" x14ac:dyDescent="0.3">
      <c r="A2716" t="s">
        <v>29</v>
      </c>
      <c r="B2716">
        <v>2012</v>
      </c>
      <c r="C2716" t="str">
        <f>_xlfn.CONCAT(Table16[[#This Row],[STATE]],"-",Table16[[#This Row],[YEAR]])</f>
        <v>Tamilnadu-2012</v>
      </c>
      <c r="D2716" t="s">
        <v>922</v>
      </c>
      <c r="E2716">
        <v>619</v>
      </c>
    </row>
    <row r="2717" spans="1:5" x14ac:dyDescent="0.3">
      <c r="A2717" t="s">
        <v>29</v>
      </c>
      <c r="B2717">
        <v>2012</v>
      </c>
      <c r="C2717" t="str">
        <f>_xlfn.CONCAT(Table16[[#This Row],[STATE]],"-",Table16[[#This Row],[YEAR]])</f>
        <v>Tamilnadu-2012</v>
      </c>
      <c r="D2717" t="s">
        <v>923</v>
      </c>
      <c r="E2717">
        <v>80</v>
      </c>
    </row>
    <row r="2718" spans="1:5" x14ac:dyDescent="0.3">
      <c r="A2718" t="s">
        <v>29</v>
      </c>
      <c r="B2718">
        <v>2012</v>
      </c>
      <c r="C2718" t="str">
        <f>_xlfn.CONCAT(Table16[[#This Row],[STATE]],"-",Table16[[#This Row],[YEAR]])</f>
        <v>Tamilnadu-2012</v>
      </c>
      <c r="D2718" t="s">
        <v>924</v>
      </c>
      <c r="E2718">
        <v>52</v>
      </c>
    </row>
    <row r="2719" spans="1:5" x14ac:dyDescent="0.3">
      <c r="A2719" t="s">
        <v>30</v>
      </c>
      <c r="B2719">
        <v>2001</v>
      </c>
      <c r="C2719" t="str">
        <f>_xlfn.CONCAT(Table16[[#This Row],[STATE]],"-",Table16[[#This Row],[YEAR]])</f>
        <v>Tripura-2001</v>
      </c>
      <c r="D2719" t="s">
        <v>759</v>
      </c>
      <c r="E2719">
        <v>0</v>
      </c>
    </row>
    <row r="2720" spans="1:5" x14ac:dyDescent="0.3">
      <c r="A2720" t="s">
        <v>30</v>
      </c>
      <c r="B2720">
        <v>2001</v>
      </c>
      <c r="C2720" t="str">
        <f>_xlfn.CONCAT(Table16[[#This Row],[STATE]],"-",Table16[[#This Row],[YEAR]])</f>
        <v>Tripura-2001</v>
      </c>
      <c r="D2720" t="s">
        <v>103</v>
      </c>
      <c r="E2720">
        <v>0</v>
      </c>
    </row>
    <row r="2721" spans="1:5" x14ac:dyDescent="0.3">
      <c r="A2721" t="s">
        <v>30</v>
      </c>
      <c r="B2721">
        <v>2001</v>
      </c>
      <c r="C2721" t="str">
        <f>_xlfn.CONCAT(Table16[[#This Row],[STATE]],"-",Table16[[#This Row],[YEAR]])</f>
        <v>Tripura-2001</v>
      </c>
      <c r="D2721" t="s">
        <v>90</v>
      </c>
      <c r="E2721">
        <v>0</v>
      </c>
    </row>
    <row r="2722" spans="1:5" x14ac:dyDescent="0.3">
      <c r="A2722" t="s">
        <v>30</v>
      </c>
      <c r="B2722">
        <v>2001</v>
      </c>
      <c r="C2722" t="str">
        <f>_xlfn.CONCAT(Table16[[#This Row],[STATE]],"-",Table16[[#This Row],[YEAR]])</f>
        <v>Tripura-2001</v>
      </c>
      <c r="D2722" t="s">
        <v>925</v>
      </c>
      <c r="E2722">
        <v>0</v>
      </c>
    </row>
    <row r="2723" spans="1:5" x14ac:dyDescent="0.3">
      <c r="A2723" t="s">
        <v>30</v>
      </c>
      <c r="B2723">
        <v>2001</v>
      </c>
      <c r="C2723" t="str">
        <f>_xlfn.CONCAT(Table16[[#This Row],[STATE]],"-",Table16[[#This Row],[YEAR]])</f>
        <v>Tripura-2001</v>
      </c>
      <c r="D2723" t="s">
        <v>673</v>
      </c>
      <c r="E2723">
        <v>0</v>
      </c>
    </row>
    <row r="2724" spans="1:5" x14ac:dyDescent="0.3">
      <c r="A2724" t="s">
        <v>30</v>
      </c>
      <c r="B2724">
        <v>2001</v>
      </c>
      <c r="C2724" t="str">
        <f>_xlfn.CONCAT(Table16[[#This Row],[STATE]],"-",Table16[[#This Row],[YEAR]])</f>
        <v>Tripura-2001</v>
      </c>
      <c r="D2724" t="s">
        <v>926</v>
      </c>
      <c r="E2724">
        <v>0</v>
      </c>
    </row>
    <row r="2725" spans="1:5" x14ac:dyDescent="0.3">
      <c r="A2725" t="s">
        <v>30</v>
      </c>
      <c r="B2725">
        <v>2001</v>
      </c>
      <c r="C2725" t="str">
        <f>_xlfn.CONCAT(Table16[[#This Row],[STATE]],"-",Table16[[#This Row],[YEAR]])</f>
        <v>Tripura-2001</v>
      </c>
      <c r="D2725" t="s">
        <v>197</v>
      </c>
      <c r="E2725">
        <v>0</v>
      </c>
    </row>
    <row r="2726" spans="1:5" x14ac:dyDescent="0.3">
      <c r="A2726" t="s">
        <v>30</v>
      </c>
      <c r="B2726">
        <v>2001</v>
      </c>
      <c r="C2726" t="str">
        <f>_xlfn.CONCAT(Table16[[#This Row],[STATE]],"-",Table16[[#This Row],[YEAR]])</f>
        <v>Tripura-2001</v>
      </c>
      <c r="D2726" t="s">
        <v>170</v>
      </c>
      <c r="E2726">
        <v>210</v>
      </c>
    </row>
    <row r="2727" spans="1:5" x14ac:dyDescent="0.3">
      <c r="A2727" t="s">
        <v>30</v>
      </c>
      <c r="B2727">
        <v>2003</v>
      </c>
      <c r="C2727" t="str">
        <f>_xlfn.CONCAT(Table16[[#This Row],[STATE]],"-",Table16[[#This Row],[YEAR]])</f>
        <v>Tripura-2003</v>
      </c>
      <c r="D2727" t="s">
        <v>99</v>
      </c>
      <c r="E2727">
        <v>265</v>
      </c>
    </row>
    <row r="2728" spans="1:5" x14ac:dyDescent="0.3">
      <c r="A2728" t="s">
        <v>30</v>
      </c>
      <c r="B2728">
        <v>2004</v>
      </c>
      <c r="C2728" t="str">
        <f>_xlfn.CONCAT(Table16[[#This Row],[STATE]],"-",Table16[[#This Row],[YEAR]])</f>
        <v>Tripura-2004</v>
      </c>
      <c r="D2728" t="s">
        <v>99</v>
      </c>
      <c r="E2728">
        <v>265</v>
      </c>
    </row>
    <row r="2729" spans="1:5" x14ac:dyDescent="0.3">
      <c r="A2729" t="s">
        <v>30</v>
      </c>
      <c r="B2729">
        <v>2006</v>
      </c>
      <c r="C2729" t="str">
        <f>_xlfn.CONCAT(Table16[[#This Row],[STATE]],"-",Table16[[#This Row],[YEAR]])</f>
        <v>Tripura-2006</v>
      </c>
      <c r="D2729" t="s">
        <v>698</v>
      </c>
      <c r="E2729">
        <v>7</v>
      </c>
    </row>
    <row r="2730" spans="1:5" x14ac:dyDescent="0.3">
      <c r="A2730" t="s">
        <v>30</v>
      </c>
      <c r="B2730">
        <v>2006</v>
      </c>
      <c r="C2730" t="str">
        <f>_xlfn.CONCAT(Table16[[#This Row],[STATE]],"-",Table16[[#This Row],[YEAR]])</f>
        <v>Tripura-2006</v>
      </c>
      <c r="D2730" t="s">
        <v>103</v>
      </c>
      <c r="E2730">
        <v>22</v>
      </c>
    </row>
    <row r="2731" spans="1:5" x14ac:dyDescent="0.3">
      <c r="A2731" t="s">
        <v>30</v>
      </c>
      <c r="B2731">
        <v>2006</v>
      </c>
      <c r="C2731" t="str">
        <f>_xlfn.CONCAT(Table16[[#This Row],[STATE]],"-",Table16[[#This Row],[YEAR]])</f>
        <v>Tripura-2006</v>
      </c>
      <c r="D2731" t="s">
        <v>90</v>
      </c>
      <c r="E2731">
        <v>30</v>
      </c>
    </row>
    <row r="2732" spans="1:5" x14ac:dyDescent="0.3">
      <c r="A2732" t="s">
        <v>30</v>
      </c>
      <c r="B2732">
        <v>2006</v>
      </c>
      <c r="C2732" t="str">
        <f>_xlfn.CONCAT(Table16[[#This Row],[STATE]],"-",Table16[[#This Row],[YEAR]])</f>
        <v>Tripura-2006</v>
      </c>
      <c r="D2732" t="s">
        <v>927</v>
      </c>
      <c r="E2732">
        <v>21</v>
      </c>
    </row>
    <row r="2733" spans="1:5" x14ac:dyDescent="0.3">
      <c r="A2733" t="s">
        <v>30</v>
      </c>
      <c r="B2733">
        <v>2006</v>
      </c>
      <c r="C2733" t="str">
        <f>_xlfn.CONCAT(Table16[[#This Row],[STATE]],"-",Table16[[#This Row],[YEAR]])</f>
        <v>Tripura-2006</v>
      </c>
      <c r="D2733" t="s">
        <v>666</v>
      </c>
      <c r="E2733">
        <v>5</v>
      </c>
    </row>
    <row r="2734" spans="1:5" x14ac:dyDescent="0.3">
      <c r="A2734" t="s">
        <v>30</v>
      </c>
      <c r="B2734">
        <v>2006</v>
      </c>
      <c r="C2734" t="str">
        <f>_xlfn.CONCAT(Table16[[#This Row],[STATE]],"-",Table16[[#This Row],[YEAR]])</f>
        <v>Tripura-2006</v>
      </c>
      <c r="D2734" t="s">
        <v>928</v>
      </c>
      <c r="E2734">
        <v>12</v>
      </c>
    </row>
    <row r="2735" spans="1:5" x14ac:dyDescent="0.3">
      <c r="A2735" t="s">
        <v>30</v>
      </c>
      <c r="B2735">
        <v>2006</v>
      </c>
      <c r="C2735" t="str">
        <f>_xlfn.CONCAT(Table16[[#This Row],[STATE]],"-",Table16[[#This Row],[YEAR]])</f>
        <v>Tripura-2006</v>
      </c>
      <c r="D2735" t="s">
        <v>287</v>
      </c>
      <c r="E2735">
        <v>10</v>
      </c>
    </row>
    <row r="2736" spans="1:5" x14ac:dyDescent="0.3">
      <c r="A2736" t="s">
        <v>30</v>
      </c>
      <c r="B2736">
        <v>2006</v>
      </c>
      <c r="C2736" t="str">
        <f>_xlfn.CONCAT(Table16[[#This Row],[STATE]],"-",Table16[[#This Row],[YEAR]])</f>
        <v>Tripura-2006</v>
      </c>
      <c r="D2736" t="s">
        <v>929</v>
      </c>
      <c r="E2736">
        <v>10</v>
      </c>
    </row>
    <row r="2737" spans="1:5" x14ac:dyDescent="0.3">
      <c r="A2737" t="s">
        <v>30</v>
      </c>
      <c r="B2737">
        <v>2006</v>
      </c>
      <c r="C2737" t="str">
        <f>_xlfn.CONCAT(Table16[[#This Row],[STATE]],"-",Table16[[#This Row],[YEAR]])</f>
        <v>Tripura-2006</v>
      </c>
      <c r="D2737" t="s">
        <v>930</v>
      </c>
      <c r="E2737">
        <v>5</v>
      </c>
    </row>
    <row r="2738" spans="1:5" x14ac:dyDescent="0.3">
      <c r="A2738" t="s">
        <v>30</v>
      </c>
      <c r="B2738">
        <v>2006</v>
      </c>
      <c r="C2738" t="str">
        <f>_xlfn.CONCAT(Table16[[#This Row],[STATE]],"-",Table16[[#This Row],[YEAR]])</f>
        <v>Tripura-2006</v>
      </c>
      <c r="D2738" t="s">
        <v>594</v>
      </c>
      <c r="E2738">
        <v>12</v>
      </c>
    </row>
    <row r="2739" spans="1:5" x14ac:dyDescent="0.3">
      <c r="A2739" t="s">
        <v>30</v>
      </c>
      <c r="B2739">
        <v>2006</v>
      </c>
      <c r="C2739" t="str">
        <f>_xlfn.CONCAT(Table16[[#This Row],[STATE]],"-",Table16[[#This Row],[YEAR]])</f>
        <v>Tripura-2006</v>
      </c>
      <c r="D2739" t="s">
        <v>197</v>
      </c>
      <c r="E2739">
        <v>160</v>
      </c>
    </row>
    <row r="2740" spans="1:5" x14ac:dyDescent="0.3">
      <c r="A2740" t="s">
        <v>30</v>
      </c>
      <c r="B2740">
        <v>2006</v>
      </c>
      <c r="C2740" t="str">
        <f>_xlfn.CONCAT(Table16[[#This Row],[STATE]],"-",Table16[[#This Row],[YEAR]])</f>
        <v>Tripura-2006</v>
      </c>
      <c r="D2740" t="s">
        <v>420</v>
      </c>
      <c r="E2740">
        <v>5</v>
      </c>
    </row>
    <row r="2741" spans="1:5" x14ac:dyDescent="0.3">
      <c r="A2741" t="s">
        <v>30</v>
      </c>
      <c r="B2741">
        <v>2006</v>
      </c>
      <c r="C2741" t="str">
        <f>_xlfn.CONCAT(Table16[[#This Row],[STATE]],"-",Table16[[#This Row],[YEAR]])</f>
        <v>Tripura-2006</v>
      </c>
      <c r="D2741" t="s">
        <v>931</v>
      </c>
      <c r="E2741">
        <v>4</v>
      </c>
    </row>
    <row r="2742" spans="1:5" x14ac:dyDescent="0.3">
      <c r="A2742" t="s">
        <v>30</v>
      </c>
      <c r="B2742">
        <v>2006</v>
      </c>
      <c r="C2742" t="str">
        <f>_xlfn.CONCAT(Table16[[#This Row],[STATE]],"-",Table16[[#This Row],[YEAR]])</f>
        <v>Tripura-2006</v>
      </c>
      <c r="D2742" t="s">
        <v>96</v>
      </c>
      <c r="E2742">
        <v>15</v>
      </c>
    </row>
    <row r="2743" spans="1:5" x14ac:dyDescent="0.3">
      <c r="A2743" t="s">
        <v>30</v>
      </c>
      <c r="B2743">
        <v>2007</v>
      </c>
      <c r="C2743" t="str">
        <f>_xlfn.CONCAT(Table16[[#This Row],[STATE]],"-",Table16[[#This Row],[YEAR]])</f>
        <v>Tripura-2007</v>
      </c>
      <c r="D2743" t="s">
        <v>197</v>
      </c>
      <c r="E2743">
        <v>334</v>
      </c>
    </row>
    <row r="2744" spans="1:5" x14ac:dyDescent="0.3">
      <c r="A2744" t="s">
        <v>30</v>
      </c>
      <c r="B2744">
        <v>2007</v>
      </c>
      <c r="C2744" t="str">
        <f>_xlfn.CONCAT(Table16[[#This Row],[STATE]],"-",Table16[[#This Row],[YEAR]])</f>
        <v>Tripura-2007</v>
      </c>
      <c r="D2744" t="s">
        <v>927</v>
      </c>
      <c r="E2744">
        <v>18</v>
      </c>
    </row>
    <row r="2745" spans="1:5" x14ac:dyDescent="0.3">
      <c r="A2745" t="s">
        <v>30</v>
      </c>
      <c r="B2745">
        <v>2007</v>
      </c>
      <c r="C2745" t="str">
        <f>_xlfn.CONCAT(Table16[[#This Row],[STATE]],"-",Table16[[#This Row],[YEAR]])</f>
        <v>Tripura-2007</v>
      </c>
      <c r="D2745" t="s">
        <v>90</v>
      </c>
      <c r="E2745">
        <v>25</v>
      </c>
    </row>
    <row r="2746" spans="1:5" x14ac:dyDescent="0.3">
      <c r="A2746" t="s">
        <v>30</v>
      </c>
      <c r="B2746">
        <v>2007</v>
      </c>
      <c r="C2746" t="str">
        <f>_xlfn.CONCAT(Table16[[#This Row],[STATE]],"-",Table16[[#This Row],[YEAR]])</f>
        <v>Tripura-2007</v>
      </c>
      <c r="D2746" t="s">
        <v>141</v>
      </c>
      <c r="E2746">
        <v>6</v>
      </c>
    </row>
    <row r="2747" spans="1:5" x14ac:dyDescent="0.3">
      <c r="A2747" t="s">
        <v>30</v>
      </c>
      <c r="B2747">
        <v>2007</v>
      </c>
      <c r="C2747" t="str">
        <f>_xlfn.CONCAT(Table16[[#This Row],[STATE]],"-",Table16[[#This Row],[YEAR]])</f>
        <v>Tripura-2007</v>
      </c>
      <c r="D2747" t="s">
        <v>96</v>
      </c>
      <c r="E2747">
        <v>9</v>
      </c>
    </row>
    <row r="2748" spans="1:5" x14ac:dyDescent="0.3">
      <c r="A2748" t="s">
        <v>30</v>
      </c>
      <c r="B2748">
        <v>2007</v>
      </c>
      <c r="C2748" t="str">
        <f>_xlfn.CONCAT(Table16[[#This Row],[STATE]],"-",Table16[[#This Row],[YEAR]])</f>
        <v>Tripura-2007</v>
      </c>
      <c r="D2748" t="s">
        <v>287</v>
      </c>
      <c r="E2748">
        <v>10</v>
      </c>
    </row>
    <row r="2749" spans="1:5" x14ac:dyDescent="0.3">
      <c r="A2749" t="s">
        <v>30</v>
      </c>
      <c r="B2749">
        <v>2007</v>
      </c>
      <c r="C2749" t="str">
        <f>_xlfn.CONCAT(Table16[[#This Row],[STATE]],"-",Table16[[#This Row],[YEAR]])</f>
        <v>Tripura-2007</v>
      </c>
      <c r="D2749" t="s">
        <v>103</v>
      </c>
      <c r="E2749">
        <v>18</v>
      </c>
    </row>
    <row r="2750" spans="1:5" x14ac:dyDescent="0.3">
      <c r="A2750" t="s">
        <v>30</v>
      </c>
      <c r="B2750">
        <v>2007</v>
      </c>
      <c r="C2750" t="str">
        <f>_xlfn.CONCAT(Table16[[#This Row],[STATE]],"-",Table16[[#This Row],[YEAR]])</f>
        <v>Tripura-2007</v>
      </c>
      <c r="D2750" t="s">
        <v>829</v>
      </c>
      <c r="E2750">
        <v>3</v>
      </c>
    </row>
    <row r="2751" spans="1:5" x14ac:dyDescent="0.3">
      <c r="A2751" t="s">
        <v>30</v>
      </c>
      <c r="B2751">
        <v>2007</v>
      </c>
      <c r="C2751" t="str">
        <f>_xlfn.CONCAT(Table16[[#This Row],[STATE]],"-",Table16[[#This Row],[YEAR]])</f>
        <v>Tripura-2007</v>
      </c>
      <c r="D2751" t="s">
        <v>230</v>
      </c>
      <c r="E2751">
        <v>15</v>
      </c>
    </row>
    <row r="2752" spans="1:5" x14ac:dyDescent="0.3">
      <c r="A2752" t="s">
        <v>30</v>
      </c>
      <c r="B2752">
        <v>2007</v>
      </c>
      <c r="C2752" t="str">
        <f>_xlfn.CONCAT(Table16[[#This Row],[STATE]],"-",Table16[[#This Row],[YEAR]])</f>
        <v>Tripura-2007</v>
      </c>
      <c r="D2752" t="s">
        <v>594</v>
      </c>
      <c r="E2752">
        <v>12</v>
      </c>
    </row>
    <row r="2753" spans="1:5" x14ac:dyDescent="0.3">
      <c r="A2753" t="s">
        <v>30</v>
      </c>
      <c r="B2753">
        <v>2008</v>
      </c>
      <c r="C2753" t="str">
        <f>_xlfn.CONCAT(Table16[[#This Row],[STATE]],"-",Table16[[#This Row],[YEAR]])</f>
        <v>Tripura-2008</v>
      </c>
      <c r="D2753" t="s">
        <v>370</v>
      </c>
      <c r="E2753">
        <v>31</v>
      </c>
    </row>
    <row r="2754" spans="1:5" x14ac:dyDescent="0.3">
      <c r="A2754" t="s">
        <v>30</v>
      </c>
      <c r="B2754">
        <v>2008</v>
      </c>
      <c r="C2754" t="str">
        <f>_xlfn.CONCAT(Table16[[#This Row],[STATE]],"-",Table16[[#This Row],[YEAR]])</f>
        <v>Tripura-2008</v>
      </c>
      <c r="D2754" t="s">
        <v>96</v>
      </c>
      <c r="E2754">
        <v>5</v>
      </c>
    </row>
    <row r="2755" spans="1:5" x14ac:dyDescent="0.3">
      <c r="A2755" t="s">
        <v>30</v>
      </c>
      <c r="B2755">
        <v>2008</v>
      </c>
      <c r="C2755" t="str">
        <f>_xlfn.CONCAT(Table16[[#This Row],[STATE]],"-",Table16[[#This Row],[YEAR]])</f>
        <v>Tripura-2008</v>
      </c>
      <c r="D2755" t="s">
        <v>759</v>
      </c>
      <c r="E2755">
        <v>6</v>
      </c>
    </row>
    <row r="2756" spans="1:5" x14ac:dyDescent="0.3">
      <c r="A2756" t="s">
        <v>30</v>
      </c>
      <c r="B2756">
        <v>2008</v>
      </c>
      <c r="C2756" t="str">
        <f>_xlfn.CONCAT(Table16[[#This Row],[STATE]],"-",Table16[[#This Row],[YEAR]])</f>
        <v>Tripura-2008</v>
      </c>
      <c r="D2756" t="s">
        <v>191</v>
      </c>
      <c r="E2756">
        <v>11</v>
      </c>
    </row>
    <row r="2757" spans="1:5" x14ac:dyDescent="0.3">
      <c r="A2757" t="s">
        <v>30</v>
      </c>
      <c r="B2757">
        <v>2008</v>
      </c>
      <c r="C2757" t="str">
        <f>_xlfn.CONCAT(Table16[[#This Row],[STATE]],"-",Table16[[#This Row],[YEAR]])</f>
        <v>Tripura-2008</v>
      </c>
      <c r="D2757" t="s">
        <v>103</v>
      </c>
      <c r="E2757">
        <v>13</v>
      </c>
    </row>
    <row r="2758" spans="1:5" x14ac:dyDescent="0.3">
      <c r="A2758" t="s">
        <v>30</v>
      </c>
      <c r="B2758">
        <v>2008</v>
      </c>
      <c r="C2758" t="str">
        <f>_xlfn.CONCAT(Table16[[#This Row],[STATE]],"-",Table16[[#This Row],[YEAR]])</f>
        <v>Tripura-2008</v>
      </c>
      <c r="D2758" t="s">
        <v>197</v>
      </c>
      <c r="E2758">
        <v>334</v>
      </c>
    </row>
    <row r="2759" spans="1:5" x14ac:dyDescent="0.3">
      <c r="A2759" t="s">
        <v>30</v>
      </c>
      <c r="B2759">
        <v>2008</v>
      </c>
      <c r="C2759" t="str">
        <f>_xlfn.CONCAT(Table16[[#This Row],[STATE]],"-",Table16[[#This Row],[YEAR]])</f>
        <v>Tripura-2008</v>
      </c>
      <c r="D2759" t="s">
        <v>594</v>
      </c>
      <c r="E2759">
        <v>19</v>
      </c>
    </row>
    <row r="2760" spans="1:5" x14ac:dyDescent="0.3">
      <c r="A2760" t="s">
        <v>30</v>
      </c>
      <c r="B2760">
        <v>2008</v>
      </c>
      <c r="C2760" t="str">
        <f>_xlfn.CONCAT(Table16[[#This Row],[STATE]],"-",Table16[[#This Row],[YEAR]])</f>
        <v>Tripura-2008</v>
      </c>
      <c r="D2760" t="s">
        <v>170</v>
      </c>
      <c r="E2760">
        <v>5</v>
      </c>
    </row>
    <row r="2761" spans="1:5" x14ac:dyDescent="0.3">
      <c r="A2761" t="s">
        <v>30</v>
      </c>
      <c r="B2761">
        <v>2009</v>
      </c>
      <c r="C2761" t="str">
        <f>_xlfn.CONCAT(Table16[[#This Row],[STATE]],"-",Table16[[#This Row],[YEAR]])</f>
        <v>Tripura-2009</v>
      </c>
      <c r="D2761" t="s">
        <v>287</v>
      </c>
      <c r="E2761">
        <v>10</v>
      </c>
    </row>
    <row r="2762" spans="1:5" x14ac:dyDescent="0.3">
      <c r="A2762" t="s">
        <v>30</v>
      </c>
      <c r="B2762">
        <v>2009</v>
      </c>
      <c r="C2762" t="str">
        <f>_xlfn.CONCAT(Table16[[#This Row],[STATE]],"-",Table16[[#This Row],[YEAR]])</f>
        <v>Tripura-2009</v>
      </c>
      <c r="D2762" t="s">
        <v>191</v>
      </c>
      <c r="E2762">
        <v>50</v>
      </c>
    </row>
    <row r="2763" spans="1:5" x14ac:dyDescent="0.3">
      <c r="A2763" t="s">
        <v>30</v>
      </c>
      <c r="B2763">
        <v>2009</v>
      </c>
      <c r="C2763" t="str">
        <f>_xlfn.CONCAT(Table16[[#This Row],[STATE]],"-",Table16[[#This Row],[YEAR]])</f>
        <v>Tripura-2009</v>
      </c>
      <c r="D2763" t="s">
        <v>103</v>
      </c>
      <c r="E2763">
        <v>25</v>
      </c>
    </row>
    <row r="2764" spans="1:5" x14ac:dyDescent="0.3">
      <c r="A2764" t="s">
        <v>30</v>
      </c>
      <c r="B2764">
        <v>2009</v>
      </c>
      <c r="C2764" t="str">
        <f>_xlfn.CONCAT(Table16[[#This Row],[STATE]],"-",Table16[[#This Row],[YEAR]])</f>
        <v>Tripura-2009</v>
      </c>
      <c r="D2764" t="s">
        <v>96</v>
      </c>
      <c r="E2764">
        <v>35</v>
      </c>
    </row>
    <row r="2765" spans="1:5" x14ac:dyDescent="0.3">
      <c r="A2765" t="s">
        <v>30</v>
      </c>
      <c r="B2765">
        <v>2009</v>
      </c>
      <c r="C2765" t="str">
        <f>_xlfn.CONCAT(Table16[[#This Row],[STATE]],"-",Table16[[#This Row],[YEAR]])</f>
        <v>Tripura-2009</v>
      </c>
      <c r="D2765" t="s">
        <v>932</v>
      </c>
      <c r="E2765">
        <v>10</v>
      </c>
    </row>
    <row r="2766" spans="1:5" x14ac:dyDescent="0.3">
      <c r="A2766" t="s">
        <v>30</v>
      </c>
      <c r="B2766">
        <v>2009</v>
      </c>
      <c r="C2766" t="str">
        <f>_xlfn.CONCAT(Table16[[#This Row],[STATE]],"-",Table16[[#This Row],[YEAR]])</f>
        <v>Tripura-2009</v>
      </c>
      <c r="D2766" t="s">
        <v>135</v>
      </c>
      <c r="E2766">
        <v>30</v>
      </c>
    </row>
    <row r="2767" spans="1:5" x14ac:dyDescent="0.3">
      <c r="A2767" t="s">
        <v>30</v>
      </c>
      <c r="B2767">
        <v>2009</v>
      </c>
      <c r="C2767" t="str">
        <f>_xlfn.CONCAT(Table16[[#This Row],[STATE]],"-",Table16[[#This Row],[YEAR]])</f>
        <v>Tripura-2009</v>
      </c>
      <c r="D2767" t="s">
        <v>197</v>
      </c>
      <c r="E2767">
        <v>164</v>
      </c>
    </row>
    <row r="2768" spans="1:5" x14ac:dyDescent="0.3">
      <c r="A2768" t="s">
        <v>30</v>
      </c>
      <c r="B2768">
        <v>2009</v>
      </c>
      <c r="C2768" t="str">
        <f>_xlfn.CONCAT(Table16[[#This Row],[STATE]],"-",Table16[[#This Row],[YEAR]])</f>
        <v>Tripura-2009</v>
      </c>
      <c r="D2768" t="s">
        <v>933</v>
      </c>
      <c r="E2768">
        <v>13</v>
      </c>
    </row>
    <row r="2769" spans="1:5" x14ac:dyDescent="0.3">
      <c r="A2769" t="s">
        <v>30</v>
      </c>
      <c r="B2769">
        <v>2009</v>
      </c>
      <c r="C2769" t="str">
        <f>_xlfn.CONCAT(Table16[[#This Row],[STATE]],"-",Table16[[#This Row],[YEAR]])</f>
        <v>Tripura-2009</v>
      </c>
      <c r="D2769" t="s">
        <v>934</v>
      </c>
      <c r="E2769">
        <v>50</v>
      </c>
    </row>
    <row r="2770" spans="1:5" x14ac:dyDescent="0.3">
      <c r="A2770" t="s">
        <v>30</v>
      </c>
      <c r="B2770">
        <v>2010</v>
      </c>
      <c r="C2770" t="str">
        <f>_xlfn.CONCAT(Table16[[#This Row],[STATE]],"-",Table16[[#This Row],[YEAR]])</f>
        <v>Tripura-2010</v>
      </c>
      <c r="D2770" t="s">
        <v>935</v>
      </c>
      <c r="E2770">
        <v>10</v>
      </c>
    </row>
    <row r="2771" spans="1:5" x14ac:dyDescent="0.3">
      <c r="A2771" t="s">
        <v>30</v>
      </c>
      <c r="B2771">
        <v>2010</v>
      </c>
      <c r="C2771" t="str">
        <f>_xlfn.CONCAT(Table16[[#This Row],[STATE]],"-",Table16[[#This Row],[YEAR]])</f>
        <v>Tripura-2010</v>
      </c>
      <c r="D2771" t="s">
        <v>191</v>
      </c>
      <c r="E2771">
        <v>50</v>
      </c>
    </row>
    <row r="2772" spans="1:5" x14ac:dyDescent="0.3">
      <c r="A2772" t="s">
        <v>30</v>
      </c>
      <c r="B2772">
        <v>2010</v>
      </c>
      <c r="C2772" t="str">
        <f>_xlfn.CONCAT(Table16[[#This Row],[STATE]],"-",Table16[[#This Row],[YEAR]])</f>
        <v>Tripura-2010</v>
      </c>
      <c r="D2772" t="s">
        <v>103</v>
      </c>
      <c r="E2772">
        <v>25</v>
      </c>
    </row>
    <row r="2773" spans="1:5" x14ac:dyDescent="0.3">
      <c r="A2773" t="s">
        <v>30</v>
      </c>
      <c r="B2773">
        <v>2010</v>
      </c>
      <c r="C2773" t="str">
        <f>_xlfn.CONCAT(Table16[[#This Row],[STATE]],"-",Table16[[#This Row],[YEAR]])</f>
        <v>Tripura-2010</v>
      </c>
      <c r="D2773" t="s">
        <v>96</v>
      </c>
      <c r="E2773">
        <v>35</v>
      </c>
    </row>
    <row r="2774" spans="1:5" x14ac:dyDescent="0.3">
      <c r="A2774" t="s">
        <v>30</v>
      </c>
      <c r="B2774">
        <v>2010</v>
      </c>
      <c r="C2774" t="str">
        <f>_xlfn.CONCAT(Table16[[#This Row],[STATE]],"-",Table16[[#This Row],[YEAR]])</f>
        <v>Tripura-2010</v>
      </c>
      <c r="D2774" t="s">
        <v>932</v>
      </c>
      <c r="E2774">
        <v>10</v>
      </c>
    </row>
    <row r="2775" spans="1:5" x14ac:dyDescent="0.3">
      <c r="A2775" t="s">
        <v>30</v>
      </c>
      <c r="B2775">
        <v>2010</v>
      </c>
      <c r="C2775" t="str">
        <f>_xlfn.CONCAT(Table16[[#This Row],[STATE]],"-",Table16[[#This Row],[YEAR]])</f>
        <v>Tripura-2010</v>
      </c>
      <c r="D2775" t="s">
        <v>197</v>
      </c>
      <c r="E2775">
        <v>174</v>
      </c>
    </row>
    <row r="2776" spans="1:5" x14ac:dyDescent="0.3">
      <c r="A2776" t="s">
        <v>30</v>
      </c>
      <c r="B2776">
        <v>2010</v>
      </c>
      <c r="C2776" t="str">
        <f>_xlfn.CONCAT(Table16[[#This Row],[STATE]],"-",Table16[[#This Row],[YEAR]])</f>
        <v>Tripura-2010</v>
      </c>
      <c r="D2776" t="s">
        <v>135</v>
      </c>
      <c r="E2776">
        <v>30</v>
      </c>
    </row>
    <row r="2777" spans="1:5" x14ac:dyDescent="0.3">
      <c r="A2777" t="s">
        <v>30</v>
      </c>
      <c r="B2777">
        <v>2010</v>
      </c>
      <c r="C2777" t="str">
        <f>_xlfn.CONCAT(Table16[[#This Row],[STATE]],"-",Table16[[#This Row],[YEAR]])</f>
        <v>Tripura-2010</v>
      </c>
      <c r="D2777" t="s">
        <v>170</v>
      </c>
      <c r="E2777">
        <v>13</v>
      </c>
    </row>
    <row r="2778" spans="1:5" x14ac:dyDescent="0.3">
      <c r="A2778" t="s">
        <v>30</v>
      </c>
      <c r="B2778">
        <v>2010</v>
      </c>
      <c r="C2778" t="str">
        <f>_xlfn.CONCAT(Table16[[#This Row],[STATE]],"-",Table16[[#This Row],[YEAR]])</f>
        <v>Tripura-2010</v>
      </c>
      <c r="D2778" t="s">
        <v>934</v>
      </c>
      <c r="E2778">
        <v>50</v>
      </c>
    </row>
    <row r="2779" spans="1:5" x14ac:dyDescent="0.3">
      <c r="A2779" t="s">
        <v>30</v>
      </c>
      <c r="B2779">
        <v>2011</v>
      </c>
      <c r="C2779" t="str">
        <f>_xlfn.CONCAT(Table16[[#This Row],[STATE]],"-",Table16[[#This Row],[YEAR]])</f>
        <v>Tripura-2011</v>
      </c>
      <c r="D2779" t="s">
        <v>287</v>
      </c>
      <c r="E2779">
        <v>10</v>
      </c>
    </row>
    <row r="2780" spans="1:5" x14ac:dyDescent="0.3">
      <c r="A2780" t="s">
        <v>30</v>
      </c>
      <c r="B2780">
        <v>2011</v>
      </c>
      <c r="C2780" t="str">
        <f>_xlfn.CONCAT(Table16[[#This Row],[STATE]],"-",Table16[[#This Row],[YEAR]])</f>
        <v>Tripura-2011</v>
      </c>
      <c r="D2780" t="s">
        <v>936</v>
      </c>
      <c r="E2780">
        <v>50</v>
      </c>
    </row>
    <row r="2781" spans="1:5" x14ac:dyDescent="0.3">
      <c r="A2781" t="s">
        <v>30</v>
      </c>
      <c r="B2781">
        <v>2011</v>
      </c>
      <c r="C2781" t="str">
        <f>_xlfn.CONCAT(Table16[[#This Row],[STATE]],"-",Table16[[#This Row],[YEAR]])</f>
        <v>Tripura-2011</v>
      </c>
      <c r="D2781" t="s">
        <v>103</v>
      </c>
      <c r="E2781">
        <v>25</v>
      </c>
    </row>
    <row r="2782" spans="1:5" x14ac:dyDescent="0.3">
      <c r="A2782" t="s">
        <v>30</v>
      </c>
      <c r="B2782">
        <v>2011</v>
      </c>
      <c r="C2782" t="str">
        <f>_xlfn.CONCAT(Table16[[#This Row],[STATE]],"-",Table16[[#This Row],[YEAR]])</f>
        <v>Tripura-2011</v>
      </c>
      <c r="D2782" t="s">
        <v>96</v>
      </c>
      <c r="E2782">
        <v>35</v>
      </c>
    </row>
    <row r="2783" spans="1:5" x14ac:dyDescent="0.3">
      <c r="A2783" t="s">
        <v>30</v>
      </c>
      <c r="B2783">
        <v>2011</v>
      </c>
      <c r="C2783" t="str">
        <f>_xlfn.CONCAT(Table16[[#This Row],[STATE]],"-",Table16[[#This Row],[YEAR]])</f>
        <v>Tripura-2011</v>
      </c>
      <c r="D2783" t="s">
        <v>932</v>
      </c>
      <c r="E2783">
        <v>10</v>
      </c>
    </row>
    <row r="2784" spans="1:5" x14ac:dyDescent="0.3">
      <c r="A2784" t="s">
        <v>30</v>
      </c>
      <c r="B2784">
        <v>2011</v>
      </c>
      <c r="C2784" t="str">
        <f>_xlfn.CONCAT(Table16[[#This Row],[STATE]],"-",Table16[[#This Row],[YEAR]])</f>
        <v>Tripura-2011</v>
      </c>
      <c r="D2784" t="s">
        <v>937</v>
      </c>
      <c r="E2784">
        <v>174</v>
      </c>
    </row>
    <row r="2785" spans="1:5" x14ac:dyDescent="0.3">
      <c r="A2785" t="s">
        <v>30</v>
      </c>
      <c r="B2785">
        <v>2011</v>
      </c>
      <c r="C2785" t="str">
        <f>_xlfn.CONCAT(Table16[[#This Row],[STATE]],"-",Table16[[#This Row],[YEAR]])</f>
        <v>Tripura-2011</v>
      </c>
      <c r="D2785" t="s">
        <v>135</v>
      </c>
      <c r="E2785">
        <v>30</v>
      </c>
    </row>
    <row r="2786" spans="1:5" x14ac:dyDescent="0.3">
      <c r="A2786" t="s">
        <v>30</v>
      </c>
      <c r="B2786">
        <v>2011</v>
      </c>
      <c r="C2786" t="str">
        <f>_xlfn.CONCAT(Table16[[#This Row],[STATE]],"-",Table16[[#This Row],[YEAR]])</f>
        <v>Tripura-2011</v>
      </c>
      <c r="D2786" t="s">
        <v>170</v>
      </c>
      <c r="E2786">
        <v>13</v>
      </c>
    </row>
    <row r="2787" spans="1:5" x14ac:dyDescent="0.3">
      <c r="A2787" t="s">
        <v>30</v>
      </c>
      <c r="B2787">
        <v>2011</v>
      </c>
      <c r="C2787" t="str">
        <f>_xlfn.CONCAT(Table16[[#This Row],[STATE]],"-",Table16[[#This Row],[YEAR]])</f>
        <v>Tripura-2011</v>
      </c>
      <c r="D2787" t="s">
        <v>934</v>
      </c>
      <c r="E2787">
        <v>50</v>
      </c>
    </row>
    <row r="2788" spans="1:5" x14ac:dyDescent="0.3">
      <c r="A2788" t="s">
        <v>30</v>
      </c>
      <c r="B2788">
        <v>2012</v>
      </c>
      <c r="C2788" t="str">
        <f>_xlfn.CONCAT(Table16[[#This Row],[STATE]],"-",Table16[[#This Row],[YEAR]])</f>
        <v>Tripura-2012</v>
      </c>
      <c r="D2788" t="s">
        <v>287</v>
      </c>
      <c r="E2788">
        <v>10</v>
      </c>
    </row>
    <row r="2789" spans="1:5" x14ac:dyDescent="0.3">
      <c r="A2789" t="s">
        <v>30</v>
      </c>
      <c r="B2789">
        <v>2012</v>
      </c>
      <c r="C2789" t="str">
        <f>_xlfn.CONCAT(Table16[[#This Row],[STATE]],"-",Table16[[#This Row],[YEAR]])</f>
        <v>Tripura-2012</v>
      </c>
      <c r="D2789" t="s">
        <v>936</v>
      </c>
      <c r="E2789">
        <v>50</v>
      </c>
    </row>
    <row r="2790" spans="1:5" x14ac:dyDescent="0.3">
      <c r="A2790" t="s">
        <v>30</v>
      </c>
      <c r="B2790">
        <v>2012</v>
      </c>
      <c r="C2790" t="str">
        <f>_xlfn.CONCAT(Table16[[#This Row],[STATE]],"-",Table16[[#This Row],[YEAR]])</f>
        <v>Tripura-2012</v>
      </c>
      <c r="D2790" t="s">
        <v>103</v>
      </c>
      <c r="E2790">
        <v>25</v>
      </c>
    </row>
    <row r="2791" spans="1:5" x14ac:dyDescent="0.3">
      <c r="A2791" t="s">
        <v>30</v>
      </c>
      <c r="B2791">
        <v>2012</v>
      </c>
      <c r="C2791" t="str">
        <f>_xlfn.CONCAT(Table16[[#This Row],[STATE]],"-",Table16[[#This Row],[YEAR]])</f>
        <v>Tripura-2012</v>
      </c>
      <c r="D2791" t="s">
        <v>96</v>
      </c>
      <c r="E2791">
        <v>35</v>
      </c>
    </row>
    <row r="2792" spans="1:5" x14ac:dyDescent="0.3">
      <c r="A2792" t="s">
        <v>30</v>
      </c>
      <c r="B2792">
        <v>2012</v>
      </c>
      <c r="C2792" t="str">
        <f>_xlfn.CONCAT(Table16[[#This Row],[STATE]],"-",Table16[[#This Row],[YEAR]])</f>
        <v>Tripura-2012</v>
      </c>
      <c r="D2792" t="s">
        <v>932</v>
      </c>
      <c r="E2792">
        <v>10</v>
      </c>
    </row>
    <row r="2793" spans="1:5" x14ac:dyDescent="0.3">
      <c r="A2793" t="s">
        <v>30</v>
      </c>
      <c r="B2793">
        <v>2012</v>
      </c>
      <c r="C2793" t="str">
        <f>_xlfn.CONCAT(Table16[[#This Row],[STATE]],"-",Table16[[#This Row],[YEAR]])</f>
        <v>Tripura-2012</v>
      </c>
      <c r="D2793" t="s">
        <v>937</v>
      </c>
      <c r="E2793">
        <v>174</v>
      </c>
    </row>
    <row r="2794" spans="1:5" x14ac:dyDescent="0.3">
      <c r="A2794" t="s">
        <v>30</v>
      </c>
      <c r="B2794">
        <v>2012</v>
      </c>
      <c r="C2794" t="str">
        <f>_xlfn.CONCAT(Table16[[#This Row],[STATE]],"-",Table16[[#This Row],[YEAR]])</f>
        <v>Tripura-2012</v>
      </c>
      <c r="D2794" t="s">
        <v>135</v>
      </c>
      <c r="E2794">
        <v>30</v>
      </c>
    </row>
    <row r="2795" spans="1:5" x14ac:dyDescent="0.3">
      <c r="A2795" t="s">
        <v>30</v>
      </c>
      <c r="B2795">
        <v>2012</v>
      </c>
      <c r="C2795" t="str">
        <f>_xlfn.CONCAT(Table16[[#This Row],[STATE]],"-",Table16[[#This Row],[YEAR]])</f>
        <v>Tripura-2012</v>
      </c>
      <c r="D2795" t="s">
        <v>934</v>
      </c>
      <c r="E2795">
        <v>50</v>
      </c>
    </row>
    <row r="2796" spans="1:5" x14ac:dyDescent="0.3">
      <c r="A2796" t="s">
        <v>31</v>
      </c>
      <c r="B2796">
        <v>2001</v>
      </c>
      <c r="C2796" t="str">
        <f>_xlfn.CONCAT(Table16[[#This Row],[STATE]],"-",Table16[[#This Row],[YEAR]])</f>
        <v>Uttar Pradesh-2001</v>
      </c>
      <c r="D2796" t="s">
        <v>938</v>
      </c>
      <c r="E2796">
        <v>140</v>
      </c>
    </row>
    <row r="2797" spans="1:5" x14ac:dyDescent="0.3">
      <c r="A2797" t="s">
        <v>31</v>
      </c>
      <c r="B2797">
        <v>2001</v>
      </c>
      <c r="C2797" t="str">
        <f>_xlfn.CONCAT(Table16[[#This Row],[STATE]],"-",Table16[[#This Row],[YEAR]])</f>
        <v>Uttar Pradesh-2001</v>
      </c>
      <c r="D2797" t="s">
        <v>123</v>
      </c>
      <c r="E2797">
        <v>75</v>
      </c>
    </row>
    <row r="2798" spans="1:5" x14ac:dyDescent="0.3">
      <c r="A2798" t="s">
        <v>31</v>
      </c>
      <c r="B2798">
        <v>2001</v>
      </c>
      <c r="C2798" t="str">
        <f>_xlfn.CONCAT(Table16[[#This Row],[STATE]],"-",Table16[[#This Row],[YEAR]])</f>
        <v>Uttar Pradesh-2001</v>
      </c>
      <c r="D2798" t="s">
        <v>803</v>
      </c>
      <c r="E2798">
        <v>55</v>
      </c>
    </row>
    <row r="2799" spans="1:5" x14ac:dyDescent="0.3">
      <c r="A2799" t="s">
        <v>31</v>
      </c>
      <c r="B2799">
        <v>2001</v>
      </c>
      <c r="C2799" t="str">
        <f>_xlfn.CONCAT(Table16[[#This Row],[STATE]],"-",Table16[[#This Row],[YEAR]])</f>
        <v>Uttar Pradesh-2001</v>
      </c>
      <c r="D2799" t="s">
        <v>939</v>
      </c>
      <c r="E2799">
        <v>15</v>
      </c>
    </row>
    <row r="2800" spans="1:5" x14ac:dyDescent="0.3">
      <c r="A2800" t="s">
        <v>31</v>
      </c>
      <c r="B2800">
        <v>2001</v>
      </c>
      <c r="C2800" t="str">
        <f>_xlfn.CONCAT(Table16[[#This Row],[STATE]],"-",Table16[[#This Row],[YEAR]])</f>
        <v>Uttar Pradesh-2001</v>
      </c>
      <c r="D2800" t="s">
        <v>940</v>
      </c>
      <c r="E2800">
        <v>450</v>
      </c>
    </row>
    <row r="2801" spans="1:5" x14ac:dyDescent="0.3">
      <c r="A2801" t="s">
        <v>31</v>
      </c>
      <c r="B2801">
        <v>2001</v>
      </c>
      <c r="C2801" t="str">
        <f>_xlfn.CONCAT(Table16[[#This Row],[STATE]],"-",Table16[[#This Row],[YEAR]])</f>
        <v>Uttar Pradesh-2001</v>
      </c>
      <c r="D2801" t="s">
        <v>215</v>
      </c>
      <c r="E2801">
        <v>268</v>
      </c>
    </row>
    <row r="2802" spans="1:5" x14ac:dyDescent="0.3">
      <c r="A2802" t="s">
        <v>31</v>
      </c>
      <c r="B2802">
        <v>2002</v>
      </c>
      <c r="C2802" t="str">
        <f>_xlfn.CONCAT(Table16[[#This Row],[STATE]],"-",Table16[[#This Row],[YEAR]])</f>
        <v>Uttar Pradesh-2002</v>
      </c>
      <c r="D2802" t="s">
        <v>388</v>
      </c>
      <c r="E2802">
        <v>76</v>
      </c>
    </row>
    <row r="2803" spans="1:5" x14ac:dyDescent="0.3">
      <c r="A2803" t="s">
        <v>31</v>
      </c>
      <c r="B2803">
        <v>2002</v>
      </c>
      <c r="C2803" t="str">
        <f>_xlfn.CONCAT(Table16[[#This Row],[STATE]],"-",Table16[[#This Row],[YEAR]])</f>
        <v>Uttar Pradesh-2002</v>
      </c>
      <c r="D2803" t="s">
        <v>941</v>
      </c>
      <c r="E2803">
        <v>15</v>
      </c>
    </row>
    <row r="2804" spans="1:5" x14ac:dyDescent="0.3">
      <c r="A2804" t="s">
        <v>31</v>
      </c>
      <c r="B2804">
        <v>2002</v>
      </c>
      <c r="C2804" t="str">
        <f>_xlfn.CONCAT(Table16[[#This Row],[STATE]],"-",Table16[[#This Row],[YEAR]])</f>
        <v>Uttar Pradesh-2002</v>
      </c>
      <c r="D2804" t="s">
        <v>942</v>
      </c>
      <c r="E2804">
        <v>586</v>
      </c>
    </row>
    <row r="2805" spans="1:5" x14ac:dyDescent="0.3">
      <c r="A2805" t="s">
        <v>31</v>
      </c>
      <c r="B2805">
        <v>2002</v>
      </c>
      <c r="C2805" t="str">
        <f>_xlfn.CONCAT(Table16[[#This Row],[STATE]],"-",Table16[[#This Row],[YEAR]])</f>
        <v>Uttar Pradesh-2002</v>
      </c>
      <c r="D2805" t="s">
        <v>943</v>
      </c>
      <c r="E2805">
        <v>470</v>
      </c>
    </row>
    <row r="2806" spans="1:5" x14ac:dyDescent="0.3">
      <c r="A2806" t="s">
        <v>31</v>
      </c>
      <c r="B2806">
        <v>2002</v>
      </c>
      <c r="C2806" t="str">
        <f>_xlfn.CONCAT(Table16[[#This Row],[STATE]],"-",Table16[[#This Row],[YEAR]])</f>
        <v>Uttar Pradesh-2002</v>
      </c>
      <c r="D2806" t="s">
        <v>822</v>
      </c>
      <c r="E2806">
        <v>166</v>
      </c>
    </row>
    <row r="2807" spans="1:5" x14ac:dyDescent="0.3">
      <c r="A2807" t="s">
        <v>31</v>
      </c>
      <c r="B2807">
        <v>2002</v>
      </c>
      <c r="C2807" t="str">
        <f>_xlfn.CONCAT(Table16[[#This Row],[STATE]],"-",Table16[[#This Row],[YEAR]])</f>
        <v>Uttar Pradesh-2002</v>
      </c>
      <c r="D2807" t="s">
        <v>944</v>
      </c>
      <c r="E2807">
        <v>67</v>
      </c>
    </row>
    <row r="2808" spans="1:5" x14ac:dyDescent="0.3">
      <c r="A2808" t="s">
        <v>31</v>
      </c>
      <c r="B2808">
        <v>2002</v>
      </c>
      <c r="C2808" t="str">
        <f>_xlfn.CONCAT(Table16[[#This Row],[STATE]],"-",Table16[[#This Row],[YEAR]])</f>
        <v>Uttar Pradesh-2002</v>
      </c>
      <c r="D2808" t="s">
        <v>99</v>
      </c>
      <c r="E2808">
        <v>3486</v>
      </c>
    </row>
    <row r="2809" spans="1:5" x14ac:dyDescent="0.3">
      <c r="A2809" t="s">
        <v>31</v>
      </c>
      <c r="B2809">
        <v>2003</v>
      </c>
      <c r="C2809" t="str">
        <f>_xlfn.CONCAT(Table16[[#This Row],[STATE]],"-",Table16[[#This Row],[YEAR]])</f>
        <v>Uttar Pradesh-2003</v>
      </c>
      <c r="D2809" t="s">
        <v>491</v>
      </c>
      <c r="E2809">
        <v>462</v>
      </c>
    </row>
    <row r="2810" spans="1:5" x14ac:dyDescent="0.3">
      <c r="A2810" t="s">
        <v>31</v>
      </c>
      <c r="B2810">
        <v>2003</v>
      </c>
      <c r="C2810" t="str">
        <f>_xlfn.CONCAT(Table16[[#This Row],[STATE]],"-",Table16[[#This Row],[YEAR]])</f>
        <v>Uttar Pradesh-2003</v>
      </c>
      <c r="D2810" t="s">
        <v>945</v>
      </c>
      <c r="E2810">
        <v>260</v>
      </c>
    </row>
    <row r="2811" spans="1:5" x14ac:dyDescent="0.3">
      <c r="A2811" t="s">
        <v>31</v>
      </c>
      <c r="B2811">
        <v>2003</v>
      </c>
      <c r="C2811" t="str">
        <f>_xlfn.CONCAT(Table16[[#This Row],[STATE]],"-",Table16[[#This Row],[YEAR]])</f>
        <v>Uttar Pradesh-2003</v>
      </c>
      <c r="D2811" t="s">
        <v>682</v>
      </c>
      <c r="E2811">
        <v>70</v>
      </c>
    </row>
    <row r="2812" spans="1:5" x14ac:dyDescent="0.3">
      <c r="A2812" t="s">
        <v>31</v>
      </c>
      <c r="B2812">
        <v>2003</v>
      </c>
      <c r="C2812" t="str">
        <f>_xlfn.CONCAT(Table16[[#This Row],[STATE]],"-",Table16[[#This Row],[YEAR]])</f>
        <v>Uttar Pradesh-2003</v>
      </c>
      <c r="D2812" t="s">
        <v>845</v>
      </c>
      <c r="E2812">
        <v>45</v>
      </c>
    </row>
    <row r="2813" spans="1:5" x14ac:dyDescent="0.3">
      <c r="A2813" t="s">
        <v>31</v>
      </c>
      <c r="B2813">
        <v>2003</v>
      </c>
      <c r="C2813" t="str">
        <f>_xlfn.CONCAT(Table16[[#This Row],[STATE]],"-",Table16[[#This Row],[YEAR]])</f>
        <v>Uttar Pradesh-2003</v>
      </c>
      <c r="D2813" t="s">
        <v>351</v>
      </c>
      <c r="E2813">
        <v>73</v>
      </c>
    </row>
    <row r="2814" spans="1:5" x14ac:dyDescent="0.3">
      <c r="A2814" t="s">
        <v>31</v>
      </c>
      <c r="B2814">
        <v>2003</v>
      </c>
      <c r="C2814" t="str">
        <f>_xlfn.CONCAT(Table16[[#This Row],[STATE]],"-",Table16[[#This Row],[YEAR]])</f>
        <v>Uttar Pradesh-2003</v>
      </c>
      <c r="D2814" t="s">
        <v>946</v>
      </c>
      <c r="E2814">
        <v>73</v>
      </c>
    </row>
    <row r="2815" spans="1:5" x14ac:dyDescent="0.3">
      <c r="A2815" t="s">
        <v>31</v>
      </c>
      <c r="B2815">
        <v>2003</v>
      </c>
      <c r="C2815" t="str">
        <f>_xlfn.CONCAT(Table16[[#This Row],[STATE]],"-",Table16[[#This Row],[YEAR]])</f>
        <v>Uttar Pradesh-2003</v>
      </c>
      <c r="D2815" t="s">
        <v>501</v>
      </c>
      <c r="E2815">
        <v>2172</v>
      </c>
    </row>
    <row r="2816" spans="1:5" x14ac:dyDescent="0.3">
      <c r="A2816" t="s">
        <v>31</v>
      </c>
      <c r="B2816">
        <v>2004</v>
      </c>
      <c r="C2816" t="str">
        <f>_xlfn.CONCAT(Table16[[#This Row],[STATE]],"-",Table16[[#This Row],[YEAR]])</f>
        <v>Uttar Pradesh-2004</v>
      </c>
      <c r="D2816" t="s">
        <v>351</v>
      </c>
      <c r="E2816">
        <v>46</v>
      </c>
    </row>
    <row r="2817" spans="1:5" x14ac:dyDescent="0.3">
      <c r="A2817" t="s">
        <v>31</v>
      </c>
      <c r="B2817">
        <v>2004</v>
      </c>
      <c r="C2817" t="str">
        <f>_xlfn.CONCAT(Table16[[#This Row],[STATE]],"-",Table16[[#This Row],[YEAR]])</f>
        <v>Uttar Pradesh-2004</v>
      </c>
      <c r="D2817" t="s">
        <v>298</v>
      </c>
      <c r="E2817">
        <v>31</v>
      </c>
    </row>
    <row r="2818" spans="1:5" x14ac:dyDescent="0.3">
      <c r="A2818" t="s">
        <v>31</v>
      </c>
      <c r="B2818">
        <v>2004</v>
      </c>
      <c r="C2818" t="str">
        <f>_xlfn.CONCAT(Table16[[#This Row],[STATE]],"-",Table16[[#This Row],[YEAR]])</f>
        <v>Uttar Pradesh-2004</v>
      </c>
      <c r="D2818" t="s">
        <v>947</v>
      </c>
      <c r="E2818">
        <v>16</v>
      </c>
    </row>
    <row r="2819" spans="1:5" x14ac:dyDescent="0.3">
      <c r="A2819" t="s">
        <v>31</v>
      </c>
      <c r="B2819">
        <v>2004</v>
      </c>
      <c r="C2819" t="str">
        <f>_xlfn.CONCAT(Table16[[#This Row],[STATE]],"-",Table16[[#This Row],[YEAR]])</f>
        <v>Uttar Pradesh-2004</v>
      </c>
      <c r="D2819" t="s">
        <v>483</v>
      </c>
      <c r="E2819">
        <v>10</v>
      </c>
    </row>
    <row r="2820" spans="1:5" x14ac:dyDescent="0.3">
      <c r="A2820" t="s">
        <v>31</v>
      </c>
      <c r="B2820">
        <v>2004</v>
      </c>
      <c r="C2820" t="str">
        <f>_xlfn.CONCAT(Table16[[#This Row],[STATE]],"-",Table16[[#This Row],[YEAR]])</f>
        <v>Uttar Pradesh-2004</v>
      </c>
      <c r="D2820" t="s">
        <v>491</v>
      </c>
      <c r="E2820">
        <v>336</v>
      </c>
    </row>
    <row r="2821" spans="1:5" x14ac:dyDescent="0.3">
      <c r="A2821" t="s">
        <v>31</v>
      </c>
      <c r="B2821">
        <v>2005</v>
      </c>
      <c r="C2821" t="str">
        <f>_xlfn.CONCAT(Table16[[#This Row],[STATE]],"-",Table16[[#This Row],[YEAR]])</f>
        <v>Uttar Pradesh-2005</v>
      </c>
      <c r="D2821" t="s">
        <v>351</v>
      </c>
      <c r="E2821">
        <v>34</v>
      </c>
    </row>
    <row r="2822" spans="1:5" x14ac:dyDescent="0.3">
      <c r="A2822" t="s">
        <v>31</v>
      </c>
      <c r="B2822">
        <v>2005</v>
      </c>
      <c r="C2822" t="str">
        <f>_xlfn.CONCAT(Table16[[#This Row],[STATE]],"-",Table16[[#This Row],[YEAR]])</f>
        <v>Uttar Pradesh-2005</v>
      </c>
      <c r="D2822" t="s">
        <v>948</v>
      </c>
      <c r="E2822">
        <v>50</v>
      </c>
    </row>
    <row r="2823" spans="1:5" x14ac:dyDescent="0.3">
      <c r="A2823" t="s">
        <v>31</v>
      </c>
      <c r="B2823">
        <v>2005</v>
      </c>
      <c r="C2823" t="str">
        <f>_xlfn.CONCAT(Table16[[#This Row],[STATE]],"-",Table16[[#This Row],[YEAR]])</f>
        <v>Uttar Pradesh-2005</v>
      </c>
      <c r="D2823" t="s">
        <v>230</v>
      </c>
      <c r="E2823">
        <v>120</v>
      </c>
    </row>
    <row r="2824" spans="1:5" x14ac:dyDescent="0.3">
      <c r="A2824" t="s">
        <v>31</v>
      </c>
      <c r="B2824">
        <v>2005</v>
      </c>
      <c r="C2824" t="str">
        <f>_xlfn.CONCAT(Table16[[#This Row],[STATE]],"-",Table16[[#This Row],[YEAR]])</f>
        <v>Uttar Pradesh-2005</v>
      </c>
      <c r="D2824" t="s">
        <v>281</v>
      </c>
      <c r="E2824">
        <v>30</v>
      </c>
    </row>
    <row r="2825" spans="1:5" x14ac:dyDescent="0.3">
      <c r="A2825" t="s">
        <v>31</v>
      </c>
      <c r="B2825">
        <v>2005</v>
      </c>
      <c r="C2825" t="str">
        <f>_xlfn.CONCAT(Table16[[#This Row],[STATE]],"-",Table16[[#This Row],[YEAR]])</f>
        <v>Uttar Pradesh-2005</v>
      </c>
      <c r="D2825" t="s">
        <v>682</v>
      </c>
      <c r="E2825">
        <v>25</v>
      </c>
    </row>
    <row r="2826" spans="1:5" x14ac:dyDescent="0.3">
      <c r="A2826" t="s">
        <v>31</v>
      </c>
      <c r="B2826">
        <v>2005</v>
      </c>
      <c r="C2826" t="str">
        <f>_xlfn.CONCAT(Table16[[#This Row],[STATE]],"-",Table16[[#This Row],[YEAR]])</f>
        <v>Uttar Pradesh-2005</v>
      </c>
      <c r="D2826" t="s">
        <v>949</v>
      </c>
      <c r="E2826">
        <v>25</v>
      </c>
    </row>
    <row r="2827" spans="1:5" x14ac:dyDescent="0.3">
      <c r="A2827" t="s">
        <v>31</v>
      </c>
      <c r="B2827">
        <v>2005</v>
      </c>
      <c r="C2827" t="str">
        <f>_xlfn.CONCAT(Table16[[#This Row],[STATE]],"-",Table16[[#This Row],[YEAR]])</f>
        <v>Uttar Pradesh-2005</v>
      </c>
      <c r="D2827" t="s">
        <v>216</v>
      </c>
      <c r="E2827">
        <v>448</v>
      </c>
    </row>
    <row r="2828" spans="1:5" x14ac:dyDescent="0.3">
      <c r="A2828" t="s">
        <v>31</v>
      </c>
      <c r="B2828">
        <v>2005</v>
      </c>
      <c r="C2828" t="str">
        <f>_xlfn.CONCAT(Table16[[#This Row],[STATE]],"-",Table16[[#This Row],[YEAR]])</f>
        <v>Uttar Pradesh-2005</v>
      </c>
      <c r="D2828" t="s">
        <v>950</v>
      </c>
      <c r="E2828">
        <v>46</v>
      </c>
    </row>
    <row r="2829" spans="1:5" x14ac:dyDescent="0.3">
      <c r="A2829" t="s">
        <v>31</v>
      </c>
      <c r="B2829">
        <v>2005</v>
      </c>
      <c r="C2829" t="str">
        <f>_xlfn.CONCAT(Table16[[#This Row],[STATE]],"-",Table16[[#This Row],[YEAR]])</f>
        <v>Uttar Pradesh-2005</v>
      </c>
      <c r="D2829" t="s">
        <v>99</v>
      </c>
      <c r="E2829">
        <v>217</v>
      </c>
    </row>
    <row r="2830" spans="1:5" x14ac:dyDescent="0.3">
      <c r="A2830" t="s">
        <v>31</v>
      </c>
      <c r="B2830">
        <v>2005</v>
      </c>
      <c r="C2830" t="str">
        <f>_xlfn.CONCAT(Table16[[#This Row],[STATE]],"-",Table16[[#This Row],[YEAR]])</f>
        <v>Uttar Pradesh-2005</v>
      </c>
      <c r="D2830" t="s">
        <v>221</v>
      </c>
      <c r="E2830">
        <v>91</v>
      </c>
    </row>
    <row r="2831" spans="1:5" x14ac:dyDescent="0.3">
      <c r="A2831" t="s">
        <v>31</v>
      </c>
      <c r="B2831">
        <v>2005</v>
      </c>
      <c r="C2831" t="str">
        <f>_xlfn.CONCAT(Table16[[#This Row],[STATE]],"-",Table16[[#This Row],[YEAR]])</f>
        <v>Uttar Pradesh-2005</v>
      </c>
      <c r="D2831" t="s">
        <v>280</v>
      </c>
      <c r="E2831">
        <v>78</v>
      </c>
    </row>
    <row r="2832" spans="1:5" x14ac:dyDescent="0.3">
      <c r="A2832" t="s">
        <v>31</v>
      </c>
      <c r="B2832">
        <v>2005</v>
      </c>
      <c r="C2832" t="str">
        <f>_xlfn.CONCAT(Table16[[#This Row],[STATE]],"-",Table16[[#This Row],[YEAR]])</f>
        <v>Uttar Pradesh-2005</v>
      </c>
      <c r="D2832" t="s">
        <v>785</v>
      </c>
      <c r="E2832">
        <v>54</v>
      </c>
    </row>
    <row r="2833" spans="1:5" x14ac:dyDescent="0.3">
      <c r="A2833" t="s">
        <v>31</v>
      </c>
      <c r="B2833">
        <v>2005</v>
      </c>
      <c r="C2833" t="str">
        <f>_xlfn.CONCAT(Table16[[#This Row],[STATE]],"-",Table16[[#This Row],[YEAR]])</f>
        <v>Uttar Pradesh-2005</v>
      </c>
      <c r="D2833" t="s">
        <v>100</v>
      </c>
      <c r="E2833">
        <v>2</v>
      </c>
    </row>
    <row r="2834" spans="1:5" x14ac:dyDescent="0.3">
      <c r="A2834" t="s">
        <v>31</v>
      </c>
      <c r="B2834">
        <v>2005</v>
      </c>
      <c r="C2834" t="str">
        <f>_xlfn.CONCAT(Table16[[#This Row],[STATE]],"-",Table16[[#This Row],[YEAR]])</f>
        <v>Uttar Pradesh-2005</v>
      </c>
      <c r="D2834" t="s">
        <v>385</v>
      </c>
      <c r="E2834">
        <v>138</v>
      </c>
    </row>
    <row r="2835" spans="1:5" x14ac:dyDescent="0.3">
      <c r="A2835" t="s">
        <v>31</v>
      </c>
      <c r="B2835">
        <v>2006</v>
      </c>
      <c r="C2835" t="str">
        <f>_xlfn.CONCAT(Table16[[#This Row],[STATE]],"-",Table16[[#This Row],[YEAR]])</f>
        <v>Uttar Pradesh-2006</v>
      </c>
      <c r="D2835" t="s">
        <v>230</v>
      </c>
      <c r="E2835">
        <v>130</v>
      </c>
    </row>
    <row r="2836" spans="1:5" x14ac:dyDescent="0.3">
      <c r="A2836" t="s">
        <v>31</v>
      </c>
      <c r="B2836">
        <v>2006</v>
      </c>
      <c r="C2836" t="str">
        <f>_xlfn.CONCAT(Table16[[#This Row],[STATE]],"-",Table16[[#This Row],[YEAR]])</f>
        <v>Uttar Pradesh-2006</v>
      </c>
      <c r="D2836" t="s">
        <v>951</v>
      </c>
      <c r="E2836">
        <v>25</v>
      </c>
    </row>
    <row r="2837" spans="1:5" x14ac:dyDescent="0.3">
      <c r="A2837" t="s">
        <v>31</v>
      </c>
      <c r="B2837">
        <v>2006</v>
      </c>
      <c r="C2837" t="str">
        <f>_xlfn.CONCAT(Table16[[#This Row],[STATE]],"-",Table16[[#This Row],[YEAR]])</f>
        <v>Uttar Pradesh-2006</v>
      </c>
      <c r="D2837" t="s">
        <v>103</v>
      </c>
      <c r="E2837">
        <v>11</v>
      </c>
    </row>
    <row r="2838" spans="1:5" x14ac:dyDescent="0.3">
      <c r="A2838" t="s">
        <v>31</v>
      </c>
      <c r="B2838">
        <v>2006</v>
      </c>
      <c r="C2838" t="str">
        <f>_xlfn.CONCAT(Table16[[#This Row],[STATE]],"-",Table16[[#This Row],[YEAR]])</f>
        <v>Uttar Pradesh-2006</v>
      </c>
      <c r="D2838" t="s">
        <v>952</v>
      </c>
      <c r="E2838">
        <v>25</v>
      </c>
    </row>
    <row r="2839" spans="1:5" x14ac:dyDescent="0.3">
      <c r="A2839" t="s">
        <v>31</v>
      </c>
      <c r="B2839">
        <v>2007</v>
      </c>
      <c r="C2839" t="str">
        <f>_xlfn.CONCAT(Table16[[#This Row],[STATE]],"-",Table16[[#This Row],[YEAR]])</f>
        <v>Uttar Pradesh-2007</v>
      </c>
      <c r="D2839" t="s">
        <v>953</v>
      </c>
      <c r="E2839">
        <v>282</v>
      </c>
    </row>
    <row r="2840" spans="1:5" x14ac:dyDescent="0.3">
      <c r="A2840" t="s">
        <v>31</v>
      </c>
      <c r="B2840">
        <v>2007</v>
      </c>
      <c r="C2840" t="str">
        <f>_xlfn.CONCAT(Table16[[#This Row],[STATE]],"-",Table16[[#This Row],[YEAR]])</f>
        <v>Uttar Pradesh-2007</v>
      </c>
      <c r="D2840" t="s">
        <v>230</v>
      </c>
      <c r="E2840">
        <v>78</v>
      </c>
    </row>
    <row r="2841" spans="1:5" x14ac:dyDescent="0.3">
      <c r="A2841" t="s">
        <v>31</v>
      </c>
      <c r="B2841">
        <v>2007</v>
      </c>
      <c r="C2841" t="str">
        <f>_xlfn.CONCAT(Table16[[#This Row],[STATE]],"-",Table16[[#This Row],[YEAR]])</f>
        <v>Uttar Pradesh-2007</v>
      </c>
      <c r="D2841" t="s">
        <v>139</v>
      </c>
      <c r="E2841">
        <v>80</v>
      </c>
    </row>
    <row r="2842" spans="1:5" x14ac:dyDescent="0.3">
      <c r="A2842" t="s">
        <v>31</v>
      </c>
      <c r="B2842">
        <v>2007</v>
      </c>
      <c r="C2842" t="str">
        <f>_xlfn.CONCAT(Table16[[#This Row],[STATE]],"-",Table16[[#This Row],[YEAR]])</f>
        <v>Uttar Pradesh-2007</v>
      </c>
      <c r="D2842" t="s">
        <v>123</v>
      </c>
      <c r="E2842">
        <v>39</v>
      </c>
    </row>
    <row r="2843" spans="1:5" x14ac:dyDescent="0.3">
      <c r="A2843" t="s">
        <v>31</v>
      </c>
      <c r="B2843">
        <v>2007</v>
      </c>
      <c r="C2843" t="str">
        <f>_xlfn.CONCAT(Table16[[#This Row],[STATE]],"-",Table16[[#This Row],[YEAR]])</f>
        <v>Uttar Pradesh-2007</v>
      </c>
      <c r="D2843" t="s">
        <v>103</v>
      </c>
      <c r="E2843">
        <v>19</v>
      </c>
    </row>
    <row r="2844" spans="1:5" x14ac:dyDescent="0.3">
      <c r="A2844" t="s">
        <v>31</v>
      </c>
      <c r="B2844">
        <v>2008</v>
      </c>
      <c r="C2844" t="str">
        <f>_xlfn.CONCAT(Table16[[#This Row],[STATE]],"-",Table16[[#This Row],[YEAR]])</f>
        <v>Uttar Pradesh-2008</v>
      </c>
      <c r="D2844" t="s">
        <v>230</v>
      </c>
      <c r="E2844">
        <v>69</v>
      </c>
    </row>
    <row r="2845" spans="1:5" x14ac:dyDescent="0.3">
      <c r="A2845" t="s">
        <v>31</v>
      </c>
      <c r="B2845">
        <v>2009</v>
      </c>
      <c r="C2845" t="str">
        <f>_xlfn.CONCAT(Table16[[#This Row],[STATE]],"-",Table16[[#This Row],[YEAR]])</f>
        <v>Uttar Pradesh-2009</v>
      </c>
      <c r="D2845" t="s">
        <v>181</v>
      </c>
      <c r="E2845">
        <v>0</v>
      </c>
    </row>
    <row r="2846" spans="1:5" x14ac:dyDescent="0.3">
      <c r="A2846" t="s">
        <v>31</v>
      </c>
      <c r="B2846">
        <v>2009</v>
      </c>
      <c r="C2846" t="str">
        <f>_xlfn.CONCAT(Table16[[#This Row],[STATE]],"-",Table16[[#This Row],[YEAR]])</f>
        <v>Uttar Pradesh-2009</v>
      </c>
      <c r="D2846" t="s">
        <v>230</v>
      </c>
      <c r="E2846">
        <v>505</v>
      </c>
    </row>
    <row r="2847" spans="1:5" x14ac:dyDescent="0.3">
      <c r="A2847" t="s">
        <v>31</v>
      </c>
      <c r="B2847">
        <v>2009</v>
      </c>
      <c r="C2847" t="str">
        <f>_xlfn.CONCAT(Table16[[#This Row],[STATE]],"-",Table16[[#This Row],[YEAR]])</f>
        <v>Uttar Pradesh-2009</v>
      </c>
      <c r="D2847" t="s">
        <v>954</v>
      </c>
      <c r="E2847">
        <v>180</v>
      </c>
    </row>
    <row r="2848" spans="1:5" x14ac:dyDescent="0.3">
      <c r="A2848" t="s">
        <v>31</v>
      </c>
      <c r="B2848">
        <v>2009</v>
      </c>
      <c r="C2848" t="str">
        <f>_xlfn.CONCAT(Table16[[#This Row],[STATE]],"-",Table16[[#This Row],[YEAR]])</f>
        <v>Uttar Pradesh-2009</v>
      </c>
      <c r="D2848" t="s">
        <v>955</v>
      </c>
      <c r="E2848">
        <v>64</v>
      </c>
    </row>
    <row r="2849" spans="1:5" x14ac:dyDescent="0.3">
      <c r="A2849" t="s">
        <v>31</v>
      </c>
      <c r="B2849">
        <v>2009</v>
      </c>
      <c r="C2849" t="str">
        <f>_xlfn.CONCAT(Table16[[#This Row],[STATE]],"-",Table16[[#This Row],[YEAR]])</f>
        <v>Uttar Pradesh-2009</v>
      </c>
      <c r="D2849" t="s">
        <v>956</v>
      </c>
      <c r="E2849">
        <v>81</v>
      </c>
    </row>
    <row r="2850" spans="1:5" x14ac:dyDescent="0.3">
      <c r="A2850" t="s">
        <v>31</v>
      </c>
      <c r="B2850">
        <v>2009</v>
      </c>
      <c r="C2850" t="str">
        <f>_xlfn.CONCAT(Table16[[#This Row],[STATE]],"-",Table16[[#This Row],[YEAR]])</f>
        <v>Uttar Pradesh-2009</v>
      </c>
      <c r="D2850" t="s">
        <v>98</v>
      </c>
      <c r="E2850">
        <v>42</v>
      </c>
    </row>
    <row r="2851" spans="1:5" x14ac:dyDescent="0.3">
      <c r="A2851" t="s">
        <v>31</v>
      </c>
      <c r="B2851">
        <v>2010</v>
      </c>
      <c r="C2851" t="str">
        <f>_xlfn.CONCAT(Table16[[#This Row],[STATE]],"-",Table16[[#This Row],[YEAR]])</f>
        <v>Uttar Pradesh-2010</v>
      </c>
      <c r="D2851" t="s">
        <v>230</v>
      </c>
      <c r="E2851">
        <v>398</v>
      </c>
    </row>
    <row r="2852" spans="1:5" x14ac:dyDescent="0.3">
      <c r="A2852" t="s">
        <v>31</v>
      </c>
      <c r="B2852">
        <v>2010</v>
      </c>
      <c r="C2852" t="str">
        <f>_xlfn.CONCAT(Table16[[#This Row],[STATE]],"-",Table16[[#This Row],[YEAR]])</f>
        <v>Uttar Pradesh-2010</v>
      </c>
      <c r="D2852" t="s">
        <v>957</v>
      </c>
      <c r="E2852">
        <v>103</v>
      </c>
    </row>
    <row r="2853" spans="1:5" x14ac:dyDescent="0.3">
      <c r="A2853" t="s">
        <v>31</v>
      </c>
      <c r="B2853">
        <v>2010</v>
      </c>
      <c r="C2853" t="str">
        <f>_xlfn.CONCAT(Table16[[#This Row],[STATE]],"-",Table16[[#This Row],[YEAR]])</f>
        <v>Uttar Pradesh-2010</v>
      </c>
      <c r="D2853" t="s">
        <v>955</v>
      </c>
      <c r="E2853">
        <v>127</v>
      </c>
    </row>
    <row r="2854" spans="1:5" x14ac:dyDescent="0.3">
      <c r="A2854" t="s">
        <v>31</v>
      </c>
      <c r="B2854">
        <v>2010</v>
      </c>
      <c r="C2854" t="str">
        <f>_xlfn.CONCAT(Table16[[#This Row],[STATE]],"-",Table16[[#This Row],[YEAR]])</f>
        <v>Uttar Pradesh-2010</v>
      </c>
      <c r="D2854" t="s">
        <v>98</v>
      </c>
      <c r="E2854">
        <v>93</v>
      </c>
    </row>
    <row r="2855" spans="1:5" x14ac:dyDescent="0.3">
      <c r="A2855" t="s">
        <v>31</v>
      </c>
      <c r="B2855">
        <v>2011</v>
      </c>
      <c r="C2855" t="str">
        <f>_xlfn.CONCAT(Table16[[#This Row],[STATE]],"-",Table16[[#This Row],[YEAR]])</f>
        <v>Uttar Pradesh-2011</v>
      </c>
      <c r="D2855" t="s">
        <v>230</v>
      </c>
      <c r="E2855">
        <v>417</v>
      </c>
    </row>
    <row r="2856" spans="1:5" x14ac:dyDescent="0.3">
      <c r="A2856" t="s">
        <v>31</v>
      </c>
      <c r="B2856">
        <v>2011</v>
      </c>
      <c r="C2856" t="str">
        <f>_xlfn.CONCAT(Table16[[#This Row],[STATE]],"-",Table16[[#This Row],[YEAR]])</f>
        <v>Uttar Pradesh-2011</v>
      </c>
      <c r="D2856" t="s">
        <v>514</v>
      </c>
      <c r="E2856">
        <v>1764</v>
      </c>
    </row>
    <row r="2857" spans="1:5" x14ac:dyDescent="0.3">
      <c r="A2857" t="s">
        <v>31</v>
      </c>
      <c r="B2857">
        <v>2011</v>
      </c>
      <c r="C2857" t="str">
        <f>_xlfn.CONCAT(Table16[[#This Row],[STATE]],"-",Table16[[#This Row],[YEAR]])</f>
        <v>Uttar Pradesh-2011</v>
      </c>
      <c r="D2857" t="s">
        <v>182</v>
      </c>
      <c r="E2857">
        <v>842</v>
      </c>
    </row>
    <row r="2858" spans="1:5" x14ac:dyDescent="0.3">
      <c r="A2858" t="s">
        <v>31</v>
      </c>
      <c r="B2858">
        <v>2011</v>
      </c>
      <c r="C2858" t="str">
        <f>_xlfn.CONCAT(Table16[[#This Row],[STATE]],"-",Table16[[#This Row],[YEAR]])</f>
        <v>Uttar Pradesh-2011</v>
      </c>
      <c r="D2858" t="s">
        <v>958</v>
      </c>
      <c r="E2858">
        <v>2285</v>
      </c>
    </row>
    <row r="2859" spans="1:5" x14ac:dyDescent="0.3">
      <c r="A2859" t="s">
        <v>31</v>
      </c>
      <c r="B2859">
        <v>2011</v>
      </c>
      <c r="C2859" t="str">
        <f>_xlfn.CONCAT(Table16[[#This Row],[STATE]],"-",Table16[[#This Row],[YEAR]])</f>
        <v>Uttar Pradesh-2011</v>
      </c>
      <c r="D2859" t="s">
        <v>959</v>
      </c>
      <c r="E2859">
        <v>325</v>
      </c>
    </row>
    <row r="2860" spans="1:5" x14ac:dyDescent="0.3">
      <c r="A2860" t="s">
        <v>31</v>
      </c>
      <c r="B2860">
        <v>2011</v>
      </c>
      <c r="C2860" t="str">
        <f>_xlfn.CONCAT(Table16[[#This Row],[STATE]],"-",Table16[[#This Row],[YEAR]])</f>
        <v>Uttar Pradesh-2011</v>
      </c>
      <c r="D2860" t="s">
        <v>891</v>
      </c>
      <c r="E2860">
        <v>204</v>
      </c>
    </row>
    <row r="2861" spans="1:5" x14ac:dyDescent="0.3">
      <c r="A2861" t="s">
        <v>31</v>
      </c>
      <c r="B2861">
        <v>2011</v>
      </c>
      <c r="C2861" t="str">
        <f>_xlfn.CONCAT(Table16[[#This Row],[STATE]],"-",Table16[[#This Row],[YEAR]])</f>
        <v>Uttar Pradesh-2011</v>
      </c>
      <c r="D2861" t="s">
        <v>960</v>
      </c>
      <c r="E2861">
        <v>104</v>
      </c>
    </row>
    <row r="2862" spans="1:5" x14ac:dyDescent="0.3">
      <c r="A2862" t="s">
        <v>31</v>
      </c>
      <c r="B2862">
        <v>2011</v>
      </c>
      <c r="C2862" t="str">
        <f>_xlfn.CONCAT(Table16[[#This Row],[STATE]],"-",Table16[[#This Row],[YEAR]])</f>
        <v>Uttar Pradesh-2011</v>
      </c>
      <c r="D2862" t="s">
        <v>961</v>
      </c>
      <c r="E2862">
        <v>216</v>
      </c>
    </row>
    <row r="2863" spans="1:5" x14ac:dyDescent="0.3">
      <c r="A2863" t="s">
        <v>31</v>
      </c>
      <c r="B2863">
        <v>2012</v>
      </c>
      <c r="C2863" t="str">
        <f>_xlfn.CONCAT(Table16[[#This Row],[STATE]],"-",Table16[[#This Row],[YEAR]])</f>
        <v>Uttar Pradesh-2012</v>
      </c>
      <c r="D2863" t="s">
        <v>230</v>
      </c>
      <c r="E2863">
        <v>417</v>
      </c>
    </row>
    <row r="2864" spans="1:5" x14ac:dyDescent="0.3">
      <c r="A2864" t="s">
        <v>31</v>
      </c>
      <c r="B2864">
        <v>2012</v>
      </c>
      <c r="C2864" t="str">
        <f>_xlfn.CONCAT(Table16[[#This Row],[STATE]],"-",Table16[[#This Row],[YEAR]])</f>
        <v>Uttar Pradesh-2012</v>
      </c>
      <c r="D2864" t="s">
        <v>514</v>
      </c>
      <c r="E2864">
        <v>1822</v>
      </c>
    </row>
    <row r="2865" spans="1:5" x14ac:dyDescent="0.3">
      <c r="A2865" t="s">
        <v>31</v>
      </c>
      <c r="B2865">
        <v>2012</v>
      </c>
      <c r="C2865" t="str">
        <f>_xlfn.CONCAT(Table16[[#This Row],[STATE]],"-",Table16[[#This Row],[YEAR]])</f>
        <v>Uttar Pradesh-2012</v>
      </c>
      <c r="D2865" t="s">
        <v>182</v>
      </c>
      <c r="E2865">
        <v>957</v>
      </c>
    </row>
    <row r="2866" spans="1:5" x14ac:dyDescent="0.3">
      <c r="A2866" t="s">
        <v>31</v>
      </c>
      <c r="B2866">
        <v>2012</v>
      </c>
      <c r="C2866" t="str">
        <f>_xlfn.CONCAT(Table16[[#This Row],[STATE]],"-",Table16[[#This Row],[YEAR]])</f>
        <v>Uttar Pradesh-2012</v>
      </c>
      <c r="D2866" t="s">
        <v>958</v>
      </c>
      <c r="E2866">
        <v>2326</v>
      </c>
    </row>
    <row r="2867" spans="1:5" x14ac:dyDescent="0.3">
      <c r="A2867" t="s">
        <v>31</v>
      </c>
      <c r="B2867">
        <v>2012</v>
      </c>
      <c r="C2867" t="str">
        <f>_xlfn.CONCAT(Table16[[#This Row],[STATE]],"-",Table16[[#This Row],[YEAR]])</f>
        <v>Uttar Pradesh-2012</v>
      </c>
      <c r="D2867" t="s">
        <v>959</v>
      </c>
      <c r="E2867">
        <v>321</v>
      </c>
    </row>
    <row r="2868" spans="1:5" x14ac:dyDescent="0.3">
      <c r="A2868" t="s">
        <v>31</v>
      </c>
      <c r="B2868">
        <v>2012</v>
      </c>
      <c r="C2868" t="str">
        <f>_xlfn.CONCAT(Table16[[#This Row],[STATE]],"-",Table16[[#This Row],[YEAR]])</f>
        <v>Uttar Pradesh-2012</v>
      </c>
      <c r="D2868" t="s">
        <v>891</v>
      </c>
      <c r="E2868">
        <v>364</v>
      </c>
    </row>
    <row r="2869" spans="1:5" x14ac:dyDescent="0.3">
      <c r="A2869" t="s">
        <v>31</v>
      </c>
      <c r="B2869">
        <v>2012</v>
      </c>
      <c r="C2869" t="str">
        <f>_xlfn.CONCAT(Table16[[#This Row],[STATE]],"-",Table16[[#This Row],[YEAR]])</f>
        <v>Uttar Pradesh-2012</v>
      </c>
      <c r="D2869" t="s">
        <v>960</v>
      </c>
      <c r="E2869">
        <v>134</v>
      </c>
    </row>
    <row r="2870" spans="1:5" x14ac:dyDescent="0.3">
      <c r="A2870" t="s">
        <v>31</v>
      </c>
      <c r="B2870">
        <v>2012</v>
      </c>
      <c r="C2870" t="str">
        <f>_xlfn.CONCAT(Table16[[#This Row],[STATE]],"-",Table16[[#This Row],[YEAR]])</f>
        <v>Uttar Pradesh-2012</v>
      </c>
      <c r="D2870" t="s">
        <v>961</v>
      </c>
      <c r="E2870">
        <v>235</v>
      </c>
    </row>
    <row r="2871" spans="1:5" x14ac:dyDescent="0.3">
      <c r="A2871" t="s">
        <v>31</v>
      </c>
      <c r="B2871">
        <v>2012</v>
      </c>
      <c r="C2871" t="str">
        <f>_xlfn.CONCAT(Table16[[#This Row],[STATE]],"-",Table16[[#This Row],[YEAR]])</f>
        <v>Uttar Pradesh-2012</v>
      </c>
      <c r="D2871" t="s">
        <v>962</v>
      </c>
      <c r="E2871">
        <v>234</v>
      </c>
    </row>
    <row r="2872" spans="1:5" x14ac:dyDescent="0.3">
      <c r="A2872" t="s">
        <v>31</v>
      </c>
      <c r="B2872">
        <v>2012</v>
      </c>
      <c r="C2872" t="str">
        <f>_xlfn.CONCAT(Table16[[#This Row],[STATE]],"-",Table16[[#This Row],[YEAR]])</f>
        <v>Uttar Pradesh-2012</v>
      </c>
      <c r="D2872" t="s">
        <v>611</v>
      </c>
      <c r="E2872">
        <v>312</v>
      </c>
    </row>
    <row r="2873" spans="1:5" x14ac:dyDescent="0.3">
      <c r="A2873" t="s">
        <v>31</v>
      </c>
      <c r="B2873">
        <v>2012</v>
      </c>
      <c r="C2873" t="str">
        <f>_xlfn.CONCAT(Table16[[#This Row],[STATE]],"-",Table16[[#This Row],[YEAR]])</f>
        <v>Uttar Pradesh-2012</v>
      </c>
      <c r="D2873" t="s">
        <v>963</v>
      </c>
      <c r="E2873">
        <v>572</v>
      </c>
    </row>
    <row r="2874" spans="1:5" x14ac:dyDescent="0.3">
      <c r="A2874" t="s">
        <v>31</v>
      </c>
      <c r="B2874">
        <v>2012</v>
      </c>
      <c r="C2874" t="str">
        <f>_xlfn.CONCAT(Table16[[#This Row],[STATE]],"-",Table16[[#This Row],[YEAR]])</f>
        <v>Uttar Pradesh-2012</v>
      </c>
      <c r="D2874" t="s">
        <v>964</v>
      </c>
      <c r="E2874">
        <v>164</v>
      </c>
    </row>
    <row r="2875" spans="1:5" x14ac:dyDescent="0.3">
      <c r="A2875" t="s">
        <v>31</v>
      </c>
      <c r="B2875">
        <v>2012</v>
      </c>
      <c r="C2875" t="str">
        <f>_xlfn.CONCAT(Table16[[#This Row],[STATE]],"-",Table16[[#This Row],[YEAR]])</f>
        <v>Uttar Pradesh-2012</v>
      </c>
      <c r="D2875" t="s">
        <v>965</v>
      </c>
      <c r="E2875">
        <v>184</v>
      </c>
    </row>
    <row r="2876" spans="1:5" x14ac:dyDescent="0.3">
      <c r="A2876" t="s">
        <v>31</v>
      </c>
      <c r="B2876">
        <v>2012</v>
      </c>
      <c r="C2876" t="str">
        <f>_xlfn.CONCAT(Table16[[#This Row],[STATE]],"-",Table16[[#This Row],[YEAR]])</f>
        <v>Uttar Pradesh-2012</v>
      </c>
      <c r="D2876" t="s">
        <v>966</v>
      </c>
      <c r="E2876">
        <v>64</v>
      </c>
    </row>
    <row r="2877" spans="1:5" x14ac:dyDescent="0.3">
      <c r="A2877" t="s">
        <v>31</v>
      </c>
      <c r="B2877">
        <v>2012</v>
      </c>
      <c r="C2877" t="str">
        <f>_xlfn.CONCAT(Table16[[#This Row],[STATE]],"-",Table16[[#This Row],[YEAR]])</f>
        <v>Uttar Pradesh-2012</v>
      </c>
      <c r="D2877" t="s">
        <v>967</v>
      </c>
      <c r="E2877">
        <v>34</v>
      </c>
    </row>
    <row r="2878" spans="1:5" x14ac:dyDescent="0.3">
      <c r="A2878" t="s">
        <v>32</v>
      </c>
      <c r="B2878">
        <v>2002</v>
      </c>
      <c r="C2878" t="str">
        <f>_xlfn.CONCAT(Table16[[#This Row],[STATE]],"-",Table16[[#This Row],[YEAR]])</f>
        <v>Uttaranchal-2002</v>
      </c>
      <c r="D2878" t="s">
        <v>968</v>
      </c>
      <c r="E2878">
        <v>40</v>
      </c>
    </row>
    <row r="2879" spans="1:5" x14ac:dyDescent="0.3">
      <c r="A2879" t="s">
        <v>32</v>
      </c>
      <c r="B2879">
        <v>2003</v>
      </c>
      <c r="C2879" t="str">
        <f>_xlfn.CONCAT(Table16[[#This Row],[STATE]],"-",Table16[[#This Row],[YEAR]])</f>
        <v>Uttaranchal-2003</v>
      </c>
      <c r="D2879" t="s">
        <v>201</v>
      </c>
      <c r="E2879">
        <v>350</v>
      </c>
    </row>
    <row r="2880" spans="1:5" x14ac:dyDescent="0.3">
      <c r="A2880" t="s">
        <v>32</v>
      </c>
      <c r="B2880">
        <v>2003</v>
      </c>
      <c r="C2880" t="str">
        <f>_xlfn.CONCAT(Table16[[#This Row],[STATE]],"-",Table16[[#This Row],[YEAR]])</f>
        <v>Uttaranchal-2003</v>
      </c>
      <c r="D2880" t="s">
        <v>230</v>
      </c>
      <c r="E2880">
        <v>20</v>
      </c>
    </row>
    <row r="2881" spans="1:5" x14ac:dyDescent="0.3">
      <c r="A2881" t="s">
        <v>32</v>
      </c>
      <c r="B2881">
        <v>2003</v>
      </c>
      <c r="C2881" t="str">
        <f>_xlfn.CONCAT(Table16[[#This Row],[STATE]],"-",Table16[[#This Row],[YEAR]])</f>
        <v>Uttaranchal-2003</v>
      </c>
      <c r="D2881" t="s">
        <v>969</v>
      </c>
      <c r="E2881">
        <v>16</v>
      </c>
    </row>
    <row r="2882" spans="1:5" x14ac:dyDescent="0.3">
      <c r="A2882" t="s">
        <v>32</v>
      </c>
      <c r="B2882">
        <v>2004</v>
      </c>
      <c r="C2882" t="str">
        <f>_xlfn.CONCAT(Table16[[#This Row],[STATE]],"-",Table16[[#This Row],[YEAR]])</f>
        <v>Uttaranchal-2004</v>
      </c>
      <c r="D2882" t="s">
        <v>201</v>
      </c>
      <c r="E2882">
        <v>380</v>
      </c>
    </row>
    <row r="2883" spans="1:5" x14ac:dyDescent="0.3">
      <c r="A2883" t="s">
        <v>32</v>
      </c>
      <c r="B2883">
        <v>2004</v>
      </c>
      <c r="C2883" t="str">
        <f>_xlfn.CONCAT(Table16[[#This Row],[STATE]],"-",Table16[[#This Row],[YEAR]])</f>
        <v>Uttaranchal-2004</v>
      </c>
      <c r="D2883" t="s">
        <v>230</v>
      </c>
      <c r="E2883">
        <v>20</v>
      </c>
    </row>
    <row r="2884" spans="1:5" x14ac:dyDescent="0.3">
      <c r="A2884" t="s">
        <v>32</v>
      </c>
      <c r="B2884">
        <v>2004</v>
      </c>
      <c r="C2884" t="str">
        <f>_xlfn.CONCAT(Table16[[#This Row],[STATE]],"-",Table16[[#This Row],[YEAR]])</f>
        <v>Uttaranchal-2004</v>
      </c>
      <c r="D2884" t="s">
        <v>970</v>
      </c>
      <c r="E2884">
        <v>20</v>
      </c>
    </row>
    <row r="2885" spans="1:5" x14ac:dyDescent="0.3">
      <c r="A2885" t="s">
        <v>32</v>
      </c>
      <c r="B2885">
        <v>2005</v>
      </c>
      <c r="C2885" t="str">
        <f>_xlfn.CONCAT(Table16[[#This Row],[STATE]],"-",Table16[[#This Row],[YEAR]])</f>
        <v>Uttaranchal-2005</v>
      </c>
      <c r="D2885" t="s">
        <v>230</v>
      </c>
      <c r="E2885">
        <v>60</v>
      </c>
    </row>
    <row r="2886" spans="1:5" x14ac:dyDescent="0.3">
      <c r="A2886" t="s">
        <v>32</v>
      </c>
      <c r="B2886">
        <v>2005</v>
      </c>
      <c r="C2886" t="str">
        <f>_xlfn.CONCAT(Table16[[#This Row],[STATE]],"-",Table16[[#This Row],[YEAR]])</f>
        <v>Uttaranchal-2005</v>
      </c>
      <c r="D2886" t="s">
        <v>97</v>
      </c>
      <c r="E2886">
        <v>72</v>
      </c>
    </row>
    <row r="2887" spans="1:5" x14ac:dyDescent="0.3">
      <c r="A2887" t="s">
        <v>32</v>
      </c>
      <c r="B2887">
        <v>2006</v>
      </c>
      <c r="C2887" t="str">
        <f>_xlfn.CONCAT(Table16[[#This Row],[STATE]],"-",Table16[[#This Row],[YEAR]])</f>
        <v>Uttaranchal-2006</v>
      </c>
      <c r="D2887" t="s">
        <v>230</v>
      </c>
      <c r="E2887">
        <v>40</v>
      </c>
    </row>
    <row r="2888" spans="1:5" x14ac:dyDescent="0.3">
      <c r="A2888" t="s">
        <v>32</v>
      </c>
      <c r="B2888">
        <v>2006</v>
      </c>
      <c r="C2888" t="str">
        <f>_xlfn.CONCAT(Table16[[#This Row],[STATE]],"-",Table16[[#This Row],[YEAR]])</f>
        <v>Uttaranchal-2006</v>
      </c>
      <c r="D2888" t="s">
        <v>971</v>
      </c>
      <c r="E2888">
        <v>339</v>
      </c>
    </row>
    <row r="2889" spans="1:5" x14ac:dyDescent="0.3">
      <c r="A2889" t="s">
        <v>32</v>
      </c>
      <c r="B2889">
        <v>2006</v>
      </c>
      <c r="C2889" t="str">
        <f>_xlfn.CONCAT(Table16[[#This Row],[STATE]],"-",Table16[[#This Row],[YEAR]])</f>
        <v>Uttaranchal-2006</v>
      </c>
      <c r="D2889" t="s">
        <v>215</v>
      </c>
      <c r="E2889">
        <v>120</v>
      </c>
    </row>
    <row r="2890" spans="1:5" x14ac:dyDescent="0.3">
      <c r="A2890" t="s">
        <v>32</v>
      </c>
      <c r="B2890">
        <v>2007</v>
      </c>
      <c r="C2890" t="str">
        <f>_xlfn.CONCAT(Table16[[#This Row],[STATE]],"-",Table16[[#This Row],[YEAR]])</f>
        <v>Uttaranchal-2007</v>
      </c>
      <c r="D2890" t="s">
        <v>103</v>
      </c>
      <c r="E2890">
        <v>21</v>
      </c>
    </row>
    <row r="2891" spans="1:5" x14ac:dyDescent="0.3">
      <c r="A2891" t="s">
        <v>32</v>
      </c>
      <c r="B2891">
        <v>2007</v>
      </c>
      <c r="C2891" t="str">
        <f>_xlfn.CONCAT(Table16[[#This Row],[STATE]],"-",Table16[[#This Row],[YEAR]])</f>
        <v>Uttaranchal-2007</v>
      </c>
      <c r="D2891" t="s">
        <v>972</v>
      </c>
      <c r="E2891">
        <v>45</v>
      </c>
    </row>
    <row r="2892" spans="1:5" x14ac:dyDescent="0.3">
      <c r="A2892" t="s">
        <v>32</v>
      </c>
      <c r="B2892">
        <v>2007</v>
      </c>
      <c r="C2892" t="str">
        <f>_xlfn.CONCAT(Table16[[#This Row],[STATE]],"-",Table16[[#This Row],[YEAR]])</f>
        <v>Uttaranchal-2007</v>
      </c>
      <c r="D2892" t="s">
        <v>471</v>
      </c>
      <c r="E2892">
        <v>60</v>
      </c>
    </row>
    <row r="2893" spans="1:5" x14ac:dyDescent="0.3">
      <c r="A2893" t="s">
        <v>32</v>
      </c>
      <c r="B2893">
        <v>2007</v>
      </c>
      <c r="C2893" t="str">
        <f>_xlfn.CONCAT(Table16[[#This Row],[STATE]],"-",Table16[[#This Row],[YEAR]])</f>
        <v>Uttaranchal-2007</v>
      </c>
      <c r="D2893" t="s">
        <v>215</v>
      </c>
      <c r="E2893">
        <v>140</v>
      </c>
    </row>
    <row r="2894" spans="1:5" x14ac:dyDescent="0.3">
      <c r="A2894" t="s">
        <v>32</v>
      </c>
      <c r="B2894">
        <v>2007</v>
      </c>
      <c r="C2894" t="str">
        <f>_xlfn.CONCAT(Table16[[#This Row],[STATE]],"-",Table16[[#This Row],[YEAR]])</f>
        <v>Uttaranchal-2007</v>
      </c>
      <c r="D2894" t="s">
        <v>973</v>
      </c>
      <c r="E2894">
        <v>60</v>
      </c>
    </row>
    <row r="2895" spans="1:5" x14ac:dyDescent="0.3">
      <c r="A2895" t="s">
        <v>32</v>
      </c>
      <c r="B2895">
        <v>2007</v>
      </c>
      <c r="C2895" t="str">
        <f>_xlfn.CONCAT(Table16[[#This Row],[STATE]],"-",Table16[[#This Row],[YEAR]])</f>
        <v>Uttaranchal-2007</v>
      </c>
      <c r="D2895" t="s">
        <v>103</v>
      </c>
      <c r="E2895">
        <v>15</v>
      </c>
    </row>
    <row r="2896" spans="1:5" x14ac:dyDescent="0.3">
      <c r="A2896" t="s">
        <v>32</v>
      </c>
      <c r="B2896">
        <v>2008</v>
      </c>
      <c r="C2896" t="str">
        <f>_xlfn.CONCAT(Table16[[#This Row],[STATE]],"-",Table16[[#This Row],[YEAR]])</f>
        <v>Uttaranchal-2008</v>
      </c>
      <c r="D2896" t="s">
        <v>280</v>
      </c>
      <c r="E2896">
        <v>130</v>
      </c>
    </row>
    <row r="2897" spans="1:5" x14ac:dyDescent="0.3">
      <c r="A2897" t="s">
        <v>32</v>
      </c>
      <c r="B2897">
        <v>2008</v>
      </c>
      <c r="C2897" t="str">
        <f>_xlfn.CONCAT(Table16[[#This Row],[STATE]],"-",Table16[[#This Row],[YEAR]])</f>
        <v>Uttaranchal-2008</v>
      </c>
      <c r="D2897" t="s">
        <v>170</v>
      </c>
      <c r="E2897">
        <v>291</v>
      </c>
    </row>
    <row r="2898" spans="1:5" x14ac:dyDescent="0.3">
      <c r="A2898" t="s">
        <v>32</v>
      </c>
      <c r="B2898">
        <v>2009</v>
      </c>
      <c r="C2898" t="str">
        <f>_xlfn.CONCAT(Table16[[#This Row],[STATE]],"-",Table16[[#This Row],[YEAR]])</f>
        <v>Uttaranchal-2009</v>
      </c>
      <c r="D2898" t="s">
        <v>974</v>
      </c>
      <c r="E2898">
        <v>20</v>
      </c>
    </row>
    <row r="2899" spans="1:5" x14ac:dyDescent="0.3">
      <c r="A2899" t="s">
        <v>32</v>
      </c>
      <c r="B2899">
        <v>2009</v>
      </c>
      <c r="C2899" t="str">
        <f>_xlfn.CONCAT(Table16[[#This Row],[STATE]],"-",Table16[[#This Row],[YEAR]])</f>
        <v>Uttaranchal-2009</v>
      </c>
      <c r="D2899" t="s">
        <v>975</v>
      </c>
      <c r="E2899">
        <v>75</v>
      </c>
    </row>
    <row r="2900" spans="1:5" x14ac:dyDescent="0.3">
      <c r="A2900" t="s">
        <v>32</v>
      </c>
      <c r="B2900">
        <v>2009</v>
      </c>
      <c r="C2900" t="str">
        <f>_xlfn.CONCAT(Table16[[#This Row],[STATE]],"-",Table16[[#This Row],[YEAR]])</f>
        <v>Uttaranchal-2009</v>
      </c>
      <c r="D2900" t="s">
        <v>976</v>
      </c>
      <c r="E2900">
        <v>28</v>
      </c>
    </row>
    <row r="2901" spans="1:5" x14ac:dyDescent="0.3">
      <c r="A2901" t="s">
        <v>32</v>
      </c>
      <c r="B2901">
        <v>2009</v>
      </c>
      <c r="C2901" t="str">
        <f>_xlfn.CONCAT(Table16[[#This Row],[STATE]],"-",Table16[[#This Row],[YEAR]])</f>
        <v>Uttaranchal-2009</v>
      </c>
      <c r="D2901" t="s">
        <v>977</v>
      </c>
      <c r="E2901">
        <v>15</v>
      </c>
    </row>
    <row r="2902" spans="1:5" x14ac:dyDescent="0.3">
      <c r="A2902" t="s">
        <v>32</v>
      </c>
      <c r="B2902">
        <v>2009</v>
      </c>
      <c r="C2902" t="str">
        <f>_xlfn.CONCAT(Table16[[#This Row],[STATE]],"-",Table16[[#This Row],[YEAR]])</f>
        <v>Uttaranchal-2009</v>
      </c>
      <c r="D2902" t="s">
        <v>978</v>
      </c>
      <c r="E2902">
        <v>9</v>
      </c>
    </row>
    <row r="2903" spans="1:5" x14ac:dyDescent="0.3">
      <c r="A2903" t="s">
        <v>32</v>
      </c>
      <c r="B2903">
        <v>2009</v>
      </c>
      <c r="C2903" t="str">
        <f>_xlfn.CONCAT(Table16[[#This Row],[STATE]],"-",Table16[[#This Row],[YEAR]])</f>
        <v>Uttaranchal-2009</v>
      </c>
      <c r="D2903" t="s">
        <v>979</v>
      </c>
      <c r="E2903">
        <v>13</v>
      </c>
    </row>
    <row r="2904" spans="1:5" x14ac:dyDescent="0.3">
      <c r="A2904" t="s">
        <v>32</v>
      </c>
      <c r="B2904">
        <v>2009</v>
      </c>
      <c r="C2904" t="str">
        <f>_xlfn.CONCAT(Table16[[#This Row],[STATE]],"-",Table16[[#This Row],[YEAR]])</f>
        <v>Uttaranchal-2009</v>
      </c>
      <c r="D2904" t="s">
        <v>357</v>
      </c>
      <c r="E2904">
        <v>25</v>
      </c>
    </row>
    <row r="2905" spans="1:5" x14ac:dyDescent="0.3">
      <c r="A2905" t="s">
        <v>32</v>
      </c>
      <c r="B2905">
        <v>2009</v>
      </c>
      <c r="C2905" t="str">
        <f>_xlfn.CONCAT(Table16[[#This Row],[STATE]],"-",Table16[[#This Row],[YEAR]])</f>
        <v>Uttaranchal-2009</v>
      </c>
      <c r="D2905" t="s">
        <v>980</v>
      </c>
      <c r="E2905">
        <v>10</v>
      </c>
    </row>
    <row r="2906" spans="1:5" x14ac:dyDescent="0.3">
      <c r="A2906" t="s">
        <v>32</v>
      </c>
      <c r="B2906">
        <v>2009</v>
      </c>
      <c r="C2906" t="str">
        <f>_xlfn.CONCAT(Table16[[#This Row],[STATE]],"-",Table16[[#This Row],[YEAR]])</f>
        <v>Uttaranchal-2009</v>
      </c>
      <c r="D2906" t="s">
        <v>582</v>
      </c>
      <c r="E2906">
        <v>10</v>
      </c>
    </row>
    <row r="2907" spans="1:5" x14ac:dyDescent="0.3">
      <c r="A2907" t="s">
        <v>32</v>
      </c>
      <c r="B2907">
        <v>2009</v>
      </c>
      <c r="C2907" t="str">
        <f>_xlfn.CONCAT(Table16[[#This Row],[STATE]],"-",Table16[[#This Row],[YEAR]])</f>
        <v>Uttaranchal-2009</v>
      </c>
      <c r="D2907" t="s">
        <v>981</v>
      </c>
      <c r="E2907">
        <v>11</v>
      </c>
    </row>
    <row r="2908" spans="1:5" x14ac:dyDescent="0.3">
      <c r="A2908" t="s">
        <v>32</v>
      </c>
      <c r="B2908">
        <v>2009</v>
      </c>
      <c r="C2908" t="str">
        <f>_xlfn.CONCAT(Table16[[#This Row],[STATE]],"-",Table16[[#This Row],[YEAR]])</f>
        <v>Uttaranchal-2009</v>
      </c>
      <c r="D2908" t="s">
        <v>982</v>
      </c>
      <c r="E2908">
        <v>32</v>
      </c>
    </row>
    <row r="2909" spans="1:5" x14ac:dyDescent="0.3">
      <c r="A2909" t="s">
        <v>32</v>
      </c>
      <c r="B2909">
        <v>2010</v>
      </c>
      <c r="C2909" t="str">
        <f>_xlfn.CONCAT(Table16[[#This Row],[STATE]],"-",Table16[[#This Row],[YEAR]])</f>
        <v>Uttaranchal-2010</v>
      </c>
      <c r="D2909" t="s">
        <v>974</v>
      </c>
      <c r="E2909">
        <v>10</v>
      </c>
    </row>
    <row r="2910" spans="1:5" x14ac:dyDescent="0.3">
      <c r="A2910" t="s">
        <v>32</v>
      </c>
      <c r="B2910">
        <v>2010</v>
      </c>
      <c r="C2910" t="str">
        <f>_xlfn.CONCAT(Table16[[#This Row],[STATE]],"-",Table16[[#This Row],[YEAR]])</f>
        <v>Uttaranchal-2010</v>
      </c>
      <c r="D2910" t="s">
        <v>983</v>
      </c>
      <c r="E2910">
        <v>80</v>
      </c>
    </row>
    <row r="2911" spans="1:5" x14ac:dyDescent="0.3">
      <c r="A2911" t="s">
        <v>32</v>
      </c>
      <c r="B2911">
        <v>2010</v>
      </c>
      <c r="C2911" t="str">
        <f>_xlfn.CONCAT(Table16[[#This Row],[STATE]],"-",Table16[[#This Row],[YEAR]])</f>
        <v>Uttaranchal-2010</v>
      </c>
      <c r="D2911" t="s">
        <v>975</v>
      </c>
      <c r="E2911">
        <v>12</v>
      </c>
    </row>
    <row r="2912" spans="1:5" x14ac:dyDescent="0.3">
      <c r="A2912" t="s">
        <v>32</v>
      </c>
      <c r="B2912">
        <v>2010</v>
      </c>
      <c r="C2912" t="str">
        <f>_xlfn.CONCAT(Table16[[#This Row],[STATE]],"-",Table16[[#This Row],[YEAR]])</f>
        <v>Uttaranchal-2010</v>
      </c>
      <c r="D2912" t="s">
        <v>976</v>
      </c>
      <c r="E2912">
        <v>5</v>
      </c>
    </row>
    <row r="2913" spans="1:5" x14ac:dyDescent="0.3">
      <c r="A2913" t="s">
        <v>32</v>
      </c>
      <c r="B2913">
        <v>2010</v>
      </c>
      <c r="C2913" t="str">
        <f>_xlfn.CONCAT(Table16[[#This Row],[STATE]],"-",Table16[[#This Row],[YEAR]])</f>
        <v>Uttaranchal-2010</v>
      </c>
      <c r="D2913" t="s">
        <v>982</v>
      </c>
      <c r="E2913">
        <v>18</v>
      </c>
    </row>
    <row r="2914" spans="1:5" x14ac:dyDescent="0.3">
      <c r="A2914" t="s">
        <v>32</v>
      </c>
      <c r="B2914">
        <v>2011</v>
      </c>
      <c r="C2914" t="str">
        <f>_xlfn.CONCAT(Table16[[#This Row],[STATE]],"-",Table16[[#This Row],[YEAR]])</f>
        <v>Uttaranchal-2011</v>
      </c>
      <c r="D2914" t="s">
        <v>974</v>
      </c>
      <c r="E2914">
        <v>20</v>
      </c>
    </row>
    <row r="2915" spans="1:5" x14ac:dyDescent="0.3">
      <c r="A2915" t="s">
        <v>32</v>
      </c>
      <c r="B2915">
        <v>2011</v>
      </c>
      <c r="C2915" t="str">
        <f>_xlfn.CONCAT(Table16[[#This Row],[STATE]],"-",Table16[[#This Row],[YEAR]])</f>
        <v>Uttaranchal-2011</v>
      </c>
      <c r="D2915" t="s">
        <v>983</v>
      </c>
      <c r="E2915">
        <v>70</v>
      </c>
    </row>
    <row r="2916" spans="1:5" x14ac:dyDescent="0.3">
      <c r="A2916" t="s">
        <v>32</v>
      </c>
      <c r="B2916">
        <v>2011</v>
      </c>
      <c r="C2916" t="str">
        <f>_xlfn.CONCAT(Table16[[#This Row],[STATE]],"-",Table16[[#This Row],[YEAR]])</f>
        <v>Uttaranchal-2011</v>
      </c>
      <c r="D2916" t="s">
        <v>975</v>
      </c>
      <c r="E2916">
        <v>12</v>
      </c>
    </row>
    <row r="2917" spans="1:5" x14ac:dyDescent="0.3">
      <c r="A2917" t="s">
        <v>32</v>
      </c>
      <c r="B2917">
        <v>2012</v>
      </c>
      <c r="C2917" t="str">
        <f>_xlfn.CONCAT(Table16[[#This Row],[STATE]],"-",Table16[[#This Row],[YEAR]])</f>
        <v>Uttaranchal-2012</v>
      </c>
      <c r="D2917" t="s">
        <v>230</v>
      </c>
      <c r="E2917">
        <v>12</v>
      </c>
    </row>
    <row r="2918" spans="1:5" x14ac:dyDescent="0.3">
      <c r="A2918" t="s">
        <v>32</v>
      </c>
      <c r="B2918">
        <v>2012</v>
      </c>
      <c r="C2918" t="str">
        <f>_xlfn.CONCAT(Table16[[#This Row],[STATE]],"-",Table16[[#This Row],[YEAR]])</f>
        <v>Uttaranchal-2012</v>
      </c>
      <c r="D2918" t="s">
        <v>437</v>
      </c>
      <c r="E2918">
        <v>20</v>
      </c>
    </row>
    <row r="2919" spans="1:5" x14ac:dyDescent="0.3">
      <c r="A2919" t="s">
        <v>32</v>
      </c>
      <c r="B2919">
        <v>2012</v>
      </c>
      <c r="C2919" t="str">
        <f>_xlfn.CONCAT(Table16[[#This Row],[STATE]],"-",Table16[[#This Row],[YEAR]])</f>
        <v>Uttaranchal-2012</v>
      </c>
      <c r="D2919" t="s">
        <v>984</v>
      </c>
      <c r="E2919">
        <v>15</v>
      </c>
    </row>
    <row r="2920" spans="1:5" x14ac:dyDescent="0.3">
      <c r="A2920" t="s">
        <v>33</v>
      </c>
      <c r="B2920">
        <v>2001</v>
      </c>
      <c r="C2920" t="str">
        <f>_xlfn.CONCAT(Table16[[#This Row],[STATE]],"-",Table16[[#This Row],[YEAR]])</f>
        <v>West Bengal-2001</v>
      </c>
      <c r="D2920" t="s">
        <v>90</v>
      </c>
      <c r="E2920">
        <v>43</v>
      </c>
    </row>
    <row r="2921" spans="1:5" x14ac:dyDescent="0.3">
      <c r="A2921" t="s">
        <v>33</v>
      </c>
      <c r="B2921">
        <v>2001</v>
      </c>
      <c r="C2921" t="str">
        <f>_xlfn.CONCAT(Table16[[#This Row],[STATE]],"-",Table16[[#This Row],[YEAR]])</f>
        <v>West Bengal-2001</v>
      </c>
      <c r="D2921" t="s">
        <v>103</v>
      </c>
      <c r="E2921">
        <v>71</v>
      </c>
    </row>
    <row r="2922" spans="1:5" x14ac:dyDescent="0.3">
      <c r="A2922" t="s">
        <v>33</v>
      </c>
      <c r="B2922">
        <v>2001</v>
      </c>
      <c r="C2922" t="str">
        <f>_xlfn.CONCAT(Table16[[#This Row],[STATE]],"-",Table16[[#This Row],[YEAR]])</f>
        <v>West Bengal-2001</v>
      </c>
      <c r="D2922" t="s">
        <v>614</v>
      </c>
      <c r="E2922">
        <v>36</v>
      </c>
    </row>
    <row r="2923" spans="1:5" x14ac:dyDescent="0.3">
      <c r="A2923" t="s">
        <v>33</v>
      </c>
      <c r="B2923">
        <v>2001</v>
      </c>
      <c r="C2923" t="str">
        <f>_xlfn.CONCAT(Table16[[#This Row],[STATE]],"-",Table16[[#This Row],[YEAR]])</f>
        <v>West Bengal-2001</v>
      </c>
      <c r="D2923" t="s">
        <v>123</v>
      </c>
      <c r="E2923">
        <v>29</v>
      </c>
    </row>
    <row r="2924" spans="1:5" x14ac:dyDescent="0.3">
      <c r="A2924" t="s">
        <v>33</v>
      </c>
      <c r="B2924">
        <v>2001</v>
      </c>
      <c r="C2924" t="str">
        <f>_xlfn.CONCAT(Table16[[#This Row],[STATE]],"-",Table16[[#This Row],[YEAR]])</f>
        <v>West Bengal-2001</v>
      </c>
      <c r="D2924" t="s">
        <v>96</v>
      </c>
      <c r="E2924">
        <v>46</v>
      </c>
    </row>
    <row r="2925" spans="1:5" x14ac:dyDescent="0.3">
      <c r="A2925" t="s">
        <v>33</v>
      </c>
      <c r="B2925">
        <v>2001</v>
      </c>
      <c r="C2925" t="str">
        <f>_xlfn.CONCAT(Table16[[#This Row],[STATE]],"-",Table16[[#This Row],[YEAR]])</f>
        <v>West Bengal-2001</v>
      </c>
      <c r="D2925" t="s">
        <v>985</v>
      </c>
      <c r="E2925">
        <v>36</v>
      </c>
    </row>
    <row r="2926" spans="1:5" x14ac:dyDescent="0.3">
      <c r="A2926" t="s">
        <v>33</v>
      </c>
      <c r="B2926">
        <v>2001</v>
      </c>
      <c r="C2926" t="str">
        <f>_xlfn.CONCAT(Table16[[#This Row],[STATE]],"-",Table16[[#This Row],[YEAR]])</f>
        <v>West Bengal-2001</v>
      </c>
      <c r="D2926" t="s">
        <v>484</v>
      </c>
      <c r="E2926">
        <v>17</v>
      </c>
    </row>
    <row r="2927" spans="1:5" x14ac:dyDescent="0.3">
      <c r="A2927" t="s">
        <v>33</v>
      </c>
      <c r="B2927">
        <v>2001</v>
      </c>
      <c r="C2927" t="str">
        <f>_xlfn.CONCAT(Table16[[#This Row],[STATE]],"-",Table16[[#This Row],[YEAR]])</f>
        <v>West Bengal-2001</v>
      </c>
      <c r="D2927" t="s">
        <v>986</v>
      </c>
      <c r="E2927">
        <v>22</v>
      </c>
    </row>
    <row r="2928" spans="1:5" x14ac:dyDescent="0.3">
      <c r="A2928" t="s">
        <v>33</v>
      </c>
      <c r="B2928">
        <v>2001</v>
      </c>
      <c r="C2928" t="str">
        <f>_xlfn.CONCAT(Table16[[#This Row],[STATE]],"-",Table16[[#This Row],[YEAR]])</f>
        <v>West Bengal-2001</v>
      </c>
      <c r="D2928" t="s">
        <v>987</v>
      </c>
      <c r="E2928">
        <v>8</v>
      </c>
    </row>
    <row r="2929" spans="1:5" x14ac:dyDescent="0.3">
      <c r="A2929" t="s">
        <v>33</v>
      </c>
      <c r="B2929">
        <v>2001</v>
      </c>
      <c r="C2929" t="str">
        <f>_xlfn.CONCAT(Table16[[#This Row],[STATE]],"-",Table16[[#This Row],[YEAR]])</f>
        <v>West Bengal-2001</v>
      </c>
      <c r="D2929" t="s">
        <v>680</v>
      </c>
      <c r="E2929">
        <v>11</v>
      </c>
    </row>
    <row r="2930" spans="1:5" x14ac:dyDescent="0.3">
      <c r="A2930" t="s">
        <v>33</v>
      </c>
      <c r="B2930">
        <v>2001</v>
      </c>
      <c r="C2930" t="str">
        <f>_xlfn.CONCAT(Table16[[#This Row],[STATE]],"-",Table16[[#This Row],[YEAR]])</f>
        <v>West Bengal-2001</v>
      </c>
      <c r="D2930" t="s">
        <v>116</v>
      </c>
      <c r="E2930">
        <v>39</v>
      </c>
    </row>
    <row r="2931" spans="1:5" x14ac:dyDescent="0.3">
      <c r="A2931" t="s">
        <v>33</v>
      </c>
      <c r="B2931">
        <v>2001</v>
      </c>
      <c r="C2931" t="str">
        <f>_xlfn.CONCAT(Table16[[#This Row],[STATE]],"-",Table16[[#This Row],[YEAR]])</f>
        <v>West Bengal-2001</v>
      </c>
      <c r="D2931" t="s">
        <v>988</v>
      </c>
      <c r="E2931">
        <v>31</v>
      </c>
    </row>
    <row r="2932" spans="1:5" x14ac:dyDescent="0.3">
      <c r="A2932" t="s">
        <v>33</v>
      </c>
      <c r="B2932">
        <v>2001</v>
      </c>
      <c r="C2932" t="str">
        <f>_xlfn.CONCAT(Table16[[#This Row],[STATE]],"-",Table16[[#This Row],[YEAR]])</f>
        <v>West Bengal-2001</v>
      </c>
      <c r="D2932" t="s">
        <v>259</v>
      </c>
      <c r="E2932">
        <v>5</v>
      </c>
    </row>
    <row r="2933" spans="1:5" x14ac:dyDescent="0.3">
      <c r="A2933" t="s">
        <v>33</v>
      </c>
      <c r="B2933">
        <v>2001</v>
      </c>
      <c r="C2933" t="str">
        <f>_xlfn.CONCAT(Table16[[#This Row],[STATE]],"-",Table16[[#This Row],[YEAR]])</f>
        <v>West Bengal-2001</v>
      </c>
      <c r="D2933" t="s">
        <v>170</v>
      </c>
      <c r="E2933">
        <v>15</v>
      </c>
    </row>
    <row r="2934" spans="1:5" x14ac:dyDescent="0.3">
      <c r="A2934" t="s">
        <v>33</v>
      </c>
      <c r="B2934">
        <v>2001</v>
      </c>
      <c r="C2934" t="str">
        <f>_xlfn.CONCAT(Table16[[#This Row],[STATE]],"-",Table16[[#This Row],[YEAR]])</f>
        <v>West Bengal-2001</v>
      </c>
      <c r="D2934" t="s">
        <v>197</v>
      </c>
      <c r="E2934">
        <v>40</v>
      </c>
    </row>
    <row r="2935" spans="1:5" x14ac:dyDescent="0.3">
      <c r="A2935" t="s">
        <v>33</v>
      </c>
      <c r="B2935">
        <v>2001</v>
      </c>
      <c r="C2935" t="str">
        <f>_xlfn.CONCAT(Table16[[#This Row],[STATE]],"-",Table16[[#This Row],[YEAR]])</f>
        <v>West Bengal-2001</v>
      </c>
      <c r="D2935" t="s">
        <v>989</v>
      </c>
      <c r="E2935">
        <v>10</v>
      </c>
    </row>
    <row r="2936" spans="1:5" x14ac:dyDescent="0.3">
      <c r="A2936" t="s">
        <v>33</v>
      </c>
      <c r="B2936">
        <v>2001</v>
      </c>
      <c r="C2936" t="str">
        <f>_xlfn.CONCAT(Table16[[#This Row],[STATE]],"-",Table16[[#This Row],[YEAR]])</f>
        <v>West Bengal-2001</v>
      </c>
      <c r="D2936" t="s">
        <v>990</v>
      </c>
      <c r="E2936">
        <v>10</v>
      </c>
    </row>
    <row r="2937" spans="1:5" x14ac:dyDescent="0.3">
      <c r="A2937" t="s">
        <v>33</v>
      </c>
      <c r="B2937">
        <v>2001</v>
      </c>
      <c r="C2937" t="str">
        <f>_xlfn.CONCAT(Table16[[#This Row],[STATE]],"-",Table16[[#This Row],[YEAR]])</f>
        <v>West Bengal-2001</v>
      </c>
      <c r="D2937" t="s">
        <v>991</v>
      </c>
      <c r="E2937">
        <v>8</v>
      </c>
    </row>
    <row r="2938" spans="1:5" x14ac:dyDescent="0.3">
      <c r="A2938" t="s">
        <v>33</v>
      </c>
      <c r="B2938">
        <v>2001</v>
      </c>
      <c r="C2938" t="str">
        <f>_xlfn.CONCAT(Table16[[#This Row],[STATE]],"-",Table16[[#This Row],[YEAR]])</f>
        <v>West Bengal-2001</v>
      </c>
      <c r="D2938" t="s">
        <v>992</v>
      </c>
      <c r="E2938">
        <v>9</v>
      </c>
    </row>
    <row r="2939" spans="1:5" x14ac:dyDescent="0.3">
      <c r="A2939" t="s">
        <v>33</v>
      </c>
      <c r="B2939">
        <v>2001</v>
      </c>
      <c r="C2939" t="str">
        <f>_xlfn.CONCAT(Table16[[#This Row],[STATE]],"-",Table16[[#This Row],[YEAR]])</f>
        <v>West Bengal-2001</v>
      </c>
      <c r="D2939" t="s">
        <v>993</v>
      </c>
      <c r="E2939">
        <v>24</v>
      </c>
    </row>
    <row r="2940" spans="1:5" x14ac:dyDescent="0.3">
      <c r="A2940" t="s">
        <v>33</v>
      </c>
      <c r="B2940">
        <v>2001</v>
      </c>
      <c r="C2940" t="str">
        <f>_xlfn.CONCAT(Table16[[#This Row],[STATE]],"-",Table16[[#This Row],[YEAR]])</f>
        <v>West Bengal-2001</v>
      </c>
      <c r="D2940" t="s">
        <v>994</v>
      </c>
      <c r="E2940">
        <v>20</v>
      </c>
    </row>
    <row r="2941" spans="1:5" x14ac:dyDescent="0.3">
      <c r="A2941" t="s">
        <v>33</v>
      </c>
      <c r="B2941">
        <v>2001</v>
      </c>
      <c r="C2941" t="str">
        <f>_xlfn.CONCAT(Table16[[#This Row],[STATE]],"-",Table16[[#This Row],[YEAR]])</f>
        <v>West Bengal-2001</v>
      </c>
      <c r="D2941" t="s">
        <v>995</v>
      </c>
      <c r="E2941">
        <v>7</v>
      </c>
    </row>
    <row r="2942" spans="1:5" x14ac:dyDescent="0.3">
      <c r="A2942" t="s">
        <v>33</v>
      </c>
      <c r="B2942">
        <v>2002</v>
      </c>
      <c r="C2942" t="str">
        <f>_xlfn.CONCAT(Table16[[#This Row],[STATE]],"-",Table16[[#This Row],[YEAR]])</f>
        <v>West Bengal-2002</v>
      </c>
      <c r="D2942" t="s">
        <v>170</v>
      </c>
      <c r="E2942">
        <v>15</v>
      </c>
    </row>
    <row r="2943" spans="1:5" x14ac:dyDescent="0.3">
      <c r="A2943" t="s">
        <v>33</v>
      </c>
      <c r="B2943">
        <v>2002</v>
      </c>
      <c r="C2943" t="str">
        <f>_xlfn.CONCAT(Table16[[#This Row],[STATE]],"-",Table16[[#This Row],[YEAR]])</f>
        <v>West Bengal-2002</v>
      </c>
      <c r="D2943" t="s">
        <v>996</v>
      </c>
      <c r="E2943">
        <v>10</v>
      </c>
    </row>
    <row r="2944" spans="1:5" x14ac:dyDescent="0.3">
      <c r="A2944" t="s">
        <v>33</v>
      </c>
      <c r="B2944">
        <v>2002</v>
      </c>
      <c r="C2944" t="str">
        <f>_xlfn.CONCAT(Table16[[#This Row],[STATE]],"-",Table16[[#This Row],[YEAR]])</f>
        <v>West Bengal-2002</v>
      </c>
      <c r="D2944" t="s">
        <v>186</v>
      </c>
      <c r="E2944">
        <v>4</v>
      </c>
    </row>
    <row r="2945" spans="1:5" x14ac:dyDescent="0.3">
      <c r="A2945" t="s">
        <v>33</v>
      </c>
      <c r="B2945">
        <v>2002</v>
      </c>
      <c r="C2945" t="str">
        <f>_xlfn.CONCAT(Table16[[#This Row],[STATE]],"-",Table16[[#This Row],[YEAR]])</f>
        <v>West Bengal-2002</v>
      </c>
      <c r="D2945" t="s">
        <v>509</v>
      </c>
      <c r="E2945">
        <v>20</v>
      </c>
    </row>
    <row r="2946" spans="1:5" x14ac:dyDescent="0.3">
      <c r="A2946" t="s">
        <v>33</v>
      </c>
      <c r="B2946">
        <v>2002</v>
      </c>
      <c r="C2946" t="str">
        <f>_xlfn.CONCAT(Table16[[#This Row],[STATE]],"-",Table16[[#This Row],[YEAR]])</f>
        <v>West Bengal-2002</v>
      </c>
      <c r="D2946" t="s">
        <v>140</v>
      </c>
      <c r="E2946">
        <v>6</v>
      </c>
    </row>
    <row r="2947" spans="1:5" x14ac:dyDescent="0.3">
      <c r="A2947" t="s">
        <v>33</v>
      </c>
      <c r="B2947">
        <v>2002</v>
      </c>
      <c r="C2947" t="str">
        <f>_xlfn.CONCAT(Table16[[#This Row],[STATE]],"-",Table16[[#This Row],[YEAR]])</f>
        <v>West Bengal-2002</v>
      </c>
      <c r="D2947" t="s">
        <v>103</v>
      </c>
      <c r="E2947">
        <v>94</v>
      </c>
    </row>
    <row r="2948" spans="1:5" x14ac:dyDescent="0.3">
      <c r="A2948" t="s">
        <v>33</v>
      </c>
      <c r="B2948">
        <v>2002</v>
      </c>
      <c r="C2948" t="str">
        <f>_xlfn.CONCAT(Table16[[#This Row],[STATE]],"-",Table16[[#This Row],[YEAR]])</f>
        <v>West Bengal-2002</v>
      </c>
      <c r="D2948" t="s">
        <v>997</v>
      </c>
      <c r="E2948">
        <v>32</v>
      </c>
    </row>
    <row r="2949" spans="1:5" x14ac:dyDescent="0.3">
      <c r="A2949" t="s">
        <v>33</v>
      </c>
      <c r="B2949">
        <v>2002</v>
      </c>
      <c r="C2949" t="str">
        <f>_xlfn.CONCAT(Table16[[#This Row],[STATE]],"-",Table16[[#This Row],[YEAR]])</f>
        <v>West Bengal-2002</v>
      </c>
      <c r="D2949" t="s">
        <v>993</v>
      </c>
      <c r="E2949">
        <v>22</v>
      </c>
    </row>
    <row r="2950" spans="1:5" x14ac:dyDescent="0.3">
      <c r="A2950" t="s">
        <v>33</v>
      </c>
      <c r="B2950">
        <v>2002</v>
      </c>
      <c r="C2950" t="str">
        <f>_xlfn.CONCAT(Table16[[#This Row],[STATE]],"-",Table16[[#This Row],[YEAR]])</f>
        <v>West Bengal-2002</v>
      </c>
      <c r="D2950" t="s">
        <v>123</v>
      </c>
      <c r="E2950">
        <v>23</v>
      </c>
    </row>
    <row r="2951" spans="1:5" x14ac:dyDescent="0.3">
      <c r="A2951" t="s">
        <v>33</v>
      </c>
      <c r="B2951">
        <v>2002</v>
      </c>
      <c r="C2951" t="str">
        <f>_xlfn.CONCAT(Table16[[#This Row],[STATE]],"-",Table16[[#This Row],[YEAR]])</f>
        <v>West Bengal-2002</v>
      </c>
      <c r="D2951" t="s">
        <v>998</v>
      </c>
      <c r="E2951">
        <v>4</v>
      </c>
    </row>
    <row r="2952" spans="1:5" x14ac:dyDescent="0.3">
      <c r="A2952" t="s">
        <v>33</v>
      </c>
      <c r="B2952">
        <v>2002</v>
      </c>
      <c r="C2952" t="str">
        <f>_xlfn.CONCAT(Table16[[#This Row],[STATE]],"-",Table16[[#This Row],[YEAR]])</f>
        <v>West Bengal-2002</v>
      </c>
      <c r="D2952" t="s">
        <v>90</v>
      </c>
      <c r="E2952">
        <v>57</v>
      </c>
    </row>
    <row r="2953" spans="1:5" x14ac:dyDescent="0.3">
      <c r="A2953" t="s">
        <v>33</v>
      </c>
      <c r="B2953">
        <v>2002</v>
      </c>
      <c r="C2953" t="str">
        <f>_xlfn.CONCAT(Table16[[#This Row],[STATE]],"-",Table16[[#This Row],[YEAR]])</f>
        <v>West Bengal-2002</v>
      </c>
      <c r="D2953" t="s">
        <v>999</v>
      </c>
      <c r="E2953">
        <v>84</v>
      </c>
    </row>
    <row r="2954" spans="1:5" x14ac:dyDescent="0.3">
      <c r="A2954" t="s">
        <v>33</v>
      </c>
      <c r="B2954">
        <v>2002</v>
      </c>
      <c r="C2954" t="str">
        <f>_xlfn.CONCAT(Table16[[#This Row],[STATE]],"-",Table16[[#This Row],[YEAR]])</f>
        <v>West Bengal-2002</v>
      </c>
      <c r="D2954" t="s">
        <v>614</v>
      </c>
      <c r="E2954">
        <v>3</v>
      </c>
    </row>
    <row r="2955" spans="1:5" x14ac:dyDescent="0.3">
      <c r="A2955" t="s">
        <v>33</v>
      </c>
      <c r="B2955">
        <v>2002</v>
      </c>
      <c r="C2955" t="str">
        <f>_xlfn.CONCAT(Table16[[#This Row],[STATE]],"-",Table16[[#This Row],[YEAR]])</f>
        <v>West Bengal-2002</v>
      </c>
      <c r="D2955" t="s">
        <v>96</v>
      </c>
      <c r="E2955">
        <v>32</v>
      </c>
    </row>
    <row r="2956" spans="1:5" x14ac:dyDescent="0.3">
      <c r="A2956" t="s">
        <v>33</v>
      </c>
      <c r="B2956">
        <v>2002</v>
      </c>
      <c r="C2956" t="str">
        <f>_xlfn.CONCAT(Table16[[#This Row],[STATE]],"-",Table16[[#This Row],[YEAR]])</f>
        <v>West Bengal-2002</v>
      </c>
      <c r="D2956" t="s">
        <v>1000</v>
      </c>
      <c r="E2956">
        <v>3</v>
      </c>
    </row>
    <row r="2957" spans="1:5" x14ac:dyDescent="0.3">
      <c r="A2957" t="s">
        <v>33</v>
      </c>
      <c r="B2957">
        <v>2002</v>
      </c>
      <c r="C2957" t="str">
        <f>_xlfn.CONCAT(Table16[[#This Row],[STATE]],"-",Table16[[#This Row],[YEAR]])</f>
        <v>West Bengal-2002</v>
      </c>
      <c r="D2957" t="s">
        <v>197</v>
      </c>
      <c r="E2957">
        <v>28</v>
      </c>
    </row>
    <row r="2958" spans="1:5" x14ac:dyDescent="0.3">
      <c r="A2958" t="s">
        <v>33</v>
      </c>
      <c r="B2958">
        <v>2002</v>
      </c>
      <c r="C2958" t="str">
        <f>_xlfn.CONCAT(Table16[[#This Row],[STATE]],"-",Table16[[#This Row],[YEAR]])</f>
        <v>West Bengal-2002</v>
      </c>
      <c r="D2958" t="s">
        <v>1001</v>
      </c>
      <c r="E2958">
        <v>225</v>
      </c>
    </row>
    <row r="2959" spans="1:5" x14ac:dyDescent="0.3">
      <c r="A2959" t="s">
        <v>33</v>
      </c>
      <c r="B2959">
        <v>2002</v>
      </c>
      <c r="C2959" t="str">
        <f>_xlfn.CONCAT(Table16[[#This Row],[STATE]],"-",Table16[[#This Row],[YEAR]])</f>
        <v>West Bengal-2002</v>
      </c>
      <c r="D2959" t="s">
        <v>985</v>
      </c>
      <c r="E2959">
        <v>8</v>
      </c>
    </row>
    <row r="2960" spans="1:5" x14ac:dyDescent="0.3">
      <c r="A2960" t="s">
        <v>33</v>
      </c>
      <c r="B2960">
        <v>2003</v>
      </c>
      <c r="C2960" t="str">
        <f>_xlfn.CONCAT(Table16[[#This Row],[STATE]],"-",Table16[[#This Row],[YEAR]])</f>
        <v>West Bengal-2003</v>
      </c>
      <c r="D2960" t="s">
        <v>993</v>
      </c>
      <c r="E2960">
        <v>1</v>
      </c>
    </row>
    <row r="2961" spans="1:5" x14ac:dyDescent="0.3">
      <c r="A2961" t="s">
        <v>33</v>
      </c>
      <c r="B2961">
        <v>2003</v>
      </c>
      <c r="C2961" t="str">
        <f>_xlfn.CONCAT(Table16[[#This Row],[STATE]],"-",Table16[[#This Row],[YEAR]])</f>
        <v>West Bengal-2003</v>
      </c>
      <c r="D2961" t="s">
        <v>1002</v>
      </c>
      <c r="E2961">
        <v>23</v>
      </c>
    </row>
    <row r="2962" spans="1:5" x14ac:dyDescent="0.3">
      <c r="A2962" t="s">
        <v>33</v>
      </c>
      <c r="B2962">
        <v>2003</v>
      </c>
      <c r="C2962" t="str">
        <f>_xlfn.CONCAT(Table16[[#This Row],[STATE]],"-",Table16[[#This Row],[YEAR]])</f>
        <v>West Bengal-2003</v>
      </c>
      <c r="D2962" t="s">
        <v>779</v>
      </c>
      <c r="E2962">
        <v>3</v>
      </c>
    </row>
    <row r="2963" spans="1:5" x14ac:dyDescent="0.3">
      <c r="A2963" t="s">
        <v>33</v>
      </c>
      <c r="B2963">
        <v>2003</v>
      </c>
      <c r="C2963" t="str">
        <f>_xlfn.CONCAT(Table16[[#This Row],[STATE]],"-",Table16[[#This Row],[YEAR]])</f>
        <v>West Bengal-2003</v>
      </c>
      <c r="D2963" t="s">
        <v>226</v>
      </c>
      <c r="E2963">
        <v>4</v>
      </c>
    </row>
    <row r="2964" spans="1:5" x14ac:dyDescent="0.3">
      <c r="A2964" t="s">
        <v>33</v>
      </c>
      <c r="B2964">
        <v>2003</v>
      </c>
      <c r="C2964" t="str">
        <f>_xlfn.CONCAT(Table16[[#This Row],[STATE]],"-",Table16[[#This Row],[YEAR]])</f>
        <v>West Bengal-2003</v>
      </c>
      <c r="D2964" t="s">
        <v>116</v>
      </c>
      <c r="E2964">
        <v>4</v>
      </c>
    </row>
    <row r="2965" spans="1:5" x14ac:dyDescent="0.3">
      <c r="A2965" t="s">
        <v>33</v>
      </c>
      <c r="B2965">
        <v>2003</v>
      </c>
      <c r="C2965" t="str">
        <f>_xlfn.CONCAT(Table16[[#This Row],[STATE]],"-",Table16[[#This Row],[YEAR]])</f>
        <v>West Bengal-2003</v>
      </c>
      <c r="D2965" t="s">
        <v>1003</v>
      </c>
      <c r="E2965">
        <v>5</v>
      </c>
    </row>
    <row r="2966" spans="1:5" x14ac:dyDescent="0.3">
      <c r="A2966" t="s">
        <v>33</v>
      </c>
      <c r="B2966">
        <v>2003</v>
      </c>
      <c r="C2966" t="str">
        <f>_xlfn.CONCAT(Table16[[#This Row],[STATE]],"-",Table16[[#This Row],[YEAR]])</f>
        <v>West Bengal-2003</v>
      </c>
      <c r="D2966" t="s">
        <v>101</v>
      </c>
      <c r="E2966">
        <v>3</v>
      </c>
    </row>
    <row r="2967" spans="1:5" x14ac:dyDescent="0.3">
      <c r="A2967" t="s">
        <v>33</v>
      </c>
      <c r="B2967">
        <v>2003</v>
      </c>
      <c r="C2967" t="str">
        <f>_xlfn.CONCAT(Table16[[#This Row],[STATE]],"-",Table16[[#This Row],[YEAR]])</f>
        <v>West Bengal-2003</v>
      </c>
      <c r="D2967" t="s">
        <v>103</v>
      </c>
      <c r="E2967">
        <v>69</v>
      </c>
    </row>
    <row r="2968" spans="1:5" x14ac:dyDescent="0.3">
      <c r="A2968" t="s">
        <v>33</v>
      </c>
      <c r="B2968">
        <v>2003</v>
      </c>
      <c r="C2968" t="str">
        <f>_xlfn.CONCAT(Table16[[#This Row],[STATE]],"-",Table16[[#This Row],[YEAR]])</f>
        <v>West Bengal-2003</v>
      </c>
      <c r="D2968" t="s">
        <v>123</v>
      </c>
      <c r="E2968">
        <v>63</v>
      </c>
    </row>
    <row r="2969" spans="1:5" x14ac:dyDescent="0.3">
      <c r="A2969" t="s">
        <v>33</v>
      </c>
      <c r="B2969">
        <v>2003</v>
      </c>
      <c r="C2969" t="str">
        <f>_xlfn.CONCAT(Table16[[#This Row],[STATE]],"-",Table16[[#This Row],[YEAR]])</f>
        <v>West Bengal-2003</v>
      </c>
      <c r="D2969" t="s">
        <v>96</v>
      </c>
      <c r="E2969">
        <v>5</v>
      </c>
    </row>
    <row r="2970" spans="1:5" x14ac:dyDescent="0.3">
      <c r="A2970" t="s">
        <v>33</v>
      </c>
      <c r="B2970">
        <v>2003</v>
      </c>
      <c r="C2970" t="str">
        <f>_xlfn.CONCAT(Table16[[#This Row],[STATE]],"-",Table16[[#This Row],[YEAR]])</f>
        <v>West Bengal-2003</v>
      </c>
      <c r="D2970" t="s">
        <v>1004</v>
      </c>
      <c r="E2970">
        <v>3</v>
      </c>
    </row>
    <row r="2971" spans="1:5" x14ac:dyDescent="0.3">
      <c r="A2971" t="s">
        <v>33</v>
      </c>
      <c r="B2971">
        <v>2003</v>
      </c>
      <c r="C2971" t="str">
        <f>_xlfn.CONCAT(Table16[[#This Row],[STATE]],"-",Table16[[#This Row],[YEAR]])</f>
        <v>West Bengal-2003</v>
      </c>
      <c r="D2971" t="s">
        <v>90</v>
      </c>
      <c r="E2971">
        <v>56</v>
      </c>
    </row>
    <row r="2972" spans="1:5" x14ac:dyDescent="0.3">
      <c r="A2972" t="s">
        <v>33</v>
      </c>
      <c r="B2972">
        <v>2003</v>
      </c>
      <c r="C2972" t="str">
        <f>_xlfn.CONCAT(Table16[[#This Row],[STATE]],"-",Table16[[#This Row],[YEAR]])</f>
        <v>West Bengal-2003</v>
      </c>
      <c r="D2972" t="s">
        <v>287</v>
      </c>
      <c r="E2972">
        <v>8</v>
      </c>
    </row>
    <row r="2973" spans="1:5" x14ac:dyDescent="0.3">
      <c r="A2973" t="s">
        <v>33</v>
      </c>
      <c r="B2973">
        <v>2003</v>
      </c>
      <c r="C2973" t="str">
        <f>_xlfn.CONCAT(Table16[[#This Row],[STATE]],"-",Table16[[#This Row],[YEAR]])</f>
        <v>West Bengal-2003</v>
      </c>
      <c r="D2973" t="s">
        <v>985</v>
      </c>
      <c r="E2973">
        <v>1</v>
      </c>
    </row>
    <row r="2974" spans="1:5" x14ac:dyDescent="0.3">
      <c r="A2974" t="s">
        <v>33</v>
      </c>
      <c r="B2974">
        <v>2003</v>
      </c>
      <c r="C2974" t="str">
        <f>_xlfn.CONCAT(Table16[[#This Row],[STATE]],"-",Table16[[#This Row],[YEAR]])</f>
        <v>West Bengal-2003</v>
      </c>
      <c r="D2974" t="s">
        <v>1005</v>
      </c>
      <c r="E2974">
        <v>6</v>
      </c>
    </row>
    <row r="2975" spans="1:5" x14ac:dyDescent="0.3">
      <c r="A2975" t="s">
        <v>33</v>
      </c>
      <c r="B2975">
        <v>2004</v>
      </c>
      <c r="C2975" t="str">
        <f>_xlfn.CONCAT(Table16[[#This Row],[STATE]],"-",Table16[[#This Row],[YEAR]])</f>
        <v>West Bengal-2004</v>
      </c>
      <c r="D2975" t="s">
        <v>103</v>
      </c>
      <c r="E2975">
        <v>175</v>
      </c>
    </row>
    <row r="2976" spans="1:5" x14ac:dyDescent="0.3">
      <c r="A2976" t="s">
        <v>33</v>
      </c>
      <c r="B2976">
        <v>2004</v>
      </c>
      <c r="C2976" t="str">
        <f>_xlfn.CONCAT(Table16[[#This Row],[STATE]],"-",Table16[[#This Row],[YEAR]])</f>
        <v>West Bengal-2004</v>
      </c>
      <c r="D2976" t="s">
        <v>123</v>
      </c>
      <c r="E2976">
        <v>106</v>
      </c>
    </row>
    <row r="2977" spans="1:5" x14ac:dyDescent="0.3">
      <c r="A2977" t="s">
        <v>33</v>
      </c>
      <c r="B2977">
        <v>2004</v>
      </c>
      <c r="C2977" t="str">
        <f>_xlfn.CONCAT(Table16[[#This Row],[STATE]],"-",Table16[[#This Row],[YEAR]])</f>
        <v>West Bengal-2004</v>
      </c>
      <c r="D2977" t="s">
        <v>90</v>
      </c>
      <c r="E2977">
        <v>279</v>
      </c>
    </row>
    <row r="2978" spans="1:5" x14ac:dyDescent="0.3">
      <c r="A2978" t="s">
        <v>33</v>
      </c>
      <c r="B2978">
        <v>2004</v>
      </c>
      <c r="C2978" t="str">
        <f>_xlfn.CONCAT(Table16[[#This Row],[STATE]],"-",Table16[[#This Row],[YEAR]])</f>
        <v>West Bengal-2004</v>
      </c>
      <c r="D2978" t="s">
        <v>101</v>
      </c>
      <c r="E2978">
        <v>25</v>
      </c>
    </row>
    <row r="2979" spans="1:5" x14ac:dyDescent="0.3">
      <c r="A2979" t="s">
        <v>33</v>
      </c>
      <c r="B2979">
        <v>2004</v>
      </c>
      <c r="C2979" t="str">
        <f>_xlfn.CONCAT(Table16[[#This Row],[STATE]],"-",Table16[[#This Row],[YEAR]])</f>
        <v>West Bengal-2004</v>
      </c>
      <c r="D2979" t="s">
        <v>1006</v>
      </c>
      <c r="E2979">
        <v>60</v>
      </c>
    </row>
    <row r="2980" spans="1:5" x14ac:dyDescent="0.3">
      <c r="A2980" t="s">
        <v>33</v>
      </c>
      <c r="B2980">
        <v>2004</v>
      </c>
      <c r="C2980" t="str">
        <f>_xlfn.CONCAT(Table16[[#This Row],[STATE]],"-",Table16[[#This Row],[YEAR]])</f>
        <v>West Bengal-2004</v>
      </c>
      <c r="D2980" t="s">
        <v>993</v>
      </c>
      <c r="E2980">
        <v>10</v>
      </c>
    </row>
    <row r="2981" spans="1:5" x14ac:dyDescent="0.3">
      <c r="A2981" t="s">
        <v>33</v>
      </c>
      <c r="B2981">
        <v>2004</v>
      </c>
      <c r="C2981" t="str">
        <f>_xlfn.CONCAT(Table16[[#This Row],[STATE]],"-",Table16[[#This Row],[YEAR]])</f>
        <v>West Bengal-2004</v>
      </c>
      <c r="D2981" t="s">
        <v>1007</v>
      </c>
      <c r="E2981">
        <v>17</v>
      </c>
    </row>
    <row r="2982" spans="1:5" x14ac:dyDescent="0.3">
      <c r="A2982" t="s">
        <v>33</v>
      </c>
      <c r="B2982">
        <v>2004</v>
      </c>
      <c r="C2982" t="str">
        <f>_xlfn.CONCAT(Table16[[#This Row],[STATE]],"-",Table16[[#This Row],[YEAR]])</f>
        <v>West Bengal-2004</v>
      </c>
      <c r="D2982" t="s">
        <v>1008</v>
      </c>
      <c r="E2982">
        <v>12</v>
      </c>
    </row>
    <row r="2983" spans="1:5" x14ac:dyDescent="0.3">
      <c r="A2983" t="s">
        <v>33</v>
      </c>
      <c r="B2983">
        <v>2004</v>
      </c>
      <c r="C2983" t="str">
        <f>_xlfn.CONCAT(Table16[[#This Row],[STATE]],"-",Table16[[#This Row],[YEAR]])</f>
        <v>West Bengal-2004</v>
      </c>
      <c r="D2983" t="s">
        <v>116</v>
      </c>
      <c r="E2983">
        <v>5</v>
      </c>
    </row>
    <row r="2984" spans="1:5" x14ac:dyDescent="0.3">
      <c r="A2984" t="s">
        <v>33</v>
      </c>
      <c r="B2984">
        <v>2004</v>
      </c>
      <c r="C2984" t="str">
        <f>_xlfn.CONCAT(Table16[[#This Row],[STATE]],"-",Table16[[#This Row],[YEAR]])</f>
        <v>West Bengal-2004</v>
      </c>
      <c r="D2984" t="s">
        <v>1000</v>
      </c>
      <c r="E2984">
        <v>3</v>
      </c>
    </row>
    <row r="2985" spans="1:5" x14ac:dyDescent="0.3">
      <c r="A2985" t="s">
        <v>33</v>
      </c>
      <c r="B2985">
        <v>2004</v>
      </c>
      <c r="C2985" t="str">
        <f>_xlfn.CONCAT(Table16[[#This Row],[STATE]],"-",Table16[[#This Row],[YEAR]])</f>
        <v>West Bengal-2004</v>
      </c>
      <c r="D2985" t="s">
        <v>287</v>
      </c>
      <c r="E2985">
        <v>8</v>
      </c>
    </row>
    <row r="2986" spans="1:5" x14ac:dyDescent="0.3">
      <c r="A2986" t="s">
        <v>33</v>
      </c>
      <c r="B2986">
        <v>2004</v>
      </c>
      <c r="C2986" t="str">
        <f>_xlfn.CONCAT(Table16[[#This Row],[STATE]],"-",Table16[[#This Row],[YEAR]])</f>
        <v>West Bengal-2004</v>
      </c>
      <c r="D2986" t="s">
        <v>520</v>
      </c>
      <c r="E2986">
        <v>2</v>
      </c>
    </row>
    <row r="2987" spans="1:5" x14ac:dyDescent="0.3">
      <c r="A2987" t="s">
        <v>33</v>
      </c>
      <c r="B2987">
        <v>2004</v>
      </c>
      <c r="C2987" t="str">
        <f>_xlfn.CONCAT(Table16[[#This Row],[STATE]],"-",Table16[[#This Row],[YEAR]])</f>
        <v>West Bengal-2004</v>
      </c>
      <c r="D2987" t="s">
        <v>985</v>
      </c>
      <c r="E2987">
        <v>45</v>
      </c>
    </row>
    <row r="2988" spans="1:5" x14ac:dyDescent="0.3">
      <c r="A2988" t="s">
        <v>33</v>
      </c>
      <c r="B2988">
        <v>2004</v>
      </c>
      <c r="C2988" t="str">
        <f>_xlfn.CONCAT(Table16[[#This Row],[STATE]],"-",Table16[[#This Row],[YEAR]])</f>
        <v>West Bengal-2004</v>
      </c>
      <c r="D2988" t="s">
        <v>96</v>
      </c>
      <c r="E2988">
        <v>24</v>
      </c>
    </row>
    <row r="2989" spans="1:5" x14ac:dyDescent="0.3">
      <c r="A2989" t="s">
        <v>33</v>
      </c>
      <c r="B2989">
        <v>2004</v>
      </c>
      <c r="C2989" t="str">
        <f>_xlfn.CONCAT(Table16[[#This Row],[STATE]],"-",Table16[[#This Row],[YEAR]])</f>
        <v>West Bengal-2004</v>
      </c>
      <c r="D2989" t="s">
        <v>97</v>
      </c>
      <c r="E2989">
        <v>16</v>
      </c>
    </row>
    <row r="2990" spans="1:5" x14ac:dyDescent="0.3">
      <c r="A2990" t="s">
        <v>33</v>
      </c>
      <c r="B2990">
        <v>2005</v>
      </c>
      <c r="C2990" t="str">
        <f>_xlfn.CONCAT(Table16[[#This Row],[STATE]],"-",Table16[[#This Row],[YEAR]])</f>
        <v>West Bengal-2005</v>
      </c>
      <c r="D2990" t="s">
        <v>90</v>
      </c>
      <c r="E2990">
        <v>316</v>
      </c>
    </row>
    <row r="2991" spans="1:5" x14ac:dyDescent="0.3">
      <c r="A2991" t="s">
        <v>33</v>
      </c>
      <c r="B2991">
        <v>2005</v>
      </c>
      <c r="C2991" t="str">
        <f>_xlfn.CONCAT(Table16[[#This Row],[STATE]],"-",Table16[[#This Row],[YEAR]])</f>
        <v>West Bengal-2005</v>
      </c>
      <c r="D2991" t="s">
        <v>123</v>
      </c>
      <c r="E2991">
        <v>62</v>
      </c>
    </row>
    <row r="2992" spans="1:5" x14ac:dyDescent="0.3">
      <c r="A2992" t="s">
        <v>33</v>
      </c>
      <c r="B2992">
        <v>2005</v>
      </c>
      <c r="C2992" t="str">
        <f>_xlfn.CONCAT(Table16[[#This Row],[STATE]],"-",Table16[[#This Row],[YEAR]])</f>
        <v>West Bengal-2005</v>
      </c>
      <c r="D2992" t="s">
        <v>1009</v>
      </c>
      <c r="E2992">
        <v>64</v>
      </c>
    </row>
    <row r="2993" spans="1:5" x14ac:dyDescent="0.3">
      <c r="A2993" t="s">
        <v>33</v>
      </c>
      <c r="B2993">
        <v>2005</v>
      </c>
      <c r="C2993" t="str">
        <f>_xlfn.CONCAT(Table16[[#This Row],[STATE]],"-",Table16[[#This Row],[YEAR]])</f>
        <v>West Bengal-2005</v>
      </c>
      <c r="D2993" t="s">
        <v>116</v>
      </c>
      <c r="E2993">
        <v>28</v>
      </c>
    </row>
    <row r="2994" spans="1:5" x14ac:dyDescent="0.3">
      <c r="A2994" t="s">
        <v>33</v>
      </c>
      <c r="B2994">
        <v>2005</v>
      </c>
      <c r="C2994" t="str">
        <f>_xlfn.CONCAT(Table16[[#This Row],[STATE]],"-",Table16[[#This Row],[YEAR]])</f>
        <v>West Bengal-2005</v>
      </c>
      <c r="D2994" t="s">
        <v>141</v>
      </c>
      <c r="E2994">
        <v>75</v>
      </c>
    </row>
    <row r="2995" spans="1:5" x14ac:dyDescent="0.3">
      <c r="A2995" t="s">
        <v>33</v>
      </c>
      <c r="B2995">
        <v>2005</v>
      </c>
      <c r="C2995" t="str">
        <f>_xlfn.CONCAT(Table16[[#This Row],[STATE]],"-",Table16[[#This Row],[YEAR]])</f>
        <v>West Bengal-2005</v>
      </c>
      <c r="D2995" t="s">
        <v>1010</v>
      </c>
      <c r="E2995">
        <v>10</v>
      </c>
    </row>
    <row r="2996" spans="1:5" x14ac:dyDescent="0.3">
      <c r="A2996" t="s">
        <v>33</v>
      </c>
      <c r="B2996">
        <v>2005</v>
      </c>
      <c r="C2996" t="str">
        <f>_xlfn.CONCAT(Table16[[#This Row],[STATE]],"-",Table16[[#This Row],[YEAR]])</f>
        <v>West Bengal-2005</v>
      </c>
      <c r="D2996" t="s">
        <v>506</v>
      </c>
      <c r="E2996">
        <v>10</v>
      </c>
    </row>
    <row r="2997" spans="1:5" x14ac:dyDescent="0.3">
      <c r="A2997" t="s">
        <v>33</v>
      </c>
      <c r="B2997">
        <v>2005</v>
      </c>
      <c r="C2997" t="str">
        <f>_xlfn.CONCAT(Table16[[#This Row],[STATE]],"-",Table16[[#This Row],[YEAR]])</f>
        <v>West Bengal-2005</v>
      </c>
      <c r="D2997" t="s">
        <v>1011</v>
      </c>
      <c r="E2997">
        <v>10</v>
      </c>
    </row>
    <row r="2998" spans="1:5" x14ac:dyDescent="0.3">
      <c r="A2998" t="s">
        <v>33</v>
      </c>
      <c r="B2998">
        <v>2005</v>
      </c>
      <c r="C2998" t="str">
        <f>_xlfn.CONCAT(Table16[[#This Row],[STATE]],"-",Table16[[#This Row],[YEAR]])</f>
        <v>West Bengal-2005</v>
      </c>
      <c r="D2998" t="s">
        <v>170</v>
      </c>
      <c r="E2998">
        <v>15</v>
      </c>
    </row>
    <row r="2999" spans="1:5" x14ac:dyDescent="0.3">
      <c r="A2999" t="s">
        <v>33</v>
      </c>
      <c r="B2999">
        <v>2005</v>
      </c>
      <c r="C2999" t="str">
        <f>_xlfn.CONCAT(Table16[[#This Row],[STATE]],"-",Table16[[#This Row],[YEAR]])</f>
        <v>West Bengal-2005</v>
      </c>
      <c r="D2999" t="s">
        <v>101</v>
      </c>
      <c r="E2999">
        <v>79</v>
      </c>
    </row>
    <row r="3000" spans="1:5" x14ac:dyDescent="0.3">
      <c r="A3000" t="s">
        <v>33</v>
      </c>
      <c r="B3000">
        <v>2005</v>
      </c>
      <c r="C3000" t="str">
        <f>_xlfn.CONCAT(Table16[[#This Row],[STATE]],"-",Table16[[#This Row],[YEAR]])</f>
        <v>West Bengal-2005</v>
      </c>
      <c r="D3000" t="s">
        <v>1003</v>
      </c>
      <c r="E3000">
        <v>4</v>
      </c>
    </row>
    <row r="3001" spans="1:5" x14ac:dyDescent="0.3">
      <c r="A3001" t="s">
        <v>33</v>
      </c>
      <c r="B3001">
        <v>2005</v>
      </c>
      <c r="C3001" t="str">
        <f>_xlfn.CONCAT(Table16[[#This Row],[STATE]],"-",Table16[[#This Row],[YEAR]])</f>
        <v>West Bengal-2005</v>
      </c>
      <c r="D3001" t="s">
        <v>103</v>
      </c>
      <c r="E3001">
        <v>124</v>
      </c>
    </row>
    <row r="3002" spans="1:5" x14ac:dyDescent="0.3">
      <c r="A3002" t="s">
        <v>33</v>
      </c>
      <c r="B3002">
        <v>2005</v>
      </c>
      <c r="C3002" t="str">
        <f>_xlfn.CONCAT(Table16[[#This Row],[STATE]],"-",Table16[[#This Row],[YEAR]])</f>
        <v>West Bengal-2005</v>
      </c>
      <c r="D3002" t="s">
        <v>1012</v>
      </c>
      <c r="E3002">
        <v>11</v>
      </c>
    </row>
    <row r="3003" spans="1:5" x14ac:dyDescent="0.3">
      <c r="A3003" t="s">
        <v>33</v>
      </c>
      <c r="B3003">
        <v>2005</v>
      </c>
      <c r="C3003" t="str">
        <f>_xlfn.CONCAT(Table16[[#This Row],[STATE]],"-",Table16[[#This Row],[YEAR]])</f>
        <v>West Bengal-2005</v>
      </c>
      <c r="D3003" t="s">
        <v>146</v>
      </c>
      <c r="E3003">
        <v>9</v>
      </c>
    </row>
    <row r="3004" spans="1:5" x14ac:dyDescent="0.3">
      <c r="A3004" t="s">
        <v>33</v>
      </c>
      <c r="B3004">
        <v>2005</v>
      </c>
      <c r="C3004" t="str">
        <f>_xlfn.CONCAT(Table16[[#This Row],[STATE]],"-",Table16[[#This Row],[YEAR]])</f>
        <v>West Bengal-2005</v>
      </c>
      <c r="D3004" t="s">
        <v>694</v>
      </c>
      <c r="E3004">
        <v>23</v>
      </c>
    </row>
    <row r="3005" spans="1:5" x14ac:dyDescent="0.3">
      <c r="A3005" t="s">
        <v>33</v>
      </c>
      <c r="B3005">
        <v>2005</v>
      </c>
      <c r="C3005" t="str">
        <f>_xlfn.CONCAT(Table16[[#This Row],[STATE]],"-",Table16[[#This Row],[YEAR]])</f>
        <v>West Bengal-2005</v>
      </c>
      <c r="D3005" t="s">
        <v>985</v>
      </c>
      <c r="E3005">
        <v>48</v>
      </c>
    </row>
    <row r="3006" spans="1:5" x14ac:dyDescent="0.3">
      <c r="A3006" t="s">
        <v>33</v>
      </c>
      <c r="B3006">
        <v>2005</v>
      </c>
      <c r="C3006" t="str">
        <f>_xlfn.CONCAT(Table16[[#This Row],[STATE]],"-",Table16[[#This Row],[YEAR]])</f>
        <v>West Bengal-2005</v>
      </c>
      <c r="D3006" t="s">
        <v>102</v>
      </c>
      <c r="E3006">
        <v>84</v>
      </c>
    </row>
    <row r="3007" spans="1:5" x14ac:dyDescent="0.3">
      <c r="A3007" t="s">
        <v>33</v>
      </c>
      <c r="B3007">
        <v>2005</v>
      </c>
      <c r="C3007" t="str">
        <f>_xlfn.CONCAT(Table16[[#This Row],[STATE]],"-",Table16[[#This Row],[YEAR]])</f>
        <v>West Bengal-2005</v>
      </c>
      <c r="D3007" t="s">
        <v>96</v>
      </c>
      <c r="E3007">
        <v>3</v>
      </c>
    </row>
    <row r="3008" spans="1:5" x14ac:dyDescent="0.3">
      <c r="A3008" t="s">
        <v>33</v>
      </c>
      <c r="B3008">
        <v>2006</v>
      </c>
      <c r="C3008" t="str">
        <f>_xlfn.CONCAT(Table16[[#This Row],[STATE]],"-",Table16[[#This Row],[YEAR]])</f>
        <v>West Bengal-2006</v>
      </c>
      <c r="D3008" t="s">
        <v>1013</v>
      </c>
      <c r="E3008">
        <v>12</v>
      </c>
    </row>
    <row r="3009" spans="1:5" x14ac:dyDescent="0.3">
      <c r="A3009" t="s">
        <v>33</v>
      </c>
      <c r="B3009">
        <v>2006</v>
      </c>
      <c r="C3009" t="str">
        <f>_xlfn.CONCAT(Table16[[#This Row],[STATE]],"-",Table16[[#This Row],[YEAR]])</f>
        <v>West Bengal-2006</v>
      </c>
      <c r="D3009" t="s">
        <v>1014</v>
      </c>
      <c r="E3009">
        <v>92</v>
      </c>
    </row>
    <row r="3010" spans="1:5" x14ac:dyDescent="0.3">
      <c r="A3010" t="s">
        <v>33</v>
      </c>
      <c r="B3010">
        <v>2006</v>
      </c>
      <c r="C3010" t="str">
        <f>_xlfn.CONCAT(Table16[[#This Row],[STATE]],"-",Table16[[#This Row],[YEAR]])</f>
        <v>West Bengal-2006</v>
      </c>
      <c r="D3010" t="s">
        <v>1015</v>
      </c>
      <c r="E3010">
        <v>26</v>
      </c>
    </row>
    <row r="3011" spans="1:5" x14ac:dyDescent="0.3">
      <c r="A3011" t="s">
        <v>33</v>
      </c>
      <c r="B3011">
        <v>2006</v>
      </c>
      <c r="C3011" t="str">
        <f>_xlfn.CONCAT(Table16[[#This Row],[STATE]],"-",Table16[[#This Row],[YEAR]])</f>
        <v>West Bengal-2006</v>
      </c>
      <c r="D3011" t="s">
        <v>1016</v>
      </c>
      <c r="E3011">
        <v>13</v>
      </c>
    </row>
    <row r="3012" spans="1:5" x14ac:dyDescent="0.3">
      <c r="A3012" t="s">
        <v>33</v>
      </c>
      <c r="B3012">
        <v>2006</v>
      </c>
      <c r="C3012" t="str">
        <f>_xlfn.CONCAT(Table16[[#This Row],[STATE]],"-",Table16[[#This Row],[YEAR]])</f>
        <v>West Bengal-2006</v>
      </c>
      <c r="D3012" t="s">
        <v>116</v>
      </c>
      <c r="E3012">
        <v>30</v>
      </c>
    </row>
    <row r="3013" spans="1:5" x14ac:dyDescent="0.3">
      <c r="A3013" t="s">
        <v>33</v>
      </c>
      <c r="B3013">
        <v>2006</v>
      </c>
      <c r="C3013" t="str">
        <f>_xlfn.CONCAT(Table16[[#This Row],[STATE]],"-",Table16[[#This Row],[YEAR]])</f>
        <v>West Bengal-2006</v>
      </c>
      <c r="D3013" t="s">
        <v>1017</v>
      </c>
      <c r="E3013">
        <v>4</v>
      </c>
    </row>
    <row r="3014" spans="1:5" x14ac:dyDescent="0.3">
      <c r="A3014" t="s">
        <v>33</v>
      </c>
      <c r="B3014">
        <v>2006</v>
      </c>
      <c r="C3014" t="str">
        <f>_xlfn.CONCAT(Table16[[#This Row],[STATE]],"-",Table16[[#This Row],[YEAR]])</f>
        <v>West Bengal-2006</v>
      </c>
      <c r="D3014" t="s">
        <v>509</v>
      </c>
      <c r="E3014">
        <v>61</v>
      </c>
    </row>
    <row r="3015" spans="1:5" x14ac:dyDescent="0.3">
      <c r="A3015" t="s">
        <v>33</v>
      </c>
      <c r="B3015">
        <v>2006</v>
      </c>
      <c r="C3015" t="str">
        <f>_xlfn.CONCAT(Table16[[#This Row],[STATE]],"-",Table16[[#This Row],[YEAR]])</f>
        <v>West Bengal-2006</v>
      </c>
      <c r="D3015" t="s">
        <v>103</v>
      </c>
      <c r="E3015">
        <v>425</v>
      </c>
    </row>
    <row r="3016" spans="1:5" x14ac:dyDescent="0.3">
      <c r="A3016" t="s">
        <v>33</v>
      </c>
      <c r="B3016">
        <v>2006</v>
      </c>
      <c r="C3016" t="str">
        <f>_xlfn.CONCAT(Table16[[#This Row],[STATE]],"-",Table16[[#This Row],[YEAR]])</f>
        <v>West Bengal-2006</v>
      </c>
      <c r="D3016" t="s">
        <v>314</v>
      </c>
      <c r="E3016">
        <v>72</v>
      </c>
    </row>
    <row r="3017" spans="1:5" x14ac:dyDescent="0.3">
      <c r="A3017" t="s">
        <v>33</v>
      </c>
      <c r="B3017">
        <v>2006</v>
      </c>
      <c r="C3017" t="str">
        <f>_xlfn.CONCAT(Table16[[#This Row],[STATE]],"-",Table16[[#This Row],[YEAR]])</f>
        <v>West Bengal-2006</v>
      </c>
      <c r="D3017" t="s">
        <v>1018</v>
      </c>
      <c r="E3017">
        <v>38</v>
      </c>
    </row>
    <row r="3018" spans="1:5" x14ac:dyDescent="0.3">
      <c r="A3018" t="s">
        <v>33</v>
      </c>
      <c r="B3018">
        <v>2006</v>
      </c>
      <c r="C3018" t="str">
        <f>_xlfn.CONCAT(Table16[[#This Row],[STATE]],"-",Table16[[#This Row],[YEAR]])</f>
        <v>West Bengal-2006</v>
      </c>
      <c r="D3018" t="s">
        <v>1019</v>
      </c>
      <c r="E3018">
        <v>13</v>
      </c>
    </row>
    <row r="3019" spans="1:5" x14ac:dyDescent="0.3">
      <c r="A3019" t="s">
        <v>33</v>
      </c>
      <c r="B3019">
        <v>2006</v>
      </c>
      <c r="C3019" t="str">
        <f>_xlfn.CONCAT(Table16[[#This Row],[STATE]],"-",Table16[[#This Row],[YEAR]])</f>
        <v>West Bengal-2006</v>
      </c>
      <c r="D3019" t="s">
        <v>90</v>
      </c>
      <c r="E3019">
        <v>337</v>
      </c>
    </row>
    <row r="3020" spans="1:5" x14ac:dyDescent="0.3">
      <c r="A3020" t="s">
        <v>33</v>
      </c>
      <c r="B3020">
        <v>2006</v>
      </c>
      <c r="C3020" t="str">
        <f>_xlfn.CONCAT(Table16[[#This Row],[STATE]],"-",Table16[[#This Row],[YEAR]])</f>
        <v>West Bengal-2006</v>
      </c>
      <c r="D3020" t="s">
        <v>96</v>
      </c>
      <c r="E3020">
        <v>104</v>
      </c>
    </row>
    <row r="3021" spans="1:5" x14ac:dyDescent="0.3">
      <c r="A3021" t="s">
        <v>33</v>
      </c>
      <c r="B3021">
        <v>2006</v>
      </c>
      <c r="C3021" t="str">
        <f>_xlfn.CONCAT(Table16[[#This Row],[STATE]],"-",Table16[[#This Row],[YEAR]])</f>
        <v>West Bengal-2006</v>
      </c>
      <c r="D3021" t="s">
        <v>293</v>
      </c>
      <c r="E3021">
        <v>15</v>
      </c>
    </row>
    <row r="3022" spans="1:5" x14ac:dyDescent="0.3">
      <c r="A3022" t="s">
        <v>33</v>
      </c>
      <c r="B3022">
        <v>2006</v>
      </c>
      <c r="C3022" t="str">
        <f>_xlfn.CONCAT(Table16[[#This Row],[STATE]],"-",Table16[[#This Row],[YEAR]])</f>
        <v>West Bengal-2006</v>
      </c>
      <c r="D3022" t="s">
        <v>1020</v>
      </c>
      <c r="E3022">
        <v>75</v>
      </c>
    </row>
    <row r="3023" spans="1:5" x14ac:dyDescent="0.3">
      <c r="A3023" t="s">
        <v>33</v>
      </c>
      <c r="B3023">
        <v>2006</v>
      </c>
      <c r="C3023" t="str">
        <f>_xlfn.CONCAT(Table16[[#This Row],[STATE]],"-",Table16[[#This Row],[YEAR]])</f>
        <v>West Bengal-2006</v>
      </c>
      <c r="D3023" t="s">
        <v>1021</v>
      </c>
      <c r="E3023">
        <v>35</v>
      </c>
    </row>
    <row r="3024" spans="1:5" x14ac:dyDescent="0.3">
      <c r="A3024" t="s">
        <v>33</v>
      </c>
      <c r="B3024">
        <v>2006</v>
      </c>
      <c r="C3024" t="str">
        <f>_xlfn.CONCAT(Table16[[#This Row],[STATE]],"-",Table16[[#This Row],[YEAR]])</f>
        <v>West Bengal-2006</v>
      </c>
      <c r="D3024" t="s">
        <v>197</v>
      </c>
      <c r="E3024">
        <v>55</v>
      </c>
    </row>
    <row r="3025" spans="1:5" x14ac:dyDescent="0.3">
      <c r="A3025" t="s">
        <v>33</v>
      </c>
      <c r="B3025">
        <v>2006</v>
      </c>
      <c r="C3025" t="str">
        <f>_xlfn.CONCAT(Table16[[#This Row],[STATE]],"-",Table16[[#This Row],[YEAR]])</f>
        <v>West Bengal-2006</v>
      </c>
      <c r="D3025" t="s">
        <v>1022</v>
      </c>
      <c r="E3025">
        <v>90</v>
      </c>
    </row>
    <row r="3026" spans="1:5" x14ac:dyDescent="0.3">
      <c r="A3026" t="s">
        <v>33</v>
      </c>
      <c r="B3026">
        <v>2006</v>
      </c>
      <c r="C3026" t="str">
        <f>_xlfn.CONCAT(Table16[[#This Row],[STATE]],"-",Table16[[#This Row],[YEAR]])</f>
        <v>West Bengal-2006</v>
      </c>
      <c r="D3026" t="s">
        <v>985</v>
      </c>
      <c r="E3026">
        <v>50</v>
      </c>
    </row>
    <row r="3027" spans="1:5" x14ac:dyDescent="0.3">
      <c r="A3027" t="s">
        <v>33</v>
      </c>
      <c r="B3027">
        <v>2007</v>
      </c>
      <c r="C3027" t="str">
        <f>_xlfn.CONCAT(Table16[[#This Row],[STATE]],"-",Table16[[#This Row],[YEAR]])</f>
        <v>West Bengal-2007</v>
      </c>
      <c r="D3027" t="s">
        <v>90</v>
      </c>
      <c r="E3027">
        <v>334</v>
      </c>
    </row>
    <row r="3028" spans="1:5" x14ac:dyDescent="0.3">
      <c r="A3028" t="s">
        <v>33</v>
      </c>
      <c r="B3028">
        <v>2007</v>
      </c>
      <c r="C3028" t="str">
        <f>_xlfn.CONCAT(Table16[[#This Row],[STATE]],"-",Table16[[#This Row],[YEAR]])</f>
        <v>West Bengal-2007</v>
      </c>
      <c r="D3028" t="s">
        <v>103</v>
      </c>
      <c r="E3028">
        <v>363</v>
      </c>
    </row>
    <row r="3029" spans="1:5" x14ac:dyDescent="0.3">
      <c r="A3029" t="s">
        <v>33</v>
      </c>
      <c r="B3029">
        <v>2007</v>
      </c>
      <c r="C3029" t="str">
        <f>_xlfn.CONCAT(Table16[[#This Row],[STATE]],"-",Table16[[#This Row],[YEAR]])</f>
        <v>West Bengal-2007</v>
      </c>
      <c r="D3029" t="s">
        <v>96</v>
      </c>
      <c r="E3029">
        <v>143</v>
      </c>
    </row>
    <row r="3030" spans="1:5" x14ac:dyDescent="0.3">
      <c r="A3030" t="s">
        <v>33</v>
      </c>
      <c r="B3030">
        <v>2007</v>
      </c>
      <c r="C3030" t="str">
        <f>_xlfn.CONCAT(Table16[[#This Row],[STATE]],"-",Table16[[#This Row],[YEAR]])</f>
        <v>West Bengal-2007</v>
      </c>
      <c r="D3030" t="s">
        <v>1016</v>
      </c>
      <c r="E3030">
        <v>5</v>
      </c>
    </row>
    <row r="3031" spans="1:5" x14ac:dyDescent="0.3">
      <c r="A3031" t="s">
        <v>33</v>
      </c>
      <c r="B3031">
        <v>2007</v>
      </c>
      <c r="C3031" t="str">
        <f>_xlfn.CONCAT(Table16[[#This Row],[STATE]],"-",Table16[[#This Row],[YEAR]])</f>
        <v>West Bengal-2007</v>
      </c>
      <c r="D3031" t="s">
        <v>1018</v>
      </c>
      <c r="E3031">
        <v>6</v>
      </c>
    </row>
    <row r="3032" spans="1:5" x14ac:dyDescent="0.3">
      <c r="A3032" t="s">
        <v>33</v>
      </c>
      <c r="B3032">
        <v>2007</v>
      </c>
      <c r="C3032" t="str">
        <f>_xlfn.CONCAT(Table16[[#This Row],[STATE]],"-",Table16[[#This Row],[YEAR]])</f>
        <v>West Bengal-2007</v>
      </c>
      <c r="D3032" t="s">
        <v>123</v>
      </c>
      <c r="E3032">
        <v>59</v>
      </c>
    </row>
    <row r="3033" spans="1:5" x14ac:dyDescent="0.3">
      <c r="A3033" t="s">
        <v>33</v>
      </c>
      <c r="B3033">
        <v>2007</v>
      </c>
      <c r="C3033" t="str">
        <f>_xlfn.CONCAT(Table16[[#This Row],[STATE]],"-",Table16[[#This Row],[YEAR]])</f>
        <v>West Bengal-2007</v>
      </c>
      <c r="D3033" t="s">
        <v>102</v>
      </c>
      <c r="E3033">
        <v>110</v>
      </c>
    </row>
    <row r="3034" spans="1:5" x14ac:dyDescent="0.3">
      <c r="A3034" t="s">
        <v>33</v>
      </c>
      <c r="B3034">
        <v>2007</v>
      </c>
      <c r="C3034" t="str">
        <f>_xlfn.CONCAT(Table16[[#This Row],[STATE]],"-",Table16[[#This Row],[YEAR]])</f>
        <v>West Bengal-2007</v>
      </c>
      <c r="D3034" t="s">
        <v>293</v>
      </c>
      <c r="E3034">
        <v>12</v>
      </c>
    </row>
    <row r="3035" spans="1:5" x14ac:dyDescent="0.3">
      <c r="A3035" t="s">
        <v>33</v>
      </c>
      <c r="B3035">
        <v>2007</v>
      </c>
      <c r="C3035" t="str">
        <f>_xlfn.CONCAT(Table16[[#This Row],[STATE]],"-",Table16[[#This Row],[YEAR]])</f>
        <v>West Bengal-2007</v>
      </c>
      <c r="D3035" t="s">
        <v>985</v>
      </c>
      <c r="E3035">
        <v>80</v>
      </c>
    </row>
    <row r="3036" spans="1:5" x14ac:dyDescent="0.3">
      <c r="A3036" t="s">
        <v>33</v>
      </c>
      <c r="B3036">
        <v>2007</v>
      </c>
      <c r="C3036" t="str">
        <f>_xlfn.CONCAT(Table16[[#This Row],[STATE]],"-",Table16[[#This Row],[YEAR]])</f>
        <v>West Bengal-2007</v>
      </c>
      <c r="D3036" t="s">
        <v>120</v>
      </c>
      <c r="E3036">
        <v>24</v>
      </c>
    </row>
    <row r="3037" spans="1:5" x14ac:dyDescent="0.3">
      <c r="A3037" t="s">
        <v>33</v>
      </c>
      <c r="B3037">
        <v>2007</v>
      </c>
      <c r="C3037" t="str">
        <f>_xlfn.CONCAT(Table16[[#This Row],[STATE]],"-",Table16[[#This Row],[YEAR]])</f>
        <v>West Bengal-2007</v>
      </c>
      <c r="D3037" t="s">
        <v>101</v>
      </c>
      <c r="E3037">
        <v>44</v>
      </c>
    </row>
    <row r="3038" spans="1:5" x14ac:dyDescent="0.3">
      <c r="A3038" t="s">
        <v>33</v>
      </c>
      <c r="B3038">
        <v>2007</v>
      </c>
      <c r="C3038" t="str">
        <f>_xlfn.CONCAT(Table16[[#This Row],[STATE]],"-",Table16[[#This Row],[YEAR]])</f>
        <v>West Bengal-2007</v>
      </c>
      <c r="D3038" t="s">
        <v>182</v>
      </c>
      <c r="E3038">
        <v>27</v>
      </c>
    </row>
    <row r="3039" spans="1:5" x14ac:dyDescent="0.3">
      <c r="A3039" t="s">
        <v>33</v>
      </c>
      <c r="B3039">
        <v>2007</v>
      </c>
      <c r="C3039" t="str">
        <f>_xlfn.CONCAT(Table16[[#This Row],[STATE]],"-",Table16[[#This Row],[YEAR]])</f>
        <v>West Bengal-2007</v>
      </c>
      <c r="D3039" t="s">
        <v>1015</v>
      </c>
      <c r="E3039">
        <v>86</v>
      </c>
    </row>
    <row r="3040" spans="1:5" x14ac:dyDescent="0.3">
      <c r="A3040" t="s">
        <v>33</v>
      </c>
      <c r="B3040">
        <v>2007</v>
      </c>
      <c r="C3040" t="str">
        <f>_xlfn.CONCAT(Table16[[#This Row],[STATE]],"-",Table16[[#This Row],[YEAR]])</f>
        <v>West Bengal-2007</v>
      </c>
      <c r="D3040" t="s">
        <v>138</v>
      </c>
      <c r="E3040">
        <v>32</v>
      </c>
    </row>
    <row r="3041" spans="1:5" x14ac:dyDescent="0.3">
      <c r="A3041" t="s">
        <v>33</v>
      </c>
      <c r="B3041">
        <v>2007</v>
      </c>
      <c r="C3041" t="str">
        <f>_xlfn.CONCAT(Table16[[#This Row],[STATE]],"-",Table16[[#This Row],[YEAR]])</f>
        <v>West Bengal-2007</v>
      </c>
      <c r="D3041" t="s">
        <v>1019</v>
      </c>
      <c r="E3041">
        <v>5</v>
      </c>
    </row>
    <row r="3042" spans="1:5" x14ac:dyDescent="0.3">
      <c r="A3042" t="s">
        <v>33</v>
      </c>
      <c r="B3042">
        <v>2007</v>
      </c>
      <c r="C3042" t="str">
        <f>_xlfn.CONCAT(Table16[[#This Row],[STATE]],"-",Table16[[#This Row],[YEAR]])</f>
        <v>West Bengal-2007</v>
      </c>
      <c r="D3042" t="s">
        <v>1017</v>
      </c>
      <c r="E3042">
        <v>2</v>
      </c>
    </row>
    <row r="3043" spans="1:5" x14ac:dyDescent="0.3">
      <c r="A3043" t="s">
        <v>33</v>
      </c>
      <c r="B3043">
        <v>2007</v>
      </c>
      <c r="C3043" t="str">
        <f>_xlfn.CONCAT(Table16[[#This Row],[STATE]],"-",Table16[[#This Row],[YEAR]])</f>
        <v>West Bengal-2007</v>
      </c>
      <c r="D3043" t="s">
        <v>1013</v>
      </c>
      <c r="E3043">
        <v>9</v>
      </c>
    </row>
    <row r="3044" spans="1:5" x14ac:dyDescent="0.3">
      <c r="A3044" t="s">
        <v>33</v>
      </c>
      <c r="B3044">
        <v>2008</v>
      </c>
      <c r="C3044" t="str">
        <f>_xlfn.CONCAT(Table16[[#This Row],[STATE]],"-",Table16[[#This Row],[YEAR]])</f>
        <v>West Bengal-2008</v>
      </c>
      <c r="D3044" t="s">
        <v>90</v>
      </c>
      <c r="E3044">
        <v>752</v>
      </c>
    </row>
    <row r="3045" spans="1:5" x14ac:dyDescent="0.3">
      <c r="A3045" t="s">
        <v>33</v>
      </c>
      <c r="B3045">
        <v>2008</v>
      </c>
      <c r="C3045" t="str">
        <f>_xlfn.CONCAT(Table16[[#This Row],[STATE]],"-",Table16[[#This Row],[YEAR]])</f>
        <v>West Bengal-2008</v>
      </c>
      <c r="D3045" t="s">
        <v>103</v>
      </c>
      <c r="E3045">
        <v>445</v>
      </c>
    </row>
    <row r="3046" spans="1:5" x14ac:dyDescent="0.3">
      <c r="A3046" t="s">
        <v>33</v>
      </c>
      <c r="B3046">
        <v>2008</v>
      </c>
      <c r="C3046" t="str">
        <f>_xlfn.CONCAT(Table16[[#This Row],[STATE]],"-",Table16[[#This Row],[YEAR]])</f>
        <v>West Bengal-2008</v>
      </c>
      <c r="D3046" t="s">
        <v>96</v>
      </c>
      <c r="E3046">
        <v>147</v>
      </c>
    </row>
    <row r="3047" spans="1:5" x14ac:dyDescent="0.3">
      <c r="A3047" t="s">
        <v>33</v>
      </c>
      <c r="B3047">
        <v>2008</v>
      </c>
      <c r="C3047" t="str">
        <f>_xlfn.CONCAT(Table16[[#This Row],[STATE]],"-",Table16[[#This Row],[YEAR]])</f>
        <v>West Bengal-2008</v>
      </c>
      <c r="D3047" t="s">
        <v>1016</v>
      </c>
      <c r="E3047">
        <v>30</v>
      </c>
    </row>
    <row r="3048" spans="1:5" x14ac:dyDescent="0.3">
      <c r="A3048" t="s">
        <v>33</v>
      </c>
      <c r="B3048">
        <v>2008</v>
      </c>
      <c r="C3048" t="str">
        <f>_xlfn.CONCAT(Table16[[#This Row],[STATE]],"-",Table16[[#This Row],[YEAR]])</f>
        <v>West Bengal-2008</v>
      </c>
      <c r="D3048" t="s">
        <v>1018</v>
      </c>
      <c r="E3048">
        <v>9</v>
      </c>
    </row>
    <row r="3049" spans="1:5" x14ac:dyDescent="0.3">
      <c r="A3049" t="s">
        <v>33</v>
      </c>
      <c r="B3049">
        <v>2008</v>
      </c>
      <c r="C3049" t="str">
        <f>_xlfn.CONCAT(Table16[[#This Row],[STATE]],"-",Table16[[#This Row],[YEAR]])</f>
        <v>West Bengal-2008</v>
      </c>
      <c r="D3049" t="s">
        <v>123</v>
      </c>
      <c r="E3049">
        <v>113</v>
      </c>
    </row>
    <row r="3050" spans="1:5" x14ac:dyDescent="0.3">
      <c r="A3050" t="s">
        <v>33</v>
      </c>
      <c r="B3050">
        <v>2008</v>
      </c>
      <c r="C3050" t="str">
        <f>_xlfn.CONCAT(Table16[[#This Row],[STATE]],"-",Table16[[#This Row],[YEAR]])</f>
        <v>West Bengal-2008</v>
      </c>
      <c r="D3050" t="s">
        <v>1023</v>
      </c>
      <c r="E3050">
        <v>110</v>
      </c>
    </row>
    <row r="3051" spans="1:5" x14ac:dyDescent="0.3">
      <c r="A3051" t="s">
        <v>33</v>
      </c>
      <c r="B3051">
        <v>2008</v>
      </c>
      <c r="C3051" t="str">
        <f>_xlfn.CONCAT(Table16[[#This Row],[STATE]],"-",Table16[[#This Row],[YEAR]])</f>
        <v>West Bengal-2008</v>
      </c>
      <c r="D3051" t="s">
        <v>293</v>
      </c>
      <c r="E3051">
        <v>14</v>
      </c>
    </row>
    <row r="3052" spans="1:5" x14ac:dyDescent="0.3">
      <c r="A3052" t="s">
        <v>33</v>
      </c>
      <c r="B3052">
        <v>2008</v>
      </c>
      <c r="C3052" t="str">
        <f>_xlfn.CONCAT(Table16[[#This Row],[STATE]],"-",Table16[[#This Row],[YEAR]])</f>
        <v>West Bengal-2008</v>
      </c>
      <c r="D3052" t="s">
        <v>985</v>
      </c>
      <c r="E3052">
        <v>40</v>
      </c>
    </row>
    <row r="3053" spans="1:5" x14ac:dyDescent="0.3">
      <c r="A3053" t="s">
        <v>33</v>
      </c>
      <c r="B3053">
        <v>2008</v>
      </c>
      <c r="C3053" t="str">
        <f>_xlfn.CONCAT(Table16[[#This Row],[STATE]],"-",Table16[[#This Row],[YEAR]])</f>
        <v>West Bengal-2008</v>
      </c>
      <c r="D3053" t="s">
        <v>120</v>
      </c>
      <c r="E3053">
        <v>25</v>
      </c>
    </row>
    <row r="3054" spans="1:5" x14ac:dyDescent="0.3">
      <c r="A3054" t="s">
        <v>33</v>
      </c>
      <c r="B3054">
        <v>2008</v>
      </c>
      <c r="C3054" t="str">
        <f>_xlfn.CONCAT(Table16[[#This Row],[STATE]],"-",Table16[[#This Row],[YEAR]])</f>
        <v>West Bengal-2008</v>
      </c>
      <c r="D3054" t="s">
        <v>151</v>
      </c>
      <c r="E3054">
        <v>65</v>
      </c>
    </row>
    <row r="3055" spans="1:5" x14ac:dyDescent="0.3">
      <c r="A3055" t="s">
        <v>33</v>
      </c>
      <c r="B3055">
        <v>2008</v>
      </c>
      <c r="C3055" t="str">
        <f>_xlfn.CONCAT(Table16[[#This Row],[STATE]],"-",Table16[[#This Row],[YEAR]])</f>
        <v>West Bengal-2008</v>
      </c>
      <c r="D3055" t="s">
        <v>141</v>
      </c>
      <c r="E3055">
        <v>76</v>
      </c>
    </row>
    <row r="3056" spans="1:5" x14ac:dyDescent="0.3">
      <c r="A3056" t="s">
        <v>33</v>
      </c>
      <c r="B3056">
        <v>2008</v>
      </c>
      <c r="C3056" t="str">
        <f>_xlfn.CONCAT(Table16[[#This Row],[STATE]],"-",Table16[[#This Row],[YEAR]])</f>
        <v>West Bengal-2008</v>
      </c>
      <c r="D3056" t="s">
        <v>1015</v>
      </c>
      <c r="E3056">
        <v>49</v>
      </c>
    </row>
    <row r="3057" spans="1:5" x14ac:dyDescent="0.3">
      <c r="A3057" t="s">
        <v>33</v>
      </c>
      <c r="B3057">
        <v>2008</v>
      </c>
      <c r="C3057" t="str">
        <f>_xlfn.CONCAT(Table16[[#This Row],[STATE]],"-",Table16[[#This Row],[YEAR]])</f>
        <v>West Bengal-2008</v>
      </c>
      <c r="D3057" t="s">
        <v>143</v>
      </c>
      <c r="E3057">
        <v>27</v>
      </c>
    </row>
    <row r="3058" spans="1:5" x14ac:dyDescent="0.3">
      <c r="A3058" t="s">
        <v>33</v>
      </c>
      <c r="B3058">
        <v>2008</v>
      </c>
      <c r="C3058" t="str">
        <f>_xlfn.CONCAT(Table16[[#This Row],[STATE]],"-",Table16[[#This Row],[YEAR]])</f>
        <v>West Bengal-2008</v>
      </c>
      <c r="D3058" t="s">
        <v>144</v>
      </c>
      <c r="E3058">
        <v>47</v>
      </c>
    </row>
    <row r="3059" spans="1:5" x14ac:dyDescent="0.3">
      <c r="A3059" t="s">
        <v>33</v>
      </c>
      <c r="B3059">
        <v>2008</v>
      </c>
      <c r="C3059" t="str">
        <f>_xlfn.CONCAT(Table16[[#This Row],[STATE]],"-",Table16[[#This Row],[YEAR]])</f>
        <v>West Bengal-2008</v>
      </c>
      <c r="D3059" t="s">
        <v>1017</v>
      </c>
      <c r="E3059">
        <v>4</v>
      </c>
    </row>
    <row r="3060" spans="1:5" x14ac:dyDescent="0.3">
      <c r="A3060" t="s">
        <v>33</v>
      </c>
      <c r="B3060">
        <v>2008</v>
      </c>
      <c r="C3060" t="str">
        <f>_xlfn.CONCAT(Table16[[#This Row],[STATE]],"-",Table16[[#This Row],[YEAR]])</f>
        <v>West Bengal-2008</v>
      </c>
      <c r="D3060" t="s">
        <v>1013</v>
      </c>
      <c r="E3060">
        <v>11</v>
      </c>
    </row>
    <row r="3061" spans="1:5" x14ac:dyDescent="0.3">
      <c r="A3061" t="s">
        <v>33</v>
      </c>
      <c r="B3061">
        <v>2009</v>
      </c>
      <c r="C3061" t="str">
        <f>_xlfn.CONCAT(Table16[[#This Row],[STATE]],"-",Table16[[#This Row],[YEAR]])</f>
        <v>West Bengal-2009</v>
      </c>
      <c r="D3061" t="s">
        <v>90</v>
      </c>
      <c r="E3061">
        <v>377</v>
      </c>
    </row>
    <row r="3062" spans="1:5" x14ac:dyDescent="0.3">
      <c r="A3062" t="s">
        <v>33</v>
      </c>
      <c r="B3062">
        <v>2009</v>
      </c>
      <c r="C3062" t="str">
        <f>_xlfn.CONCAT(Table16[[#This Row],[STATE]],"-",Table16[[#This Row],[YEAR]])</f>
        <v>West Bengal-2009</v>
      </c>
      <c r="D3062" t="s">
        <v>1024</v>
      </c>
      <c r="E3062">
        <v>52</v>
      </c>
    </row>
    <row r="3063" spans="1:5" x14ac:dyDescent="0.3">
      <c r="A3063" t="s">
        <v>33</v>
      </c>
      <c r="B3063">
        <v>2009</v>
      </c>
      <c r="C3063" t="str">
        <f>_xlfn.CONCAT(Table16[[#This Row],[STATE]],"-",Table16[[#This Row],[YEAR]])</f>
        <v>West Bengal-2009</v>
      </c>
      <c r="D3063" t="s">
        <v>616</v>
      </c>
      <c r="E3063">
        <v>4</v>
      </c>
    </row>
    <row r="3064" spans="1:5" x14ac:dyDescent="0.3">
      <c r="A3064" t="s">
        <v>33</v>
      </c>
      <c r="B3064">
        <v>2009</v>
      </c>
      <c r="C3064" t="str">
        <f>_xlfn.CONCAT(Table16[[#This Row],[STATE]],"-",Table16[[#This Row],[YEAR]])</f>
        <v>West Bengal-2009</v>
      </c>
      <c r="D3064" t="s">
        <v>314</v>
      </c>
      <c r="E3064">
        <v>68</v>
      </c>
    </row>
    <row r="3065" spans="1:5" x14ac:dyDescent="0.3">
      <c r="A3065" t="s">
        <v>33</v>
      </c>
      <c r="B3065">
        <v>2009</v>
      </c>
      <c r="C3065" t="str">
        <f>_xlfn.CONCAT(Table16[[#This Row],[STATE]],"-",Table16[[#This Row],[YEAR]])</f>
        <v>West Bengal-2009</v>
      </c>
      <c r="D3065" t="s">
        <v>692</v>
      </c>
      <c r="E3065">
        <v>120</v>
      </c>
    </row>
    <row r="3066" spans="1:5" x14ac:dyDescent="0.3">
      <c r="A3066" t="s">
        <v>33</v>
      </c>
      <c r="B3066">
        <v>2009</v>
      </c>
      <c r="C3066" t="str">
        <f>_xlfn.CONCAT(Table16[[#This Row],[STATE]],"-",Table16[[#This Row],[YEAR]])</f>
        <v>West Bengal-2009</v>
      </c>
      <c r="D3066" t="s">
        <v>293</v>
      </c>
      <c r="E3066">
        <v>22</v>
      </c>
    </row>
    <row r="3067" spans="1:5" x14ac:dyDescent="0.3">
      <c r="A3067" t="s">
        <v>33</v>
      </c>
      <c r="B3067">
        <v>2009</v>
      </c>
      <c r="C3067" t="str">
        <f>_xlfn.CONCAT(Table16[[#This Row],[STATE]],"-",Table16[[#This Row],[YEAR]])</f>
        <v>West Bengal-2009</v>
      </c>
      <c r="D3067" t="s">
        <v>985</v>
      </c>
      <c r="E3067">
        <v>40</v>
      </c>
    </row>
    <row r="3068" spans="1:5" x14ac:dyDescent="0.3">
      <c r="A3068" t="s">
        <v>33</v>
      </c>
      <c r="B3068">
        <v>2009</v>
      </c>
      <c r="C3068" t="str">
        <f>_xlfn.CONCAT(Table16[[#This Row],[STATE]],"-",Table16[[#This Row],[YEAR]])</f>
        <v>West Bengal-2009</v>
      </c>
      <c r="D3068" t="s">
        <v>120</v>
      </c>
      <c r="E3068">
        <v>25</v>
      </c>
    </row>
    <row r="3069" spans="1:5" x14ac:dyDescent="0.3">
      <c r="A3069" t="s">
        <v>33</v>
      </c>
      <c r="B3069">
        <v>2009</v>
      </c>
      <c r="C3069" t="str">
        <f>_xlfn.CONCAT(Table16[[#This Row],[STATE]],"-",Table16[[#This Row],[YEAR]])</f>
        <v>West Bengal-2009</v>
      </c>
      <c r="D3069" t="s">
        <v>151</v>
      </c>
      <c r="E3069">
        <v>47</v>
      </c>
    </row>
    <row r="3070" spans="1:5" x14ac:dyDescent="0.3">
      <c r="A3070" t="s">
        <v>33</v>
      </c>
      <c r="B3070">
        <v>2009</v>
      </c>
      <c r="C3070" t="str">
        <f>_xlfn.CONCAT(Table16[[#This Row],[STATE]],"-",Table16[[#This Row],[YEAR]])</f>
        <v>West Bengal-2009</v>
      </c>
      <c r="D3070" t="s">
        <v>141</v>
      </c>
      <c r="E3070">
        <v>85</v>
      </c>
    </row>
    <row r="3071" spans="1:5" x14ac:dyDescent="0.3">
      <c r="A3071" t="s">
        <v>33</v>
      </c>
      <c r="B3071">
        <v>2009</v>
      </c>
      <c r="C3071" t="str">
        <f>_xlfn.CONCAT(Table16[[#This Row],[STATE]],"-",Table16[[#This Row],[YEAR]])</f>
        <v>West Bengal-2009</v>
      </c>
      <c r="D3071" t="s">
        <v>1015</v>
      </c>
      <c r="E3071">
        <v>20</v>
      </c>
    </row>
    <row r="3072" spans="1:5" x14ac:dyDescent="0.3">
      <c r="A3072" t="s">
        <v>33</v>
      </c>
      <c r="B3072">
        <v>2009</v>
      </c>
      <c r="C3072" t="str">
        <f>_xlfn.CONCAT(Table16[[#This Row],[STATE]],"-",Table16[[#This Row],[YEAR]])</f>
        <v>West Bengal-2009</v>
      </c>
      <c r="D3072" t="s">
        <v>173</v>
      </c>
      <c r="E3072">
        <v>4</v>
      </c>
    </row>
    <row r="3073" spans="1:5" x14ac:dyDescent="0.3">
      <c r="A3073" t="s">
        <v>33</v>
      </c>
      <c r="B3073">
        <v>2009</v>
      </c>
      <c r="C3073" t="str">
        <f>_xlfn.CONCAT(Table16[[#This Row],[STATE]],"-",Table16[[#This Row],[YEAR]])</f>
        <v>West Bengal-2009</v>
      </c>
      <c r="D3073" t="s">
        <v>1017</v>
      </c>
      <c r="E3073">
        <v>2</v>
      </c>
    </row>
    <row r="3074" spans="1:5" x14ac:dyDescent="0.3">
      <c r="A3074" t="s">
        <v>33</v>
      </c>
      <c r="B3074">
        <v>2010</v>
      </c>
      <c r="C3074" t="str">
        <f>_xlfn.CONCAT(Table16[[#This Row],[STATE]],"-",Table16[[#This Row],[YEAR]])</f>
        <v>West Bengal-2010</v>
      </c>
      <c r="D3074" t="s">
        <v>1025</v>
      </c>
      <c r="E3074">
        <v>64</v>
      </c>
    </row>
    <row r="3075" spans="1:5" x14ac:dyDescent="0.3">
      <c r="A3075" t="s">
        <v>33</v>
      </c>
      <c r="B3075">
        <v>2010</v>
      </c>
      <c r="C3075" t="str">
        <f>_xlfn.CONCAT(Table16[[#This Row],[STATE]],"-",Table16[[#This Row],[YEAR]])</f>
        <v>West Bengal-2010</v>
      </c>
      <c r="D3075" t="s">
        <v>103</v>
      </c>
      <c r="E3075">
        <v>348</v>
      </c>
    </row>
    <row r="3076" spans="1:5" x14ac:dyDescent="0.3">
      <c r="A3076" t="s">
        <v>33</v>
      </c>
      <c r="B3076">
        <v>2010</v>
      </c>
      <c r="C3076" t="str">
        <f>_xlfn.CONCAT(Table16[[#This Row],[STATE]],"-",Table16[[#This Row],[YEAR]])</f>
        <v>West Bengal-2010</v>
      </c>
      <c r="D3076" t="s">
        <v>96</v>
      </c>
      <c r="E3076">
        <v>88</v>
      </c>
    </row>
    <row r="3077" spans="1:5" x14ac:dyDescent="0.3">
      <c r="A3077" t="s">
        <v>33</v>
      </c>
      <c r="B3077">
        <v>2010</v>
      </c>
      <c r="C3077" t="str">
        <f>_xlfn.CONCAT(Table16[[#This Row],[STATE]],"-",Table16[[#This Row],[YEAR]])</f>
        <v>West Bengal-2010</v>
      </c>
      <c r="D3077" t="s">
        <v>616</v>
      </c>
      <c r="E3077">
        <v>5</v>
      </c>
    </row>
    <row r="3078" spans="1:5" x14ac:dyDescent="0.3">
      <c r="A3078" t="s">
        <v>33</v>
      </c>
      <c r="B3078">
        <v>2010</v>
      </c>
      <c r="C3078" t="str">
        <f>_xlfn.CONCAT(Table16[[#This Row],[STATE]],"-",Table16[[#This Row],[YEAR]])</f>
        <v>West Bengal-2010</v>
      </c>
      <c r="D3078" t="s">
        <v>123</v>
      </c>
      <c r="E3078">
        <v>72</v>
      </c>
    </row>
    <row r="3079" spans="1:5" x14ac:dyDescent="0.3">
      <c r="A3079" t="s">
        <v>33</v>
      </c>
      <c r="B3079">
        <v>2010</v>
      </c>
      <c r="C3079" t="str">
        <f>_xlfn.CONCAT(Table16[[#This Row],[STATE]],"-",Table16[[#This Row],[YEAR]])</f>
        <v>West Bengal-2010</v>
      </c>
      <c r="D3079" t="s">
        <v>1023</v>
      </c>
      <c r="E3079">
        <v>98</v>
      </c>
    </row>
    <row r="3080" spans="1:5" x14ac:dyDescent="0.3">
      <c r="A3080" t="s">
        <v>33</v>
      </c>
      <c r="B3080">
        <v>2010</v>
      </c>
      <c r="C3080" t="str">
        <f>_xlfn.CONCAT(Table16[[#This Row],[STATE]],"-",Table16[[#This Row],[YEAR]])</f>
        <v>West Bengal-2010</v>
      </c>
      <c r="D3080" t="s">
        <v>293</v>
      </c>
      <c r="E3080">
        <v>93</v>
      </c>
    </row>
    <row r="3081" spans="1:5" x14ac:dyDescent="0.3">
      <c r="A3081" t="s">
        <v>33</v>
      </c>
      <c r="B3081">
        <v>2010</v>
      </c>
      <c r="C3081" t="str">
        <f>_xlfn.CONCAT(Table16[[#This Row],[STATE]],"-",Table16[[#This Row],[YEAR]])</f>
        <v>West Bengal-2010</v>
      </c>
      <c r="D3081" t="s">
        <v>985</v>
      </c>
      <c r="E3081">
        <v>58</v>
      </c>
    </row>
    <row r="3082" spans="1:5" x14ac:dyDescent="0.3">
      <c r="A3082" t="s">
        <v>33</v>
      </c>
      <c r="B3082">
        <v>2010</v>
      </c>
      <c r="C3082" t="str">
        <f>_xlfn.CONCAT(Table16[[#This Row],[STATE]],"-",Table16[[#This Row],[YEAR]])</f>
        <v>West Bengal-2010</v>
      </c>
      <c r="D3082" t="s">
        <v>120</v>
      </c>
      <c r="E3082">
        <v>17</v>
      </c>
    </row>
    <row r="3083" spans="1:5" x14ac:dyDescent="0.3">
      <c r="A3083" t="s">
        <v>33</v>
      </c>
      <c r="B3083">
        <v>2010</v>
      </c>
      <c r="C3083" t="str">
        <f>_xlfn.CONCAT(Table16[[#This Row],[STATE]],"-",Table16[[#This Row],[YEAR]])</f>
        <v>West Bengal-2010</v>
      </c>
      <c r="D3083" t="s">
        <v>225</v>
      </c>
      <c r="E3083">
        <v>39</v>
      </c>
    </row>
    <row r="3084" spans="1:5" x14ac:dyDescent="0.3">
      <c r="A3084" t="s">
        <v>33</v>
      </c>
      <c r="B3084">
        <v>2010</v>
      </c>
      <c r="C3084" t="str">
        <f>_xlfn.CONCAT(Table16[[#This Row],[STATE]],"-",Table16[[#This Row],[YEAR]])</f>
        <v>West Bengal-2010</v>
      </c>
      <c r="D3084" t="s">
        <v>141</v>
      </c>
      <c r="E3084">
        <v>2</v>
      </c>
    </row>
    <row r="3085" spans="1:5" x14ac:dyDescent="0.3">
      <c r="A3085" t="s">
        <v>33</v>
      </c>
      <c r="B3085">
        <v>2010</v>
      </c>
      <c r="C3085" t="str">
        <f>_xlfn.CONCAT(Table16[[#This Row],[STATE]],"-",Table16[[#This Row],[YEAR]])</f>
        <v>West Bengal-2010</v>
      </c>
      <c r="D3085" t="s">
        <v>1015</v>
      </c>
      <c r="E3085">
        <v>67</v>
      </c>
    </row>
    <row r="3086" spans="1:5" x14ac:dyDescent="0.3">
      <c r="A3086" t="s">
        <v>33</v>
      </c>
      <c r="B3086">
        <v>2010</v>
      </c>
      <c r="C3086" t="str">
        <f>_xlfn.CONCAT(Table16[[#This Row],[STATE]],"-",Table16[[#This Row],[YEAR]])</f>
        <v>West Bengal-2010</v>
      </c>
      <c r="D3086" t="s">
        <v>143</v>
      </c>
      <c r="E3086">
        <v>2</v>
      </c>
    </row>
    <row r="3087" spans="1:5" x14ac:dyDescent="0.3">
      <c r="A3087" t="s">
        <v>33</v>
      </c>
      <c r="B3087">
        <v>2010</v>
      </c>
      <c r="C3087" t="str">
        <f>_xlfn.CONCAT(Table16[[#This Row],[STATE]],"-",Table16[[#This Row],[YEAR]])</f>
        <v>West Bengal-2010</v>
      </c>
      <c r="D3087" t="s">
        <v>1017</v>
      </c>
      <c r="E3087">
        <v>2</v>
      </c>
    </row>
    <row r="3088" spans="1:5" x14ac:dyDescent="0.3">
      <c r="A3088" t="s">
        <v>33</v>
      </c>
      <c r="B3088">
        <v>2010</v>
      </c>
      <c r="C3088" t="str">
        <f>_xlfn.CONCAT(Table16[[#This Row],[STATE]],"-",Table16[[#This Row],[YEAR]])</f>
        <v>West Bengal-2010</v>
      </c>
      <c r="D3088" t="s">
        <v>882</v>
      </c>
      <c r="E3088">
        <v>299</v>
      </c>
    </row>
    <row r="3089" spans="1:5" x14ac:dyDescent="0.3">
      <c r="A3089" t="s">
        <v>33</v>
      </c>
      <c r="B3089">
        <v>2011</v>
      </c>
      <c r="C3089" t="str">
        <f>_xlfn.CONCAT(Table16[[#This Row],[STATE]],"-",Table16[[#This Row],[YEAR]])</f>
        <v>West Bengal-2011</v>
      </c>
      <c r="D3089" t="s">
        <v>1026</v>
      </c>
      <c r="E3089">
        <v>245</v>
      </c>
    </row>
    <row r="3090" spans="1:5" x14ac:dyDescent="0.3">
      <c r="A3090" t="s">
        <v>33</v>
      </c>
      <c r="B3090">
        <v>2011</v>
      </c>
      <c r="C3090" t="str">
        <f>_xlfn.CONCAT(Table16[[#This Row],[STATE]],"-",Table16[[#This Row],[YEAR]])</f>
        <v>West Bengal-2011</v>
      </c>
      <c r="D3090" t="s">
        <v>96</v>
      </c>
      <c r="E3090">
        <v>70</v>
      </c>
    </row>
    <row r="3091" spans="1:5" x14ac:dyDescent="0.3">
      <c r="A3091" t="s">
        <v>33</v>
      </c>
      <c r="B3091">
        <v>2011</v>
      </c>
      <c r="C3091" t="str">
        <f>_xlfn.CONCAT(Table16[[#This Row],[STATE]],"-",Table16[[#This Row],[YEAR]])</f>
        <v>West Bengal-2011</v>
      </c>
      <c r="D3091" t="s">
        <v>123</v>
      </c>
      <c r="E3091">
        <v>54</v>
      </c>
    </row>
    <row r="3092" spans="1:5" x14ac:dyDescent="0.3">
      <c r="A3092" t="s">
        <v>33</v>
      </c>
      <c r="B3092">
        <v>2011</v>
      </c>
      <c r="C3092" t="str">
        <f>_xlfn.CONCAT(Table16[[#This Row],[STATE]],"-",Table16[[#This Row],[YEAR]])</f>
        <v>West Bengal-2011</v>
      </c>
      <c r="D3092" t="s">
        <v>1027</v>
      </c>
      <c r="E3092">
        <v>67</v>
      </c>
    </row>
    <row r="3093" spans="1:5" x14ac:dyDescent="0.3">
      <c r="A3093" t="s">
        <v>33</v>
      </c>
      <c r="B3093">
        <v>2011</v>
      </c>
      <c r="C3093" t="str">
        <f>_xlfn.CONCAT(Table16[[#This Row],[STATE]],"-",Table16[[#This Row],[YEAR]])</f>
        <v>West Bengal-2011</v>
      </c>
      <c r="D3093" t="s">
        <v>1028</v>
      </c>
      <c r="E3093">
        <v>76</v>
      </c>
    </row>
    <row r="3094" spans="1:5" x14ac:dyDescent="0.3">
      <c r="A3094" t="s">
        <v>33</v>
      </c>
      <c r="B3094">
        <v>2011</v>
      </c>
      <c r="C3094" t="str">
        <f>_xlfn.CONCAT(Table16[[#This Row],[STATE]],"-",Table16[[#This Row],[YEAR]])</f>
        <v>West Bengal-2011</v>
      </c>
      <c r="D3094" t="s">
        <v>1029</v>
      </c>
      <c r="E3094">
        <v>34</v>
      </c>
    </row>
    <row r="3095" spans="1:5" x14ac:dyDescent="0.3">
      <c r="A3095" t="s">
        <v>33</v>
      </c>
      <c r="B3095">
        <v>2011</v>
      </c>
      <c r="C3095" t="str">
        <f>_xlfn.CONCAT(Table16[[#This Row],[STATE]],"-",Table16[[#This Row],[YEAR]])</f>
        <v>West Bengal-2011</v>
      </c>
      <c r="D3095" t="s">
        <v>1015</v>
      </c>
      <c r="E3095">
        <v>23</v>
      </c>
    </row>
    <row r="3096" spans="1:5" x14ac:dyDescent="0.3">
      <c r="A3096" t="s">
        <v>33</v>
      </c>
      <c r="B3096">
        <v>2011</v>
      </c>
      <c r="C3096" t="str">
        <f>_xlfn.CONCAT(Table16[[#This Row],[STATE]],"-",Table16[[#This Row],[YEAR]])</f>
        <v>West Bengal-2011</v>
      </c>
      <c r="D3096" t="s">
        <v>293</v>
      </c>
      <c r="E3096">
        <v>7</v>
      </c>
    </row>
    <row r="3097" spans="1:5" x14ac:dyDescent="0.3">
      <c r="A3097" t="s">
        <v>33</v>
      </c>
      <c r="B3097">
        <v>2011</v>
      </c>
      <c r="C3097" t="str">
        <f>_xlfn.CONCAT(Table16[[#This Row],[STATE]],"-",Table16[[#This Row],[YEAR]])</f>
        <v>West Bengal-2011</v>
      </c>
      <c r="D3097" t="s">
        <v>141</v>
      </c>
      <c r="E3097">
        <v>8</v>
      </c>
    </row>
    <row r="3098" spans="1:5" x14ac:dyDescent="0.3">
      <c r="A3098" t="s">
        <v>33</v>
      </c>
      <c r="B3098">
        <v>2011</v>
      </c>
      <c r="C3098" t="str">
        <f>_xlfn.CONCAT(Table16[[#This Row],[STATE]],"-",Table16[[#This Row],[YEAR]])</f>
        <v>West Bengal-2011</v>
      </c>
      <c r="D3098" t="s">
        <v>1030</v>
      </c>
      <c r="E3098">
        <v>4</v>
      </c>
    </row>
    <row r="3099" spans="1:5" x14ac:dyDescent="0.3">
      <c r="A3099" t="s">
        <v>33</v>
      </c>
      <c r="B3099">
        <v>2011</v>
      </c>
      <c r="C3099" t="str">
        <f>_xlfn.CONCAT(Table16[[#This Row],[STATE]],"-",Table16[[#This Row],[YEAR]])</f>
        <v>West Bengal-2011</v>
      </c>
      <c r="D3099" t="s">
        <v>90</v>
      </c>
      <c r="E3099">
        <v>49</v>
      </c>
    </row>
    <row r="3100" spans="1:5" x14ac:dyDescent="0.3">
      <c r="A3100" t="s">
        <v>33</v>
      </c>
      <c r="B3100">
        <v>2011</v>
      </c>
      <c r="C3100" t="str">
        <f>_xlfn.CONCAT(Table16[[#This Row],[STATE]],"-",Table16[[#This Row],[YEAR]])</f>
        <v>West Bengal-2011</v>
      </c>
      <c r="D3100" t="s">
        <v>182</v>
      </c>
      <c r="E3100">
        <v>24</v>
      </c>
    </row>
    <row r="3101" spans="1:5" x14ac:dyDescent="0.3">
      <c r="A3101" t="s">
        <v>33</v>
      </c>
      <c r="B3101">
        <v>2011</v>
      </c>
      <c r="C3101" t="str">
        <f>_xlfn.CONCAT(Table16[[#This Row],[STATE]],"-",Table16[[#This Row],[YEAR]])</f>
        <v>West Bengal-2011</v>
      </c>
      <c r="D3101" t="s">
        <v>1031</v>
      </c>
      <c r="E3101">
        <v>24</v>
      </c>
    </row>
    <row r="3102" spans="1:5" x14ac:dyDescent="0.3">
      <c r="A3102" t="s">
        <v>33</v>
      </c>
      <c r="B3102">
        <v>2011</v>
      </c>
      <c r="C3102" t="str">
        <f>_xlfn.CONCAT(Table16[[#This Row],[STATE]],"-",Table16[[#This Row],[YEAR]])</f>
        <v>West Bengal-2011</v>
      </c>
      <c r="D3102" t="s">
        <v>1000</v>
      </c>
      <c r="E3102">
        <v>5</v>
      </c>
    </row>
    <row r="3103" spans="1:5" x14ac:dyDescent="0.3">
      <c r="A3103" t="s">
        <v>33</v>
      </c>
      <c r="B3103">
        <v>2011</v>
      </c>
      <c r="C3103" t="str">
        <f>_xlfn.CONCAT(Table16[[#This Row],[STATE]],"-",Table16[[#This Row],[YEAR]])</f>
        <v>West Bengal-2011</v>
      </c>
      <c r="D3103" t="s">
        <v>617</v>
      </c>
      <c r="E3103">
        <v>59</v>
      </c>
    </row>
    <row r="3104" spans="1:5" x14ac:dyDescent="0.3">
      <c r="A3104" t="s">
        <v>33</v>
      </c>
      <c r="B3104">
        <v>2011</v>
      </c>
      <c r="C3104" t="str">
        <f>_xlfn.CONCAT(Table16[[#This Row],[STATE]],"-",Table16[[#This Row],[YEAR]])</f>
        <v>West Bengal-2011</v>
      </c>
      <c r="D3104" t="s">
        <v>616</v>
      </c>
      <c r="E3104">
        <v>2</v>
      </c>
    </row>
    <row r="3105" spans="1:5" x14ac:dyDescent="0.3">
      <c r="A3105" t="s">
        <v>33</v>
      </c>
      <c r="B3105">
        <v>2011</v>
      </c>
      <c r="C3105" t="str">
        <f>_xlfn.CONCAT(Table16[[#This Row],[STATE]],"-",Table16[[#This Row],[YEAR]])</f>
        <v>West Bengal-2011</v>
      </c>
      <c r="D3105" t="s">
        <v>1032</v>
      </c>
      <c r="E3105">
        <v>15</v>
      </c>
    </row>
    <row r="3106" spans="1:5" x14ac:dyDescent="0.3">
      <c r="A3106" t="s">
        <v>33</v>
      </c>
      <c r="B3106">
        <v>2011</v>
      </c>
      <c r="C3106" t="str">
        <f>_xlfn.CONCAT(Table16[[#This Row],[STATE]],"-",Table16[[#This Row],[YEAR]])</f>
        <v>West Bengal-2011</v>
      </c>
      <c r="D3106" t="s">
        <v>1033</v>
      </c>
      <c r="E3106">
        <v>12</v>
      </c>
    </row>
    <row r="3107" spans="1:5" x14ac:dyDescent="0.3">
      <c r="A3107" t="s">
        <v>33</v>
      </c>
      <c r="B3107">
        <v>2011</v>
      </c>
      <c r="C3107" t="str">
        <f>_xlfn.CONCAT(Table16[[#This Row],[STATE]],"-",Table16[[#This Row],[YEAR]])</f>
        <v>West Bengal-2011</v>
      </c>
      <c r="D3107" t="s">
        <v>979</v>
      </c>
      <c r="E3107">
        <v>6</v>
      </c>
    </row>
    <row r="3108" spans="1:5" x14ac:dyDescent="0.3">
      <c r="A3108" t="s">
        <v>33</v>
      </c>
      <c r="B3108">
        <v>2011</v>
      </c>
      <c r="C3108" t="str">
        <f>_xlfn.CONCAT(Table16[[#This Row],[STATE]],"-",Table16[[#This Row],[YEAR]])</f>
        <v>West Bengal-2011</v>
      </c>
      <c r="D3108" t="s">
        <v>661</v>
      </c>
      <c r="E3108">
        <v>22</v>
      </c>
    </row>
    <row r="3109" spans="1:5" x14ac:dyDescent="0.3">
      <c r="A3109" t="s">
        <v>33</v>
      </c>
      <c r="B3109">
        <v>2011</v>
      </c>
      <c r="C3109" t="str">
        <f>_xlfn.CONCAT(Table16[[#This Row],[STATE]],"-",Table16[[#This Row],[YEAR]])</f>
        <v>West Bengal-2011</v>
      </c>
      <c r="D3109" t="s">
        <v>1034</v>
      </c>
      <c r="E3109">
        <v>19</v>
      </c>
    </row>
    <row r="3110" spans="1:5" x14ac:dyDescent="0.3">
      <c r="A3110" t="s">
        <v>33</v>
      </c>
      <c r="B3110">
        <v>2011</v>
      </c>
      <c r="C3110" t="str">
        <f>_xlfn.CONCAT(Table16[[#This Row],[STATE]],"-",Table16[[#This Row],[YEAR]])</f>
        <v>West Bengal-2011</v>
      </c>
      <c r="D3110" t="s">
        <v>1019</v>
      </c>
      <c r="E3110">
        <v>4</v>
      </c>
    </row>
    <row r="3111" spans="1:5" x14ac:dyDescent="0.3">
      <c r="A3111" t="s">
        <v>33</v>
      </c>
      <c r="B3111">
        <v>2011</v>
      </c>
      <c r="C3111" t="str">
        <f>_xlfn.CONCAT(Table16[[#This Row],[STATE]],"-",Table16[[#This Row],[YEAR]])</f>
        <v>West Bengal-2011</v>
      </c>
      <c r="D3111" t="s">
        <v>1035</v>
      </c>
      <c r="E3111">
        <v>10</v>
      </c>
    </row>
    <row r="3112" spans="1:5" x14ac:dyDescent="0.3">
      <c r="A3112" t="s">
        <v>33</v>
      </c>
      <c r="B3112">
        <v>2011</v>
      </c>
      <c r="C3112" t="str">
        <f>_xlfn.CONCAT(Table16[[#This Row],[STATE]],"-",Table16[[#This Row],[YEAR]])</f>
        <v>West Bengal-2011</v>
      </c>
      <c r="D3112" t="s">
        <v>1036</v>
      </c>
      <c r="E3112">
        <v>7</v>
      </c>
    </row>
    <row r="3113" spans="1:5" x14ac:dyDescent="0.3">
      <c r="A3113" t="s">
        <v>33</v>
      </c>
      <c r="B3113">
        <v>2011</v>
      </c>
      <c r="C3113" t="str">
        <f>_xlfn.CONCAT(Table16[[#This Row],[STATE]],"-",Table16[[#This Row],[YEAR]])</f>
        <v>West Bengal-2011</v>
      </c>
      <c r="D3113" t="s">
        <v>1037</v>
      </c>
      <c r="E3113">
        <v>4</v>
      </c>
    </row>
    <row r="3114" spans="1:5" x14ac:dyDescent="0.3">
      <c r="A3114" t="s">
        <v>33</v>
      </c>
      <c r="B3114">
        <v>2012</v>
      </c>
      <c r="C3114" t="str">
        <f>_xlfn.CONCAT(Table16[[#This Row],[STATE]],"-",Table16[[#This Row],[YEAR]])</f>
        <v>West Bengal-2012</v>
      </c>
      <c r="D3114" t="s">
        <v>1038</v>
      </c>
      <c r="E3114">
        <v>55</v>
      </c>
    </row>
    <row r="3115" spans="1:5" x14ac:dyDescent="0.3">
      <c r="A3115" t="s">
        <v>33</v>
      </c>
      <c r="B3115">
        <v>2012</v>
      </c>
      <c r="C3115" t="str">
        <f>_xlfn.CONCAT(Table16[[#This Row],[STATE]],"-",Table16[[#This Row],[YEAR]])</f>
        <v>West Bengal-2012</v>
      </c>
      <c r="D3115" t="s">
        <v>1039</v>
      </c>
      <c r="E3115">
        <v>5</v>
      </c>
    </row>
    <row r="3116" spans="1:5" x14ac:dyDescent="0.3">
      <c r="A3116" t="s">
        <v>33</v>
      </c>
      <c r="B3116">
        <v>2012</v>
      </c>
      <c r="C3116" t="str">
        <f>_xlfn.CONCAT(Table16[[#This Row],[STATE]],"-",Table16[[#This Row],[YEAR]])</f>
        <v>West Bengal-2012</v>
      </c>
      <c r="D3116" t="s">
        <v>1040</v>
      </c>
      <c r="E3116">
        <v>16</v>
      </c>
    </row>
    <row r="3117" spans="1:5" x14ac:dyDescent="0.3">
      <c r="A3117" t="s">
        <v>33</v>
      </c>
      <c r="B3117">
        <v>2012</v>
      </c>
      <c r="C3117" t="str">
        <f>_xlfn.CONCAT(Table16[[#This Row],[STATE]],"-",Table16[[#This Row],[YEAR]])</f>
        <v>West Bengal-2012</v>
      </c>
      <c r="D3117" t="s">
        <v>1041</v>
      </c>
      <c r="E3117">
        <v>21</v>
      </c>
    </row>
    <row r="3118" spans="1:5" x14ac:dyDescent="0.3">
      <c r="A3118" t="s">
        <v>33</v>
      </c>
      <c r="B3118">
        <v>2012</v>
      </c>
      <c r="C3118" t="str">
        <f>_xlfn.CONCAT(Table16[[#This Row],[STATE]],"-",Table16[[#This Row],[YEAR]])</f>
        <v>West Bengal-2012</v>
      </c>
      <c r="D3118" t="s">
        <v>370</v>
      </c>
      <c r="E3118">
        <v>38</v>
      </c>
    </row>
    <row r="3119" spans="1:5" x14ac:dyDescent="0.3">
      <c r="A3119" t="s">
        <v>33</v>
      </c>
      <c r="B3119">
        <v>2012</v>
      </c>
      <c r="C3119" t="str">
        <f>_xlfn.CONCAT(Table16[[#This Row],[STATE]],"-",Table16[[#This Row],[YEAR]])</f>
        <v>West Bengal-2012</v>
      </c>
      <c r="D3119" t="s">
        <v>103</v>
      </c>
      <c r="E3119">
        <v>219</v>
      </c>
    </row>
    <row r="3120" spans="1:5" x14ac:dyDescent="0.3">
      <c r="A3120" t="s">
        <v>33</v>
      </c>
      <c r="B3120">
        <v>2012</v>
      </c>
      <c r="C3120" t="str">
        <f>_xlfn.CONCAT(Table16[[#This Row],[STATE]],"-",Table16[[#This Row],[YEAR]])</f>
        <v>West Bengal-2012</v>
      </c>
      <c r="D3120" t="s">
        <v>1042</v>
      </c>
      <c r="E3120">
        <v>5</v>
      </c>
    </row>
    <row r="3121" spans="1:5" x14ac:dyDescent="0.3">
      <c r="A3121" t="s">
        <v>33</v>
      </c>
      <c r="B3121">
        <v>2012</v>
      </c>
      <c r="C3121" t="str">
        <f>_xlfn.CONCAT(Table16[[#This Row],[STATE]],"-",Table16[[#This Row],[YEAR]])</f>
        <v>West Bengal-2012</v>
      </c>
      <c r="D3121" t="s">
        <v>123</v>
      </c>
      <c r="E3121">
        <v>77</v>
      </c>
    </row>
    <row r="3122" spans="1:5" x14ac:dyDescent="0.3">
      <c r="A3122" t="s">
        <v>33</v>
      </c>
      <c r="B3122">
        <v>2012</v>
      </c>
      <c r="C3122" t="str">
        <f>_xlfn.CONCAT(Table16[[#This Row],[STATE]],"-",Table16[[#This Row],[YEAR]])</f>
        <v>West Bengal-2012</v>
      </c>
      <c r="D3122" t="s">
        <v>1007</v>
      </c>
      <c r="E3122">
        <v>10</v>
      </c>
    </row>
    <row r="3123" spans="1:5" x14ac:dyDescent="0.3">
      <c r="A3123" t="s">
        <v>33</v>
      </c>
      <c r="B3123">
        <v>2012</v>
      </c>
      <c r="C3123" t="str">
        <f>_xlfn.CONCAT(Table16[[#This Row],[STATE]],"-",Table16[[#This Row],[YEAR]])</f>
        <v>West Bengal-2012</v>
      </c>
      <c r="D3123" t="s">
        <v>96</v>
      </c>
      <c r="E3123">
        <v>12</v>
      </c>
    </row>
    <row r="3124" spans="1:5" x14ac:dyDescent="0.3">
      <c r="A3124" t="s">
        <v>33</v>
      </c>
      <c r="B3124">
        <v>2012</v>
      </c>
      <c r="C3124" t="str">
        <f>_xlfn.CONCAT(Table16[[#This Row],[STATE]],"-",Table16[[#This Row],[YEAR]])</f>
        <v>West Bengal-2012</v>
      </c>
      <c r="D3124" t="s">
        <v>1000</v>
      </c>
      <c r="E3124">
        <v>5</v>
      </c>
    </row>
    <row r="3125" spans="1:5" x14ac:dyDescent="0.3">
      <c r="A3125" t="s">
        <v>33</v>
      </c>
      <c r="B3125">
        <v>2012</v>
      </c>
      <c r="C3125" t="str">
        <f>_xlfn.CONCAT(Table16[[#This Row],[STATE]],"-",Table16[[#This Row],[YEAR]])</f>
        <v>West Bengal-2012</v>
      </c>
      <c r="D3125" t="s">
        <v>985</v>
      </c>
      <c r="E3125">
        <v>68</v>
      </c>
    </row>
    <row r="3126" spans="1:5" x14ac:dyDescent="0.3">
      <c r="A3126" t="s">
        <v>33</v>
      </c>
      <c r="B3126">
        <v>2012</v>
      </c>
      <c r="C3126" t="str">
        <f>_xlfn.CONCAT(Table16[[#This Row],[STATE]],"-",Table16[[#This Row],[YEAR]])</f>
        <v>West Bengal-2012</v>
      </c>
      <c r="D3126" t="s">
        <v>484</v>
      </c>
      <c r="E3126">
        <v>30</v>
      </c>
    </row>
    <row r="3127" spans="1:5" x14ac:dyDescent="0.3">
      <c r="A3127" t="s">
        <v>33</v>
      </c>
      <c r="B3127">
        <v>2012</v>
      </c>
      <c r="C3127" t="str">
        <f>_xlfn.CONCAT(Table16[[#This Row],[STATE]],"-",Table16[[#This Row],[YEAR]])</f>
        <v>West Bengal-2012</v>
      </c>
      <c r="D3127" t="s">
        <v>1043</v>
      </c>
      <c r="E3127">
        <v>30</v>
      </c>
    </row>
    <row r="3128" spans="1:5" x14ac:dyDescent="0.3">
      <c r="A3128" t="s">
        <v>33</v>
      </c>
      <c r="B3128">
        <v>2012</v>
      </c>
      <c r="C3128" t="str">
        <f>_xlfn.CONCAT(Table16[[#This Row],[STATE]],"-",Table16[[#This Row],[YEAR]])</f>
        <v>West Bengal-2012</v>
      </c>
      <c r="D3128" t="s">
        <v>1044</v>
      </c>
      <c r="E3128">
        <v>154</v>
      </c>
    </row>
    <row r="3129" spans="1:5" x14ac:dyDescent="0.3">
      <c r="A3129" t="s">
        <v>33</v>
      </c>
      <c r="B3129">
        <v>2012</v>
      </c>
      <c r="C3129" t="str">
        <f>_xlfn.CONCAT(Table16[[#This Row],[STATE]],"-",Table16[[#This Row],[YEAR]])</f>
        <v>West Bengal-2012</v>
      </c>
      <c r="D3129" t="s">
        <v>1045</v>
      </c>
      <c r="E3129">
        <v>81</v>
      </c>
    </row>
    <row r="3130" spans="1:5" x14ac:dyDescent="0.3">
      <c r="A3130" t="s">
        <v>33</v>
      </c>
      <c r="B3130">
        <v>2012</v>
      </c>
      <c r="C3130" t="str">
        <f>_xlfn.CONCAT(Table16[[#This Row],[STATE]],"-",Table16[[#This Row],[YEAR]])</f>
        <v>West Bengal-2012</v>
      </c>
      <c r="D3130" t="s">
        <v>979</v>
      </c>
      <c r="E3130">
        <v>65</v>
      </c>
    </row>
    <row r="3131" spans="1:5" x14ac:dyDescent="0.3">
      <c r="A3131" t="s">
        <v>33</v>
      </c>
      <c r="B3131">
        <v>2012</v>
      </c>
      <c r="C3131" t="str">
        <f>_xlfn.CONCAT(Table16[[#This Row],[STATE]],"-",Table16[[#This Row],[YEAR]])</f>
        <v>West Bengal-2012</v>
      </c>
      <c r="D3131" t="s">
        <v>1046</v>
      </c>
      <c r="E3131">
        <v>129</v>
      </c>
    </row>
    <row r="3132" spans="1:5" x14ac:dyDescent="0.3">
      <c r="A3132" t="s">
        <v>33</v>
      </c>
      <c r="B3132">
        <v>2012</v>
      </c>
      <c r="C3132" t="str">
        <f>_xlfn.CONCAT(Table16[[#This Row],[STATE]],"-",Table16[[#This Row],[YEAR]])</f>
        <v>West Bengal-2012</v>
      </c>
      <c r="D3132" t="s">
        <v>1047</v>
      </c>
      <c r="E3132">
        <v>4</v>
      </c>
    </row>
    <row r="3133" spans="1:5" x14ac:dyDescent="0.3">
      <c r="A3133" t="s">
        <v>33</v>
      </c>
      <c r="B3133">
        <v>2012</v>
      </c>
      <c r="C3133" t="str">
        <f>_xlfn.CONCAT(Table16[[#This Row],[STATE]],"-",Table16[[#This Row],[YEAR]])</f>
        <v>West Bengal-2012</v>
      </c>
      <c r="D3133" t="s">
        <v>1048</v>
      </c>
      <c r="E3133">
        <v>23</v>
      </c>
    </row>
    <row r="3134" spans="1:5" x14ac:dyDescent="0.3">
      <c r="A3134" t="s">
        <v>33</v>
      </c>
      <c r="B3134">
        <v>2012</v>
      </c>
      <c r="C3134" t="str">
        <f>_xlfn.CONCAT(Table16[[#This Row],[STATE]],"-",Table16[[#This Row],[YEAR]])</f>
        <v>West Bengal-2012</v>
      </c>
      <c r="D3134" t="s">
        <v>1049</v>
      </c>
      <c r="E3134">
        <v>2</v>
      </c>
    </row>
    <row r="3135" spans="1:5" x14ac:dyDescent="0.3">
      <c r="A3135" t="s">
        <v>33</v>
      </c>
      <c r="B3135">
        <v>2012</v>
      </c>
      <c r="C3135" t="str">
        <f>_xlfn.CONCAT(Table16[[#This Row],[STATE]],"-",Table16[[#This Row],[YEAR]])</f>
        <v>West Bengal-2012</v>
      </c>
      <c r="D3135" t="s">
        <v>1050</v>
      </c>
      <c r="E3135">
        <v>8</v>
      </c>
    </row>
    <row r="3136" spans="1:5" x14ac:dyDescent="0.3">
      <c r="A3136" t="s">
        <v>33</v>
      </c>
      <c r="B3136">
        <v>2012</v>
      </c>
      <c r="C3136" t="str">
        <f>_xlfn.CONCAT(Table16[[#This Row],[STATE]],"-",Table16[[#This Row],[YEAR]])</f>
        <v>West Bengal-2012</v>
      </c>
      <c r="D3136" t="s">
        <v>1051</v>
      </c>
      <c r="E3136">
        <v>2</v>
      </c>
    </row>
    <row r="3137" spans="1:5" x14ac:dyDescent="0.3">
      <c r="A3137" t="s">
        <v>33</v>
      </c>
      <c r="B3137">
        <v>2012</v>
      </c>
      <c r="C3137" t="str">
        <f>_xlfn.CONCAT(Table16[[#This Row],[STATE]],"-",Table16[[#This Row],[YEAR]])</f>
        <v>West Bengal-2012</v>
      </c>
      <c r="D3137" t="s">
        <v>1052</v>
      </c>
      <c r="E3137">
        <v>30</v>
      </c>
    </row>
    <row r="3138" spans="1:5" x14ac:dyDescent="0.3">
      <c r="A3138" t="s">
        <v>33</v>
      </c>
      <c r="B3138">
        <v>2012</v>
      </c>
      <c r="C3138" t="str">
        <f>_xlfn.CONCAT(Table16[[#This Row],[STATE]],"-",Table16[[#This Row],[YEAR]])</f>
        <v>West Bengal-2012</v>
      </c>
      <c r="D3138" t="s">
        <v>1053</v>
      </c>
      <c r="E3138">
        <v>3</v>
      </c>
    </row>
    <row r="3139" spans="1:5" x14ac:dyDescent="0.3">
      <c r="A3139" t="s">
        <v>33</v>
      </c>
      <c r="B3139">
        <v>2012</v>
      </c>
      <c r="C3139" t="str">
        <f>_xlfn.CONCAT(Table16[[#This Row],[STATE]],"-",Table16[[#This Row],[YEAR]])</f>
        <v>West Bengal-2012</v>
      </c>
      <c r="D3139" t="s">
        <v>350</v>
      </c>
      <c r="E3139">
        <v>55</v>
      </c>
    </row>
    <row r="3140" spans="1:5" x14ac:dyDescent="0.3">
      <c r="A3140" t="s">
        <v>33</v>
      </c>
      <c r="B3140">
        <v>2012</v>
      </c>
      <c r="C3140" t="str">
        <f>_xlfn.CONCAT(Table16[[#This Row],[STATE]],"-",Table16[[#This Row],[YEAR]])</f>
        <v>West Bengal-2012</v>
      </c>
      <c r="D3140" t="s">
        <v>1054</v>
      </c>
      <c r="E3140">
        <v>220</v>
      </c>
    </row>
    <row r="3141" spans="1:5" x14ac:dyDescent="0.3">
      <c r="A3141" t="s">
        <v>33</v>
      </c>
      <c r="B3141">
        <v>2012</v>
      </c>
      <c r="C3141" t="str">
        <f>_xlfn.CONCAT(Table16[[#This Row],[STATE]],"-",Table16[[#This Row],[YEAR]])</f>
        <v>West Bengal-2012</v>
      </c>
      <c r="D3141" t="s">
        <v>1055</v>
      </c>
      <c r="E3141">
        <v>50</v>
      </c>
    </row>
    <row r="3142" spans="1:5" x14ac:dyDescent="0.3">
      <c r="A3142" t="s">
        <v>33</v>
      </c>
      <c r="B3142">
        <v>2012</v>
      </c>
      <c r="C3142" t="str">
        <f>_xlfn.CONCAT(Table16[[#This Row],[STATE]],"-",Table16[[#This Row],[YEAR]])</f>
        <v>West Bengal-2012</v>
      </c>
      <c r="D3142" t="s">
        <v>1056</v>
      </c>
      <c r="E3142">
        <v>10</v>
      </c>
    </row>
    <row r="3143" spans="1:5" x14ac:dyDescent="0.3">
      <c r="A3143" t="s">
        <v>33</v>
      </c>
      <c r="B3143">
        <v>2012</v>
      </c>
      <c r="C3143" t="str">
        <f>_xlfn.CONCAT(Table16[[#This Row],[STATE]],"-",Table16[[#This Row],[YEAR]])</f>
        <v>West Bengal-2012</v>
      </c>
      <c r="D3143" t="s">
        <v>1057</v>
      </c>
      <c r="E3143">
        <v>39</v>
      </c>
    </row>
    <row r="3144" spans="1:5" x14ac:dyDescent="0.3">
      <c r="A3144" t="s">
        <v>33</v>
      </c>
      <c r="B3144">
        <v>2012</v>
      </c>
      <c r="C3144" t="str">
        <f>_xlfn.CONCAT(Table16[[#This Row],[STATE]],"-",Table16[[#This Row],[YEAR]])</f>
        <v>West Bengal-2012</v>
      </c>
      <c r="D3144" t="s">
        <v>1058</v>
      </c>
      <c r="E3144">
        <v>39</v>
      </c>
    </row>
    <row r="3145" spans="1:5" x14ac:dyDescent="0.3">
      <c r="A3145" t="s">
        <v>33</v>
      </c>
      <c r="B3145">
        <v>2012</v>
      </c>
      <c r="C3145" t="str">
        <f>_xlfn.CONCAT(Table16[[#This Row],[STATE]],"-",Table16[[#This Row],[YEAR]])</f>
        <v>West Bengal-2012</v>
      </c>
      <c r="D3145" t="s">
        <v>379</v>
      </c>
      <c r="E3145">
        <v>36</v>
      </c>
    </row>
    <row r="3146" spans="1:5" x14ac:dyDescent="0.3">
      <c r="A3146" t="s">
        <v>33</v>
      </c>
      <c r="B3146">
        <v>2012</v>
      </c>
      <c r="C3146" t="str">
        <f>_xlfn.CONCAT(Table16[[#This Row],[STATE]],"-",Table16[[#This Row],[YEAR]])</f>
        <v>West Bengal-2012</v>
      </c>
      <c r="D3146" t="s">
        <v>1059</v>
      </c>
      <c r="E3146">
        <v>25</v>
      </c>
    </row>
    <row r="3147" spans="1:5" x14ac:dyDescent="0.3">
      <c r="A3147" t="s">
        <v>33</v>
      </c>
      <c r="B3147">
        <v>2012</v>
      </c>
      <c r="C3147" t="str">
        <f>_xlfn.CONCAT(Table16[[#This Row],[STATE]],"-",Table16[[#This Row],[YEAR]])</f>
        <v>West Bengal-2012</v>
      </c>
      <c r="D3147" t="s">
        <v>1060</v>
      </c>
      <c r="E3147">
        <v>90</v>
      </c>
    </row>
    <row r="3148" spans="1:5" x14ac:dyDescent="0.3">
      <c r="A3148" t="s">
        <v>33</v>
      </c>
      <c r="B3148">
        <v>2012</v>
      </c>
      <c r="C3148" t="str">
        <f>_xlfn.CONCAT(Table16[[#This Row],[STATE]],"-",Table16[[#This Row],[YEAR]])</f>
        <v>West Bengal-2012</v>
      </c>
      <c r="D3148" t="s">
        <v>1061</v>
      </c>
      <c r="E3148">
        <v>25</v>
      </c>
    </row>
    <row r="3149" spans="1:5" x14ac:dyDescent="0.3">
      <c r="A3149" t="s">
        <v>33</v>
      </c>
      <c r="B3149">
        <v>2012</v>
      </c>
      <c r="C3149" t="str">
        <f>_xlfn.CONCAT(Table16[[#This Row],[STATE]],"-",Table16[[#This Row],[YEAR]])</f>
        <v>West Bengal-2012</v>
      </c>
      <c r="D3149" t="s">
        <v>1062</v>
      </c>
      <c r="E3149">
        <v>25</v>
      </c>
    </row>
    <row r="3150" spans="1:5" x14ac:dyDescent="0.3">
      <c r="A3150" t="s">
        <v>34</v>
      </c>
      <c r="B3150">
        <v>2013</v>
      </c>
      <c r="C3150" t="str">
        <f>_xlfn.CONCAT(Table16[[#This Row],[STATE]],"-",Table16[[#This Row],[YEAR]])</f>
        <v>A &amp; N Islands-2013</v>
      </c>
      <c r="D3150" t="s">
        <v>1063</v>
      </c>
      <c r="E3150">
        <v>26</v>
      </c>
    </row>
    <row r="3151" spans="1:5" x14ac:dyDescent="0.3">
      <c r="A3151" t="s">
        <v>34</v>
      </c>
      <c r="B3151">
        <v>2013</v>
      </c>
      <c r="C3151" t="str">
        <f>_xlfn.CONCAT(Table16[[#This Row],[STATE]],"-",Table16[[#This Row],[YEAR]])</f>
        <v>A &amp; N Islands-2013</v>
      </c>
      <c r="D3151" t="s">
        <v>1064</v>
      </c>
      <c r="E3151">
        <v>22</v>
      </c>
    </row>
    <row r="3152" spans="1:5" x14ac:dyDescent="0.3">
      <c r="A3152" t="s">
        <v>34</v>
      </c>
      <c r="B3152">
        <v>2013</v>
      </c>
      <c r="C3152" t="str">
        <f>_xlfn.CONCAT(Table16[[#This Row],[STATE]],"-",Table16[[#This Row],[YEAR]])</f>
        <v>A &amp; N Islands-2013</v>
      </c>
      <c r="D3152" t="s">
        <v>1065</v>
      </c>
      <c r="E3152">
        <v>4</v>
      </c>
    </row>
    <row r="3153" spans="1:5" x14ac:dyDescent="0.3">
      <c r="A3153" t="s">
        <v>34</v>
      </c>
      <c r="B3153">
        <v>2013</v>
      </c>
      <c r="C3153" t="str">
        <f>_xlfn.CONCAT(Table16[[#This Row],[STATE]],"-",Table16[[#This Row],[YEAR]])</f>
        <v>A &amp; N Islands-2013</v>
      </c>
      <c r="D3153" t="s">
        <v>103</v>
      </c>
      <c r="E3153">
        <v>2</v>
      </c>
    </row>
    <row r="3154" spans="1:5" x14ac:dyDescent="0.3">
      <c r="A3154" t="s">
        <v>34</v>
      </c>
      <c r="B3154">
        <v>2013</v>
      </c>
      <c r="C3154" t="str">
        <f>_xlfn.CONCAT(Table16[[#This Row],[STATE]],"-",Table16[[#This Row],[YEAR]])</f>
        <v>A &amp; N Islands-2013</v>
      </c>
      <c r="D3154" t="s">
        <v>140</v>
      </c>
      <c r="E3154">
        <v>2</v>
      </c>
    </row>
    <row r="3155" spans="1:5" x14ac:dyDescent="0.3">
      <c r="A3155" t="s">
        <v>34</v>
      </c>
      <c r="B3155">
        <v>2013</v>
      </c>
      <c r="C3155" t="str">
        <f>_xlfn.CONCAT(Table16[[#This Row],[STATE]],"-",Table16[[#This Row],[YEAR]])</f>
        <v>A &amp; N Islands-2013</v>
      </c>
      <c r="D3155" t="s">
        <v>90</v>
      </c>
      <c r="E3155">
        <v>5</v>
      </c>
    </row>
    <row r="3156" spans="1:5" x14ac:dyDescent="0.3">
      <c r="A3156" t="s">
        <v>34</v>
      </c>
      <c r="B3156">
        <v>2013</v>
      </c>
      <c r="C3156" t="str">
        <f>_xlfn.CONCAT(Table16[[#This Row],[STATE]],"-",Table16[[#This Row],[YEAR]])</f>
        <v>A &amp; N Islands-2013</v>
      </c>
      <c r="D3156" t="s">
        <v>401</v>
      </c>
      <c r="E3156">
        <v>41</v>
      </c>
    </row>
    <row r="3157" spans="1:5" x14ac:dyDescent="0.3">
      <c r="A3157" t="s">
        <v>34</v>
      </c>
      <c r="B3157">
        <v>2013</v>
      </c>
      <c r="C3157" t="str">
        <f>_xlfn.CONCAT(Table16[[#This Row],[STATE]],"-",Table16[[#This Row],[YEAR]])</f>
        <v>A &amp; N Islands-2013</v>
      </c>
      <c r="D3157" t="s">
        <v>1066</v>
      </c>
      <c r="E3157">
        <v>59</v>
      </c>
    </row>
    <row r="3158" spans="1:5" x14ac:dyDescent="0.3">
      <c r="A3158" t="s">
        <v>34</v>
      </c>
      <c r="B3158">
        <v>2012</v>
      </c>
      <c r="C3158" t="str">
        <f>_xlfn.CONCAT(Table16[[#This Row],[STATE]],"-",Table16[[#This Row],[YEAR]])</f>
        <v>A &amp; N Islands-2012</v>
      </c>
      <c r="D3158" t="s">
        <v>283</v>
      </c>
      <c r="E3158">
        <v>13</v>
      </c>
    </row>
    <row r="3159" spans="1:5" x14ac:dyDescent="0.3">
      <c r="A3159" t="s">
        <v>34</v>
      </c>
      <c r="B3159">
        <v>2012</v>
      </c>
      <c r="C3159" t="str">
        <f>_xlfn.CONCAT(Table16[[#This Row],[STATE]],"-",Table16[[#This Row],[YEAR]])</f>
        <v>A &amp; N Islands-2012</v>
      </c>
      <c r="D3159" t="s">
        <v>679</v>
      </c>
      <c r="E3159">
        <v>12</v>
      </c>
    </row>
    <row r="3160" spans="1:5" x14ac:dyDescent="0.3">
      <c r="A3160" t="s">
        <v>34</v>
      </c>
      <c r="B3160">
        <v>2012</v>
      </c>
      <c r="C3160" t="str">
        <f>_xlfn.CONCAT(Table16[[#This Row],[STATE]],"-",Table16[[#This Row],[YEAR]])</f>
        <v>A &amp; N Islands-2012</v>
      </c>
      <c r="D3160" t="s">
        <v>292</v>
      </c>
      <c r="E3160">
        <v>6</v>
      </c>
    </row>
    <row r="3161" spans="1:5" x14ac:dyDescent="0.3">
      <c r="A3161" t="s">
        <v>34</v>
      </c>
      <c r="B3161">
        <v>2012</v>
      </c>
      <c r="C3161" t="str">
        <f>_xlfn.CONCAT(Table16[[#This Row],[STATE]],"-",Table16[[#This Row],[YEAR]])</f>
        <v>A &amp; N Islands-2012</v>
      </c>
      <c r="D3161" t="s">
        <v>103</v>
      </c>
      <c r="E3161">
        <v>1</v>
      </c>
    </row>
    <row r="3162" spans="1:5" x14ac:dyDescent="0.3">
      <c r="A3162" t="s">
        <v>34</v>
      </c>
      <c r="B3162">
        <v>2012</v>
      </c>
      <c r="C3162" t="str">
        <f>_xlfn.CONCAT(Table16[[#This Row],[STATE]],"-",Table16[[#This Row],[YEAR]])</f>
        <v>A &amp; N Islands-2012</v>
      </c>
      <c r="D3162" t="s">
        <v>90</v>
      </c>
      <c r="E3162">
        <v>6</v>
      </c>
    </row>
    <row r="3163" spans="1:5" x14ac:dyDescent="0.3">
      <c r="A3163" t="s">
        <v>34</v>
      </c>
      <c r="B3163">
        <v>2012</v>
      </c>
      <c r="C3163" t="str">
        <f>_xlfn.CONCAT(Table16[[#This Row],[STATE]],"-",Table16[[#This Row],[YEAR]])</f>
        <v>A &amp; N Islands-2012</v>
      </c>
      <c r="D3163" t="s">
        <v>401</v>
      </c>
      <c r="E3163">
        <v>53</v>
      </c>
    </row>
    <row r="3164" spans="1:5" x14ac:dyDescent="0.3">
      <c r="A3164" t="s">
        <v>34</v>
      </c>
      <c r="B3164">
        <v>2012</v>
      </c>
      <c r="C3164" t="str">
        <f>_xlfn.CONCAT(Table16[[#This Row],[STATE]],"-",Table16[[#This Row],[YEAR]])</f>
        <v>A &amp; N Islands-2012</v>
      </c>
      <c r="D3164" t="s">
        <v>182</v>
      </c>
      <c r="E3164">
        <v>66</v>
      </c>
    </row>
    <row r="3165" spans="1:5" x14ac:dyDescent="0.3">
      <c r="A3165" t="s">
        <v>34</v>
      </c>
      <c r="B3165">
        <v>2011</v>
      </c>
      <c r="C3165" t="str">
        <f>_xlfn.CONCAT(Table16[[#This Row],[STATE]],"-",Table16[[#This Row],[YEAR]])</f>
        <v>A &amp; N Islands-2011</v>
      </c>
      <c r="D3165" t="s">
        <v>283</v>
      </c>
      <c r="E3165">
        <v>13</v>
      </c>
    </row>
    <row r="3166" spans="1:5" x14ac:dyDescent="0.3">
      <c r="A3166" t="s">
        <v>34</v>
      </c>
      <c r="B3166">
        <v>2011</v>
      </c>
      <c r="C3166" t="str">
        <f>_xlfn.CONCAT(Table16[[#This Row],[STATE]],"-",Table16[[#This Row],[YEAR]])</f>
        <v>A &amp; N Islands-2011</v>
      </c>
      <c r="D3166" t="s">
        <v>679</v>
      </c>
      <c r="E3166">
        <v>12</v>
      </c>
    </row>
    <row r="3167" spans="1:5" x14ac:dyDescent="0.3">
      <c r="A3167" t="s">
        <v>34</v>
      </c>
      <c r="B3167">
        <v>2011</v>
      </c>
      <c r="C3167" t="str">
        <f>_xlfn.CONCAT(Table16[[#This Row],[STATE]],"-",Table16[[#This Row],[YEAR]])</f>
        <v>A &amp; N Islands-2011</v>
      </c>
      <c r="D3167" t="s">
        <v>292</v>
      </c>
      <c r="E3167">
        <v>5</v>
      </c>
    </row>
    <row r="3168" spans="1:5" x14ac:dyDescent="0.3">
      <c r="A3168" t="s">
        <v>34</v>
      </c>
      <c r="B3168">
        <v>2011</v>
      </c>
      <c r="C3168" t="str">
        <f>_xlfn.CONCAT(Table16[[#This Row],[STATE]],"-",Table16[[#This Row],[YEAR]])</f>
        <v>A &amp; N Islands-2011</v>
      </c>
      <c r="D3168" t="s">
        <v>103</v>
      </c>
      <c r="E3168">
        <v>2</v>
      </c>
    </row>
    <row r="3169" spans="1:5" x14ac:dyDescent="0.3">
      <c r="A3169" t="s">
        <v>34</v>
      </c>
      <c r="B3169">
        <v>2011</v>
      </c>
      <c r="C3169" t="str">
        <f>_xlfn.CONCAT(Table16[[#This Row],[STATE]],"-",Table16[[#This Row],[YEAR]])</f>
        <v>A &amp; N Islands-2011</v>
      </c>
      <c r="D3169" t="s">
        <v>140</v>
      </c>
      <c r="E3169">
        <v>3</v>
      </c>
    </row>
    <row r="3170" spans="1:5" x14ac:dyDescent="0.3">
      <c r="A3170" t="s">
        <v>34</v>
      </c>
      <c r="B3170">
        <v>2011</v>
      </c>
      <c r="C3170" t="str">
        <f>_xlfn.CONCAT(Table16[[#This Row],[STATE]],"-",Table16[[#This Row],[YEAR]])</f>
        <v>A &amp; N Islands-2011</v>
      </c>
      <c r="D3170" t="s">
        <v>90</v>
      </c>
      <c r="E3170">
        <v>7</v>
      </c>
    </row>
    <row r="3171" spans="1:5" x14ac:dyDescent="0.3">
      <c r="A3171" t="s">
        <v>34</v>
      </c>
      <c r="B3171">
        <v>2011</v>
      </c>
      <c r="C3171" t="str">
        <f>_xlfn.CONCAT(Table16[[#This Row],[STATE]],"-",Table16[[#This Row],[YEAR]])</f>
        <v>A &amp; N Islands-2011</v>
      </c>
      <c r="D3171" t="s">
        <v>401</v>
      </c>
      <c r="E3171">
        <v>54</v>
      </c>
    </row>
    <row r="3172" spans="1:5" x14ac:dyDescent="0.3">
      <c r="A3172" t="s">
        <v>34</v>
      </c>
      <c r="B3172">
        <v>2011</v>
      </c>
      <c r="C3172" t="str">
        <f>_xlfn.CONCAT(Table16[[#This Row],[STATE]],"-",Table16[[#This Row],[YEAR]])</f>
        <v>A &amp; N Islands-2011</v>
      </c>
      <c r="D3172" t="s">
        <v>182</v>
      </c>
      <c r="E3172">
        <v>45</v>
      </c>
    </row>
    <row r="3173" spans="1:5" x14ac:dyDescent="0.3">
      <c r="A3173" t="s">
        <v>34</v>
      </c>
      <c r="B3173">
        <v>2010</v>
      </c>
      <c r="C3173" t="str">
        <f>_xlfn.CONCAT(Table16[[#This Row],[STATE]],"-",Table16[[#This Row],[YEAR]])</f>
        <v>A &amp; N Islands-2010</v>
      </c>
      <c r="D3173" t="s">
        <v>283</v>
      </c>
      <c r="E3173">
        <v>19</v>
      </c>
    </row>
    <row r="3174" spans="1:5" x14ac:dyDescent="0.3">
      <c r="A3174" t="s">
        <v>34</v>
      </c>
      <c r="B3174">
        <v>2010</v>
      </c>
      <c r="C3174" t="str">
        <f>_xlfn.CONCAT(Table16[[#This Row],[STATE]],"-",Table16[[#This Row],[YEAR]])</f>
        <v>A &amp; N Islands-2010</v>
      </c>
      <c r="D3174" t="s">
        <v>1067</v>
      </c>
      <c r="E3174">
        <v>12</v>
      </c>
    </row>
    <row r="3175" spans="1:5" x14ac:dyDescent="0.3">
      <c r="A3175" t="s">
        <v>34</v>
      </c>
      <c r="B3175">
        <v>2010</v>
      </c>
      <c r="C3175" t="str">
        <f>_xlfn.CONCAT(Table16[[#This Row],[STATE]],"-",Table16[[#This Row],[YEAR]])</f>
        <v>A &amp; N Islands-2010</v>
      </c>
      <c r="D3175" t="s">
        <v>292</v>
      </c>
      <c r="E3175">
        <v>5</v>
      </c>
    </row>
    <row r="3176" spans="1:5" x14ac:dyDescent="0.3">
      <c r="A3176" t="s">
        <v>34</v>
      </c>
      <c r="B3176">
        <v>2010</v>
      </c>
      <c r="C3176" t="str">
        <f>_xlfn.CONCAT(Table16[[#This Row],[STATE]],"-",Table16[[#This Row],[YEAR]])</f>
        <v>A &amp; N Islands-2010</v>
      </c>
      <c r="D3176" t="s">
        <v>103</v>
      </c>
      <c r="E3176">
        <v>1</v>
      </c>
    </row>
    <row r="3177" spans="1:5" x14ac:dyDescent="0.3">
      <c r="A3177" t="s">
        <v>34</v>
      </c>
      <c r="B3177">
        <v>2010</v>
      </c>
      <c r="C3177" t="str">
        <f>_xlfn.CONCAT(Table16[[#This Row],[STATE]],"-",Table16[[#This Row],[YEAR]])</f>
        <v>A &amp; N Islands-2010</v>
      </c>
      <c r="D3177" t="s">
        <v>140</v>
      </c>
      <c r="E3177">
        <v>1</v>
      </c>
    </row>
    <row r="3178" spans="1:5" x14ac:dyDescent="0.3">
      <c r="A3178" t="s">
        <v>34</v>
      </c>
      <c r="B3178">
        <v>2010</v>
      </c>
      <c r="C3178" t="str">
        <f>_xlfn.CONCAT(Table16[[#This Row],[STATE]],"-",Table16[[#This Row],[YEAR]])</f>
        <v>A &amp; N Islands-2010</v>
      </c>
      <c r="D3178" t="s">
        <v>90</v>
      </c>
      <c r="E3178">
        <v>4</v>
      </c>
    </row>
    <row r="3179" spans="1:5" x14ac:dyDescent="0.3">
      <c r="A3179" t="s">
        <v>34</v>
      </c>
      <c r="B3179">
        <v>2010</v>
      </c>
      <c r="C3179" t="str">
        <f>_xlfn.CONCAT(Table16[[#This Row],[STATE]],"-",Table16[[#This Row],[YEAR]])</f>
        <v>A &amp; N Islands-2010</v>
      </c>
      <c r="D3179" t="s">
        <v>401</v>
      </c>
      <c r="E3179">
        <v>30</v>
      </c>
    </row>
    <row r="3180" spans="1:5" x14ac:dyDescent="0.3">
      <c r="A3180" t="s">
        <v>34</v>
      </c>
      <c r="B3180">
        <v>2010</v>
      </c>
      <c r="C3180" t="str">
        <f>_xlfn.CONCAT(Table16[[#This Row],[STATE]],"-",Table16[[#This Row],[YEAR]])</f>
        <v>A &amp; N Islands-2010</v>
      </c>
      <c r="D3180" t="s">
        <v>182</v>
      </c>
      <c r="E3180">
        <v>32</v>
      </c>
    </row>
    <row r="3181" spans="1:5" x14ac:dyDescent="0.3">
      <c r="A3181" t="s">
        <v>34</v>
      </c>
      <c r="B3181">
        <v>2010</v>
      </c>
      <c r="C3181" t="str">
        <f>_xlfn.CONCAT(Table16[[#This Row],[STATE]],"-",Table16[[#This Row],[YEAR]])</f>
        <v>A &amp; N Islands-2010</v>
      </c>
      <c r="D3181" t="s">
        <v>96</v>
      </c>
      <c r="E3181">
        <v>4</v>
      </c>
    </row>
    <row r="3182" spans="1:5" x14ac:dyDescent="0.3">
      <c r="A3182" t="s">
        <v>34</v>
      </c>
      <c r="B3182">
        <v>2009</v>
      </c>
      <c r="C3182" t="str">
        <f>_xlfn.CONCAT(Table16[[#This Row],[STATE]],"-",Table16[[#This Row],[YEAR]])</f>
        <v>A &amp; N Islands-2009</v>
      </c>
      <c r="D3182" t="s">
        <v>283</v>
      </c>
      <c r="E3182">
        <v>8</v>
      </c>
    </row>
    <row r="3183" spans="1:5" x14ac:dyDescent="0.3">
      <c r="A3183" t="s">
        <v>34</v>
      </c>
      <c r="B3183">
        <v>2009</v>
      </c>
      <c r="C3183" t="str">
        <f>_xlfn.CONCAT(Table16[[#This Row],[STATE]],"-",Table16[[#This Row],[YEAR]])</f>
        <v>A &amp; N Islands-2009</v>
      </c>
      <c r="D3183" t="s">
        <v>1067</v>
      </c>
      <c r="E3183">
        <v>7</v>
      </c>
    </row>
    <row r="3184" spans="1:5" x14ac:dyDescent="0.3">
      <c r="A3184" t="s">
        <v>34</v>
      </c>
      <c r="B3184">
        <v>2009</v>
      </c>
      <c r="C3184" t="str">
        <f>_xlfn.CONCAT(Table16[[#This Row],[STATE]],"-",Table16[[#This Row],[YEAR]])</f>
        <v>A &amp; N Islands-2009</v>
      </c>
      <c r="D3184" t="s">
        <v>292</v>
      </c>
      <c r="E3184">
        <v>5</v>
      </c>
    </row>
    <row r="3185" spans="1:5" x14ac:dyDescent="0.3">
      <c r="A3185" t="s">
        <v>34</v>
      </c>
      <c r="B3185">
        <v>2009</v>
      </c>
      <c r="C3185" t="str">
        <f>_xlfn.CONCAT(Table16[[#This Row],[STATE]],"-",Table16[[#This Row],[YEAR]])</f>
        <v>A &amp; N Islands-2009</v>
      </c>
      <c r="D3185" t="s">
        <v>103</v>
      </c>
      <c r="E3185">
        <v>1</v>
      </c>
    </row>
    <row r="3186" spans="1:5" x14ac:dyDescent="0.3">
      <c r="A3186" t="s">
        <v>34</v>
      </c>
      <c r="B3186">
        <v>2009</v>
      </c>
      <c r="C3186" t="str">
        <f>_xlfn.CONCAT(Table16[[#This Row],[STATE]],"-",Table16[[#This Row],[YEAR]])</f>
        <v>A &amp; N Islands-2009</v>
      </c>
      <c r="D3186" t="s">
        <v>140</v>
      </c>
      <c r="E3186">
        <v>1</v>
      </c>
    </row>
    <row r="3187" spans="1:5" x14ac:dyDescent="0.3">
      <c r="A3187" t="s">
        <v>34</v>
      </c>
      <c r="B3187">
        <v>2009</v>
      </c>
      <c r="C3187" t="str">
        <f>_xlfn.CONCAT(Table16[[#This Row],[STATE]],"-",Table16[[#This Row],[YEAR]])</f>
        <v>A &amp; N Islands-2009</v>
      </c>
      <c r="D3187" t="s">
        <v>90</v>
      </c>
      <c r="E3187">
        <v>4</v>
      </c>
    </row>
    <row r="3188" spans="1:5" x14ac:dyDescent="0.3">
      <c r="A3188" t="s">
        <v>34</v>
      </c>
      <c r="B3188">
        <v>2009</v>
      </c>
      <c r="C3188" t="str">
        <f>_xlfn.CONCAT(Table16[[#This Row],[STATE]],"-",Table16[[#This Row],[YEAR]])</f>
        <v>A &amp; N Islands-2009</v>
      </c>
      <c r="D3188" t="s">
        <v>401</v>
      </c>
      <c r="E3188">
        <v>19</v>
      </c>
    </row>
    <row r="3189" spans="1:5" x14ac:dyDescent="0.3">
      <c r="A3189" t="s">
        <v>34</v>
      </c>
      <c r="B3189">
        <v>2009</v>
      </c>
      <c r="C3189" t="str">
        <f>_xlfn.CONCAT(Table16[[#This Row],[STATE]],"-",Table16[[#This Row],[YEAR]])</f>
        <v>A &amp; N Islands-2009</v>
      </c>
      <c r="D3189" t="s">
        <v>182</v>
      </c>
      <c r="E3189">
        <v>26</v>
      </c>
    </row>
    <row r="3190" spans="1:5" x14ac:dyDescent="0.3">
      <c r="A3190" t="s">
        <v>34</v>
      </c>
      <c r="B3190">
        <v>2008</v>
      </c>
      <c r="C3190" t="str">
        <f>_xlfn.CONCAT(Table16[[#This Row],[STATE]],"-",Table16[[#This Row],[YEAR]])</f>
        <v>A &amp; N Islands-2008</v>
      </c>
      <c r="D3190" t="s">
        <v>283</v>
      </c>
      <c r="E3190">
        <v>10</v>
      </c>
    </row>
    <row r="3191" spans="1:5" x14ac:dyDescent="0.3">
      <c r="A3191" t="s">
        <v>34</v>
      </c>
      <c r="B3191">
        <v>2008</v>
      </c>
      <c r="C3191" t="str">
        <f>_xlfn.CONCAT(Table16[[#This Row],[STATE]],"-",Table16[[#This Row],[YEAR]])</f>
        <v>A &amp; N Islands-2008</v>
      </c>
      <c r="D3191" t="s">
        <v>191</v>
      </c>
      <c r="E3191">
        <v>16</v>
      </c>
    </row>
    <row r="3192" spans="1:5" x14ac:dyDescent="0.3">
      <c r="A3192" t="s">
        <v>34</v>
      </c>
      <c r="B3192">
        <v>2008</v>
      </c>
      <c r="C3192" t="str">
        <f>_xlfn.CONCAT(Table16[[#This Row],[STATE]],"-",Table16[[#This Row],[YEAR]])</f>
        <v>A &amp; N Islands-2008</v>
      </c>
      <c r="D3192" t="s">
        <v>292</v>
      </c>
      <c r="E3192">
        <v>9</v>
      </c>
    </row>
    <row r="3193" spans="1:5" x14ac:dyDescent="0.3">
      <c r="A3193" t="s">
        <v>34</v>
      </c>
      <c r="B3193">
        <v>2008</v>
      </c>
      <c r="C3193" t="str">
        <f>_xlfn.CONCAT(Table16[[#This Row],[STATE]],"-",Table16[[#This Row],[YEAR]])</f>
        <v>A &amp; N Islands-2008</v>
      </c>
      <c r="D3193" t="s">
        <v>103</v>
      </c>
      <c r="E3193">
        <v>3</v>
      </c>
    </row>
    <row r="3194" spans="1:5" x14ac:dyDescent="0.3">
      <c r="A3194" t="s">
        <v>34</v>
      </c>
      <c r="B3194">
        <v>2008</v>
      </c>
      <c r="C3194" t="str">
        <f>_xlfn.CONCAT(Table16[[#This Row],[STATE]],"-",Table16[[#This Row],[YEAR]])</f>
        <v>A &amp; N Islands-2008</v>
      </c>
      <c r="D3194" t="s">
        <v>140</v>
      </c>
      <c r="E3194">
        <v>7</v>
      </c>
    </row>
    <row r="3195" spans="1:5" x14ac:dyDescent="0.3">
      <c r="A3195" t="s">
        <v>34</v>
      </c>
      <c r="B3195">
        <v>2008</v>
      </c>
      <c r="C3195" t="str">
        <f>_xlfn.CONCAT(Table16[[#This Row],[STATE]],"-",Table16[[#This Row],[YEAR]])</f>
        <v>A &amp; N Islands-2008</v>
      </c>
      <c r="D3195" t="s">
        <v>90</v>
      </c>
      <c r="E3195">
        <v>10</v>
      </c>
    </row>
    <row r="3196" spans="1:5" x14ac:dyDescent="0.3">
      <c r="A3196" t="s">
        <v>34</v>
      </c>
      <c r="B3196">
        <v>2008</v>
      </c>
      <c r="C3196" t="str">
        <f>_xlfn.CONCAT(Table16[[#This Row],[STATE]],"-",Table16[[#This Row],[YEAR]])</f>
        <v>A &amp; N Islands-2008</v>
      </c>
      <c r="D3196" t="s">
        <v>401</v>
      </c>
      <c r="E3196">
        <v>22</v>
      </c>
    </row>
    <row r="3197" spans="1:5" x14ac:dyDescent="0.3">
      <c r="A3197" t="s">
        <v>34</v>
      </c>
      <c r="B3197">
        <v>2008</v>
      </c>
      <c r="C3197" t="str">
        <f>_xlfn.CONCAT(Table16[[#This Row],[STATE]],"-",Table16[[#This Row],[YEAR]])</f>
        <v>A &amp; N Islands-2008</v>
      </c>
      <c r="D3197" t="s">
        <v>182</v>
      </c>
      <c r="E3197">
        <v>25</v>
      </c>
    </row>
    <row r="3198" spans="1:5" x14ac:dyDescent="0.3">
      <c r="A3198" t="s">
        <v>34</v>
      </c>
      <c r="B3198">
        <v>2007</v>
      </c>
      <c r="C3198" t="str">
        <f>_xlfn.CONCAT(Table16[[#This Row],[STATE]],"-",Table16[[#This Row],[YEAR]])</f>
        <v>A &amp; N Islands-2007</v>
      </c>
      <c r="D3198" t="s">
        <v>283</v>
      </c>
      <c r="E3198">
        <v>19</v>
      </c>
    </row>
    <row r="3199" spans="1:5" x14ac:dyDescent="0.3">
      <c r="A3199" t="s">
        <v>34</v>
      </c>
      <c r="B3199">
        <v>2007</v>
      </c>
      <c r="C3199" t="str">
        <f>_xlfn.CONCAT(Table16[[#This Row],[STATE]],"-",Table16[[#This Row],[YEAR]])</f>
        <v>A &amp; N Islands-2007</v>
      </c>
      <c r="D3199" t="s">
        <v>190</v>
      </c>
      <c r="E3199">
        <v>14</v>
      </c>
    </row>
    <row r="3200" spans="1:5" x14ac:dyDescent="0.3">
      <c r="A3200" t="s">
        <v>34</v>
      </c>
      <c r="B3200">
        <v>2007</v>
      </c>
      <c r="C3200" t="str">
        <f>_xlfn.CONCAT(Table16[[#This Row],[STATE]],"-",Table16[[#This Row],[YEAR]])</f>
        <v>A &amp; N Islands-2007</v>
      </c>
      <c r="D3200" t="s">
        <v>292</v>
      </c>
      <c r="E3200">
        <v>6</v>
      </c>
    </row>
    <row r="3201" spans="1:5" x14ac:dyDescent="0.3">
      <c r="A3201" t="s">
        <v>34</v>
      </c>
      <c r="B3201">
        <v>2007</v>
      </c>
      <c r="C3201" t="str">
        <f>_xlfn.CONCAT(Table16[[#This Row],[STATE]],"-",Table16[[#This Row],[YEAR]])</f>
        <v>A &amp; N Islands-2007</v>
      </c>
      <c r="D3201" t="s">
        <v>103</v>
      </c>
      <c r="E3201">
        <v>4</v>
      </c>
    </row>
    <row r="3202" spans="1:5" x14ac:dyDescent="0.3">
      <c r="A3202" t="s">
        <v>34</v>
      </c>
      <c r="B3202">
        <v>2007</v>
      </c>
      <c r="C3202" t="str">
        <f>_xlfn.CONCAT(Table16[[#This Row],[STATE]],"-",Table16[[#This Row],[YEAR]])</f>
        <v>A &amp; N Islands-2007</v>
      </c>
      <c r="D3202" t="s">
        <v>140</v>
      </c>
      <c r="E3202">
        <v>1</v>
      </c>
    </row>
    <row r="3203" spans="1:5" x14ac:dyDescent="0.3">
      <c r="A3203" t="s">
        <v>34</v>
      </c>
      <c r="B3203">
        <v>2007</v>
      </c>
      <c r="C3203" t="str">
        <f>_xlfn.CONCAT(Table16[[#This Row],[STATE]],"-",Table16[[#This Row],[YEAR]])</f>
        <v>A &amp; N Islands-2007</v>
      </c>
      <c r="D3203" t="s">
        <v>90</v>
      </c>
      <c r="E3203">
        <v>7</v>
      </c>
    </row>
    <row r="3204" spans="1:5" x14ac:dyDescent="0.3">
      <c r="A3204" t="s">
        <v>34</v>
      </c>
      <c r="B3204">
        <v>2007</v>
      </c>
      <c r="C3204" t="str">
        <f>_xlfn.CONCAT(Table16[[#This Row],[STATE]],"-",Table16[[#This Row],[YEAR]])</f>
        <v>A &amp; N Islands-2007</v>
      </c>
      <c r="D3204" t="s">
        <v>401</v>
      </c>
      <c r="E3204">
        <v>29</v>
      </c>
    </row>
    <row r="3205" spans="1:5" x14ac:dyDescent="0.3">
      <c r="A3205" t="s">
        <v>34</v>
      </c>
      <c r="B3205">
        <v>2007</v>
      </c>
      <c r="C3205" t="str">
        <f>_xlfn.CONCAT(Table16[[#This Row],[STATE]],"-",Table16[[#This Row],[YEAR]])</f>
        <v>A &amp; N Islands-2007</v>
      </c>
      <c r="D3205" t="s">
        <v>182</v>
      </c>
      <c r="E3205">
        <v>21</v>
      </c>
    </row>
    <row r="3206" spans="1:5" x14ac:dyDescent="0.3">
      <c r="A3206" t="s">
        <v>34</v>
      </c>
      <c r="B3206">
        <v>2006</v>
      </c>
      <c r="C3206" t="str">
        <f>_xlfn.CONCAT(Table16[[#This Row],[STATE]],"-",Table16[[#This Row],[YEAR]])</f>
        <v>A &amp; N Islands-2006</v>
      </c>
      <c r="D3206" t="s">
        <v>283</v>
      </c>
      <c r="E3206">
        <v>26</v>
      </c>
    </row>
    <row r="3207" spans="1:5" x14ac:dyDescent="0.3">
      <c r="A3207" t="s">
        <v>34</v>
      </c>
      <c r="B3207">
        <v>2006</v>
      </c>
      <c r="C3207" t="str">
        <f>_xlfn.CONCAT(Table16[[#This Row],[STATE]],"-",Table16[[#This Row],[YEAR]])</f>
        <v>A &amp; N Islands-2006</v>
      </c>
      <c r="D3207" t="s">
        <v>679</v>
      </c>
      <c r="E3207">
        <v>12</v>
      </c>
    </row>
    <row r="3208" spans="1:5" x14ac:dyDescent="0.3">
      <c r="A3208" t="s">
        <v>34</v>
      </c>
      <c r="B3208">
        <v>2006</v>
      </c>
      <c r="C3208" t="str">
        <f>_xlfn.CONCAT(Table16[[#This Row],[STATE]],"-",Table16[[#This Row],[YEAR]])</f>
        <v>A &amp; N Islands-2006</v>
      </c>
      <c r="D3208" t="s">
        <v>292</v>
      </c>
      <c r="E3208">
        <v>9</v>
      </c>
    </row>
    <row r="3209" spans="1:5" x14ac:dyDescent="0.3">
      <c r="A3209" t="s">
        <v>34</v>
      </c>
      <c r="B3209">
        <v>2006</v>
      </c>
      <c r="C3209" t="str">
        <f>_xlfn.CONCAT(Table16[[#This Row],[STATE]],"-",Table16[[#This Row],[YEAR]])</f>
        <v>A &amp; N Islands-2006</v>
      </c>
      <c r="D3209" t="s">
        <v>103</v>
      </c>
      <c r="E3209">
        <v>1</v>
      </c>
    </row>
    <row r="3210" spans="1:5" x14ac:dyDescent="0.3">
      <c r="A3210" t="s">
        <v>34</v>
      </c>
      <c r="B3210">
        <v>2006</v>
      </c>
      <c r="C3210" t="str">
        <f>_xlfn.CONCAT(Table16[[#This Row],[STATE]],"-",Table16[[#This Row],[YEAR]])</f>
        <v>A &amp; N Islands-2006</v>
      </c>
      <c r="D3210" t="s">
        <v>140</v>
      </c>
      <c r="E3210">
        <v>1</v>
      </c>
    </row>
    <row r="3211" spans="1:5" x14ac:dyDescent="0.3">
      <c r="A3211" t="s">
        <v>34</v>
      </c>
      <c r="B3211">
        <v>2006</v>
      </c>
      <c r="C3211" t="str">
        <f>_xlfn.CONCAT(Table16[[#This Row],[STATE]],"-",Table16[[#This Row],[YEAR]])</f>
        <v>A &amp; N Islands-2006</v>
      </c>
      <c r="D3211" t="s">
        <v>90</v>
      </c>
      <c r="E3211">
        <v>3</v>
      </c>
    </row>
    <row r="3212" spans="1:5" x14ac:dyDescent="0.3">
      <c r="A3212" t="s">
        <v>34</v>
      </c>
      <c r="B3212">
        <v>2006</v>
      </c>
      <c r="C3212" t="str">
        <f>_xlfn.CONCAT(Table16[[#This Row],[STATE]],"-",Table16[[#This Row],[YEAR]])</f>
        <v>A &amp; N Islands-2006</v>
      </c>
      <c r="D3212" t="s">
        <v>401</v>
      </c>
      <c r="E3212">
        <v>22</v>
      </c>
    </row>
    <row r="3213" spans="1:5" x14ac:dyDescent="0.3">
      <c r="A3213" t="s">
        <v>34</v>
      </c>
      <c r="B3213">
        <v>2006</v>
      </c>
      <c r="C3213" t="str">
        <f>_xlfn.CONCAT(Table16[[#This Row],[STATE]],"-",Table16[[#This Row],[YEAR]])</f>
        <v>A &amp; N Islands-2006</v>
      </c>
      <c r="D3213" t="s">
        <v>182</v>
      </c>
      <c r="E3213">
        <v>32</v>
      </c>
    </row>
    <row r="3214" spans="1:5" x14ac:dyDescent="0.3">
      <c r="A3214" t="s">
        <v>34</v>
      </c>
      <c r="B3214">
        <v>2005</v>
      </c>
      <c r="C3214" t="str">
        <f>_xlfn.CONCAT(Table16[[#This Row],[STATE]],"-",Table16[[#This Row],[YEAR]])</f>
        <v>A &amp; N Islands-2005</v>
      </c>
      <c r="D3214" t="s">
        <v>283</v>
      </c>
      <c r="E3214">
        <v>26</v>
      </c>
    </row>
    <row r="3215" spans="1:5" x14ac:dyDescent="0.3">
      <c r="A3215" t="s">
        <v>34</v>
      </c>
      <c r="B3215">
        <v>2005</v>
      </c>
      <c r="C3215" t="str">
        <f>_xlfn.CONCAT(Table16[[#This Row],[STATE]],"-",Table16[[#This Row],[YEAR]])</f>
        <v>A &amp; N Islands-2005</v>
      </c>
      <c r="D3215" t="s">
        <v>679</v>
      </c>
      <c r="E3215">
        <v>12</v>
      </c>
    </row>
    <row r="3216" spans="1:5" x14ac:dyDescent="0.3">
      <c r="A3216" t="s">
        <v>34</v>
      </c>
      <c r="B3216">
        <v>2005</v>
      </c>
      <c r="C3216" t="str">
        <f>_xlfn.CONCAT(Table16[[#This Row],[STATE]],"-",Table16[[#This Row],[YEAR]])</f>
        <v>A &amp; N Islands-2005</v>
      </c>
      <c r="D3216" t="s">
        <v>292</v>
      </c>
      <c r="E3216">
        <v>9</v>
      </c>
    </row>
    <row r="3217" spans="1:5" x14ac:dyDescent="0.3">
      <c r="A3217" t="s">
        <v>34</v>
      </c>
      <c r="B3217">
        <v>2005</v>
      </c>
      <c r="C3217" t="str">
        <f>_xlfn.CONCAT(Table16[[#This Row],[STATE]],"-",Table16[[#This Row],[YEAR]])</f>
        <v>A &amp; N Islands-2005</v>
      </c>
      <c r="D3217" t="s">
        <v>103</v>
      </c>
      <c r="E3217">
        <v>1</v>
      </c>
    </row>
    <row r="3218" spans="1:5" x14ac:dyDescent="0.3">
      <c r="A3218" t="s">
        <v>34</v>
      </c>
      <c r="B3218">
        <v>2005</v>
      </c>
      <c r="C3218" t="str">
        <f>_xlfn.CONCAT(Table16[[#This Row],[STATE]],"-",Table16[[#This Row],[YEAR]])</f>
        <v>A &amp; N Islands-2005</v>
      </c>
      <c r="D3218" t="s">
        <v>140</v>
      </c>
      <c r="E3218">
        <v>1</v>
      </c>
    </row>
    <row r="3219" spans="1:5" x14ac:dyDescent="0.3">
      <c r="A3219" t="s">
        <v>34</v>
      </c>
      <c r="B3219">
        <v>2005</v>
      </c>
      <c r="C3219" t="str">
        <f>_xlfn.CONCAT(Table16[[#This Row],[STATE]],"-",Table16[[#This Row],[YEAR]])</f>
        <v>A &amp; N Islands-2005</v>
      </c>
      <c r="D3219" t="s">
        <v>90</v>
      </c>
      <c r="E3219">
        <v>3</v>
      </c>
    </row>
    <row r="3220" spans="1:5" x14ac:dyDescent="0.3">
      <c r="A3220" t="s">
        <v>34</v>
      </c>
      <c r="B3220">
        <v>2005</v>
      </c>
      <c r="C3220" t="str">
        <f>_xlfn.CONCAT(Table16[[#This Row],[STATE]],"-",Table16[[#This Row],[YEAR]])</f>
        <v>A &amp; N Islands-2005</v>
      </c>
      <c r="D3220" t="s">
        <v>401</v>
      </c>
      <c r="E3220">
        <v>22</v>
      </c>
    </row>
    <row r="3221" spans="1:5" x14ac:dyDescent="0.3">
      <c r="A3221" t="s">
        <v>34</v>
      </c>
      <c r="B3221">
        <v>2005</v>
      </c>
      <c r="C3221" t="str">
        <f>_xlfn.CONCAT(Table16[[#This Row],[STATE]],"-",Table16[[#This Row],[YEAR]])</f>
        <v>A &amp; N Islands-2005</v>
      </c>
      <c r="D3221" t="s">
        <v>182</v>
      </c>
      <c r="E3221">
        <v>32</v>
      </c>
    </row>
    <row r="3222" spans="1:5" x14ac:dyDescent="0.3">
      <c r="A3222" t="s">
        <v>34</v>
      </c>
      <c r="B3222">
        <v>2004</v>
      </c>
      <c r="C3222" t="str">
        <f>_xlfn.CONCAT(Table16[[#This Row],[STATE]],"-",Table16[[#This Row],[YEAR]])</f>
        <v>A &amp; N Islands-2004</v>
      </c>
      <c r="D3222" t="s">
        <v>283</v>
      </c>
      <c r="E3222">
        <v>35</v>
      </c>
    </row>
    <row r="3223" spans="1:5" x14ac:dyDescent="0.3">
      <c r="A3223" t="s">
        <v>34</v>
      </c>
      <c r="B3223">
        <v>2004</v>
      </c>
      <c r="C3223" t="str">
        <f>_xlfn.CONCAT(Table16[[#This Row],[STATE]],"-",Table16[[#This Row],[YEAR]])</f>
        <v>A &amp; N Islands-2004</v>
      </c>
      <c r="D3223" t="s">
        <v>679</v>
      </c>
      <c r="E3223">
        <v>28</v>
      </c>
    </row>
    <row r="3224" spans="1:5" x14ac:dyDescent="0.3">
      <c r="A3224" t="s">
        <v>34</v>
      </c>
      <c r="B3224">
        <v>2004</v>
      </c>
      <c r="C3224" t="str">
        <f>_xlfn.CONCAT(Table16[[#This Row],[STATE]],"-",Table16[[#This Row],[YEAR]])</f>
        <v>A &amp; N Islands-2004</v>
      </c>
      <c r="D3224" t="s">
        <v>292</v>
      </c>
      <c r="E3224">
        <v>32</v>
      </c>
    </row>
    <row r="3225" spans="1:5" x14ac:dyDescent="0.3">
      <c r="A3225" t="s">
        <v>34</v>
      </c>
      <c r="B3225">
        <v>2004</v>
      </c>
      <c r="C3225" t="str">
        <f>_xlfn.CONCAT(Table16[[#This Row],[STATE]],"-",Table16[[#This Row],[YEAR]])</f>
        <v>A &amp; N Islands-2004</v>
      </c>
      <c r="D3225" t="s">
        <v>103</v>
      </c>
      <c r="E3225">
        <v>28</v>
      </c>
    </row>
    <row r="3226" spans="1:5" x14ac:dyDescent="0.3">
      <c r="A3226" t="s">
        <v>34</v>
      </c>
      <c r="B3226">
        <v>2004</v>
      </c>
      <c r="C3226" t="str">
        <f>_xlfn.CONCAT(Table16[[#This Row],[STATE]],"-",Table16[[#This Row],[YEAR]])</f>
        <v>A &amp; N Islands-2004</v>
      </c>
      <c r="D3226" t="s">
        <v>140</v>
      </c>
      <c r="E3226">
        <v>16</v>
      </c>
    </row>
    <row r="3227" spans="1:5" x14ac:dyDescent="0.3">
      <c r="A3227" t="s">
        <v>34</v>
      </c>
      <c r="B3227">
        <v>2004</v>
      </c>
      <c r="C3227" t="str">
        <f>_xlfn.CONCAT(Table16[[#This Row],[STATE]],"-",Table16[[#This Row],[YEAR]])</f>
        <v>A &amp; N Islands-2004</v>
      </c>
      <c r="D3227" t="s">
        <v>90</v>
      </c>
      <c r="E3227">
        <v>34</v>
      </c>
    </row>
    <row r="3228" spans="1:5" x14ac:dyDescent="0.3">
      <c r="A3228" t="s">
        <v>34</v>
      </c>
      <c r="B3228">
        <v>2004</v>
      </c>
      <c r="C3228" t="str">
        <f>_xlfn.CONCAT(Table16[[#This Row],[STATE]],"-",Table16[[#This Row],[YEAR]])</f>
        <v>A &amp; N Islands-2004</v>
      </c>
      <c r="D3228" t="s">
        <v>401</v>
      </c>
      <c r="E3228">
        <v>29</v>
      </c>
    </row>
    <row r="3229" spans="1:5" x14ac:dyDescent="0.3">
      <c r="A3229" t="s">
        <v>34</v>
      </c>
      <c r="B3229">
        <v>2004</v>
      </c>
      <c r="C3229" t="str">
        <f>_xlfn.CONCAT(Table16[[#This Row],[STATE]],"-",Table16[[#This Row],[YEAR]])</f>
        <v>A &amp; N Islands-2004</v>
      </c>
      <c r="D3229" t="s">
        <v>182</v>
      </c>
      <c r="E3229">
        <v>24</v>
      </c>
    </row>
    <row r="3230" spans="1:5" x14ac:dyDescent="0.3">
      <c r="A3230" t="s">
        <v>34</v>
      </c>
      <c r="B3230">
        <v>2003</v>
      </c>
      <c r="C3230" t="str">
        <f>_xlfn.CONCAT(Table16[[#This Row],[STATE]],"-",Table16[[#This Row],[YEAR]])</f>
        <v>A &amp; N Islands-2003</v>
      </c>
      <c r="D3230" t="s">
        <v>283</v>
      </c>
      <c r="E3230">
        <v>30</v>
      </c>
    </row>
    <row r="3231" spans="1:5" x14ac:dyDescent="0.3">
      <c r="A3231" t="s">
        <v>34</v>
      </c>
      <c r="B3231">
        <v>2003</v>
      </c>
      <c r="C3231" t="str">
        <f>_xlfn.CONCAT(Table16[[#This Row],[STATE]],"-",Table16[[#This Row],[YEAR]])</f>
        <v>A &amp; N Islands-2003</v>
      </c>
      <c r="D3231" t="s">
        <v>679</v>
      </c>
      <c r="E3231">
        <v>25</v>
      </c>
    </row>
    <row r="3232" spans="1:5" x14ac:dyDescent="0.3">
      <c r="A3232" t="s">
        <v>34</v>
      </c>
      <c r="B3232">
        <v>2003</v>
      </c>
      <c r="C3232" t="str">
        <f>_xlfn.CONCAT(Table16[[#This Row],[STATE]],"-",Table16[[#This Row],[YEAR]])</f>
        <v>A &amp; N Islands-2003</v>
      </c>
      <c r="D3232" t="s">
        <v>292</v>
      </c>
      <c r="E3232">
        <v>20</v>
      </c>
    </row>
    <row r="3233" spans="1:5" x14ac:dyDescent="0.3">
      <c r="A3233" t="s">
        <v>34</v>
      </c>
      <c r="B3233">
        <v>2003</v>
      </c>
      <c r="C3233" t="str">
        <f>_xlfn.CONCAT(Table16[[#This Row],[STATE]],"-",Table16[[#This Row],[YEAR]])</f>
        <v>A &amp; N Islands-2003</v>
      </c>
      <c r="D3233" t="s">
        <v>103</v>
      </c>
      <c r="E3233">
        <v>25</v>
      </c>
    </row>
    <row r="3234" spans="1:5" x14ac:dyDescent="0.3">
      <c r="A3234" t="s">
        <v>34</v>
      </c>
      <c r="B3234">
        <v>2003</v>
      </c>
      <c r="C3234" t="str">
        <f>_xlfn.CONCAT(Table16[[#This Row],[STATE]],"-",Table16[[#This Row],[YEAR]])</f>
        <v>A &amp; N Islands-2003</v>
      </c>
      <c r="D3234" t="s">
        <v>140</v>
      </c>
      <c r="E3234">
        <v>15</v>
      </c>
    </row>
    <row r="3235" spans="1:5" x14ac:dyDescent="0.3">
      <c r="A3235" t="s">
        <v>34</v>
      </c>
      <c r="B3235">
        <v>2003</v>
      </c>
      <c r="C3235" t="str">
        <f>_xlfn.CONCAT(Table16[[#This Row],[STATE]],"-",Table16[[#This Row],[YEAR]])</f>
        <v>A &amp; N Islands-2003</v>
      </c>
      <c r="D3235" t="s">
        <v>90</v>
      </c>
      <c r="E3235">
        <v>20</v>
      </c>
    </row>
    <row r="3236" spans="1:5" x14ac:dyDescent="0.3">
      <c r="A3236" t="s">
        <v>34</v>
      </c>
      <c r="B3236">
        <v>2003</v>
      </c>
      <c r="C3236" t="str">
        <f>_xlfn.CONCAT(Table16[[#This Row],[STATE]],"-",Table16[[#This Row],[YEAR]])</f>
        <v>A &amp; N Islands-2003</v>
      </c>
      <c r="D3236" t="s">
        <v>401</v>
      </c>
      <c r="E3236">
        <v>25</v>
      </c>
    </row>
    <row r="3237" spans="1:5" x14ac:dyDescent="0.3">
      <c r="A3237" t="s">
        <v>34</v>
      </c>
      <c r="B3237">
        <v>2003</v>
      </c>
      <c r="C3237" t="str">
        <f>_xlfn.CONCAT(Table16[[#This Row],[STATE]],"-",Table16[[#This Row],[YEAR]])</f>
        <v>A &amp; N Islands-2003</v>
      </c>
      <c r="D3237" t="s">
        <v>182</v>
      </c>
      <c r="E3237">
        <v>30</v>
      </c>
    </row>
    <row r="3238" spans="1:5" x14ac:dyDescent="0.3">
      <c r="A3238" t="s">
        <v>34</v>
      </c>
      <c r="B3238">
        <v>2002</v>
      </c>
      <c r="C3238" t="str">
        <f>_xlfn.CONCAT(Table16[[#This Row],[STATE]],"-",Table16[[#This Row],[YEAR]])</f>
        <v>A &amp; N Islands-2002</v>
      </c>
      <c r="D3238" t="s">
        <v>283</v>
      </c>
      <c r="E3238">
        <v>15</v>
      </c>
    </row>
    <row r="3239" spans="1:5" x14ac:dyDescent="0.3">
      <c r="A3239" t="s">
        <v>34</v>
      </c>
      <c r="B3239">
        <v>2002</v>
      </c>
      <c r="C3239" t="str">
        <f>_xlfn.CONCAT(Table16[[#This Row],[STATE]],"-",Table16[[#This Row],[YEAR]])</f>
        <v>A &amp; N Islands-2002</v>
      </c>
      <c r="D3239" t="s">
        <v>679</v>
      </c>
      <c r="E3239">
        <v>20</v>
      </c>
    </row>
    <row r="3240" spans="1:5" x14ac:dyDescent="0.3">
      <c r="A3240" t="s">
        <v>34</v>
      </c>
      <c r="B3240">
        <v>2002</v>
      </c>
      <c r="C3240" t="str">
        <f>_xlfn.CONCAT(Table16[[#This Row],[STATE]],"-",Table16[[#This Row],[YEAR]])</f>
        <v>A &amp; N Islands-2002</v>
      </c>
      <c r="D3240" t="s">
        <v>292</v>
      </c>
      <c r="E3240">
        <v>7</v>
      </c>
    </row>
    <row r="3241" spans="1:5" x14ac:dyDescent="0.3">
      <c r="A3241" t="s">
        <v>34</v>
      </c>
      <c r="B3241">
        <v>2002</v>
      </c>
      <c r="C3241" t="str">
        <f>_xlfn.CONCAT(Table16[[#This Row],[STATE]],"-",Table16[[#This Row],[YEAR]])</f>
        <v>A &amp; N Islands-2002</v>
      </c>
      <c r="D3241" t="s">
        <v>103</v>
      </c>
      <c r="E3241">
        <v>3</v>
      </c>
    </row>
    <row r="3242" spans="1:5" x14ac:dyDescent="0.3">
      <c r="A3242" t="s">
        <v>34</v>
      </c>
      <c r="B3242">
        <v>2002</v>
      </c>
      <c r="C3242" t="str">
        <f>_xlfn.CONCAT(Table16[[#This Row],[STATE]],"-",Table16[[#This Row],[YEAR]])</f>
        <v>A &amp; N Islands-2002</v>
      </c>
      <c r="D3242" t="s">
        <v>140</v>
      </c>
      <c r="E3242">
        <v>3</v>
      </c>
    </row>
    <row r="3243" spans="1:5" x14ac:dyDescent="0.3">
      <c r="A3243" t="s">
        <v>34</v>
      </c>
      <c r="B3243">
        <v>2002</v>
      </c>
      <c r="C3243" t="str">
        <f>_xlfn.CONCAT(Table16[[#This Row],[STATE]],"-",Table16[[#This Row],[YEAR]])</f>
        <v>A &amp; N Islands-2002</v>
      </c>
      <c r="D3243" t="s">
        <v>90</v>
      </c>
      <c r="E3243">
        <v>9</v>
      </c>
    </row>
    <row r="3244" spans="1:5" x14ac:dyDescent="0.3">
      <c r="A3244" t="s">
        <v>34</v>
      </c>
      <c r="B3244">
        <v>2002</v>
      </c>
      <c r="C3244" t="str">
        <f>_xlfn.CONCAT(Table16[[#This Row],[STATE]],"-",Table16[[#This Row],[YEAR]])</f>
        <v>A &amp; N Islands-2002</v>
      </c>
      <c r="D3244" t="s">
        <v>401</v>
      </c>
      <c r="E3244">
        <v>23</v>
      </c>
    </row>
    <row r="3245" spans="1:5" x14ac:dyDescent="0.3">
      <c r="A3245" t="s">
        <v>34</v>
      </c>
      <c r="B3245">
        <v>2002</v>
      </c>
      <c r="C3245" t="str">
        <f>_xlfn.CONCAT(Table16[[#This Row],[STATE]],"-",Table16[[#This Row],[YEAR]])</f>
        <v>A &amp; N Islands-2002</v>
      </c>
      <c r="D3245" t="s">
        <v>182</v>
      </c>
      <c r="E3245">
        <v>45</v>
      </c>
    </row>
    <row r="3246" spans="1:5" x14ac:dyDescent="0.3">
      <c r="A3246" t="s">
        <v>35</v>
      </c>
      <c r="B3246">
        <v>2001</v>
      </c>
      <c r="C3246" t="str">
        <f>_xlfn.CONCAT(Table16[[#This Row],[STATE]],"-",Table16[[#This Row],[YEAR]])</f>
        <v>Chandigarh-2001</v>
      </c>
      <c r="D3246" t="s">
        <v>1068</v>
      </c>
      <c r="E3246">
        <v>58</v>
      </c>
    </row>
    <row r="3247" spans="1:5" x14ac:dyDescent="0.3">
      <c r="A3247" t="s">
        <v>35</v>
      </c>
      <c r="B3247">
        <v>2001</v>
      </c>
      <c r="C3247" t="str">
        <f>_xlfn.CONCAT(Table16[[#This Row],[STATE]],"-",Table16[[#This Row],[YEAR]])</f>
        <v>Chandigarh-2001</v>
      </c>
      <c r="D3247" t="s">
        <v>1069</v>
      </c>
      <c r="E3247">
        <v>44</v>
      </c>
    </row>
    <row r="3248" spans="1:5" x14ac:dyDescent="0.3">
      <c r="A3248" t="s">
        <v>35</v>
      </c>
      <c r="B3248">
        <v>2002</v>
      </c>
      <c r="C3248" t="str">
        <f>_xlfn.CONCAT(Table16[[#This Row],[STATE]],"-",Table16[[#This Row],[YEAR]])</f>
        <v>Chandigarh-2002</v>
      </c>
      <c r="D3248" t="s">
        <v>103</v>
      </c>
      <c r="E3248">
        <v>12</v>
      </c>
    </row>
    <row r="3249" spans="1:5" x14ac:dyDescent="0.3">
      <c r="A3249" t="s">
        <v>35</v>
      </c>
      <c r="B3249">
        <v>2002</v>
      </c>
      <c r="C3249" t="str">
        <f>_xlfn.CONCAT(Table16[[#This Row],[STATE]],"-",Table16[[#This Row],[YEAR]])</f>
        <v>Chandigarh-2002</v>
      </c>
      <c r="D3249" t="s">
        <v>1069</v>
      </c>
      <c r="E3249">
        <v>37</v>
      </c>
    </row>
    <row r="3250" spans="1:5" x14ac:dyDescent="0.3">
      <c r="A3250" t="s">
        <v>35</v>
      </c>
      <c r="B3250">
        <v>2002</v>
      </c>
      <c r="C3250" t="str">
        <f>_xlfn.CONCAT(Table16[[#This Row],[STATE]],"-",Table16[[#This Row],[YEAR]])</f>
        <v>Chandigarh-2002</v>
      </c>
      <c r="D3250" t="s">
        <v>1070</v>
      </c>
      <c r="E3250">
        <v>26</v>
      </c>
    </row>
    <row r="3251" spans="1:5" x14ac:dyDescent="0.3">
      <c r="A3251" t="s">
        <v>35</v>
      </c>
      <c r="B3251">
        <v>2003</v>
      </c>
      <c r="C3251" t="str">
        <f>_xlfn.CONCAT(Table16[[#This Row],[STATE]],"-",Table16[[#This Row],[YEAR]])</f>
        <v>Chandigarh-2003</v>
      </c>
      <c r="D3251" t="s">
        <v>199</v>
      </c>
      <c r="E3251">
        <v>26</v>
      </c>
    </row>
    <row r="3252" spans="1:5" x14ac:dyDescent="0.3">
      <c r="A3252" t="s">
        <v>35</v>
      </c>
      <c r="B3252">
        <v>2003</v>
      </c>
      <c r="C3252" t="str">
        <f>_xlfn.CONCAT(Table16[[#This Row],[STATE]],"-",Table16[[#This Row],[YEAR]])</f>
        <v>Chandigarh-2003</v>
      </c>
      <c r="D3252" t="s">
        <v>103</v>
      </c>
      <c r="E3252">
        <v>14</v>
      </c>
    </row>
    <row r="3253" spans="1:5" x14ac:dyDescent="0.3">
      <c r="A3253" t="s">
        <v>35</v>
      </c>
      <c r="B3253">
        <v>2003</v>
      </c>
      <c r="C3253" t="str">
        <f>_xlfn.CONCAT(Table16[[#This Row],[STATE]],"-",Table16[[#This Row],[YEAR]])</f>
        <v>Chandigarh-2003</v>
      </c>
      <c r="D3253" t="s">
        <v>1069</v>
      </c>
      <c r="E3253">
        <v>32</v>
      </c>
    </row>
    <row r="3254" spans="1:5" x14ac:dyDescent="0.3">
      <c r="A3254" t="s">
        <v>35</v>
      </c>
      <c r="B3254">
        <v>2003</v>
      </c>
      <c r="C3254" t="str">
        <f>_xlfn.CONCAT(Table16[[#This Row],[STATE]],"-",Table16[[#This Row],[YEAR]])</f>
        <v>Chandigarh-2003</v>
      </c>
      <c r="D3254" t="s">
        <v>1071</v>
      </c>
      <c r="E3254">
        <v>22</v>
      </c>
    </row>
    <row r="3255" spans="1:5" x14ac:dyDescent="0.3">
      <c r="A3255" t="s">
        <v>35</v>
      </c>
      <c r="B3255">
        <v>2003</v>
      </c>
      <c r="C3255" t="str">
        <f>_xlfn.CONCAT(Table16[[#This Row],[STATE]],"-",Table16[[#This Row],[YEAR]])</f>
        <v>Chandigarh-2003</v>
      </c>
      <c r="D3255" t="s">
        <v>1072</v>
      </c>
      <c r="E3255">
        <v>42</v>
      </c>
    </row>
    <row r="3256" spans="1:5" x14ac:dyDescent="0.3">
      <c r="A3256" t="s">
        <v>35</v>
      </c>
      <c r="B3256">
        <v>2004</v>
      </c>
      <c r="C3256" t="str">
        <f>_xlfn.CONCAT(Table16[[#This Row],[STATE]],"-",Table16[[#This Row],[YEAR]])</f>
        <v>Chandigarh-2004</v>
      </c>
      <c r="D3256" t="s">
        <v>103</v>
      </c>
      <c r="E3256">
        <v>6</v>
      </c>
    </row>
    <row r="3257" spans="1:5" x14ac:dyDescent="0.3">
      <c r="A3257" t="s">
        <v>35</v>
      </c>
      <c r="B3257">
        <v>2005</v>
      </c>
      <c r="C3257" t="str">
        <f>_xlfn.CONCAT(Table16[[#This Row],[STATE]],"-",Table16[[#This Row],[YEAR]])</f>
        <v>Chandigarh-2005</v>
      </c>
      <c r="D3257" t="s">
        <v>199</v>
      </c>
      <c r="E3257">
        <v>22</v>
      </c>
    </row>
    <row r="3258" spans="1:5" x14ac:dyDescent="0.3">
      <c r="A3258" t="s">
        <v>35</v>
      </c>
      <c r="B3258">
        <v>2005</v>
      </c>
      <c r="C3258" t="str">
        <f>_xlfn.CONCAT(Table16[[#This Row],[STATE]],"-",Table16[[#This Row],[YEAR]])</f>
        <v>Chandigarh-2005</v>
      </c>
      <c r="D3258" t="s">
        <v>103</v>
      </c>
      <c r="E3258">
        <v>13</v>
      </c>
    </row>
    <row r="3259" spans="1:5" x14ac:dyDescent="0.3">
      <c r="A3259" t="s">
        <v>35</v>
      </c>
      <c r="B3259">
        <v>2006</v>
      </c>
      <c r="C3259" t="str">
        <f>_xlfn.CONCAT(Table16[[#This Row],[STATE]],"-",Table16[[#This Row],[YEAR]])</f>
        <v>Chandigarh-2006</v>
      </c>
      <c r="D3259" t="s">
        <v>199</v>
      </c>
      <c r="E3259">
        <v>18</v>
      </c>
    </row>
    <row r="3260" spans="1:5" x14ac:dyDescent="0.3">
      <c r="A3260" t="s">
        <v>35</v>
      </c>
      <c r="B3260">
        <v>2006</v>
      </c>
      <c r="C3260" t="str">
        <f>_xlfn.CONCAT(Table16[[#This Row],[STATE]],"-",Table16[[#This Row],[YEAR]])</f>
        <v>Chandigarh-2006</v>
      </c>
      <c r="D3260" t="s">
        <v>103</v>
      </c>
      <c r="E3260">
        <v>24</v>
      </c>
    </row>
    <row r="3261" spans="1:5" x14ac:dyDescent="0.3">
      <c r="A3261" t="s">
        <v>35</v>
      </c>
      <c r="B3261">
        <v>2006</v>
      </c>
      <c r="C3261" t="str">
        <f>_xlfn.CONCAT(Table16[[#This Row],[STATE]],"-",Table16[[#This Row],[YEAR]])</f>
        <v>Chandigarh-2006</v>
      </c>
      <c r="D3261" t="s">
        <v>1072</v>
      </c>
      <c r="E3261">
        <v>14</v>
      </c>
    </row>
    <row r="3262" spans="1:5" x14ac:dyDescent="0.3">
      <c r="A3262" t="s">
        <v>35</v>
      </c>
      <c r="B3262">
        <v>2006</v>
      </c>
      <c r="C3262" t="str">
        <f>_xlfn.CONCAT(Table16[[#This Row],[STATE]],"-",Table16[[#This Row],[YEAR]])</f>
        <v>Chandigarh-2006</v>
      </c>
      <c r="D3262" t="s">
        <v>1073</v>
      </c>
      <c r="E3262">
        <v>36</v>
      </c>
    </row>
    <row r="3263" spans="1:5" x14ac:dyDescent="0.3">
      <c r="A3263" t="s">
        <v>35</v>
      </c>
      <c r="B3263">
        <v>2007</v>
      </c>
      <c r="C3263" t="str">
        <f>_xlfn.CONCAT(Table16[[#This Row],[STATE]],"-",Table16[[#This Row],[YEAR]])</f>
        <v>Chandigarh-2007</v>
      </c>
      <c r="D3263" t="s">
        <v>199</v>
      </c>
      <c r="E3263">
        <v>35</v>
      </c>
    </row>
    <row r="3264" spans="1:5" x14ac:dyDescent="0.3">
      <c r="A3264" t="s">
        <v>35</v>
      </c>
      <c r="B3264">
        <v>2007</v>
      </c>
      <c r="C3264" t="str">
        <f>_xlfn.CONCAT(Table16[[#This Row],[STATE]],"-",Table16[[#This Row],[YEAR]])</f>
        <v>Chandigarh-2007</v>
      </c>
      <c r="D3264" t="s">
        <v>103</v>
      </c>
      <c r="E3264">
        <v>8</v>
      </c>
    </row>
    <row r="3265" spans="1:5" x14ac:dyDescent="0.3">
      <c r="A3265" t="s">
        <v>35</v>
      </c>
      <c r="B3265">
        <v>2007</v>
      </c>
      <c r="C3265" t="str">
        <f>_xlfn.CONCAT(Table16[[#This Row],[STATE]],"-",Table16[[#This Row],[YEAR]])</f>
        <v>Chandigarh-2007</v>
      </c>
      <c r="D3265" t="s">
        <v>1069</v>
      </c>
      <c r="E3265">
        <v>42</v>
      </c>
    </row>
    <row r="3266" spans="1:5" x14ac:dyDescent="0.3">
      <c r="A3266" t="s">
        <v>35</v>
      </c>
      <c r="B3266">
        <v>2007</v>
      </c>
      <c r="C3266" t="str">
        <f>_xlfn.CONCAT(Table16[[#This Row],[STATE]],"-",Table16[[#This Row],[YEAR]])</f>
        <v>Chandigarh-2007</v>
      </c>
      <c r="D3266" t="s">
        <v>1074</v>
      </c>
      <c r="E3266">
        <v>46</v>
      </c>
    </row>
    <row r="3267" spans="1:5" x14ac:dyDescent="0.3">
      <c r="A3267" t="s">
        <v>35</v>
      </c>
      <c r="B3267">
        <v>2007</v>
      </c>
      <c r="C3267" t="str">
        <f>_xlfn.CONCAT(Table16[[#This Row],[STATE]],"-",Table16[[#This Row],[YEAR]])</f>
        <v>Chandigarh-2007</v>
      </c>
      <c r="D3267" t="s">
        <v>1072</v>
      </c>
      <c r="E3267">
        <v>36</v>
      </c>
    </row>
    <row r="3268" spans="1:5" x14ac:dyDescent="0.3">
      <c r="A3268" t="s">
        <v>35</v>
      </c>
      <c r="B3268">
        <v>2008</v>
      </c>
      <c r="C3268" t="str">
        <f>_xlfn.CONCAT(Table16[[#This Row],[STATE]],"-",Table16[[#This Row],[YEAR]])</f>
        <v>Chandigarh-2008</v>
      </c>
      <c r="D3268" t="s">
        <v>103</v>
      </c>
      <c r="E3268">
        <v>12</v>
      </c>
    </row>
    <row r="3269" spans="1:5" x14ac:dyDescent="0.3">
      <c r="A3269" t="s">
        <v>35</v>
      </c>
      <c r="B3269">
        <v>2008</v>
      </c>
      <c r="C3269" t="str">
        <f>_xlfn.CONCAT(Table16[[#This Row],[STATE]],"-",Table16[[#This Row],[YEAR]])</f>
        <v>Chandigarh-2008</v>
      </c>
      <c r="D3269" t="s">
        <v>1069</v>
      </c>
      <c r="E3269">
        <v>35</v>
      </c>
    </row>
    <row r="3270" spans="1:5" x14ac:dyDescent="0.3">
      <c r="A3270" t="s">
        <v>35</v>
      </c>
      <c r="B3270">
        <v>2008</v>
      </c>
      <c r="C3270" t="str">
        <f>_xlfn.CONCAT(Table16[[#This Row],[STATE]],"-",Table16[[#This Row],[YEAR]])</f>
        <v>Chandigarh-2008</v>
      </c>
      <c r="D3270" t="s">
        <v>1074</v>
      </c>
      <c r="E3270">
        <v>26</v>
      </c>
    </row>
    <row r="3271" spans="1:5" x14ac:dyDescent="0.3">
      <c r="A3271" t="s">
        <v>35</v>
      </c>
      <c r="B3271">
        <v>2009</v>
      </c>
      <c r="C3271" t="str">
        <f>_xlfn.CONCAT(Table16[[#This Row],[STATE]],"-",Table16[[#This Row],[YEAR]])</f>
        <v>Chandigarh-2009</v>
      </c>
      <c r="D3271" t="s">
        <v>103</v>
      </c>
      <c r="E3271">
        <v>19</v>
      </c>
    </row>
    <row r="3272" spans="1:5" x14ac:dyDescent="0.3">
      <c r="A3272" t="s">
        <v>35</v>
      </c>
      <c r="B3272">
        <v>2009</v>
      </c>
      <c r="C3272" t="str">
        <f>_xlfn.CONCAT(Table16[[#This Row],[STATE]],"-",Table16[[#This Row],[YEAR]])</f>
        <v>Chandigarh-2009</v>
      </c>
      <c r="D3272" t="s">
        <v>1069</v>
      </c>
      <c r="E3272">
        <v>26</v>
      </c>
    </row>
    <row r="3273" spans="1:5" x14ac:dyDescent="0.3">
      <c r="A3273" t="s">
        <v>35</v>
      </c>
      <c r="B3273">
        <v>2010</v>
      </c>
      <c r="C3273" t="str">
        <f>_xlfn.CONCAT(Table16[[#This Row],[STATE]],"-",Table16[[#This Row],[YEAR]])</f>
        <v>Chandigarh-2010</v>
      </c>
      <c r="D3273" t="s">
        <v>103</v>
      </c>
      <c r="E3273">
        <v>32</v>
      </c>
    </row>
    <row r="3274" spans="1:5" x14ac:dyDescent="0.3">
      <c r="A3274" t="s">
        <v>35</v>
      </c>
      <c r="B3274">
        <v>2010</v>
      </c>
      <c r="C3274" t="str">
        <f>_xlfn.CONCAT(Table16[[#This Row],[STATE]],"-",Table16[[#This Row],[YEAR]])</f>
        <v>Chandigarh-2010</v>
      </c>
      <c r="D3274" t="s">
        <v>1069</v>
      </c>
      <c r="E3274">
        <v>28</v>
      </c>
    </row>
    <row r="3275" spans="1:5" x14ac:dyDescent="0.3">
      <c r="A3275" t="s">
        <v>35</v>
      </c>
      <c r="B3275">
        <v>2010</v>
      </c>
      <c r="C3275" t="str">
        <f>_xlfn.CONCAT(Table16[[#This Row],[STATE]],"-",Table16[[#This Row],[YEAR]])</f>
        <v>Chandigarh-2010</v>
      </c>
      <c r="D3275" t="s">
        <v>1074</v>
      </c>
      <c r="E3275">
        <v>39</v>
      </c>
    </row>
    <row r="3276" spans="1:5" x14ac:dyDescent="0.3">
      <c r="A3276" t="s">
        <v>35</v>
      </c>
      <c r="B3276">
        <v>2011</v>
      </c>
      <c r="C3276" t="str">
        <f>_xlfn.CONCAT(Table16[[#This Row],[STATE]],"-",Table16[[#This Row],[YEAR]])</f>
        <v>Chandigarh-2011</v>
      </c>
      <c r="D3276" t="s">
        <v>103</v>
      </c>
      <c r="E3276">
        <v>18</v>
      </c>
    </row>
    <row r="3277" spans="1:5" x14ac:dyDescent="0.3">
      <c r="A3277" t="s">
        <v>35</v>
      </c>
      <c r="B3277">
        <v>2011</v>
      </c>
      <c r="C3277" t="str">
        <f>_xlfn.CONCAT(Table16[[#This Row],[STATE]],"-",Table16[[#This Row],[YEAR]])</f>
        <v>Chandigarh-2011</v>
      </c>
      <c r="D3277" t="s">
        <v>1069</v>
      </c>
      <c r="E3277">
        <v>25</v>
      </c>
    </row>
    <row r="3278" spans="1:5" x14ac:dyDescent="0.3">
      <c r="A3278" t="s">
        <v>35</v>
      </c>
      <c r="B3278">
        <v>2011</v>
      </c>
      <c r="C3278" t="str">
        <f>_xlfn.CONCAT(Table16[[#This Row],[STATE]],"-",Table16[[#This Row],[YEAR]])</f>
        <v>Chandigarh-2011</v>
      </c>
      <c r="D3278" t="s">
        <v>1074</v>
      </c>
      <c r="E3278">
        <v>25</v>
      </c>
    </row>
    <row r="3279" spans="1:5" x14ac:dyDescent="0.3">
      <c r="A3279" t="s">
        <v>35</v>
      </c>
      <c r="B3279">
        <v>2011</v>
      </c>
      <c r="C3279" t="str">
        <f>_xlfn.CONCAT(Table16[[#This Row],[STATE]],"-",Table16[[#This Row],[YEAR]])</f>
        <v>Chandigarh-2011</v>
      </c>
      <c r="D3279" t="s">
        <v>98</v>
      </c>
      <c r="E3279">
        <v>50</v>
      </c>
    </row>
    <row r="3280" spans="1:5" x14ac:dyDescent="0.3">
      <c r="A3280" t="s">
        <v>35</v>
      </c>
      <c r="B3280">
        <v>2011</v>
      </c>
      <c r="C3280" t="str">
        <f>_xlfn.CONCAT(Table16[[#This Row],[STATE]],"-",Table16[[#This Row],[YEAR]])</f>
        <v>Chandigarh-2011</v>
      </c>
      <c r="D3280" t="s">
        <v>401</v>
      </c>
      <c r="E3280">
        <v>50</v>
      </c>
    </row>
    <row r="3281" spans="1:5" x14ac:dyDescent="0.3">
      <c r="A3281" t="s">
        <v>35</v>
      </c>
      <c r="B3281">
        <v>2012</v>
      </c>
      <c r="C3281" t="str">
        <f>_xlfn.CONCAT(Table16[[#This Row],[STATE]],"-",Table16[[#This Row],[YEAR]])</f>
        <v>Chandigarh-2012</v>
      </c>
      <c r="D3281" t="s">
        <v>103</v>
      </c>
      <c r="E3281">
        <v>27</v>
      </c>
    </row>
    <row r="3282" spans="1:5" x14ac:dyDescent="0.3">
      <c r="A3282" t="s">
        <v>35</v>
      </c>
      <c r="B3282">
        <v>2012</v>
      </c>
      <c r="C3282" t="str">
        <f>_xlfn.CONCAT(Table16[[#This Row],[STATE]],"-",Table16[[#This Row],[YEAR]])</f>
        <v>Chandigarh-2012</v>
      </c>
      <c r="D3282" t="s">
        <v>1069</v>
      </c>
      <c r="E3282">
        <v>50</v>
      </c>
    </row>
    <row r="3283" spans="1:5" x14ac:dyDescent="0.3">
      <c r="A3283" t="s">
        <v>35</v>
      </c>
      <c r="B3283">
        <v>2012</v>
      </c>
      <c r="C3283" t="str">
        <f>_xlfn.CONCAT(Table16[[#This Row],[STATE]],"-",Table16[[#This Row],[YEAR]])</f>
        <v>Chandigarh-2012</v>
      </c>
      <c r="D3283" t="s">
        <v>1070</v>
      </c>
      <c r="E3283">
        <v>25</v>
      </c>
    </row>
    <row r="3284" spans="1:5" x14ac:dyDescent="0.3">
      <c r="A3284" t="s">
        <v>35</v>
      </c>
      <c r="B3284">
        <v>2012</v>
      </c>
      <c r="C3284" t="str">
        <f>_xlfn.CONCAT(Table16[[#This Row],[STATE]],"-",Table16[[#This Row],[YEAR]])</f>
        <v>Chandigarh-2012</v>
      </c>
      <c r="D3284" t="s">
        <v>98</v>
      </c>
      <c r="E3284">
        <v>50</v>
      </c>
    </row>
    <row r="3285" spans="1:5" x14ac:dyDescent="0.3">
      <c r="A3285" t="s">
        <v>35</v>
      </c>
      <c r="B3285">
        <v>2012</v>
      </c>
      <c r="C3285" t="str">
        <f>_xlfn.CONCAT(Table16[[#This Row],[STATE]],"-",Table16[[#This Row],[YEAR]])</f>
        <v>Chandigarh-2012</v>
      </c>
      <c r="D3285" t="s">
        <v>401</v>
      </c>
      <c r="E3285">
        <v>60</v>
      </c>
    </row>
    <row r="3286" spans="1:5" x14ac:dyDescent="0.3">
      <c r="A3286" t="s">
        <v>35</v>
      </c>
      <c r="B3286">
        <v>2012</v>
      </c>
      <c r="C3286" t="str">
        <f>_xlfn.CONCAT(Table16[[#This Row],[STATE]],"-",Table16[[#This Row],[YEAR]])</f>
        <v>Chandigarh-2012</v>
      </c>
      <c r="D3286" t="s">
        <v>123</v>
      </c>
      <c r="E3286">
        <v>170</v>
      </c>
    </row>
    <row r="3287" spans="1:5" x14ac:dyDescent="0.3">
      <c r="A3287" t="s">
        <v>35</v>
      </c>
      <c r="B3287">
        <v>2012</v>
      </c>
      <c r="C3287" t="str">
        <f>_xlfn.CONCAT(Table16[[#This Row],[STATE]],"-",Table16[[#This Row],[YEAR]])</f>
        <v>Chandigarh-2012</v>
      </c>
      <c r="D3287" t="s">
        <v>146</v>
      </c>
      <c r="E3287">
        <v>115</v>
      </c>
    </row>
    <row r="3288" spans="1:5" x14ac:dyDescent="0.3">
      <c r="A3288" t="s">
        <v>35</v>
      </c>
      <c r="B3288">
        <v>2012</v>
      </c>
      <c r="C3288" t="str">
        <f>_xlfn.CONCAT(Table16[[#This Row],[STATE]],"-",Table16[[#This Row],[YEAR]])</f>
        <v>Chandigarh-2012</v>
      </c>
      <c r="D3288" t="s">
        <v>190</v>
      </c>
      <c r="E3288">
        <v>84</v>
      </c>
    </row>
    <row r="3289" spans="1:5" x14ac:dyDescent="0.3">
      <c r="A3289" t="s">
        <v>35</v>
      </c>
      <c r="B3289">
        <v>2012</v>
      </c>
      <c r="C3289" t="str">
        <f>_xlfn.CONCAT(Table16[[#This Row],[STATE]],"-",Table16[[#This Row],[YEAR]])</f>
        <v>Chandigarh-2012</v>
      </c>
      <c r="D3289" t="s">
        <v>1075</v>
      </c>
      <c r="E3289">
        <v>36</v>
      </c>
    </row>
    <row r="3290" spans="1:5" x14ac:dyDescent="0.3">
      <c r="A3290" t="s">
        <v>36</v>
      </c>
      <c r="B3290">
        <v>2009</v>
      </c>
      <c r="C3290" t="str">
        <f>_xlfn.CONCAT(Table16[[#This Row],[STATE]],"-",Table16[[#This Row],[YEAR]])</f>
        <v>D &amp; N Haveli-2009</v>
      </c>
      <c r="D3290" t="s">
        <v>181</v>
      </c>
      <c r="E3290">
        <v>0</v>
      </c>
    </row>
    <row r="3291" spans="1:5" x14ac:dyDescent="0.3">
      <c r="A3291" t="s">
        <v>36</v>
      </c>
      <c r="B3291">
        <v>2010</v>
      </c>
      <c r="C3291" t="str">
        <f>_xlfn.CONCAT(Table16[[#This Row],[STATE]],"-",Table16[[#This Row],[YEAR]])</f>
        <v>D &amp; N Haveli-2010</v>
      </c>
      <c r="D3291" t="s">
        <v>181</v>
      </c>
      <c r="E3291">
        <v>0</v>
      </c>
    </row>
    <row r="3292" spans="1:5" x14ac:dyDescent="0.3">
      <c r="A3292" t="s">
        <v>36</v>
      </c>
      <c r="B3292">
        <v>2012</v>
      </c>
      <c r="C3292" t="str">
        <f>_xlfn.CONCAT(Table16[[#This Row],[STATE]],"-",Table16[[#This Row],[YEAR]])</f>
        <v>D &amp; N Haveli-2012</v>
      </c>
      <c r="D3292" t="s">
        <v>181</v>
      </c>
      <c r="E3292">
        <v>0</v>
      </c>
    </row>
    <row r="3293" spans="1:5" x14ac:dyDescent="0.3">
      <c r="A3293" t="s">
        <v>37</v>
      </c>
      <c r="B3293">
        <v>2009</v>
      </c>
      <c r="C3293" t="str">
        <f>_xlfn.CONCAT(Table16[[#This Row],[STATE]],"-",Table16[[#This Row],[YEAR]])</f>
        <v>Daman &amp; Diu-2009</v>
      </c>
      <c r="D3293" t="s">
        <v>181</v>
      </c>
      <c r="E3293">
        <v>0</v>
      </c>
    </row>
    <row r="3294" spans="1:5" x14ac:dyDescent="0.3">
      <c r="A3294" t="s">
        <v>37</v>
      </c>
      <c r="B3294">
        <v>2010</v>
      </c>
      <c r="C3294" t="str">
        <f>_xlfn.CONCAT(Table16[[#This Row],[STATE]],"-",Table16[[#This Row],[YEAR]])</f>
        <v>Daman &amp; Diu-2010</v>
      </c>
      <c r="D3294" t="s">
        <v>181</v>
      </c>
      <c r="E3294">
        <v>0</v>
      </c>
    </row>
    <row r="3295" spans="1:5" x14ac:dyDescent="0.3">
      <c r="A3295" t="s">
        <v>37</v>
      </c>
      <c r="B3295">
        <v>2012</v>
      </c>
      <c r="C3295" t="str">
        <f>_xlfn.CONCAT(Table16[[#This Row],[STATE]],"-",Table16[[#This Row],[YEAR]])</f>
        <v>Daman &amp; Diu-2012</v>
      </c>
      <c r="D3295" t="s">
        <v>181</v>
      </c>
      <c r="E3295">
        <v>0</v>
      </c>
    </row>
    <row r="3296" spans="1:5" x14ac:dyDescent="0.3">
      <c r="A3296" t="s">
        <v>38</v>
      </c>
      <c r="B3296">
        <v>2001</v>
      </c>
      <c r="C3296" t="str">
        <f>_xlfn.CONCAT(Table16[[#This Row],[STATE]],"-",Table16[[#This Row],[YEAR]])</f>
        <v>Delhi-2001</v>
      </c>
      <c r="D3296" t="s">
        <v>123</v>
      </c>
      <c r="E3296">
        <v>251</v>
      </c>
    </row>
    <row r="3297" spans="1:5" x14ac:dyDescent="0.3">
      <c r="A3297" t="s">
        <v>38</v>
      </c>
      <c r="B3297">
        <v>2001</v>
      </c>
      <c r="C3297" t="str">
        <f>_xlfn.CONCAT(Table16[[#This Row],[STATE]],"-",Table16[[#This Row],[YEAR]])</f>
        <v>Delhi-2001</v>
      </c>
      <c r="D3297" t="s">
        <v>90</v>
      </c>
      <c r="E3297">
        <v>128</v>
      </c>
    </row>
    <row r="3298" spans="1:5" x14ac:dyDescent="0.3">
      <c r="A3298" t="s">
        <v>38</v>
      </c>
      <c r="B3298">
        <v>2001</v>
      </c>
      <c r="C3298" t="str">
        <f>_xlfn.CONCAT(Table16[[#This Row],[STATE]],"-",Table16[[#This Row],[YEAR]])</f>
        <v>Delhi-2001</v>
      </c>
      <c r="D3298" t="s">
        <v>103</v>
      </c>
      <c r="E3298">
        <v>39</v>
      </c>
    </row>
    <row r="3299" spans="1:5" x14ac:dyDescent="0.3">
      <c r="A3299" t="s">
        <v>38</v>
      </c>
      <c r="B3299">
        <v>2001</v>
      </c>
      <c r="C3299" t="str">
        <f>_xlfn.CONCAT(Table16[[#This Row],[STATE]],"-",Table16[[#This Row],[YEAR]])</f>
        <v>Delhi-2001</v>
      </c>
      <c r="D3299" t="s">
        <v>1076</v>
      </c>
      <c r="E3299">
        <v>90</v>
      </c>
    </row>
    <row r="3300" spans="1:5" x14ac:dyDescent="0.3">
      <c r="A3300" t="s">
        <v>38</v>
      </c>
      <c r="B3300">
        <v>2001</v>
      </c>
      <c r="C3300" t="str">
        <f>_xlfn.CONCAT(Table16[[#This Row],[STATE]],"-",Table16[[#This Row],[YEAR]])</f>
        <v>Delhi-2001</v>
      </c>
      <c r="D3300" t="s">
        <v>363</v>
      </c>
      <c r="E3300">
        <v>29</v>
      </c>
    </row>
    <row r="3301" spans="1:5" x14ac:dyDescent="0.3">
      <c r="A3301" t="s">
        <v>38</v>
      </c>
      <c r="B3301">
        <v>2001</v>
      </c>
      <c r="C3301" t="str">
        <f>_xlfn.CONCAT(Table16[[#This Row],[STATE]],"-",Table16[[#This Row],[YEAR]])</f>
        <v>Delhi-2001</v>
      </c>
      <c r="D3301" t="s">
        <v>351</v>
      </c>
      <c r="E3301">
        <v>28</v>
      </c>
    </row>
    <row r="3302" spans="1:5" x14ac:dyDescent="0.3">
      <c r="A3302" t="s">
        <v>38</v>
      </c>
      <c r="B3302">
        <v>2002</v>
      </c>
      <c r="C3302" t="str">
        <f>_xlfn.CONCAT(Table16[[#This Row],[STATE]],"-",Table16[[#This Row],[YEAR]])</f>
        <v>Delhi-2002</v>
      </c>
      <c r="D3302" t="s">
        <v>123</v>
      </c>
      <c r="E3302">
        <v>410</v>
      </c>
    </row>
    <row r="3303" spans="1:5" x14ac:dyDescent="0.3">
      <c r="A3303" t="s">
        <v>38</v>
      </c>
      <c r="B3303">
        <v>2002</v>
      </c>
      <c r="C3303" t="str">
        <f>_xlfn.CONCAT(Table16[[#This Row],[STATE]],"-",Table16[[#This Row],[YEAR]])</f>
        <v>Delhi-2002</v>
      </c>
      <c r="D3303" t="s">
        <v>90</v>
      </c>
      <c r="E3303">
        <v>160</v>
      </c>
    </row>
    <row r="3304" spans="1:5" x14ac:dyDescent="0.3">
      <c r="A3304" t="s">
        <v>38</v>
      </c>
      <c r="B3304">
        <v>2002</v>
      </c>
      <c r="C3304" t="str">
        <f>_xlfn.CONCAT(Table16[[#This Row],[STATE]],"-",Table16[[#This Row],[YEAR]])</f>
        <v>Delhi-2002</v>
      </c>
      <c r="D3304" t="s">
        <v>103</v>
      </c>
      <c r="E3304">
        <v>39</v>
      </c>
    </row>
    <row r="3305" spans="1:5" x14ac:dyDescent="0.3">
      <c r="A3305" t="s">
        <v>38</v>
      </c>
      <c r="B3305">
        <v>2002</v>
      </c>
      <c r="C3305" t="str">
        <f>_xlfn.CONCAT(Table16[[#This Row],[STATE]],"-",Table16[[#This Row],[YEAR]])</f>
        <v>Delhi-2002</v>
      </c>
      <c r="D3305" t="s">
        <v>1076</v>
      </c>
      <c r="E3305">
        <v>75</v>
      </c>
    </row>
    <row r="3306" spans="1:5" x14ac:dyDescent="0.3">
      <c r="A3306" t="s">
        <v>38</v>
      </c>
      <c r="B3306">
        <v>2002</v>
      </c>
      <c r="C3306" t="str">
        <f>_xlfn.CONCAT(Table16[[#This Row],[STATE]],"-",Table16[[#This Row],[YEAR]])</f>
        <v>Delhi-2002</v>
      </c>
      <c r="D3306" t="s">
        <v>363</v>
      </c>
      <c r="E3306">
        <v>30</v>
      </c>
    </row>
    <row r="3307" spans="1:5" x14ac:dyDescent="0.3">
      <c r="A3307" t="s">
        <v>38</v>
      </c>
      <c r="B3307">
        <v>2002</v>
      </c>
      <c r="C3307" t="str">
        <f>_xlfn.CONCAT(Table16[[#This Row],[STATE]],"-",Table16[[#This Row],[YEAR]])</f>
        <v>Delhi-2002</v>
      </c>
      <c r="D3307" t="s">
        <v>351</v>
      </c>
      <c r="E3307">
        <v>40</v>
      </c>
    </row>
    <row r="3308" spans="1:5" x14ac:dyDescent="0.3">
      <c r="A3308" t="s">
        <v>38</v>
      </c>
      <c r="B3308">
        <v>2003</v>
      </c>
      <c r="C3308" t="str">
        <f>_xlfn.CONCAT(Table16[[#This Row],[STATE]],"-",Table16[[#This Row],[YEAR]])</f>
        <v>Delhi-2003</v>
      </c>
      <c r="D3308" t="s">
        <v>123</v>
      </c>
      <c r="E3308">
        <v>386</v>
      </c>
    </row>
    <row r="3309" spans="1:5" x14ac:dyDescent="0.3">
      <c r="A3309" t="s">
        <v>38</v>
      </c>
      <c r="B3309">
        <v>2003</v>
      </c>
      <c r="C3309" t="str">
        <f>_xlfn.CONCAT(Table16[[#This Row],[STATE]],"-",Table16[[#This Row],[YEAR]])</f>
        <v>Delhi-2003</v>
      </c>
      <c r="D3309" t="s">
        <v>90</v>
      </c>
      <c r="E3309">
        <v>186</v>
      </c>
    </row>
    <row r="3310" spans="1:5" x14ac:dyDescent="0.3">
      <c r="A3310" t="s">
        <v>38</v>
      </c>
      <c r="B3310">
        <v>2003</v>
      </c>
      <c r="C3310" t="str">
        <f>_xlfn.CONCAT(Table16[[#This Row],[STATE]],"-",Table16[[#This Row],[YEAR]])</f>
        <v>Delhi-2003</v>
      </c>
      <c r="D3310" t="s">
        <v>103</v>
      </c>
      <c r="E3310">
        <v>47</v>
      </c>
    </row>
    <row r="3311" spans="1:5" x14ac:dyDescent="0.3">
      <c r="A3311" t="s">
        <v>38</v>
      </c>
      <c r="B3311">
        <v>2003</v>
      </c>
      <c r="C3311" t="str">
        <f>_xlfn.CONCAT(Table16[[#This Row],[STATE]],"-",Table16[[#This Row],[YEAR]])</f>
        <v>Delhi-2003</v>
      </c>
      <c r="D3311" t="s">
        <v>1076</v>
      </c>
      <c r="E3311">
        <v>152</v>
      </c>
    </row>
    <row r="3312" spans="1:5" x14ac:dyDescent="0.3">
      <c r="A3312" t="s">
        <v>38</v>
      </c>
      <c r="B3312">
        <v>2003</v>
      </c>
      <c r="C3312" t="str">
        <f>_xlfn.CONCAT(Table16[[#This Row],[STATE]],"-",Table16[[#This Row],[YEAR]])</f>
        <v>Delhi-2003</v>
      </c>
      <c r="D3312" t="s">
        <v>363</v>
      </c>
      <c r="E3312">
        <v>34</v>
      </c>
    </row>
    <row r="3313" spans="1:5" x14ac:dyDescent="0.3">
      <c r="A3313" t="s">
        <v>38</v>
      </c>
      <c r="B3313">
        <v>2003</v>
      </c>
      <c r="C3313" t="str">
        <f>_xlfn.CONCAT(Table16[[#This Row],[STATE]],"-",Table16[[#This Row],[YEAR]])</f>
        <v>Delhi-2003</v>
      </c>
      <c r="D3313" t="s">
        <v>351</v>
      </c>
      <c r="E3313">
        <v>39</v>
      </c>
    </row>
    <row r="3314" spans="1:5" x14ac:dyDescent="0.3">
      <c r="A3314" t="s">
        <v>38</v>
      </c>
      <c r="B3314">
        <v>2004</v>
      </c>
      <c r="C3314" t="str">
        <f>_xlfn.CONCAT(Table16[[#This Row],[STATE]],"-",Table16[[#This Row],[YEAR]])</f>
        <v>Delhi-2004</v>
      </c>
      <c r="D3314" t="s">
        <v>123</v>
      </c>
      <c r="E3314">
        <v>242</v>
      </c>
    </row>
    <row r="3315" spans="1:5" x14ac:dyDescent="0.3">
      <c r="A3315" t="s">
        <v>38</v>
      </c>
      <c r="B3315">
        <v>2004</v>
      </c>
      <c r="C3315" t="str">
        <f>_xlfn.CONCAT(Table16[[#This Row],[STATE]],"-",Table16[[#This Row],[YEAR]])</f>
        <v>Delhi-2004</v>
      </c>
      <c r="D3315" t="s">
        <v>90</v>
      </c>
      <c r="E3315">
        <v>257</v>
      </c>
    </row>
    <row r="3316" spans="1:5" x14ac:dyDescent="0.3">
      <c r="A3316" t="s">
        <v>38</v>
      </c>
      <c r="B3316">
        <v>2004</v>
      </c>
      <c r="C3316" t="str">
        <f>_xlfn.CONCAT(Table16[[#This Row],[STATE]],"-",Table16[[#This Row],[YEAR]])</f>
        <v>Delhi-2004</v>
      </c>
      <c r="D3316" t="s">
        <v>103</v>
      </c>
      <c r="E3316">
        <v>44</v>
      </c>
    </row>
    <row r="3317" spans="1:5" x14ac:dyDescent="0.3">
      <c r="A3317" t="s">
        <v>38</v>
      </c>
      <c r="B3317">
        <v>2004</v>
      </c>
      <c r="C3317" t="str">
        <f>_xlfn.CONCAT(Table16[[#This Row],[STATE]],"-",Table16[[#This Row],[YEAR]])</f>
        <v>Delhi-2004</v>
      </c>
      <c r="D3317" t="s">
        <v>1076</v>
      </c>
      <c r="E3317">
        <v>167</v>
      </c>
    </row>
    <row r="3318" spans="1:5" x14ac:dyDescent="0.3">
      <c r="A3318" t="s">
        <v>38</v>
      </c>
      <c r="B3318">
        <v>2004</v>
      </c>
      <c r="C3318" t="str">
        <f>_xlfn.CONCAT(Table16[[#This Row],[STATE]],"-",Table16[[#This Row],[YEAR]])</f>
        <v>Delhi-2004</v>
      </c>
      <c r="D3318" t="s">
        <v>363</v>
      </c>
      <c r="E3318">
        <v>67</v>
      </c>
    </row>
    <row r="3319" spans="1:5" x14ac:dyDescent="0.3">
      <c r="A3319" t="s">
        <v>38</v>
      </c>
      <c r="B3319">
        <v>2004</v>
      </c>
      <c r="C3319" t="str">
        <f>_xlfn.CONCAT(Table16[[#This Row],[STATE]],"-",Table16[[#This Row],[YEAR]])</f>
        <v>Delhi-2004</v>
      </c>
      <c r="D3319" t="s">
        <v>351</v>
      </c>
      <c r="E3319">
        <v>74</v>
      </c>
    </row>
    <row r="3320" spans="1:5" x14ac:dyDescent="0.3">
      <c r="A3320" t="s">
        <v>38</v>
      </c>
      <c r="B3320">
        <v>2004</v>
      </c>
      <c r="C3320" t="str">
        <f>_xlfn.CONCAT(Table16[[#This Row],[STATE]],"-",Table16[[#This Row],[YEAR]])</f>
        <v>Delhi-2004</v>
      </c>
      <c r="D3320" t="s">
        <v>1077</v>
      </c>
      <c r="E3320">
        <v>12</v>
      </c>
    </row>
    <row r="3321" spans="1:5" x14ac:dyDescent="0.3">
      <c r="A3321" t="s">
        <v>38</v>
      </c>
      <c r="B3321">
        <v>2005</v>
      </c>
      <c r="C3321" t="str">
        <f>_xlfn.CONCAT(Table16[[#This Row],[STATE]],"-",Table16[[#This Row],[YEAR]])</f>
        <v>Delhi-2005</v>
      </c>
      <c r="D3321" t="s">
        <v>1078</v>
      </c>
      <c r="E3321">
        <v>26</v>
      </c>
    </row>
    <row r="3322" spans="1:5" x14ac:dyDescent="0.3">
      <c r="A3322" t="s">
        <v>38</v>
      </c>
      <c r="B3322">
        <v>2005</v>
      </c>
      <c r="C3322" t="str">
        <f>_xlfn.CONCAT(Table16[[#This Row],[STATE]],"-",Table16[[#This Row],[YEAR]])</f>
        <v>Delhi-2005</v>
      </c>
      <c r="D3322" t="s">
        <v>504</v>
      </c>
      <c r="E3322">
        <v>126</v>
      </c>
    </row>
    <row r="3323" spans="1:5" x14ac:dyDescent="0.3">
      <c r="A3323" t="s">
        <v>38</v>
      </c>
      <c r="B3323">
        <v>2005</v>
      </c>
      <c r="C3323" t="str">
        <f>_xlfn.CONCAT(Table16[[#This Row],[STATE]],"-",Table16[[#This Row],[YEAR]])</f>
        <v>Delhi-2005</v>
      </c>
      <c r="D3323" t="s">
        <v>259</v>
      </c>
      <c r="E3323">
        <v>25</v>
      </c>
    </row>
    <row r="3324" spans="1:5" x14ac:dyDescent="0.3">
      <c r="A3324" t="s">
        <v>38</v>
      </c>
      <c r="B3324">
        <v>2005</v>
      </c>
      <c r="C3324" t="str">
        <f>_xlfn.CONCAT(Table16[[#This Row],[STATE]],"-",Table16[[#This Row],[YEAR]])</f>
        <v>Delhi-2005</v>
      </c>
      <c r="D3324" t="s">
        <v>103</v>
      </c>
      <c r="E3324">
        <v>89</v>
      </c>
    </row>
    <row r="3325" spans="1:5" x14ac:dyDescent="0.3">
      <c r="A3325" t="s">
        <v>38</v>
      </c>
      <c r="B3325">
        <v>2005</v>
      </c>
      <c r="C3325" t="str">
        <f>_xlfn.CONCAT(Table16[[#This Row],[STATE]],"-",Table16[[#This Row],[YEAR]])</f>
        <v>Delhi-2005</v>
      </c>
      <c r="D3325" t="s">
        <v>123</v>
      </c>
      <c r="E3325">
        <v>106</v>
      </c>
    </row>
    <row r="3326" spans="1:5" x14ac:dyDescent="0.3">
      <c r="A3326" t="s">
        <v>38</v>
      </c>
      <c r="B3326">
        <v>2005</v>
      </c>
      <c r="C3326" t="str">
        <f>_xlfn.CONCAT(Table16[[#This Row],[STATE]],"-",Table16[[#This Row],[YEAR]])</f>
        <v>Delhi-2005</v>
      </c>
      <c r="D3326" t="s">
        <v>90</v>
      </c>
      <c r="E3326">
        <v>98</v>
      </c>
    </row>
    <row r="3327" spans="1:5" x14ac:dyDescent="0.3">
      <c r="A3327" t="s">
        <v>38</v>
      </c>
      <c r="B3327">
        <v>2005</v>
      </c>
      <c r="C3327" t="str">
        <f>_xlfn.CONCAT(Table16[[#This Row],[STATE]],"-",Table16[[#This Row],[YEAR]])</f>
        <v>Delhi-2005</v>
      </c>
      <c r="D3327" t="s">
        <v>1079</v>
      </c>
      <c r="E3327">
        <v>32</v>
      </c>
    </row>
    <row r="3328" spans="1:5" x14ac:dyDescent="0.3">
      <c r="A3328" t="s">
        <v>38</v>
      </c>
      <c r="B3328">
        <v>2005</v>
      </c>
      <c r="C3328" t="str">
        <f>_xlfn.CONCAT(Table16[[#This Row],[STATE]],"-",Table16[[#This Row],[YEAR]])</f>
        <v>Delhi-2005</v>
      </c>
      <c r="D3328" t="s">
        <v>170</v>
      </c>
      <c r="E3328">
        <v>87</v>
      </c>
    </row>
    <row r="3329" spans="1:5" x14ac:dyDescent="0.3">
      <c r="A3329" t="s">
        <v>38</v>
      </c>
      <c r="B3329">
        <v>2005</v>
      </c>
      <c r="C3329" t="str">
        <f>_xlfn.CONCAT(Table16[[#This Row],[STATE]],"-",Table16[[#This Row],[YEAR]])</f>
        <v>Delhi-2005</v>
      </c>
      <c r="D3329" t="s">
        <v>388</v>
      </c>
      <c r="E3329">
        <v>10</v>
      </c>
    </row>
    <row r="3330" spans="1:5" x14ac:dyDescent="0.3">
      <c r="A3330" t="s">
        <v>38</v>
      </c>
      <c r="B3330">
        <v>2005</v>
      </c>
      <c r="C3330" t="str">
        <f>_xlfn.CONCAT(Table16[[#This Row],[STATE]],"-",Table16[[#This Row],[YEAR]])</f>
        <v>Delhi-2005</v>
      </c>
      <c r="D3330" t="s">
        <v>1080</v>
      </c>
      <c r="E3330">
        <v>30</v>
      </c>
    </row>
    <row r="3331" spans="1:5" x14ac:dyDescent="0.3">
      <c r="A3331" t="s">
        <v>38</v>
      </c>
      <c r="B3331">
        <v>2005</v>
      </c>
      <c r="C3331" t="str">
        <f>_xlfn.CONCAT(Table16[[#This Row],[STATE]],"-",Table16[[#This Row],[YEAR]])</f>
        <v>Delhi-2005</v>
      </c>
      <c r="D3331" t="s">
        <v>410</v>
      </c>
      <c r="E3331">
        <v>3</v>
      </c>
    </row>
    <row r="3332" spans="1:5" x14ac:dyDescent="0.3">
      <c r="A3332" t="s">
        <v>38</v>
      </c>
      <c r="B3332">
        <v>2005</v>
      </c>
      <c r="C3332" t="str">
        <f>_xlfn.CONCAT(Table16[[#This Row],[STATE]],"-",Table16[[#This Row],[YEAR]])</f>
        <v>Delhi-2005</v>
      </c>
      <c r="D3332" t="s">
        <v>266</v>
      </c>
      <c r="E3332">
        <v>25</v>
      </c>
    </row>
    <row r="3333" spans="1:5" x14ac:dyDescent="0.3">
      <c r="A3333" t="s">
        <v>38</v>
      </c>
      <c r="B3333">
        <v>2005</v>
      </c>
      <c r="C3333" t="str">
        <f>_xlfn.CONCAT(Table16[[#This Row],[STATE]],"-",Table16[[#This Row],[YEAR]])</f>
        <v>Delhi-2005</v>
      </c>
      <c r="D3333" t="s">
        <v>483</v>
      </c>
      <c r="E3333">
        <v>22</v>
      </c>
    </row>
    <row r="3334" spans="1:5" x14ac:dyDescent="0.3">
      <c r="A3334" t="s">
        <v>38</v>
      </c>
      <c r="B3334">
        <v>2005</v>
      </c>
      <c r="C3334" t="str">
        <f>_xlfn.CONCAT(Table16[[#This Row],[STATE]],"-",Table16[[#This Row],[YEAR]])</f>
        <v>Delhi-2005</v>
      </c>
      <c r="D3334" t="s">
        <v>1081</v>
      </c>
      <c r="E3334">
        <v>6</v>
      </c>
    </row>
    <row r="3335" spans="1:5" x14ac:dyDescent="0.3">
      <c r="A3335" t="s">
        <v>38</v>
      </c>
      <c r="B3335">
        <v>2005</v>
      </c>
      <c r="C3335" t="str">
        <f>_xlfn.CONCAT(Table16[[#This Row],[STATE]],"-",Table16[[#This Row],[YEAR]])</f>
        <v>Delhi-2005</v>
      </c>
      <c r="D3335" t="s">
        <v>351</v>
      </c>
      <c r="E3335">
        <v>36</v>
      </c>
    </row>
    <row r="3336" spans="1:5" x14ac:dyDescent="0.3">
      <c r="A3336" t="s">
        <v>38</v>
      </c>
      <c r="B3336">
        <v>2005</v>
      </c>
      <c r="C3336" t="str">
        <f>_xlfn.CONCAT(Table16[[#This Row],[STATE]],"-",Table16[[#This Row],[YEAR]])</f>
        <v>Delhi-2005</v>
      </c>
      <c r="D3336" t="s">
        <v>363</v>
      </c>
      <c r="E3336">
        <v>25</v>
      </c>
    </row>
    <row r="3337" spans="1:5" x14ac:dyDescent="0.3">
      <c r="A3337" t="s">
        <v>38</v>
      </c>
      <c r="B3337">
        <v>2005</v>
      </c>
      <c r="C3337" t="str">
        <f>_xlfn.CONCAT(Table16[[#This Row],[STATE]],"-",Table16[[#This Row],[YEAR]])</f>
        <v>Delhi-2005</v>
      </c>
      <c r="D3337" t="s">
        <v>1077</v>
      </c>
      <c r="E3337">
        <v>8</v>
      </c>
    </row>
    <row r="3338" spans="1:5" x14ac:dyDescent="0.3">
      <c r="A3338" t="s">
        <v>38</v>
      </c>
      <c r="B3338">
        <v>2005</v>
      </c>
      <c r="C3338" t="str">
        <f>_xlfn.CONCAT(Table16[[#This Row],[STATE]],"-",Table16[[#This Row],[YEAR]])</f>
        <v>Delhi-2005</v>
      </c>
      <c r="D3338" t="s">
        <v>317</v>
      </c>
      <c r="E3338">
        <v>16</v>
      </c>
    </row>
    <row r="3339" spans="1:5" x14ac:dyDescent="0.3">
      <c r="A3339" t="s">
        <v>38</v>
      </c>
      <c r="B3339">
        <v>2005</v>
      </c>
      <c r="C3339" t="str">
        <f>_xlfn.CONCAT(Table16[[#This Row],[STATE]],"-",Table16[[#This Row],[YEAR]])</f>
        <v>Delhi-2005</v>
      </c>
      <c r="D3339" t="s">
        <v>99</v>
      </c>
      <c r="E3339">
        <v>3</v>
      </c>
    </row>
    <row r="3340" spans="1:5" x14ac:dyDescent="0.3">
      <c r="A3340" t="s">
        <v>38</v>
      </c>
      <c r="B3340">
        <v>2006</v>
      </c>
      <c r="C3340" t="str">
        <f>_xlfn.CONCAT(Table16[[#This Row],[STATE]],"-",Table16[[#This Row],[YEAR]])</f>
        <v>Delhi-2006</v>
      </c>
      <c r="D3340" t="s">
        <v>98</v>
      </c>
      <c r="E3340">
        <v>27</v>
      </c>
    </row>
    <row r="3341" spans="1:5" x14ac:dyDescent="0.3">
      <c r="A3341" t="s">
        <v>38</v>
      </c>
      <c r="B3341">
        <v>2006</v>
      </c>
      <c r="C3341" t="str">
        <f>_xlfn.CONCAT(Table16[[#This Row],[STATE]],"-",Table16[[#This Row],[YEAR]])</f>
        <v>Delhi-2006</v>
      </c>
      <c r="D3341" t="s">
        <v>1082</v>
      </c>
      <c r="E3341">
        <v>117</v>
      </c>
    </row>
    <row r="3342" spans="1:5" x14ac:dyDescent="0.3">
      <c r="A3342" t="s">
        <v>38</v>
      </c>
      <c r="B3342">
        <v>2006</v>
      </c>
      <c r="C3342" t="str">
        <f>_xlfn.CONCAT(Table16[[#This Row],[STATE]],"-",Table16[[#This Row],[YEAR]])</f>
        <v>Delhi-2006</v>
      </c>
      <c r="D3342" t="s">
        <v>259</v>
      </c>
      <c r="E3342">
        <v>26</v>
      </c>
    </row>
    <row r="3343" spans="1:5" x14ac:dyDescent="0.3">
      <c r="A3343" t="s">
        <v>38</v>
      </c>
      <c r="B3343">
        <v>2006</v>
      </c>
      <c r="C3343" t="str">
        <f>_xlfn.CONCAT(Table16[[#This Row],[STATE]],"-",Table16[[#This Row],[YEAR]])</f>
        <v>Delhi-2006</v>
      </c>
      <c r="D3343" t="s">
        <v>103</v>
      </c>
      <c r="E3343">
        <v>93</v>
      </c>
    </row>
    <row r="3344" spans="1:5" x14ac:dyDescent="0.3">
      <c r="A3344" t="s">
        <v>38</v>
      </c>
      <c r="B3344">
        <v>2006</v>
      </c>
      <c r="C3344" t="str">
        <f>_xlfn.CONCAT(Table16[[#This Row],[STATE]],"-",Table16[[#This Row],[YEAR]])</f>
        <v>Delhi-2006</v>
      </c>
      <c r="D3344" t="s">
        <v>123</v>
      </c>
      <c r="E3344">
        <v>147</v>
      </c>
    </row>
    <row r="3345" spans="1:5" x14ac:dyDescent="0.3">
      <c r="A3345" t="s">
        <v>38</v>
      </c>
      <c r="B3345">
        <v>2006</v>
      </c>
      <c r="C3345" t="str">
        <f>_xlfn.CONCAT(Table16[[#This Row],[STATE]],"-",Table16[[#This Row],[YEAR]])</f>
        <v>Delhi-2006</v>
      </c>
      <c r="D3345" t="s">
        <v>90</v>
      </c>
      <c r="E3345">
        <v>102</v>
      </c>
    </row>
    <row r="3346" spans="1:5" x14ac:dyDescent="0.3">
      <c r="A3346" t="s">
        <v>38</v>
      </c>
      <c r="B3346">
        <v>2006</v>
      </c>
      <c r="C3346" t="str">
        <f>_xlfn.CONCAT(Table16[[#This Row],[STATE]],"-",Table16[[#This Row],[YEAR]])</f>
        <v>Delhi-2006</v>
      </c>
      <c r="D3346" t="s">
        <v>1079</v>
      </c>
      <c r="E3346">
        <v>27</v>
      </c>
    </row>
    <row r="3347" spans="1:5" x14ac:dyDescent="0.3">
      <c r="A3347" t="s">
        <v>38</v>
      </c>
      <c r="B3347">
        <v>2006</v>
      </c>
      <c r="C3347" t="str">
        <f>_xlfn.CONCAT(Table16[[#This Row],[STATE]],"-",Table16[[#This Row],[YEAR]])</f>
        <v>Delhi-2006</v>
      </c>
      <c r="D3347" t="s">
        <v>170</v>
      </c>
      <c r="E3347">
        <v>99</v>
      </c>
    </row>
    <row r="3348" spans="1:5" x14ac:dyDescent="0.3">
      <c r="A3348" t="s">
        <v>38</v>
      </c>
      <c r="B3348">
        <v>2006</v>
      </c>
      <c r="C3348" t="str">
        <f>_xlfn.CONCAT(Table16[[#This Row],[STATE]],"-",Table16[[#This Row],[YEAR]])</f>
        <v>Delhi-2006</v>
      </c>
      <c r="D3348" t="s">
        <v>1083</v>
      </c>
      <c r="E3348">
        <v>9</v>
      </c>
    </row>
    <row r="3349" spans="1:5" x14ac:dyDescent="0.3">
      <c r="A3349" t="s">
        <v>38</v>
      </c>
      <c r="B3349">
        <v>2006</v>
      </c>
      <c r="C3349" t="str">
        <f>_xlfn.CONCAT(Table16[[#This Row],[STATE]],"-",Table16[[#This Row],[YEAR]])</f>
        <v>Delhi-2006</v>
      </c>
      <c r="D3349" t="s">
        <v>1080</v>
      </c>
      <c r="E3349">
        <v>10</v>
      </c>
    </row>
    <row r="3350" spans="1:5" x14ac:dyDescent="0.3">
      <c r="A3350" t="s">
        <v>38</v>
      </c>
      <c r="B3350">
        <v>2006</v>
      </c>
      <c r="C3350" t="str">
        <f>_xlfn.CONCAT(Table16[[#This Row],[STATE]],"-",Table16[[#This Row],[YEAR]])</f>
        <v>Delhi-2006</v>
      </c>
      <c r="D3350" t="s">
        <v>410</v>
      </c>
      <c r="E3350">
        <v>5</v>
      </c>
    </row>
    <row r="3351" spans="1:5" x14ac:dyDescent="0.3">
      <c r="A3351" t="s">
        <v>38</v>
      </c>
      <c r="B3351">
        <v>2006</v>
      </c>
      <c r="C3351" t="str">
        <f>_xlfn.CONCAT(Table16[[#This Row],[STATE]],"-",Table16[[#This Row],[YEAR]])</f>
        <v>Delhi-2006</v>
      </c>
      <c r="D3351" t="s">
        <v>266</v>
      </c>
      <c r="E3351">
        <v>20</v>
      </c>
    </row>
    <row r="3352" spans="1:5" x14ac:dyDescent="0.3">
      <c r="A3352" t="s">
        <v>38</v>
      </c>
      <c r="B3352">
        <v>2006</v>
      </c>
      <c r="C3352" t="str">
        <f>_xlfn.CONCAT(Table16[[#This Row],[STATE]],"-",Table16[[#This Row],[YEAR]])</f>
        <v>Delhi-2006</v>
      </c>
      <c r="D3352" t="s">
        <v>483</v>
      </c>
      <c r="E3352">
        <v>18</v>
      </c>
    </row>
    <row r="3353" spans="1:5" x14ac:dyDescent="0.3">
      <c r="A3353" t="s">
        <v>38</v>
      </c>
      <c r="B3353">
        <v>2006</v>
      </c>
      <c r="C3353" t="str">
        <f>_xlfn.CONCAT(Table16[[#This Row],[STATE]],"-",Table16[[#This Row],[YEAR]])</f>
        <v>Delhi-2006</v>
      </c>
      <c r="D3353" t="s">
        <v>1084</v>
      </c>
      <c r="E3353">
        <v>4</v>
      </c>
    </row>
    <row r="3354" spans="1:5" x14ac:dyDescent="0.3">
      <c r="A3354" t="s">
        <v>38</v>
      </c>
      <c r="B3354">
        <v>2006</v>
      </c>
      <c r="C3354" t="str">
        <f>_xlfn.CONCAT(Table16[[#This Row],[STATE]],"-",Table16[[#This Row],[YEAR]])</f>
        <v>Delhi-2006</v>
      </c>
      <c r="D3354" t="s">
        <v>351</v>
      </c>
      <c r="E3354">
        <v>34</v>
      </c>
    </row>
    <row r="3355" spans="1:5" x14ac:dyDescent="0.3">
      <c r="A3355" t="s">
        <v>38</v>
      </c>
      <c r="B3355">
        <v>2006</v>
      </c>
      <c r="C3355" t="str">
        <f>_xlfn.CONCAT(Table16[[#This Row],[STATE]],"-",Table16[[#This Row],[YEAR]])</f>
        <v>Delhi-2006</v>
      </c>
      <c r="D3355" t="s">
        <v>363</v>
      </c>
      <c r="E3355">
        <v>23</v>
      </c>
    </row>
    <row r="3356" spans="1:5" x14ac:dyDescent="0.3">
      <c r="A3356" t="s">
        <v>38</v>
      </c>
      <c r="B3356">
        <v>2006</v>
      </c>
      <c r="C3356" t="str">
        <f>_xlfn.CONCAT(Table16[[#This Row],[STATE]],"-",Table16[[#This Row],[YEAR]])</f>
        <v>Delhi-2006</v>
      </c>
      <c r="D3356" t="s">
        <v>1077</v>
      </c>
      <c r="E3356">
        <v>21</v>
      </c>
    </row>
    <row r="3357" spans="1:5" x14ac:dyDescent="0.3">
      <c r="A3357" t="s">
        <v>38</v>
      </c>
      <c r="B3357">
        <v>2006</v>
      </c>
      <c r="C3357" t="str">
        <f>_xlfn.CONCAT(Table16[[#This Row],[STATE]],"-",Table16[[#This Row],[YEAR]])</f>
        <v>Delhi-2006</v>
      </c>
      <c r="D3357" t="s">
        <v>317</v>
      </c>
      <c r="E3357">
        <v>61</v>
      </c>
    </row>
    <row r="3358" spans="1:5" x14ac:dyDescent="0.3">
      <c r="A3358" t="s">
        <v>38</v>
      </c>
      <c r="B3358">
        <v>2006</v>
      </c>
      <c r="C3358" t="str">
        <f>_xlfn.CONCAT(Table16[[#This Row],[STATE]],"-",Table16[[#This Row],[YEAR]])</f>
        <v>Delhi-2006</v>
      </c>
      <c r="D3358" t="s">
        <v>1085</v>
      </c>
      <c r="E3358">
        <v>8</v>
      </c>
    </row>
    <row r="3359" spans="1:5" x14ac:dyDescent="0.3">
      <c r="A3359" t="s">
        <v>38</v>
      </c>
      <c r="B3359">
        <v>2006</v>
      </c>
      <c r="C3359" t="str">
        <f>_xlfn.CONCAT(Table16[[#This Row],[STATE]],"-",Table16[[#This Row],[YEAR]])</f>
        <v>Delhi-2006</v>
      </c>
      <c r="D3359" t="s">
        <v>1086</v>
      </c>
      <c r="E3359">
        <v>7</v>
      </c>
    </row>
    <row r="3360" spans="1:5" x14ac:dyDescent="0.3">
      <c r="A3360" t="s">
        <v>38</v>
      </c>
      <c r="B3360">
        <v>2006</v>
      </c>
      <c r="C3360" t="str">
        <f>_xlfn.CONCAT(Table16[[#This Row],[STATE]],"-",Table16[[#This Row],[YEAR]])</f>
        <v>Delhi-2006</v>
      </c>
      <c r="D3360" t="s">
        <v>1087</v>
      </c>
      <c r="E3360">
        <v>20</v>
      </c>
    </row>
    <row r="3361" spans="1:5" x14ac:dyDescent="0.3">
      <c r="A3361" t="s">
        <v>38</v>
      </c>
      <c r="B3361">
        <v>2007</v>
      </c>
      <c r="C3361" t="str">
        <f>_xlfn.CONCAT(Table16[[#This Row],[STATE]],"-",Table16[[#This Row],[YEAR]])</f>
        <v>Delhi-2007</v>
      </c>
      <c r="D3361" t="s">
        <v>98</v>
      </c>
      <c r="E3361">
        <v>15</v>
      </c>
    </row>
    <row r="3362" spans="1:5" x14ac:dyDescent="0.3">
      <c r="A3362" t="s">
        <v>38</v>
      </c>
      <c r="B3362">
        <v>2007</v>
      </c>
      <c r="C3362" t="str">
        <f>_xlfn.CONCAT(Table16[[#This Row],[STATE]],"-",Table16[[#This Row],[YEAR]])</f>
        <v>Delhi-2007</v>
      </c>
      <c r="D3362" t="s">
        <v>504</v>
      </c>
      <c r="E3362">
        <v>67</v>
      </c>
    </row>
    <row r="3363" spans="1:5" x14ac:dyDescent="0.3">
      <c r="A3363" t="s">
        <v>38</v>
      </c>
      <c r="B3363">
        <v>2007</v>
      </c>
      <c r="C3363" t="str">
        <f>_xlfn.CONCAT(Table16[[#This Row],[STATE]],"-",Table16[[#This Row],[YEAR]])</f>
        <v>Delhi-2007</v>
      </c>
      <c r="D3363" t="s">
        <v>259</v>
      </c>
      <c r="E3363">
        <v>2</v>
      </c>
    </row>
    <row r="3364" spans="1:5" x14ac:dyDescent="0.3">
      <c r="A3364" t="s">
        <v>38</v>
      </c>
      <c r="B3364">
        <v>2007</v>
      </c>
      <c r="C3364" t="str">
        <f>_xlfn.CONCAT(Table16[[#This Row],[STATE]],"-",Table16[[#This Row],[YEAR]])</f>
        <v>Delhi-2007</v>
      </c>
      <c r="D3364" t="s">
        <v>103</v>
      </c>
      <c r="E3364">
        <v>95</v>
      </c>
    </row>
    <row r="3365" spans="1:5" x14ac:dyDescent="0.3">
      <c r="A3365" t="s">
        <v>38</v>
      </c>
      <c r="B3365">
        <v>2007</v>
      </c>
      <c r="C3365" t="str">
        <f>_xlfn.CONCAT(Table16[[#This Row],[STATE]],"-",Table16[[#This Row],[YEAR]])</f>
        <v>Delhi-2007</v>
      </c>
      <c r="D3365" t="s">
        <v>123</v>
      </c>
      <c r="E3365">
        <v>307</v>
      </c>
    </row>
    <row r="3366" spans="1:5" x14ac:dyDescent="0.3">
      <c r="A3366" t="s">
        <v>38</v>
      </c>
      <c r="B3366">
        <v>2007</v>
      </c>
      <c r="C3366" t="str">
        <f>_xlfn.CONCAT(Table16[[#This Row],[STATE]],"-",Table16[[#This Row],[YEAR]])</f>
        <v>Delhi-2007</v>
      </c>
      <c r="D3366" t="s">
        <v>90</v>
      </c>
      <c r="E3366">
        <v>116</v>
      </c>
    </row>
    <row r="3367" spans="1:5" x14ac:dyDescent="0.3">
      <c r="A3367" t="s">
        <v>38</v>
      </c>
      <c r="B3367">
        <v>2007</v>
      </c>
      <c r="C3367" t="str">
        <f>_xlfn.CONCAT(Table16[[#This Row],[STATE]],"-",Table16[[#This Row],[YEAR]])</f>
        <v>Delhi-2007</v>
      </c>
      <c r="D3367" t="s">
        <v>1079</v>
      </c>
      <c r="E3367">
        <v>4</v>
      </c>
    </row>
    <row r="3368" spans="1:5" x14ac:dyDescent="0.3">
      <c r="A3368" t="s">
        <v>38</v>
      </c>
      <c r="B3368">
        <v>2007</v>
      </c>
      <c r="C3368" t="str">
        <f>_xlfn.CONCAT(Table16[[#This Row],[STATE]],"-",Table16[[#This Row],[YEAR]])</f>
        <v>Delhi-2007</v>
      </c>
      <c r="D3368" t="s">
        <v>230</v>
      </c>
      <c r="E3368">
        <v>71</v>
      </c>
    </row>
    <row r="3369" spans="1:5" x14ac:dyDescent="0.3">
      <c r="A3369" t="s">
        <v>38</v>
      </c>
      <c r="B3369">
        <v>2007</v>
      </c>
      <c r="C3369" t="str">
        <f>_xlfn.CONCAT(Table16[[#This Row],[STATE]],"-",Table16[[#This Row],[YEAR]])</f>
        <v>Delhi-2007</v>
      </c>
      <c r="D3369" t="s">
        <v>1080</v>
      </c>
      <c r="E3369">
        <v>10</v>
      </c>
    </row>
    <row r="3370" spans="1:5" x14ac:dyDescent="0.3">
      <c r="A3370" t="s">
        <v>38</v>
      </c>
      <c r="B3370">
        <v>2007</v>
      </c>
      <c r="C3370" t="str">
        <f>_xlfn.CONCAT(Table16[[#This Row],[STATE]],"-",Table16[[#This Row],[YEAR]])</f>
        <v>Delhi-2007</v>
      </c>
      <c r="D3370" t="s">
        <v>410</v>
      </c>
      <c r="E3370">
        <v>2</v>
      </c>
    </row>
    <row r="3371" spans="1:5" x14ac:dyDescent="0.3">
      <c r="A3371" t="s">
        <v>38</v>
      </c>
      <c r="B3371">
        <v>2007</v>
      </c>
      <c r="C3371" t="str">
        <f>_xlfn.CONCAT(Table16[[#This Row],[STATE]],"-",Table16[[#This Row],[YEAR]])</f>
        <v>Delhi-2007</v>
      </c>
      <c r="D3371" t="s">
        <v>483</v>
      </c>
      <c r="E3371">
        <v>16</v>
      </c>
    </row>
    <row r="3372" spans="1:5" x14ac:dyDescent="0.3">
      <c r="A3372" t="s">
        <v>38</v>
      </c>
      <c r="B3372">
        <v>2007</v>
      </c>
      <c r="C3372" t="str">
        <f>_xlfn.CONCAT(Table16[[#This Row],[STATE]],"-",Table16[[#This Row],[YEAR]])</f>
        <v>Delhi-2007</v>
      </c>
      <c r="D3372" t="s">
        <v>1088</v>
      </c>
      <c r="E3372">
        <v>9</v>
      </c>
    </row>
    <row r="3373" spans="1:5" x14ac:dyDescent="0.3">
      <c r="A3373" t="s">
        <v>38</v>
      </c>
      <c r="B3373">
        <v>2007</v>
      </c>
      <c r="C3373" t="str">
        <f>_xlfn.CONCAT(Table16[[#This Row],[STATE]],"-",Table16[[#This Row],[YEAR]])</f>
        <v>Delhi-2007</v>
      </c>
      <c r="D3373" t="s">
        <v>1084</v>
      </c>
      <c r="E3373">
        <v>5</v>
      </c>
    </row>
    <row r="3374" spans="1:5" x14ac:dyDescent="0.3">
      <c r="A3374" t="s">
        <v>38</v>
      </c>
      <c r="B3374">
        <v>2007</v>
      </c>
      <c r="C3374" t="str">
        <f>_xlfn.CONCAT(Table16[[#This Row],[STATE]],"-",Table16[[#This Row],[YEAR]])</f>
        <v>Delhi-2007</v>
      </c>
      <c r="D3374" t="s">
        <v>351</v>
      </c>
      <c r="E3374">
        <v>34</v>
      </c>
    </row>
    <row r="3375" spans="1:5" x14ac:dyDescent="0.3">
      <c r="A3375" t="s">
        <v>38</v>
      </c>
      <c r="B3375">
        <v>2007</v>
      </c>
      <c r="C3375" t="str">
        <f>_xlfn.CONCAT(Table16[[#This Row],[STATE]],"-",Table16[[#This Row],[YEAR]])</f>
        <v>Delhi-2007</v>
      </c>
      <c r="D3375" t="s">
        <v>363</v>
      </c>
      <c r="E3375">
        <v>22</v>
      </c>
    </row>
    <row r="3376" spans="1:5" x14ac:dyDescent="0.3">
      <c r="A3376" t="s">
        <v>38</v>
      </c>
      <c r="B3376">
        <v>2007</v>
      </c>
      <c r="C3376" t="str">
        <f>_xlfn.CONCAT(Table16[[#This Row],[STATE]],"-",Table16[[#This Row],[YEAR]])</f>
        <v>Delhi-2007</v>
      </c>
      <c r="D3376" t="s">
        <v>1077</v>
      </c>
      <c r="E3376">
        <v>17</v>
      </c>
    </row>
    <row r="3377" spans="1:5" x14ac:dyDescent="0.3">
      <c r="A3377" t="s">
        <v>38</v>
      </c>
      <c r="B3377">
        <v>2007</v>
      </c>
      <c r="C3377" t="str">
        <f>_xlfn.CONCAT(Table16[[#This Row],[STATE]],"-",Table16[[#This Row],[YEAR]])</f>
        <v>Delhi-2007</v>
      </c>
      <c r="D3377" t="s">
        <v>140</v>
      </c>
      <c r="E3377">
        <v>37</v>
      </c>
    </row>
    <row r="3378" spans="1:5" x14ac:dyDescent="0.3">
      <c r="A3378" t="s">
        <v>38</v>
      </c>
      <c r="B3378">
        <v>2007</v>
      </c>
      <c r="C3378" t="str">
        <f>_xlfn.CONCAT(Table16[[#This Row],[STATE]],"-",Table16[[#This Row],[YEAR]])</f>
        <v>Delhi-2007</v>
      </c>
      <c r="D3378" t="s">
        <v>1085</v>
      </c>
      <c r="E3378">
        <v>2</v>
      </c>
    </row>
    <row r="3379" spans="1:5" x14ac:dyDescent="0.3">
      <c r="A3379" t="s">
        <v>38</v>
      </c>
      <c r="B3379">
        <v>2007</v>
      </c>
      <c r="C3379" t="str">
        <f>_xlfn.CONCAT(Table16[[#This Row],[STATE]],"-",Table16[[#This Row],[YEAR]])</f>
        <v>Delhi-2007</v>
      </c>
      <c r="D3379" t="s">
        <v>120</v>
      </c>
      <c r="E3379">
        <v>28</v>
      </c>
    </row>
    <row r="3380" spans="1:5" x14ac:dyDescent="0.3">
      <c r="A3380" t="s">
        <v>38</v>
      </c>
      <c r="B3380">
        <v>2007</v>
      </c>
      <c r="C3380" t="str">
        <f>_xlfn.CONCAT(Table16[[#This Row],[STATE]],"-",Table16[[#This Row],[YEAR]])</f>
        <v>Delhi-2007</v>
      </c>
      <c r="D3380" t="s">
        <v>138</v>
      </c>
      <c r="E3380">
        <v>5</v>
      </c>
    </row>
    <row r="3381" spans="1:5" x14ac:dyDescent="0.3">
      <c r="A3381" t="s">
        <v>38</v>
      </c>
      <c r="B3381">
        <v>2007</v>
      </c>
      <c r="C3381" t="str">
        <f>_xlfn.CONCAT(Table16[[#This Row],[STATE]],"-",Table16[[#This Row],[YEAR]])</f>
        <v>Delhi-2007</v>
      </c>
      <c r="D3381" t="s">
        <v>1089</v>
      </c>
      <c r="E3381">
        <v>2</v>
      </c>
    </row>
    <row r="3382" spans="1:5" x14ac:dyDescent="0.3">
      <c r="A3382" t="s">
        <v>38</v>
      </c>
      <c r="B3382">
        <v>2007</v>
      </c>
      <c r="C3382" t="str">
        <f>_xlfn.CONCAT(Table16[[#This Row],[STATE]],"-",Table16[[#This Row],[YEAR]])</f>
        <v>Delhi-2007</v>
      </c>
      <c r="D3382" t="s">
        <v>872</v>
      </c>
      <c r="E3382">
        <v>10</v>
      </c>
    </row>
    <row r="3383" spans="1:5" x14ac:dyDescent="0.3">
      <c r="A3383" t="s">
        <v>38</v>
      </c>
      <c r="B3383">
        <v>2007</v>
      </c>
      <c r="C3383" t="str">
        <f>_xlfn.CONCAT(Table16[[#This Row],[STATE]],"-",Table16[[#This Row],[YEAR]])</f>
        <v>Delhi-2007</v>
      </c>
      <c r="D3383" t="s">
        <v>99</v>
      </c>
      <c r="E3383">
        <v>67</v>
      </c>
    </row>
    <row r="3384" spans="1:5" x14ac:dyDescent="0.3">
      <c r="A3384" t="s">
        <v>38</v>
      </c>
      <c r="B3384">
        <v>2008</v>
      </c>
      <c r="C3384" t="str">
        <f>_xlfn.CONCAT(Table16[[#This Row],[STATE]],"-",Table16[[#This Row],[YEAR]])</f>
        <v>Delhi-2008</v>
      </c>
      <c r="D3384" t="s">
        <v>98</v>
      </c>
      <c r="E3384">
        <v>33</v>
      </c>
    </row>
    <row r="3385" spans="1:5" x14ac:dyDescent="0.3">
      <c r="A3385" t="s">
        <v>38</v>
      </c>
      <c r="B3385">
        <v>2008</v>
      </c>
      <c r="C3385" t="str">
        <f>_xlfn.CONCAT(Table16[[#This Row],[STATE]],"-",Table16[[#This Row],[YEAR]])</f>
        <v>Delhi-2008</v>
      </c>
      <c r="D3385" t="s">
        <v>1082</v>
      </c>
      <c r="E3385">
        <v>34</v>
      </c>
    </row>
    <row r="3386" spans="1:5" x14ac:dyDescent="0.3">
      <c r="A3386" t="s">
        <v>38</v>
      </c>
      <c r="B3386">
        <v>2008</v>
      </c>
      <c r="C3386" t="str">
        <f>_xlfn.CONCAT(Table16[[#This Row],[STATE]],"-",Table16[[#This Row],[YEAR]])</f>
        <v>Delhi-2008</v>
      </c>
      <c r="D3386" t="s">
        <v>259</v>
      </c>
      <c r="E3386">
        <v>39</v>
      </c>
    </row>
    <row r="3387" spans="1:5" x14ac:dyDescent="0.3">
      <c r="A3387" t="s">
        <v>38</v>
      </c>
      <c r="B3387">
        <v>2008</v>
      </c>
      <c r="C3387" t="str">
        <f>_xlfn.CONCAT(Table16[[#This Row],[STATE]],"-",Table16[[#This Row],[YEAR]])</f>
        <v>Delhi-2008</v>
      </c>
      <c r="D3387" t="s">
        <v>103</v>
      </c>
      <c r="E3387">
        <v>62</v>
      </c>
    </row>
    <row r="3388" spans="1:5" x14ac:dyDescent="0.3">
      <c r="A3388" t="s">
        <v>38</v>
      </c>
      <c r="B3388">
        <v>2008</v>
      </c>
      <c r="C3388" t="str">
        <f>_xlfn.CONCAT(Table16[[#This Row],[STATE]],"-",Table16[[#This Row],[YEAR]])</f>
        <v>Delhi-2008</v>
      </c>
      <c r="D3388" t="s">
        <v>123</v>
      </c>
      <c r="E3388">
        <v>139</v>
      </c>
    </row>
    <row r="3389" spans="1:5" x14ac:dyDescent="0.3">
      <c r="A3389" t="s">
        <v>38</v>
      </c>
      <c r="B3389">
        <v>2008</v>
      </c>
      <c r="C3389" t="str">
        <f>_xlfn.CONCAT(Table16[[#This Row],[STATE]],"-",Table16[[#This Row],[YEAR]])</f>
        <v>Delhi-2008</v>
      </c>
      <c r="D3389" t="s">
        <v>90</v>
      </c>
      <c r="E3389">
        <v>117</v>
      </c>
    </row>
    <row r="3390" spans="1:5" x14ac:dyDescent="0.3">
      <c r="A3390" t="s">
        <v>38</v>
      </c>
      <c r="B3390">
        <v>2008</v>
      </c>
      <c r="C3390" t="str">
        <f>_xlfn.CONCAT(Table16[[#This Row],[STATE]],"-",Table16[[#This Row],[YEAR]])</f>
        <v>Delhi-2008</v>
      </c>
      <c r="D3390" t="s">
        <v>170</v>
      </c>
      <c r="E3390">
        <v>188</v>
      </c>
    </row>
    <row r="3391" spans="1:5" x14ac:dyDescent="0.3">
      <c r="A3391" t="s">
        <v>38</v>
      </c>
      <c r="B3391">
        <v>2008</v>
      </c>
      <c r="C3391" t="str">
        <f>_xlfn.CONCAT(Table16[[#This Row],[STATE]],"-",Table16[[#This Row],[YEAR]])</f>
        <v>Delhi-2008</v>
      </c>
      <c r="D3391" t="s">
        <v>1080</v>
      </c>
      <c r="E3391">
        <v>10</v>
      </c>
    </row>
    <row r="3392" spans="1:5" x14ac:dyDescent="0.3">
      <c r="A3392" t="s">
        <v>38</v>
      </c>
      <c r="B3392">
        <v>2008</v>
      </c>
      <c r="C3392" t="str">
        <f>_xlfn.CONCAT(Table16[[#This Row],[STATE]],"-",Table16[[#This Row],[YEAR]])</f>
        <v>Delhi-2008</v>
      </c>
      <c r="D3392" t="s">
        <v>410</v>
      </c>
      <c r="E3392">
        <v>10</v>
      </c>
    </row>
    <row r="3393" spans="1:5" x14ac:dyDescent="0.3">
      <c r="A3393" t="s">
        <v>38</v>
      </c>
      <c r="B3393">
        <v>2008</v>
      </c>
      <c r="C3393" t="str">
        <f>_xlfn.CONCAT(Table16[[#This Row],[STATE]],"-",Table16[[#This Row],[YEAR]])</f>
        <v>Delhi-2008</v>
      </c>
      <c r="D3393" t="s">
        <v>483</v>
      </c>
      <c r="E3393">
        <v>27</v>
      </c>
    </row>
    <row r="3394" spans="1:5" x14ac:dyDescent="0.3">
      <c r="A3394" t="s">
        <v>38</v>
      </c>
      <c r="B3394">
        <v>2008</v>
      </c>
      <c r="C3394" t="str">
        <f>_xlfn.CONCAT(Table16[[#This Row],[STATE]],"-",Table16[[#This Row],[YEAR]])</f>
        <v>Delhi-2008</v>
      </c>
      <c r="D3394" t="s">
        <v>1088</v>
      </c>
      <c r="E3394">
        <v>2</v>
      </c>
    </row>
    <row r="3395" spans="1:5" x14ac:dyDescent="0.3">
      <c r="A3395" t="s">
        <v>38</v>
      </c>
      <c r="B3395">
        <v>2008</v>
      </c>
      <c r="C3395" t="str">
        <f>_xlfn.CONCAT(Table16[[#This Row],[STATE]],"-",Table16[[#This Row],[YEAR]])</f>
        <v>Delhi-2008</v>
      </c>
      <c r="D3395" t="s">
        <v>1090</v>
      </c>
      <c r="E3395">
        <v>1</v>
      </c>
    </row>
    <row r="3396" spans="1:5" x14ac:dyDescent="0.3">
      <c r="A3396" t="s">
        <v>38</v>
      </c>
      <c r="B3396">
        <v>2008</v>
      </c>
      <c r="C3396" t="str">
        <f>_xlfn.CONCAT(Table16[[#This Row],[STATE]],"-",Table16[[#This Row],[YEAR]])</f>
        <v>Delhi-2008</v>
      </c>
      <c r="D3396" t="s">
        <v>351</v>
      </c>
      <c r="E3396">
        <v>40</v>
      </c>
    </row>
    <row r="3397" spans="1:5" x14ac:dyDescent="0.3">
      <c r="A3397" t="s">
        <v>38</v>
      </c>
      <c r="B3397">
        <v>2008</v>
      </c>
      <c r="C3397" t="str">
        <f>_xlfn.CONCAT(Table16[[#This Row],[STATE]],"-",Table16[[#This Row],[YEAR]])</f>
        <v>Delhi-2008</v>
      </c>
      <c r="D3397" t="s">
        <v>363</v>
      </c>
      <c r="E3397">
        <v>16</v>
      </c>
    </row>
    <row r="3398" spans="1:5" x14ac:dyDescent="0.3">
      <c r="A3398" t="s">
        <v>38</v>
      </c>
      <c r="B3398">
        <v>2008</v>
      </c>
      <c r="C3398" t="str">
        <f>_xlfn.CONCAT(Table16[[#This Row],[STATE]],"-",Table16[[#This Row],[YEAR]])</f>
        <v>Delhi-2008</v>
      </c>
      <c r="D3398" t="s">
        <v>1077</v>
      </c>
      <c r="E3398">
        <v>3</v>
      </c>
    </row>
    <row r="3399" spans="1:5" x14ac:dyDescent="0.3">
      <c r="A3399" t="s">
        <v>38</v>
      </c>
      <c r="B3399">
        <v>2008</v>
      </c>
      <c r="C3399" t="str">
        <f>_xlfn.CONCAT(Table16[[#This Row],[STATE]],"-",Table16[[#This Row],[YEAR]])</f>
        <v>Delhi-2008</v>
      </c>
      <c r="D3399" t="s">
        <v>140</v>
      </c>
      <c r="E3399">
        <v>4</v>
      </c>
    </row>
    <row r="3400" spans="1:5" x14ac:dyDescent="0.3">
      <c r="A3400" t="s">
        <v>38</v>
      </c>
      <c r="B3400">
        <v>2008</v>
      </c>
      <c r="C3400" t="str">
        <f>_xlfn.CONCAT(Table16[[#This Row],[STATE]],"-",Table16[[#This Row],[YEAR]])</f>
        <v>Delhi-2008</v>
      </c>
      <c r="D3400" t="s">
        <v>1085</v>
      </c>
      <c r="E3400">
        <v>2</v>
      </c>
    </row>
    <row r="3401" spans="1:5" x14ac:dyDescent="0.3">
      <c r="A3401" t="s">
        <v>38</v>
      </c>
      <c r="B3401">
        <v>2008</v>
      </c>
      <c r="C3401" t="str">
        <f>_xlfn.CONCAT(Table16[[#This Row],[STATE]],"-",Table16[[#This Row],[YEAR]])</f>
        <v>Delhi-2008</v>
      </c>
      <c r="D3401" t="s">
        <v>120</v>
      </c>
      <c r="E3401">
        <v>27</v>
      </c>
    </row>
    <row r="3402" spans="1:5" x14ac:dyDescent="0.3">
      <c r="A3402" t="s">
        <v>38</v>
      </c>
      <c r="B3402">
        <v>2008</v>
      </c>
      <c r="C3402" t="str">
        <f>_xlfn.CONCAT(Table16[[#This Row],[STATE]],"-",Table16[[#This Row],[YEAR]])</f>
        <v>Delhi-2008</v>
      </c>
      <c r="D3402" t="s">
        <v>1089</v>
      </c>
      <c r="E3402">
        <v>2</v>
      </c>
    </row>
    <row r="3403" spans="1:5" x14ac:dyDescent="0.3">
      <c r="A3403" t="s">
        <v>38</v>
      </c>
      <c r="B3403">
        <v>2008</v>
      </c>
      <c r="C3403" t="str">
        <f>_xlfn.CONCAT(Table16[[#This Row],[STATE]],"-",Table16[[#This Row],[YEAR]])</f>
        <v>Delhi-2008</v>
      </c>
      <c r="D3403" t="s">
        <v>872</v>
      </c>
      <c r="E3403">
        <v>10</v>
      </c>
    </row>
    <row r="3404" spans="1:5" x14ac:dyDescent="0.3">
      <c r="A3404" t="s">
        <v>38</v>
      </c>
      <c r="B3404">
        <v>2008</v>
      </c>
      <c r="C3404" t="str">
        <f>_xlfn.CONCAT(Table16[[#This Row],[STATE]],"-",Table16[[#This Row],[YEAR]])</f>
        <v>Delhi-2008</v>
      </c>
      <c r="D3404" t="s">
        <v>99</v>
      </c>
      <c r="E3404">
        <v>92</v>
      </c>
    </row>
    <row r="3405" spans="1:5" x14ac:dyDescent="0.3">
      <c r="A3405" t="s">
        <v>38</v>
      </c>
      <c r="B3405">
        <v>2009</v>
      </c>
      <c r="C3405" t="str">
        <f>_xlfn.CONCAT(Table16[[#This Row],[STATE]],"-",Table16[[#This Row],[YEAR]])</f>
        <v>Delhi-2009</v>
      </c>
      <c r="D3405" t="s">
        <v>98</v>
      </c>
      <c r="E3405">
        <v>47</v>
      </c>
    </row>
    <row r="3406" spans="1:5" x14ac:dyDescent="0.3">
      <c r="A3406" t="s">
        <v>38</v>
      </c>
      <c r="B3406">
        <v>2009</v>
      </c>
      <c r="C3406" t="str">
        <f>_xlfn.CONCAT(Table16[[#This Row],[STATE]],"-",Table16[[#This Row],[YEAR]])</f>
        <v>Delhi-2009</v>
      </c>
      <c r="D3406" t="s">
        <v>1091</v>
      </c>
      <c r="E3406">
        <v>38</v>
      </c>
    </row>
    <row r="3407" spans="1:5" x14ac:dyDescent="0.3">
      <c r="A3407" t="s">
        <v>38</v>
      </c>
      <c r="B3407">
        <v>2009</v>
      </c>
      <c r="C3407" t="str">
        <f>_xlfn.CONCAT(Table16[[#This Row],[STATE]],"-",Table16[[#This Row],[YEAR]])</f>
        <v>Delhi-2009</v>
      </c>
      <c r="D3407" t="s">
        <v>259</v>
      </c>
      <c r="E3407">
        <v>0</v>
      </c>
    </row>
    <row r="3408" spans="1:5" x14ac:dyDescent="0.3">
      <c r="A3408" t="s">
        <v>38</v>
      </c>
      <c r="B3408">
        <v>2009</v>
      </c>
      <c r="C3408" t="str">
        <f>_xlfn.CONCAT(Table16[[#This Row],[STATE]],"-",Table16[[#This Row],[YEAR]])</f>
        <v>Delhi-2009</v>
      </c>
      <c r="D3408" t="s">
        <v>103</v>
      </c>
      <c r="E3408">
        <v>102</v>
      </c>
    </row>
    <row r="3409" spans="1:5" x14ac:dyDescent="0.3">
      <c r="A3409" t="s">
        <v>38</v>
      </c>
      <c r="B3409">
        <v>2009</v>
      </c>
      <c r="C3409" t="str">
        <f>_xlfn.CONCAT(Table16[[#This Row],[STATE]],"-",Table16[[#This Row],[YEAR]])</f>
        <v>Delhi-2009</v>
      </c>
      <c r="D3409" t="s">
        <v>123</v>
      </c>
      <c r="E3409">
        <v>135</v>
      </c>
    </row>
    <row r="3410" spans="1:5" x14ac:dyDescent="0.3">
      <c r="A3410" t="s">
        <v>38</v>
      </c>
      <c r="B3410">
        <v>2009</v>
      </c>
      <c r="C3410" t="str">
        <f>_xlfn.CONCAT(Table16[[#This Row],[STATE]],"-",Table16[[#This Row],[YEAR]])</f>
        <v>Delhi-2009</v>
      </c>
      <c r="D3410" t="s">
        <v>90</v>
      </c>
      <c r="E3410">
        <v>145</v>
      </c>
    </row>
    <row r="3411" spans="1:5" x14ac:dyDescent="0.3">
      <c r="A3411" t="s">
        <v>38</v>
      </c>
      <c r="B3411">
        <v>2009</v>
      </c>
      <c r="C3411" t="str">
        <f>_xlfn.CONCAT(Table16[[#This Row],[STATE]],"-",Table16[[#This Row],[YEAR]])</f>
        <v>Delhi-2009</v>
      </c>
      <c r="D3411" t="s">
        <v>1079</v>
      </c>
      <c r="E3411">
        <v>0</v>
      </c>
    </row>
    <row r="3412" spans="1:5" x14ac:dyDescent="0.3">
      <c r="A3412" t="s">
        <v>38</v>
      </c>
      <c r="B3412">
        <v>2009</v>
      </c>
      <c r="C3412" t="str">
        <f>_xlfn.CONCAT(Table16[[#This Row],[STATE]],"-",Table16[[#This Row],[YEAR]])</f>
        <v>Delhi-2009</v>
      </c>
      <c r="D3412" t="s">
        <v>170</v>
      </c>
      <c r="E3412">
        <v>218</v>
      </c>
    </row>
    <row r="3413" spans="1:5" x14ac:dyDescent="0.3">
      <c r="A3413" t="s">
        <v>38</v>
      </c>
      <c r="B3413">
        <v>2009</v>
      </c>
      <c r="C3413" t="str">
        <f>_xlfn.CONCAT(Table16[[#This Row],[STATE]],"-",Table16[[#This Row],[YEAR]])</f>
        <v>Delhi-2009</v>
      </c>
      <c r="D3413" t="s">
        <v>1080</v>
      </c>
      <c r="E3413">
        <v>10</v>
      </c>
    </row>
    <row r="3414" spans="1:5" x14ac:dyDescent="0.3">
      <c r="A3414" t="s">
        <v>38</v>
      </c>
      <c r="B3414">
        <v>2009</v>
      </c>
      <c r="C3414" t="str">
        <f>_xlfn.CONCAT(Table16[[#This Row],[STATE]],"-",Table16[[#This Row],[YEAR]])</f>
        <v>Delhi-2009</v>
      </c>
      <c r="D3414" t="s">
        <v>410</v>
      </c>
      <c r="E3414">
        <v>10</v>
      </c>
    </row>
    <row r="3415" spans="1:5" x14ac:dyDescent="0.3">
      <c r="A3415" t="s">
        <v>38</v>
      </c>
      <c r="B3415">
        <v>2009</v>
      </c>
      <c r="C3415" t="str">
        <f>_xlfn.CONCAT(Table16[[#This Row],[STATE]],"-",Table16[[#This Row],[YEAR]])</f>
        <v>Delhi-2009</v>
      </c>
      <c r="D3415" t="s">
        <v>266</v>
      </c>
      <c r="E3415">
        <v>0</v>
      </c>
    </row>
    <row r="3416" spans="1:5" x14ac:dyDescent="0.3">
      <c r="A3416" t="s">
        <v>38</v>
      </c>
      <c r="B3416">
        <v>2009</v>
      </c>
      <c r="C3416" t="str">
        <f>_xlfn.CONCAT(Table16[[#This Row],[STATE]],"-",Table16[[#This Row],[YEAR]])</f>
        <v>Delhi-2009</v>
      </c>
      <c r="D3416" t="s">
        <v>483</v>
      </c>
      <c r="E3416">
        <v>41</v>
      </c>
    </row>
    <row r="3417" spans="1:5" x14ac:dyDescent="0.3">
      <c r="A3417" t="s">
        <v>38</v>
      </c>
      <c r="B3417">
        <v>2009</v>
      </c>
      <c r="C3417" t="str">
        <f>_xlfn.CONCAT(Table16[[#This Row],[STATE]],"-",Table16[[#This Row],[YEAR]])</f>
        <v>Delhi-2009</v>
      </c>
      <c r="D3417" t="s">
        <v>388</v>
      </c>
      <c r="E3417">
        <v>0</v>
      </c>
    </row>
    <row r="3418" spans="1:5" x14ac:dyDescent="0.3">
      <c r="A3418" t="s">
        <v>38</v>
      </c>
      <c r="B3418">
        <v>2009</v>
      </c>
      <c r="C3418" t="str">
        <f>_xlfn.CONCAT(Table16[[#This Row],[STATE]],"-",Table16[[#This Row],[YEAR]])</f>
        <v>Delhi-2009</v>
      </c>
      <c r="D3418" t="s">
        <v>1090</v>
      </c>
      <c r="E3418">
        <v>2</v>
      </c>
    </row>
    <row r="3419" spans="1:5" x14ac:dyDescent="0.3">
      <c r="A3419" t="s">
        <v>38</v>
      </c>
      <c r="B3419">
        <v>2009</v>
      </c>
      <c r="C3419" t="str">
        <f>_xlfn.CONCAT(Table16[[#This Row],[STATE]],"-",Table16[[#This Row],[YEAR]])</f>
        <v>Delhi-2009</v>
      </c>
      <c r="D3419" t="s">
        <v>1084</v>
      </c>
      <c r="E3419">
        <v>0</v>
      </c>
    </row>
    <row r="3420" spans="1:5" x14ac:dyDescent="0.3">
      <c r="A3420" t="s">
        <v>38</v>
      </c>
      <c r="B3420">
        <v>2009</v>
      </c>
      <c r="C3420" t="str">
        <f>_xlfn.CONCAT(Table16[[#This Row],[STATE]],"-",Table16[[#This Row],[YEAR]])</f>
        <v>Delhi-2009</v>
      </c>
      <c r="D3420" t="s">
        <v>351</v>
      </c>
      <c r="E3420">
        <v>56</v>
      </c>
    </row>
    <row r="3421" spans="1:5" x14ac:dyDescent="0.3">
      <c r="A3421" t="s">
        <v>38</v>
      </c>
      <c r="B3421">
        <v>2009</v>
      </c>
      <c r="C3421" t="str">
        <f>_xlfn.CONCAT(Table16[[#This Row],[STATE]],"-",Table16[[#This Row],[YEAR]])</f>
        <v>Delhi-2009</v>
      </c>
      <c r="D3421" t="s">
        <v>363</v>
      </c>
      <c r="E3421">
        <v>15</v>
      </c>
    </row>
    <row r="3422" spans="1:5" x14ac:dyDescent="0.3">
      <c r="A3422" t="s">
        <v>38</v>
      </c>
      <c r="B3422">
        <v>2009</v>
      </c>
      <c r="C3422" t="str">
        <f>_xlfn.CONCAT(Table16[[#This Row],[STATE]],"-",Table16[[#This Row],[YEAR]])</f>
        <v>Delhi-2009</v>
      </c>
      <c r="D3422" t="s">
        <v>1092</v>
      </c>
      <c r="E3422">
        <v>8</v>
      </c>
    </row>
    <row r="3423" spans="1:5" x14ac:dyDescent="0.3">
      <c r="A3423" t="s">
        <v>38</v>
      </c>
      <c r="B3423">
        <v>2009</v>
      </c>
      <c r="C3423" t="str">
        <f>_xlfn.CONCAT(Table16[[#This Row],[STATE]],"-",Table16[[#This Row],[YEAR]])</f>
        <v>Delhi-2009</v>
      </c>
      <c r="D3423" t="s">
        <v>140</v>
      </c>
      <c r="E3423">
        <v>10</v>
      </c>
    </row>
    <row r="3424" spans="1:5" x14ac:dyDescent="0.3">
      <c r="A3424" t="s">
        <v>38</v>
      </c>
      <c r="B3424">
        <v>2009</v>
      </c>
      <c r="C3424" t="str">
        <f>_xlfn.CONCAT(Table16[[#This Row],[STATE]],"-",Table16[[#This Row],[YEAR]])</f>
        <v>Delhi-2009</v>
      </c>
      <c r="D3424" t="s">
        <v>1085</v>
      </c>
      <c r="E3424">
        <v>4</v>
      </c>
    </row>
    <row r="3425" spans="1:5" x14ac:dyDescent="0.3">
      <c r="A3425" t="s">
        <v>38</v>
      </c>
      <c r="B3425">
        <v>2009</v>
      </c>
      <c r="C3425" t="str">
        <f>_xlfn.CONCAT(Table16[[#This Row],[STATE]],"-",Table16[[#This Row],[YEAR]])</f>
        <v>Delhi-2009</v>
      </c>
      <c r="D3425" t="s">
        <v>1086</v>
      </c>
      <c r="E3425">
        <v>0</v>
      </c>
    </row>
    <row r="3426" spans="1:5" x14ac:dyDescent="0.3">
      <c r="A3426" t="s">
        <v>38</v>
      </c>
      <c r="B3426">
        <v>2009</v>
      </c>
      <c r="C3426" t="str">
        <f>_xlfn.CONCAT(Table16[[#This Row],[STATE]],"-",Table16[[#This Row],[YEAR]])</f>
        <v>Delhi-2009</v>
      </c>
      <c r="D3426" t="s">
        <v>120</v>
      </c>
      <c r="E3426">
        <v>22</v>
      </c>
    </row>
    <row r="3427" spans="1:5" x14ac:dyDescent="0.3">
      <c r="A3427" t="s">
        <v>38</v>
      </c>
      <c r="B3427">
        <v>2009</v>
      </c>
      <c r="C3427" t="str">
        <f>_xlfn.CONCAT(Table16[[#This Row],[STATE]],"-",Table16[[#This Row],[YEAR]])</f>
        <v>Delhi-2009</v>
      </c>
      <c r="D3427" t="s">
        <v>303</v>
      </c>
      <c r="E3427">
        <v>28</v>
      </c>
    </row>
    <row r="3428" spans="1:5" x14ac:dyDescent="0.3">
      <c r="A3428" t="s">
        <v>38</v>
      </c>
      <c r="B3428">
        <v>2009</v>
      </c>
      <c r="C3428" t="str">
        <f>_xlfn.CONCAT(Table16[[#This Row],[STATE]],"-",Table16[[#This Row],[YEAR]])</f>
        <v>Delhi-2009</v>
      </c>
      <c r="D3428" t="s">
        <v>1093</v>
      </c>
      <c r="E3428">
        <v>0</v>
      </c>
    </row>
    <row r="3429" spans="1:5" x14ac:dyDescent="0.3">
      <c r="A3429" t="s">
        <v>38</v>
      </c>
      <c r="B3429">
        <v>2009</v>
      </c>
      <c r="C3429" t="str">
        <f>_xlfn.CONCAT(Table16[[#This Row],[STATE]],"-",Table16[[#This Row],[YEAR]])</f>
        <v>Delhi-2009</v>
      </c>
      <c r="D3429" t="s">
        <v>173</v>
      </c>
      <c r="E3429">
        <v>0</v>
      </c>
    </row>
    <row r="3430" spans="1:5" x14ac:dyDescent="0.3">
      <c r="A3430" t="s">
        <v>38</v>
      </c>
      <c r="B3430">
        <v>2009</v>
      </c>
      <c r="C3430" t="str">
        <f>_xlfn.CONCAT(Table16[[#This Row],[STATE]],"-",Table16[[#This Row],[YEAR]])</f>
        <v>Delhi-2009</v>
      </c>
      <c r="D3430" t="s">
        <v>1089</v>
      </c>
      <c r="E3430">
        <v>15</v>
      </c>
    </row>
    <row r="3431" spans="1:5" x14ac:dyDescent="0.3">
      <c r="A3431" t="s">
        <v>38</v>
      </c>
      <c r="B3431">
        <v>2009</v>
      </c>
      <c r="C3431" t="str">
        <f>_xlfn.CONCAT(Table16[[#This Row],[STATE]],"-",Table16[[#This Row],[YEAR]])</f>
        <v>Delhi-2009</v>
      </c>
      <c r="D3431" t="s">
        <v>1094</v>
      </c>
      <c r="E3431">
        <v>0</v>
      </c>
    </row>
    <row r="3432" spans="1:5" x14ac:dyDescent="0.3">
      <c r="A3432" t="s">
        <v>38</v>
      </c>
      <c r="B3432">
        <v>2009</v>
      </c>
      <c r="C3432" t="str">
        <f>_xlfn.CONCAT(Table16[[#This Row],[STATE]],"-",Table16[[#This Row],[YEAR]])</f>
        <v>Delhi-2009</v>
      </c>
      <c r="D3432" t="s">
        <v>872</v>
      </c>
      <c r="E3432">
        <v>17</v>
      </c>
    </row>
    <row r="3433" spans="1:5" x14ac:dyDescent="0.3">
      <c r="A3433" t="s">
        <v>38</v>
      </c>
      <c r="B3433">
        <v>2009</v>
      </c>
      <c r="C3433" t="str">
        <f>_xlfn.CONCAT(Table16[[#This Row],[STATE]],"-",Table16[[#This Row],[YEAR]])</f>
        <v>Delhi-2009</v>
      </c>
      <c r="D3433" t="s">
        <v>1095</v>
      </c>
      <c r="E3433">
        <v>0</v>
      </c>
    </row>
    <row r="3434" spans="1:5" x14ac:dyDescent="0.3">
      <c r="A3434" t="s">
        <v>38</v>
      </c>
      <c r="B3434">
        <v>2009</v>
      </c>
      <c r="C3434" t="str">
        <f>_xlfn.CONCAT(Table16[[#This Row],[STATE]],"-",Table16[[#This Row],[YEAR]])</f>
        <v>Delhi-2009</v>
      </c>
      <c r="D3434" t="s">
        <v>99</v>
      </c>
      <c r="E3434">
        <v>92</v>
      </c>
    </row>
    <row r="3435" spans="1:5" x14ac:dyDescent="0.3">
      <c r="A3435" t="s">
        <v>38</v>
      </c>
      <c r="B3435">
        <v>2009</v>
      </c>
      <c r="C3435" t="str">
        <f>_xlfn.CONCAT(Table16[[#This Row],[STATE]],"-",Table16[[#This Row],[YEAR]])</f>
        <v>Delhi-2009</v>
      </c>
      <c r="D3435" t="s">
        <v>1096</v>
      </c>
      <c r="E3435">
        <v>13</v>
      </c>
    </row>
    <row r="3436" spans="1:5" x14ac:dyDescent="0.3">
      <c r="A3436" t="s">
        <v>38</v>
      </c>
      <c r="B3436">
        <v>2009</v>
      </c>
      <c r="C3436" t="str">
        <f>_xlfn.CONCAT(Table16[[#This Row],[STATE]],"-",Table16[[#This Row],[YEAR]])</f>
        <v>Delhi-2009</v>
      </c>
      <c r="D3436" t="s">
        <v>1097</v>
      </c>
      <c r="E3436">
        <v>12</v>
      </c>
    </row>
    <row r="3437" spans="1:5" x14ac:dyDescent="0.3">
      <c r="A3437" t="s">
        <v>38</v>
      </c>
      <c r="B3437">
        <v>2009</v>
      </c>
      <c r="C3437" t="str">
        <f>_xlfn.CONCAT(Table16[[#This Row],[STATE]],"-",Table16[[#This Row],[YEAR]])</f>
        <v>Delhi-2009</v>
      </c>
      <c r="D3437" t="s">
        <v>773</v>
      </c>
      <c r="E3437">
        <v>13</v>
      </c>
    </row>
    <row r="3438" spans="1:5" x14ac:dyDescent="0.3">
      <c r="A3438" t="s">
        <v>38</v>
      </c>
      <c r="B3438">
        <v>2009</v>
      </c>
      <c r="C3438" t="str">
        <f>_xlfn.CONCAT(Table16[[#This Row],[STATE]],"-",Table16[[#This Row],[YEAR]])</f>
        <v>Delhi-2009</v>
      </c>
      <c r="D3438" t="s">
        <v>694</v>
      </c>
      <c r="E3438">
        <v>30</v>
      </c>
    </row>
    <row r="3439" spans="1:5" x14ac:dyDescent="0.3">
      <c r="A3439" t="s">
        <v>38</v>
      </c>
      <c r="B3439">
        <v>2009</v>
      </c>
      <c r="C3439" t="str">
        <f>_xlfn.CONCAT(Table16[[#This Row],[STATE]],"-",Table16[[#This Row],[YEAR]])</f>
        <v>Delhi-2009</v>
      </c>
      <c r="D3439" t="s">
        <v>1098</v>
      </c>
      <c r="E3439">
        <v>17</v>
      </c>
    </row>
    <row r="3440" spans="1:5" x14ac:dyDescent="0.3">
      <c r="A3440" t="s">
        <v>38</v>
      </c>
      <c r="B3440">
        <v>2009</v>
      </c>
      <c r="C3440" t="str">
        <f>_xlfn.CONCAT(Table16[[#This Row],[STATE]],"-",Table16[[#This Row],[YEAR]])</f>
        <v>Delhi-2009</v>
      </c>
      <c r="D3440" t="s">
        <v>141</v>
      </c>
      <c r="E3440">
        <v>17</v>
      </c>
    </row>
    <row r="3441" spans="1:5" x14ac:dyDescent="0.3">
      <c r="A3441" t="s">
        <v>38</v>
      </c>
      <c r="B3441">
        <v>2009</v>
      </c>
      <c r="C3441" t="str">
        <f>_xlfn.CONCAT(Table16[[#This Row],[STATE]],"-",Table16[[#This Row],[YEAR]])</f>
        <v>Delhi-2009</v>
      </c>
      <c r="D3441" t="s">
        <v>157</v>
      </c>
      <c r="E3441">
        <v>19</v>
      </c>
    </row>
    <row r="3442" spans="1:5" x14ac:dyDescent="0.3">
      <c r="A3442" t="s">
        <v>38</v>
      </c>
      <c r="B3442">
        <v>2009</v>
      </c>
      <c r="C3442" t="str">
        <f>_xlfn.CONCAT(Table16[[#This Row],[STATE]],"-",Table16[[#This Row],[YEAR]])</f>
        <v>Delhi-2009</v>
      </c>
      <c r="D3442" t="s">
        <v>1099</v>
      </c>
      <c r="E3442">
        <v>24</v>
      </c>
    </row>
    <row r="3443" spans="1:5" x14ac:dyDescent="0.3">
      <c r="A3443" t="s">
        <v>38</v>
      </c>
      <c r="B3443">
        <v>2010</v>
      </c>
      <c r="C3443" t="str">
        <f>_xlfn.CONCAT(Table16[[#This Row],[STATE]],"-",Table16[[#This Row],[YEAR]])</f>
        <v>Delhi-2010</v>
      </c>
      <c r="D3443" t="s">
        <v>98</v>
      </c>
      <c r="E3443">
        <v>171</v>
      </c>
    </row>
    <row r="3444" spans="1:5" x14ac:dyDescent="0.3">
      <c r="A3444" t="s">
        <v>38</v>
      </c>
      <c r="B3444">
        <v>2010</v>
      </c>
      <c r="C3444" t="str">
        <f>_xlfn.CONCAT(Table16[[#This Row],[STATE]],"-",Table16[[#This Row],[YEAR]])</f>
        <v>Delhi-2010</v>
      </c>
      <c r="D3444" t="s">
        <v>1091</v>
      </c>
      <c r="E3444">
        <v>224</v>
      </c>
    </row>
    <row r="3445" spans="1:5" x14ac:dyDescent="0.3">
      <c r="A3445" t="s">
        <v>38</v>
      </c>
      <c r="B3445">
        <v>2010</v>
      </c>
      <c r="C3445" t="str">
        <f>_xlfn.CONCAT(Table16[[#This Row],[STATE]],"-",Table16[[#This Row],[YEAR]])</f>
        <v>Delhi-2010</v>
      </c>
      <c r="D3445" t="s">
        <v>259</v>
      </c>
      <c r="E3445">
        <v>15</v>
      </c>
    </row>
    <row r="3446" spans="1:5" x14ac:dyDescent="0.3">
      <c r="A3446" t="s">
        <v>38</v>
      </c>
      <c r="B3446">
        <v>2010</v>
      </c>
      <c r="C3446" t="str">
        <f>_xlfn.CONCAT(Table16[[#This Row],[STATE]],"-",Table16[[#This Row],[YEAR]])</f>
        <v>Delhi-2010</v>
      </c>
      <c r="D3446" t="s">
        <v>103</v>
      </c>
      <c r="E3446">
        <v>665</v>
      </c>
    </row>
    <row r="3447" spans="1:5" x14ac:dyDescent="0.3">
      <c r="A3447" t="s">
        <v>38</v>
      </c>
      <c r="B3447">
        <v>2010</v>
      </c>
      <c r="C3447" t="str">
        <f>_xlfn.CONCAT(Table16[[#This Row],[STATE]],"-",Table16[[#This Row],[YEAR]])</f>
        <v>Delhi-2010</v>
      </c>
      <c r="D3447" t="s">
        <v>123</v>
      </c>
      <c r="E3447">
        <v>732</v>
      </c>
    </row>
    <row r="3448" spans="1:5" x14ac:dyDescent="0.3">
      <c r="A3448" t="s">
        <v>38</v>
      </c>
      <c r="B3448">
        <v>2010</v>
      </c>
      <c r="C3448" t="str">
        <f>_xlfn.CONCAT(Table16[[#This Row],[STATE]],"-",Table16[[#This Row],[YEAR]])</f>
        <v>Delhi-2010</v>
      </c>
      <c r="D3448" t="s">
        <v>1100</v>
      </c>
      <c r="E3448">
        <v>612</v>
      </c>
    </row>
    <row r="3449" spans="1:5" x14ac:dyDescent="0.3">
      <c r="A3449" t="s">
        <v>38</v>
      </c>
      <c r="B3449">
        <v>2010</v>
      </c>
      <c r="C3449" t="str">
        <f>_xlfn.CONCAT(Table16[[#This Row],[STATE]],"-",Table16[[#This Row],[YEAR]])</f>
        <v>Delhi-2010</v>
      </c>
      <c r="D3449" t="s">
        <v>170</v>
      </c>
      <c r="E3449">
        <v>1513</v>
      </c>
    </row>
    <row r="3450" spans="1:5" x14ac:dyDescent="0.3">
      <c r="A3450" t="s">
        <v>38</v>
      </c>
      <c r="B3450">
        <v>2010</v>
      </c>
      <c r="C3450" t="str">
        <f>_xlfn.CONCAT(Table16[[#This Row],[STATE]],"-",Table16[[#This Row],[YEAR]])</f>
        <v>Delhi-2010</v>
      </c>
      <c r="D3450" t="s">
        <v>1083</v>
      </c>
      <c r="E3450">
        <v>38</v>
      </c>
    </row>
    <row r="3451" spans="1:5" x14ac:dyDescent="0.3">
      <c r="A3451" t="s">
        <v>38</v>
      </c>
      <c r="B3451">
        <v>2010</v>
      </c>
      <c r="C3451" t="str">
        <f>_xlfn.CONCAT(Table16[[#This Row],[STATE]],"-",Table16[[#This Row],[YEAR]])</f>
        <v>Delhi-2010</v>
      </c>
      <c r="D3451" t="s">
        <v>1080</v>
      </c>
      <c r="E3451">
        <v>8</v>
      </c>
    </row>
    <row r="3452" spans="1:5" x14ac:dyDescent="0.3">
      <c r="A3452" t="s">
        <v>38</v>
      </c>
      <c r="B3452">
        <v>2010</v>
      </c>
      <c r="C3452" t="str">
        <f>_xlfn.CONCAT(Table16[[#This Row],[STATE]],"-",Table16[[#This Row],[YEAR]])</f>
        <v>Delhi-2010</v>
      </c>
      <c r="D3452" t="s">
        <v>410</v>
      </c>
      <c r="E3452">
        <v>23</v>
      </c>
    </row>
    <row r="3453" spans="1:5" x14ac:dyDescent="0.3">
      <c r="A3453" t="s">
        <v>38</v>
      </c>
      <c r="B3453">
        <v>2010</v>
      </c>
      <c r="C3453" t="str">
        <f>_xlfn.CONCAT(Table16[[#This Row],[STATE]],"-",Table16[[#This Row],[YEAR]])</f>
        <v>Delhi-2010</v>
      </c>
      <c r="D3453" t="s">
        <v>266</v>
      </c>
      <c r="E3453">
        <v>37</v>
      </c>
    </row>
    <row r="3454" spans="1:5" x14ac:dyDescent="0.3">
      <c r="A3454" t="s">
        <v>38</v>
      </c>
      <c r="B3454">
        <v>2010</v>
      </c>
      <c r="C3454" t="str">
        <f>_xlfn.CONCAT(Table16[[#This Row],[STATE]],"-",Table16[[#This Row],[YEAR]])</f>
        <v>Delhi-2010</v>
      </c>
      <c r="D3454" t="s">
        <v>483</v>
      </c>
      <c r="E3454">
        <v>172</v>
      </c>
    </row>
    <row r="3455" spans="1:5" x14ac:dyDescent="0.3">
      <c r="A3455" t="s">
        <v>38</v>
      </c>
      <c r="B3455">
        <v>2010</v>
      </c>
      <c r="C3455" t="str">
        <f>_xlfn.CONCAT(Table16[[#This Row],[STATE]],"-",Table16[[#This Row],[YEAR]])</f>
        <v>Delhi-2010</v>
      </c>
      <c r="D3455" t="s">
        <v>1084</v>
      </c>
      <c r="E3455">
        <v>4</v>
      </c>
    </row>
    <row r="3456" spans="1:5" x14ac:dyDescent="0.3">
      <c r="A3456" t="s">
        <v>38</v>
      </c>
      <c r="B3456">
        <v>2010</v>
      </c>
      <c r="C3456" t="str">
        <f>_xlfn.CONCAT(Table16[[#This Row],[STATE]],"-",Table16[[#This Row],[YEAR]])</f>
        <v>Delhi-2010</v>
      </c>
      <c r="D3456" t="s">
        <v>872</v>
      </c>
      <c r="E3456">
        <v>105</v>
      </c>
    </row>
    <row r="3457" spans="1:5" x14ac:dyDescent="0.3">
      <c r="A3457" t="s">
        <v>38</v>
      </c>
      <c r="B3457">
        <v>2010</v>
      </c>
      <c r="C3457" t="str">
        <f>_xlfn.CONCAT(Table16[[#This Row],[STATE]],"-",Table16[[#This Row],[YEAR]])</f>
        <v>Delhi-2010</v>
      </c>
      <c r="D3457" t="s">
        <v>351</v>
      </c>
      <c r="E3457">
        <v>133</v>
      </c>
    </row>
    <row r="3458" spans="1:5" x14ac:dyDescent="0.3">
      <c r="A3458" t="s">
        <v>38</v>
      </c>
      <c r="B3458">
        <v>2010</v>
      </c>
      <c r="C3458" t="str">
        <f>_xlfn.CONCAT(Table16[[#This Row],[STATE]],"-",Table16[[#This Row],[YEAR]])</f>
        <v>Delhi-2010</v>
      </c>
      <c r="D3458" t="s">
        <v>1101</v>
      </c>
      <c r="E3458">
        <v>54</v>
      </c>
    </row>
    <row r="3459" spans="1:5" x14ac:dyDescent="0.3">
      <c r="A3459" t="s">
        <v>38</v>
      </c>
      <c r="B3459">
        <v>2010</v>
      </c>
      <c r="C3459" t="str">
        <f>_xlfn.CONCAT(Table16[[#This Row],[STATE]],"-",Table16[[#This Row],[YEAR]])</f>
        <v>Delhi-2010</v>
      </c>
      <c r="D3459" t="s">
        <v>1102</v>
      </c>
      <c r="E3459">
        <v>5</v>
      </c>
    </row>
    <row r="3460" spans="1:5" x14ac:dyDescent="0.3">
      <c r="A3460" t="s">
        <v>38</v>
      </c>
      <c r="B3460">
        <v>2010</v>
      </c>
      <c r="C3460" t="str">
        <f>_xlfn.CONCAT(Table16[[#This Row],[STATE]],"-",Table16[[#This Row],[YEAR]])</f>
        <v>Delhi-2010</v>
      </c>
      <c r="D3460" t="s">
        <v>1077</v>
      </c>
      <c r="E3460">
        <v>2</v>
      </c>
    </row>
    <row r="3461" spans="1:5" x14ac:dyDescent="0.3">
      <c r="A3461" t="s">
        <v>38</v>
      </c>
      <c r="B3461">
        <v>2010</v>
      </c>
      <c r="C3461" t="str">
        <f>_xlfn.CONCAT(Table16[[#This Row],[STATE]],"-",Table16[[#This Row],[YEAR]])</f>
        <v>Delhi-2010</v>
      </c>
      <c r="D3461" t="s">
        <v>1089</v>
      </c>
      <c r="E3461">
        <v>102</v>
      </c>
    </row>
    <row r="3462" spans="1:5" x14ac:dyDescent="0.3">
      <c r="A3462" t="s">
        <v>38</v>
      </c>
      <c r="B3462">
        <v>2010</v>
      </c>
      <c r="C3462" t="str">
        <f>_xlfn.CONCAT(Table16[[#This Row],[STATE]],"-",Table16[[#This Row],[YEAR]])</f>
        <v>Delhi-2010</v>
      </c>
      <c r="D3462" t="s">
        <v>1103</v>
      </c>
      <c r="E3462">
        <v>20</v>
      </c>
    </row>
    <row r="3463" spans="1:5" x14ac:dyDescent="0.3">
      <c r="A3463" t="s">
        <v>38</v>
      </c>
      <c r="B3463">
        <v>2010</v>
      </c>
      <c r="C3463" t="str">
        <f>_xlfn.CONCAT(Table16[[#This Row],[STATE]],"-",Table16[[#This Row],[YEAR]])</f>
        <v>Delhi-2010</v>
      </c>
      <c r="D3463" t="s">
        <v>157</v>
      </c>
      <c r="E3463">
        <v>27</v>
      </c>
    </row>
    <row r="3464" spans="1:5" x14ac:dyDescent="0.3">
      <c r="A3464" t="s">
        <v>38</v>
      </c>
      <c r="B3464">
        <v>2010</v>
      </c>
      <c r="C3464" t="str">
        <f>_xlfn.CONCAT(Table16[[#This Row],[STATE]],"-",Table16[[#This Row],[YEAR]])</f>
        <v>Delhi-2010</v>
      </c>
      <c r="D3464" t="s">
        <v>1104</v>
      </c>
      <c r="E3464">
        <v>19</v>
      </c>
    </row>
    <row r="3465" spans="1:5" x14ac:dyDescent="0.3">
      <c r="A3465" t="s">
        <v>38</v>
      </c>
      <c r="B3465">
        <v>2010</v>
      </c>
      <c r="C3465" t="str">
        <f>_xlfn.CONCAT(Table16[[#This Row],[STATE]],"-",Table16[[#This Row],[YEAR]])</f>
        <v>Delhi-2010</v>
      </c>
      <c r="D3465" t="s">
        <v>1099</v>
      </c>
      <c r="E3465">
        <v>41</v>
      </c>
    </row>
    <row r="3466" spans="1:5" x14ac:dyDescent="0.3">
      <c r="A3466" t="s">
        <v>38</v>
      </c>
      <c r="B3466">
        <v>2010</v>
      </c>
      <c r="C3466" t="str">
        <f>_xlfn.CONCAT(Table16[[#This Row],[STATE]],"-",Table16[[#This Row],[YEAR]])</f>
        <v>Delhi-2010</v>
      </c>
      <c r="D3466" t="s">
        <v>1086</v>
      </c>
      <c r="E3466">
        <v>10</v>
      </c>
    </row>
    <row r="3467" spans="1:5" x14ac:dyDescent="0.3">
      <c r="A3467" t="s">
        <v>38</v>
      </c>
      <c r="B3467">
        <v>2010</v>
      </c>
      <c r="C3467" t="str">
        <f>_xlfn.CONCAT(Table16[[#This Row],[STATE]],"-",Table16[[#This Row],[YEAR]])</f>
        <v>Delhi-2010</v>
      </c>
      <c r="D3467" t="s">
        <v>182</v>
      </c>
      <c r="E3467">
        <v>9</v>
      </c>
    </row>
    <row r="3468" spans="1:5" x14ac:dyDescent="0.3">
      <c r="A3468" t="s">
        <v>38</v>
      </c>
      <c r="B3468">
        <v>2010</v>
      </c>
      <c r="C3468" t="str">
        <f>_xlfn.CONCAT(Table16[[#This Row],[STATE]],"-",Table16[[#This Row],[YEAR]])</f>
        <v>Delhi-2010</v>
      </c>
      <c r="D3468" t="s">
        <v>1105</v>
      </c>
      <c r="E3468">
        <v>12</v>
      </c>
    </row>
    <row r="3469" spans="1:5" x14ac:dyDescent="0.3">
      <c r="A3469" t="s">
        <v>38</v>
      </c>
      <c r="B3469">
        <v>2010</v>
      </c>
      <c r="C3469" t="str">
        <f>_xlfn.CONCAT(Table16[[#This Row],[STATE]],"-",Table16[[#This Row],[YEAR]])</f>
        <v>Delhi-2010</v>
      </c>
      <c r="D3469" t="s">
        <v>1096</v>
      </c>
      <c r="E3469">
        <v>38</v>
      </c>
    </row>
    <row r="3470" spans="1:5" x14ac:dyDescent="0.3">
      <c r="A3470" t="s">
        <v>38</v>
      </c>
      <c r="B3470">
        <v>2010</v>
      </c>
      <c r="C3470" t="str">
        <f>_xlfn.CONCAT(Table16[[#This Row],[STATE]],"-",Table16[[#This Row],[YEAR]])</f>
        <v>Delhi-2010</v>
      </c>
      <c r="D3470" t="s">
        <v>1106</v>
      </c>
      <c r="E3470">
        <v>31</v>
      </c>
    </row>
    <row r="3471" spans="1:5" x14ac:dyDescent="0.3">
      <c r="A3471" t="s">
        <v>38</v>
      </c>
      <c r="B3471">
        <v>2010</v>
      </c>
      <c r="C3471" t="str">
        <f>_xlfn.CONCAT(Table16[[#This Row],[STATE]],"-",Table16[[#This Row],[YEAR]])</f>
        <v>Delhi-2010</v>
      </c>
      <c r="D3471" t="s">
        <v>449</v>
      </c>
      <c r="E3471">
        <v>36</v>
      </c>
    </row>
    <row r="3472" spans="1:5" x14ac:dyDescent="0.3">
      <c r="A3472" t="s">
        <v>38</v>
      </c>
      <c r="B3472">
        <v>2010</v>
      </c>
      <c r="C3472" t="str">
        <f>_xlfn.CONCAT(Table16[[#This Row],[STATE]],"-",Table16[[#This Row],[YEAR]])</f>
        <v>Delhi-2010</v>
      </c>
      <c r="D3472" t="s">
        <v>694</v>
      </c>
      <c r="E3472">
        <v>100</v>
      </c>
    </row>
    <row r="3473" spans="1:5" x14ac:dyDescent="0.3">
      <c r="A3473" t="s">
        <v>38</v>
      </c>
      <c r="B3473">
        <v>2010</v>
      </c>
      <c r="C3473" t="str">
        <f>_xlfn.CONCAT(Table16[[#This Row],[STATE]],"-",Table16[[#This Row],[YEAR]])</f>
        <v>Delhi-2010</v>
      </c>
      <c r="D3473" t="s">
        <v>1107</v>
      </c>
      <c r="E3473">
        <v>130</v>
      </c>
    </row>
    <row r="3474" spans="1:5" x14ac:dyDescent="0.3">
      <c r="A3474" t="s">
        <v>38</v>
      </c>
      <c r="B3474">
        <v>2010</v>
      </c>
      <c r="C3474" t="str">
        <f>_xlfn.CONCAT(Table16[[#This Row],[STATE]],"-",Table16[[#This Row],[YEAR]])</f>
        <v>Delhi-2010</v>
      </c>
      <c r="D3474" t="s">
        <v>141</v>
      </c>
      <c r="E3474">
        <v>46</v>
      </c>
    </row>
    <row r="3475" spans="1:5" x14ac:dyDescent="0.3">
      <c r="A3475" t="s">
        <v>38</v>
      </c>
      <c r="B3475">
        <v>2010</v>
      </c>
      <c r="C3475" t="str">
        <f>_xlfn.CONCAT(Table16[[#This Row],[STATE]],"-",Table16[[#This Row],[YEAR]])</f>
        <v>Delhi-2010</v>
      </c>
      <c r="D3475" t="s">
        <v>157</v>
      </c>
      <c r="E3475">
        <v>76</v>
      </c>
    </row>
    <row r="3476" spans="1:5" x14ac:dyDescent="0.3">
      <c r="A3476" t="s">
        <v>38</v>
      </c>
      <c r="B3476">
        <v>2010</v>
      </c>
      <c r="C3476" t="str">
        <f>_xlfn.CONCAT(Table16[[#This Row],[STATE]],"-",Table16[[#This Row],[YEAR]])</f>
        <v>Delhi-2010</v>
      </c>
      <c r="D3476" t="s">
        <v>1099</v>
      </c>
      <c r="E3476">
        <v>120</v>
      </c>
    </row>
    <row r="3477" spans="1:5" x14ac:dyDescent="0.3">
      <c r="A3477" t="s">
        <v>38</v>
      </c>
      <c r="B3477">
        <v>2010</v>
      </c>
      <c r="C3477" t="str">
        <f>_xlfn.CONCAT(Table16[[#This Row],[STATE]],"-",Table16[[#This Row],[YEAR]])</f>
        <v>Delhi-2010</v>
      </c>
      <c r="D3477" t="s">
        <v>120</v>
      </c>
      <c r="E3477">
        <v>20</v>
      </c>
    </row>
    <row r="3478" spans="1:5" x14ac:dyDescent="0.3">
      <c r="A3478" t="s">
        <v>38</v>
      </c>
      <c r="B3478">
        <v>2010</v>
      </c>
      <c r="C3478" t="str">
        <f>_xlfn.CONCAT(Table16[[#This Row],[STATE]],"-",Table16[[#This Row],[YEAR]])</f>
        <v>Delhi-2010</v>
      </c>
      <c r="D3478" t="s">
        <v>1108</v>
      </c>
      <c r="E3478">
        <v>22</v>
      </c>
    </row>
    <row r="3479" spans="1:5" x14ac:dyDescent="0.3">
      <c r="A3479" t="s">
        <v>38</v>
      </c>
      <c r="B3479">
        <v>2010</v>
      </c>
      <c r="C3479" t="str">
        <f>_xlfn.CONCAT(Table16[[#This Row],[STATE]],"-",Table16[[#This Row],[YEAR]])</f>
        <v>Delhi-2010</v>
      </c>
      <c r="D3479" t="s">
        <v>283</v>
      </c>
      <c r="E3479">
        <v>16</v>
      </c>
    </row>
    <row r="3480" spans="1:5" x14ac:dyDescent="0.3">
      <c r="A3480" t="s">
        <v>38</v>
      </c>
      <c r="B3480">
        <v>2011</v>
      </c>
      <c r="C3480" t="str">
        <f>_xlfn.CONCAT(Table16[[#This Row],[STATE]],"-",Table16[[#This Row],[YEAR]])</f>
        <v>Delhi-2011</v>
      </c>
      <c r="D3480" t="s">
        <v>98</v>
      </c>
      <c r="E3480">
        <v>6</v>
      </c>
    </row>
    <row r="3481" spans="1:5" x14ac:dyDescent="0.3">
      <c r="A3481" t="s">
        <v>38</v>
      </c>
      <c r="B3481">
        <v>2011</v>
      </c>
      <c r="C3481" t="str">
        <f>_xlfn.CONCAT(Table16[[#This Row],[STATE]],"-",Table16[[#This Row],[YEAR]])</f>
        <v>Delhi-2011</v>
      </c>
      <c r="D3481" t="s">
        <v>1091</v>
      </c>
      <c r="E3481">
        <v>175</v>
      </c>
    </row>
    <row r="3482" spans="1:5" x14ac:dyDescent="0.3">
      <c r="A3482" t="s">
        <v>38</v>
      </c>
      <c r="B3482">
        <v>2011</v>
      </c>
      <c r="C3482" t="str">
        <f>_xlfn.CONCAT(Table16[[#This Row],[STATE]],"-",Table16[[#This Row],[YEAR]])</f>
        <v>Delhi-2011</v>
      </c>
      <c r="D3482" t="s">
        <v>259</v>
      </c>
      <c r="E3482">
        <v>195</v>
      </c>
    </row>
    <row r="3483" spans="1:5" x14ac:dyDescent="0.3">
      <c r="A3483" t="s">
        <v>38</v>
      </c>
      <c r="B3483">
        <v>2011</v>
      </c>
      <c r="C3483" t="str">
        <f>_xlfn.CONCAT(Table16[[#This Row],[STATE]],"-",Table16[[#This Row],[YEAR]])</f>
        <v>Delhi-2011</v>
      </c>
      <c r="D3483" t="s">
        <v>103</v>
      </c>
      <c r="E3483">
        <v>590</v>
      </c>
    </row>
    <row r="3484" spans="1:5" x14ac:dyDescent="0.3">
      <c r="A3484" t="s">
        <v>38</v>
      </c>
      <c r="B3484">
        <v>2011</v>
      </c>
      <c r="C3484" t="str">
        <f>_xlfn.CONCAT(Table16[[#This Row],[STATE]],"-",Table16[[#This Row],[YEAR]])</f>
        <v>Delhi-2011</v>
      </c>
      <c r="D3484" t="s">
        <v>123</v>
      </c>
      <c r="E3484">
        <v>252</v>
      </c>
    </row>
    <row r="3485" spans="1:5" x14ac:dyDescent="0.3">
      <c r="A3485" t="s">
        <v>38</v>
      </c>
      <c r="B3485">
        <v>2011</v>
      </c>
      <c r="C3485" t="str">
        <f>_xlfn.CONCAT(Table16[[#This Row],[STATE]],"-",Table16[[#This Row],[YEAR]])</f>
        <v>Delhi-2011</v>
      </c>
      <c r="D3485" t="s">
        <v>1109</v>
      </c>
      <c r="E3485">
        <v>188</v>
      </c>
    </row>
    <row r="3486" spans="1:5" x14ac:dyDescent="0.3">
      <c r="A3486" t="s">
        <v>38</v>
      </c>
      <c r="B3486">
        <v>2011</v>
      </c>
      <c r="C3486" t="str">
        <f>_xlfn.CONCAT(Table16[[#This Row],[STATE]],"-",Table16[[#This Row],[YEAR]])</f>
        <v>Delhi-2011</v>
      </c>
      <c r="D3486" t="s">
        <v>170</v>
      </c>
      <c r="E3486">
        <v>730</v>
      </c>
    </row>
    <row r="3487" spans="1:5" x14ac:dyDescent="0.3">
      <c r="A3487" t="s">
        <v>38</v>
      </c>
      <c r="B3487">
        <v>2011</v>
      </c>
      <c r="C3487" t="str">
        <f>_xlfn.CONCAT(Table16[[#This Row],[STATE]],"-",Table16[[#This Row],[YEAR]])</f>
        <v>Delhi-2011</v>
      </c>
      <c r="D3487" t="s">
        <v>1083</v>
      </c>
      <c r="E3487">
        <v>19</v>
      </c>
    </row>
    <row r="3488" spans="1:5" x14ac:dyDescent="0.3">
      <c r="A3488" t="s">
        <v>38</v>
      </c>
      <c r="B3488">
        <v>2011</v>
      </c>
      <c r="C3488" t="str">
        <f>_xlfn.CONCAT(Table16[[#This Row],[STATE]],"-",Table16[[#This Row],[YEAR]])</f>
        <v>Delhi-2011</v>
      </c>
      <c r="D3488" t="s">
        <v>1080</v>
      </c>
      <c r="E3488">
        <v>26</v>
      </c>
    </row>
    <row r="3489" spans="1:5" x14ac:dyDescent="0.3">
      <c r="A3489" t="s">
        <v>38</v>
      </c>
      <c r="B3489">
        <v>2011</v>
      </c>
      <c r="C3489" t="str">
        <f>_xlfn.CONCAT(Table16[[#This Row],[STATE]],"-",Table16[[#This Row],[YEAR]])</f>
        <v>Delhi-2011</v>
      </c>
      <c r="D3489" t="s">
        <v>410</v>
      </c>
      <c r="E3489">
        <v>37</v>
      </c>
    </row>
    <row r="3490" spans="1:5" x14ac:dyDescent="0.3">
      <c r="A3490" t="s">
        <v>38</v>
      </c>
      <c r="B3490">
        <v>2011</v>
      </c>
      <c r="C3490" t="str">
        <f>_xlfn.CONCAT(Table16[[#This Row],[STATE]],"-",Table16[[#This Row],[YEAR]])</f>
        <v>Delhi-2011</v>
      </c>
      <c r="D3490" t="s">
        <v>1079</v>
      </c>
      <c r="E3490">
        <v>62</v>
      </c>
    </row>
    <row r="3491" spans="1:5" x14ac:dyDescent="0.3">
      <c r="A3491" t="s">
        <v>38</v>
      </c>
      <c r="B3491">
        <v>2011</v>
      </c>
      <c r="C3491" t="str">
        <f>_xlfn.CONCAT(Table16[[#This Row],[STATE]],"-",Table16[[#This Row],[YEAR]])</f>
        <v>Delhi-2011</v>
      </c>
      <c r="D3491" t="s">
        <v>483</v>
      </c>
      <c r="E3491">
        <v>194</v>
      </c>
    </row>
    <row r="3492" spans="1:5" x14ac:dyDescent="0.3">
      <c r="A3492" t="s">
        <v>38</v>
      </c>
      <c r="B3492">
        <v>2011</v>
      </c>
      <c r="C3492" t="str">
        <f>_xlfn.CONCAT(Table16[[#This Row],[STATE]],"-",Table16[[#This Row],[YEAR]])</f>
        <v>Delhi-2011</v>
      </c>
      <c r="D3492" t="s">
        <v>1084</v>
      </c>
      <c r="E3492">
        <v>36</v>
      </c>
    </row>
    <row r="3493" spans="1:5" x14ac:dyDescent="0.3">
      <c r="A3493" t="s">
        <v>38</v>
      </c>
      <c r="B3493">
        <v>2011</v>
      </c>
      <c r="C3493" t="str">
        <f>_xlfn.CONCAT(Table16[[#This Row],[STATE]],"-",Table16[[#This Row],[YEAR]])</f>
        <v>Delhi-2011</v>
      </c>
      <c r="D3493" t="s">
        <v>872</v>
      </c>
      <c r="E3493">
        <v>93</v>
      </c>
    </row>
    <row r="3494" spans="1:5" x14ac:dyDescent="0.3">
      <c r="A3494" t="s">
        <v>38</v>
      </c>
      <c r="B3494">
        <v>2011</v>
      </c>
      <c r="C3494" t="str">
        <f>_xlfn.CONCAT(Table16[[#This Row],[STATE]],"-",Table16[[#This Row],[YEAR]])</f>
        <v>Delhi-2011</v>
      </c>
      <c r="D3494" t="s">
        <v>351</v>
      </c>
      <c r="E3494">
        <v>82</v>
      </c>
    </row>
    <row r="3495" spans="1:5" x14ac:dyDescent="0.3">
      <c r="A3495" t="s">
        <v>38</v>
      </c>
      <c r="B3495">
        <v>2011</v>
      </c>
      <c r="C3495" t="str">
        <f>_xlfn.CONCAT(Table16[[#This Row],[STATE]],"-",Table16[[#This Row],[YEAR]])</f>
        <v>Delhi-2011</v>
      </c>
      <c r="D3495" t="s">
        <v>1110</v>
      </c>
      <c r="E3495">
        <v>27</v>
      </c>
    </row>
    <row r="3496" spans="1:5" x14ac:dyDescent="0.3">
      <c r="A3496" t="s">
        <v>38</v>
      </c>
      <c r="B3496">
        <v>2011</v>
      </c>
      <c r="C3496" t="str">
        <f>_xlfn.CONCAT(Table16[[#This Row],[STATE]],"-",Table16[[#This Row],[YEAR]])</f>
        <v>Delhi-2011</v>
      </c>
      <c r="D3496" t="s">
        <v>1102</v>
      </c>
      <c r="E3496">
        <v>23</v>
      </c>
    </row>
    <row r="3497" spans="1:5" x14ac:dyDescent="0.3">
      <c r="A3497" t="s">
        <v>38</v>
      </c>
      <c r="B3497">
        <v>2011</v>
      </c>
      <c r="C3497" t="str">
        <f>_xlfn.CONCAT(Table16[[#This Row],[STATE]],"-",Table16[[#This Row],[YEAR]])</f>
        <v>Delhi-2011</v>
      </c>
      <c r="D3497" t="s">
        <v>1077</v>
      </c>
      <c r="E3497">
        <v>14</v>
      </c>
    </row>
    <row r="3498" spans="1:5" x14ac:dyDescent="0.3">
      <c r="A3498" t="s">
        <v>38</v>
      </c>
      <c r="B3498">
        <v>2011</v>
      </c>
      <c r="C3498" t="str">
        <f>_xlfn.CONCAT(Table16[[#This Row],[STATE]],"-",Table16[[#This Row],[YEAR]])</f>
        <v>Delhi-2011</v>
      </c>
      <c r="D3498" t="s">
        <v>1089</v>
      </c>
      <c r="E3498">
        <v>165</v>
      </c>
    </row>
    <row r="3499" spans="1:5" x14ac:dyDescent="0.3">
      <c r="A3499" t="s">
        <v>38</v>
      </c>
      <c r="B3499">
        <v>2011</v>
      </c>
      <c r="C3499" t="str">
        <f>_xlfn.CONCAT(Table16[[#This Row],[STATE]],"-",Table16[[#This Row],[YEAR]])</f>
        <v>Delhi-2011</v>
      </c>
      <c r="D3499" t="s">
        <v>1111</v>
      </c>
      <c r="E3499">
        <v>37</v>
      </c>
    </row>
    <row r="3500" spans="1:5" x14ac:dyDescent="0.3">
      <c r="A3500" t="s">
        <v>38</v>
      </c>
      <c r="B3500">
        <v>2011</v>
      </c>
      <c r="C3500" t="str">
        <f>_xlfn.CONCAT(Table16[[#This Row],[STATE]],"-",Table16[[#This Row],[YEAR]])</f>
        <v>Delhi-2011</v>
      </c>
      <c r="D3500" t="s">
        <v>1112</v>
      </c>
      <c r="E3500">
        <v>12</v>
      </c>
    </row>
    <row r="3501" spans="1:5" x14ac:dyDescent="0.3">
      <c r="A3501" t="s">
        <v>38</v>
      </c>
      <c r="B3501">
        <v>2011</v>
      </c>
      <c r="C3501" t="str">
        <f>_xlfn.CONCAT(Table16[[#This Row],[STATE]],"-",Table16[[#This Row],[YEAR]])</f>
        <v>Delhi-2011</v>
      </c>
      <c r="D3501" t="s">
        <v>1113</v>
      </c>
      <c r="E3501">
        <v>7</v>
      </c>
    </row>
    <row r="3502" spans="1:5" x14ac:dyDescent="0.3">
      <c r="A3502" t="s">
        <v>38</v>
      </c>
      <c r="B3502">
        <v>2011</v>
      </c>
      <c r="C3502" t="str">
        <f>_xlfn.CONCAT(Table16[[#This Row],[STATE]],"-",Table16[[#This Row],[YEAR]])</f>
        <v>Delhi-2011</v>
      </c>
      <c r="D3502" t="s">
        <v>1114</v>
      </c>
      <c r="E3502">
        <v>3</v>
      </c>
    </row>
    <row r="3503" spans="1:5" x14ac:dyDescent="0.3">
      <c r="A3503" t="s">
        <v>38</v>
      </c>
      <c r="B3503">
        <v>2011</v>
      </c>
      <c r="C3503" t="str">
        <f>_xlfn.CONCAT(Table16[[#This Row],[STATE]],"-",Table16[[#This Row],[YEAR]])</f>
        <v>Delhi-2011</v>
      </c>
      <c r="D3503" t="s">
        <v>1056</v>
      </c>
      <c r="E3503">
        <v>16</v>
      </c>
    </row>
    <row r="3504" spans="1:5" x14ac:dyDescent="0.3">
      <c r="A3504" t="s">
        <v>38</v>
      </c>
      <c r="B3504">
        <v>2011</v>
      </c>
      <c r="C3504" t="str">
        <f>_xlfn.CONCAT(Table16[[#This Row],[STATE]],"-",Table16[[#This Row],[YEAR]])</f>
        <v>Delhi-2011</v>
      </c>
      <c r="D3504" t="s">
        <v>1115</v>
      </c>
      <c r="E3504">
        <v>14</v>
      </c>
    </row>
    <row r="3505" spans="1:5" x14ac:dyDescent="0.3">
      <c r="A3505" t="s">
        <v>38</v>
      </c>
      <c r="B3505">
        <v>2011</v>
      </c>
      <c r="C3505" t="str">
        <f>_xlfn.CONCAT(Table16[[#This Row],[STATE]],"-",Table16[[#This Row],[YEAR]])</f>
        <v>Delhi-2011</v>
      </c>
      <c r="D3505" t="s">
        <v>1105</v>
      </c>
      <c r="E3505">
        <v>24</v>
      </c>
    </row>
    <row r="3506" spans="1:5" x14ac:dyDescent="0.3">
      <c r="A3506" t="s">
        <v>38</v>
      </c>
      <c r="B3506">
        <v>2011</v>
      </c>
      <c r="C3506" t="str">
        <f>_xlfn.CONCAT(Table16[[#This Row],[STATE]],"-",Table16[[#This Row],[YEAR]])</f>
        <v>Delhi-2011</v>
      </c>
      <c r="D3506" t="s">
        <v>1116</v>
      </c>
      <c r="E3506">
        <v>21</v>
      </c>
    </row>
    <row r="3507" spans="1:5" x14ac:dyDescent="0.3">
      <c r="A3507" t="s">
        <v>38</v>
      </c>
      <c r="B3507">
        <v>2011</v>
      </c>
      <c r="C3507" t="str">
        <f>_xlfn.CONCAT(Table16[[#This Row],[STATE]],"-",Table16[[#This Row],[YEAR]])</f>
        <v>Delhi-2011</v>
      </c>
      <c r="D3507" t="s">
        <v>773</v>
      </c>
      <c r="E3507">
        <v>10</v>
      </c>
    </row>
    <row r="3508" spans="1:5" x14ac:dyDescent="0.3">
      <c r="A3508" t="s">
        <v>38</v>
      </c>
      <c r="B3508">
        <v>2011</v>
      </c>
      <c r="C3508" t="str">
        <f>_xlfn.CONCAT(Table16[[#This Row],[STATE]],"-",Table16[[#This Row],[YEAR]])</f>
        <v>Delhi-2011</v>
      </c>
      <c r="D3508" t="s">
        <v>694</v>
      </c>
      <c r="E3508">
        <v>54</v>
      </c>
    </row>
    <row r="3509" spans="1:5" x14ac:dyDescent="0.3">
      <c r="A3509" t="s">
        <v>38</v>
      </c>
      <c r="B3509">
        <v>2011</v>
      </c>
      <c r="C3509" t="str">
        <f>_xlfn.CONCAT(Table16[[#This Row],[STATE]],"-",Table16[[#This Row],[YEAR]])</f>
        <v>Delhi-2011</v>
      </c>
      <c r="D3509" t="s">
        <v>1107</v>
      </c>
      <c r="E3509">
        <v>36</v>
      </c>
    </row>
    <row r="3510" spans="1:5" x14ac:dyDescent="0.3">
      <c r="A3510" t="s">
        <v>38</v>
      </c>
      <c r="B3510">
        <v>2011</v>
      </c>
      <c r="C3510" t="str">
        <f>_xlfn.CONCAT(Table16[[#This Row],[STATE]],"-",Table16[[#This Row],[YEAR]])</f>
        <v>Delhi-2011</v>
      </c>
      <c r="D3510" t="s">
        <v>141</v>
      </c>
      <c r="E3510">
        <v>31</v>
      </c>
    </row>
    <row r="3511" spans="1:5" x14ac:dyDescent="0.3">
      <c r="A3511" t="s">
        <v>38</v>
      </c>
      <c r="B3511">
        <v>2011</v>
      </c>
      <c r="C3511" t="str">
        <f>_xlfn.CONCAT(Table16[[#This Row],[STATE]],"-",Table16[[#This Row],[YEAR]])</f>
        <v>Delhi-2011</v>
      </c>
      <c r="D3511" t="s">
        <v>157</v>
      </c>
      <c r="E3511">
        <v>32</v>
      </c>
    </row>
    <row r="3512" spans="1:5" x14ac:dyDescent="0.3">
      <c r="A3512" t="s">
        <v>38</v>
      </c>
      <c r="B3512">
        <v>2011</v>
      </c>
      <c r="C3512" t="str">
        <f>_xlfn.CONCAT(Table16[[#This Row],[STATE]],"-",Table16[[#This Row],[YEAR]])</f>
        <v>Delhi-2011</v>
      </c>
      <c r="D3512" t="s">
        <v>120</v>
      </c>
      <c r="E3512">
        <v>20</v>
      </c>
    </row>
    <row r="3513" spans="1:5" x14ac:dyDescent="0.3">
      <c r="A3513" t="s">
        <v>38</v>
      </c>
      <c r="B3513">
        <v>2011</v>
      </c>
      <c r="C3513" t="str">
        <f>_xlfn.CONCAT(Table16[[#This Row],[STATE]],"-",Table16[[#This Row],[YEAR]])</f>
        <v>Delhi-2011</v>
      </c>
      <c r="D3513" t="s">
        <v>283</v>
      </c>
      <c r="E3513">
        <v>25</v>
      </c>
    </row>
    <row r="3514" spans="1:5" x14ac:dyDescent="0.3">
      <c r="A3514" t="s">
        <v>38</v>
      </c>
      <c r="B3514">
        <v>2012</v>
      </c>
      <c r="C3514" t="str">
        <f>_xlfn.CONCAT(Table16[[#This Row],[STATE]],"-",Table16[[#This Row],[YEAR]])</f>
        <v>Delhi-2012</v>
      </c>
      <c r="D3514" t="s">
        <v>98</v>
      </c>
      <c r="E3514">
        <v>66</v>
      </c>
    </row>
    <row r="3515" spans="1:5" x14ac:dyDescent="0.3">
      <c r="A3515" t="s">
        <v>38</v>
      </c>
      <c r="B3515">
        <v>2012</v>
      </c>
      <c r="C3515" t="str">
        <f>_xlfn.CONCAT(Table16[[#This Row],[STATE]],"-",Table16[[#This Row],[YEAR]])</f>
        <v>Delhi-2012</v>
      </c>
      <c r="D3515" t="s">
        <v>1091</v>
      </c>
      <c r="E3515">
        <v>106</v>
      </c>
    </row>
    <row r="3516" spans="1:5" x14ac:dyDescent="0.3">
      <c r="A3516" t="s">
        <v>38</v>
      </c>
      <c r="B3516">
        <v>2012</v>
      </c>
      <c r="C3516" t="str">
        <f>_xlfn.CONCAT(Table16[[#This Row],[STATE]],"-",Table16[[#This Row],[YEAR]])</f>
        <v>Delhi-2012</v>
      </c>
      <c r="D3516" t="s">
        <v>259</v>
      </c>
      <c r="E3516">
        <v>309</v>
      </c>
    </row>
    <row r="3517" spans="1:5" x14ac:dyDescent="0.3">
      <c r="A3517" t="s">
        <v>38</v>
      </c>
      <c r="B3517">
        <v>2012</v>
      </c>
      <c r="C3517" t="str">
        <f>_xlfn.CONCAT(Table16[[#This Row],[STATE]],"-",Table16[[#This Row],[YEAR]])</f>
        <v>Delhi-2012</v>
      </c>
      <c r="D3517" t="s">
        <v>103</v>
      </c>
      <c r="E3517">
        <v>986</v>
      </c>
    </row>
    <row r="3518" spans="1:5" x14ac:dyDescent="0.3">
      <c r="A3518" t="s">
        <v>38</v>
      </c>
      <c r="B3518">
        <v>2012</v>
      </c>
      <c r="C3518" t="str">
        <f>_xlfn.CONCAT(Table16[[#This Row],[STATE]],"-",Table16[[#This Row],[YEAR]])</f>
        <v>Delhi-2012</v>
      </c>
      <c r="D3518" t="s">
        <v>123</v>
      </c>
      <c r="E3518">
        <v>340</v>
      </c>
    </row>
    <row r="3519" spans="1:5" x14ac:dyDescent="0.3">
      <c r="A3519" t="s">
        <v>38</v>
      </c>
      <c r="B3519">
        <v>2012</v>
      </c>
      <c r="C3519" t="str">
        <f>_xlfn.CONCAT(Table16[[#This Row],[STATE]],"-",Table16[[#This Row],[YEAR]])</f>
        <v>Delhi-2012</v>
      </c>
      <c r="D3519" t="s">
        <v>1100</v>
      </c>
      <c r="E3519">
        <v>262</v>
      </c>
    </row>
    <row r="3520" spans="1:5" x14ac:dyDescent="0.3">
      <c r="A3520" t="s">
        <v>38</v>
      </c>
      <c r="B3520">
        <v>2012</v>
      </c>
      <c r="C3520" t="str">
        <f>_xlfn.CONCAT(Table16[[#This Row],[STATE]],"-",Table16[[#This Row],[YEAR]])</f>
        <v>Delhi-2012</v>
      </c>
      <c r="D3520" t="s">
        <v>170</v>
      </c>
      <c r="E3520">
        <v>1015</v>
      </c>
    </row>
    <row r="3521" spans="1:5" x14ac:dyDescent="0.3">
      <c r="A3521" t="s">
        <v>38</v>
      </c>
      <c r="B3521">
        <v>2012</v>
      </c>
      <c r="C3521" t="str">
        <f>_xlfn.CONCAT(Table16[[#This Row],[STATE]],"-",Table16[[#This Row],[YEAR]])</f>
        <v>Delhi-2012</v>
      </c>
      <c r="D3521" t="s">
        <v>1083</v>
      </c>
      <c r="E3521">
        <v>43</v>
      </c>
    </row>
    <row r="3522" spans="1:5" x14ac:dyDescent="0.3">
      <c r="A3522" t="s">
        <v>38</v>
      </c>
      <c r="B3522">
        <v>2012</v>
      </c>
      <c r="C3522" t="str">
        <f>_xlfn.CONCAT(Table16[[#This Row],[STATE]],"-",Table16[[#This Row],[YEAR]])</f>
        <v>Delhi-2012</v>
      </c>
      <c r="D3522" t="s">
        <v>1080</v>
      </c>
      <c r="E3522">
        <v>30</v>
      </c>
    </row>
    <row r="3523" spans="1:5" x14ac:dyDescent="0.3">
      <c r="A3523" t="s">
        <v>38</v>
      </c>
      <c r="B3523">
        <v>2012</v>
      </c>
      <c r="C3523" t="str">
        <f>_xlfn.CONCAT(Table16[[#This Row],[STATE]],"-",Table16[[#This Row],[YEAR]])</f>
        <v>Delhi-2012</v>
      </c>
      <c r="D3523" t="s">
        <v>410</v>
      </c>
      <c r="E3523">
        <v>5</v>
      </c>
    </row>
    <row r="3524" spans="1:5" x14ac:dyDescent="0.3">
      <c r="A3524" t="s">
        <v>38</v>
      </c>
      <c r="B3524">
        <v>2012</v>
      </c>
      <c r="C3524" t="str">
        <f>_xlfn.CONCAT(Table16[[#This Row],[STATE]],"-",Table16[[#This Row],[YEAR]])</f>
        <v>Delhi-2012</v>
      </c>
      <c r="D3524" t="s">
        <v>1079</v>
      </c>
      <c r="E3524">
        <v>51</v>
      </c>
    </row>
    <row r="3525" spans="1:5" x14ac:dyDescent="0.3">
      <c r="A3525" t="s">
        <v>38</v>
      </c>
      <c r="B3525">
        <v>2012</v>
      </c>
      <c r="C3525" t="str">
        <f>_xlfn.CONCAT(Table16[[#This Row],[STATE]],"-",Table16[[#This Row],[YEAR]])</f>
        <v>Delhi-2012</v>
      </c>
      <c r="D3525" t="s">
        <v>483</v>
      </c>
      <c r="E3525">
        <v>217</v>
      </c>
    </row>
    <row r="3526" spans="1:5" x14ac:dyDescent="0.3">
      <c r="A3526" t="s">
        <v>38</v>
      </c>
      <c r="B3526">
        <v>2012</v>
      </c>
      <c r="C3526" t="str">
        <f>_xlfn.CONCAT(Table16[[#This Row],[STATE]],"-",Table16[[#This Row],[YEAR]])</f>
        <v>Delhi-2012</v>
      </c>
      <c r="D3526" t="s">
        <v>1084</v>
      </c>
      <c r="E3526">
        <v>48</v>
      </c>
    </row>
    <row r="3527" spans="1:5" x14ac:dyDescent="0.3">
      <c r="A3527" t="s">
        <v>38</v>
      </c>
      <c r="B3527">
        <v>2012</v>
      </c>
      <c r="C3527" t="str">
        <f>_xlfn.CONCAT(Table16[[#This Row],[STATE]],"-",Table16[[#This Row],[YEAR]])</f>
        <v>Delhi-2012</v>
      </c>
      <c r="D3527" t="s">
        <v>872</v>
      </c>
      <c r="E3527">
        <v>86</v>
      </c>
    </row>
    <row r="3528" spans="1:5" x14ac:dyDescent="0.3">
      <c r="A3528" t="s">
        <v>38</v>
      </c>
      <c r="B3528">
        <v>2012</v>
      </c>
      <c r="C3528" t="str">
        <f>_xlfn.CONCAT(Table16[[#This Row],[STATE]],"-",Table16[[#This Row],[YEAR]])</f>
        <v>Delhi-2012</v>
      </c>
      <c r="D3528" t="s">
        <v>351</v>
      </c>
      <c r="E3528">
        <v>85</v>
      </c>
    </row>
    <row r="3529" spans="1:5" x14ac:dyDescent="0.3">
      <c r="A3529" t="s">
        <v>38</v>
      </c>
      <c r="B3529">
        <v>2012</v>
      </c>
      <c r="C3529" t="str">
        <f>_xlfn.CONCAT(Table16[[#This Row],[STATE]],"-",Table16[[#This Row],[YEAR]])</f>
        <v>Delhi-2012</v>
      </c>
      <c r="D3529" t="s">
        <v>1101</v>
      </c>
      <c r="E3529">
        <v>22</v>
      </c>
    </row>
    <row r="3530" spans="1:5" x14ac:dyDescent="0.3">
      <c r="A3530" t="s">
        <v>38</v>
      </c>
      <c r="B3530">
        <v>2012</v>
      </c>
      <c r="C3530" t="str">
        <f>_xlfn.CONCAT(Table16[[#This Row],[STATE]],"-",Table16[[#This Row],[YEAR]])</f>
        <v>Delhi-2012</v>
      </c>
      <c r="D3530" t="s">
        <v>1102</v>
      </c>
      <c r="E3530">
        <v>28</v>
      </c>
    </row>
    <row r="3531" spans="1:5" x14ac:dyDescent="0.3">
      <c r="A3531" t="s">
        <v>38</v>
      </c>
      <c r="B3531">
        <v>2012</v>
      </c>
      <c r="C3531" t="str">
        <f>_xlfn.CONCAT(Table16[[#This Row],[STATE]],"-",Table16[[#This Row],[YEAR]])</f>
        <v>Delhi-2012</v>
      </c>
      <c r="D3531" t="s">
        <v>1077</v>
      </c>
      <c r="E3531">
        <v>22</v>
      </c>
    </row>
    <row r="3532" spans="1:5" x14ac:dyDescent="0.3">
      <c r="A3532" t="s">
        <v>38</v>
      </c>
      <c r="B3532">
        <v>2012</v>
      </c>
      <c r="C3532" t="str">
        <f>_xlfn.CONCAT(Table16[[#This Row],[STATE]],"-",Table16[[#This Row],[YEAR]])</f>
        <v>Delhi-2012</v>
      </c>
      <c r="D3532" t="s">
        <v>1089</v>
      </c>
      <c r="E3532">
        <v>212</v>
      </c>
    </row>
    <row r="3533" spans="1:5" x14ac:dyDescent="0.3">
      <c r="A3533" t="s">
        <v>38</v>
      </c>
      <c r="B3533">
        <v>2012</v>
      </c>
      <c r="C3533" t="str">
        <f>_xlfn.CONCAT(Table16[[#This Row],[STATE]],"-",Table16[[#This Row],[YEAR]])</f>
        <v>Delhi-2012</v>
      </c>
      <c r="D3533" t="s">
        <v>1117</v>
      </c>
      <c r="E3533">
        <v>10</v>
      </c>
    </row>
    <row r="3534" spans="1:5" x14ac:dyDescent="0.3">
      <c r="A3534" t="s">
        <v>38</v>
      </c>
      <c r="B3534">
        <v>2012</v>
      </c>
      <c r="C3534" t="str">
        <f>_xlfn.CONCAT(Table16[[#This Row],[STATE]],"-",Table16[[#This Row],[YEAR]])</f>
        <v>Delhi-2012</v>
      </c>
      <c r="D3534" t="s">
        <v>1118</v>
      </c>
      <c r="E3534">
        <v>41</v>
      </c>
    </row>
    <row r="3535" spans="1:5" x14ac:dyDescent="0.3">
      <c r="A3535" t="s">
        <v>38</v>
      </c>
      <c r="B3535">
        <v>2012</v>
      </c>
      <c r="C3535" t="str">
        <f>_xlfn.CONCAT(Table16[[#This Row],[STATE]],"-",Table16[[#This Row],[YEAR]])</f>
        <v>Delhi-2012</v>
      </c>
      <c r="D3535" t="s">
        <v>1086</v>
      </c>
      <c r="E3535">
        <v>8</v>
      </c>
    </row>
    <row r="3536" spans="1:5" x14ac:dyDescent="0.3">
      <c r="A3536" t="s">
        <v>38</v>
      </c>
      <c r="B3536">
        <v>2012</v>
      </c>
      <c r="C3536" t="str">
        <f>_xlfn.CONCAT(Table16[[#This Row],[STATE]],"-",Table16[[#This Row],[YEAR]])</f>
        <v>Delhi-2012</v>
      </c>
      <c r="D3536" t="s">
        <v>1119</v>
      </c>
      <c r="E3536">
        <v>622</v>
      </c>
    </row>
    <row r="3537" spans="1:5" x14ac:dyDescent="0.3">
      <c r="A3537" t="s">
        <v>38</v>
      </c>
      <c r="B3537">
        <v>2012</v>
      </c>
      <c r="C3537" t="str">
        <f>_xlfn.CONCAT(Table16[[#This Row],[STATE]],"-",Table16[[#This Row],[YEAR]])</f>
        <v>Delhi-2012</v>
      </c>
      <c r="D3537" t="s">
        <v>1056</v>
      </c>
      <c r="E3537">
        <v>46</v>
      </c>
    </row>
    <row r="3538" spans="1:5" x14ac:dyDescent="0.3">
      <c r="A3538" t="s">
        <v>38</v>
      </c>
      <c r="B3538">
        <v>2012</v>
      </c>
      <c r="C3538" t="str">
        <f>_xlfn.CONCAT(Table16[[#This Row],[STATE]],"-",Table16[[#This Row],[YEAR]])</f>
        <v>Delhi-2012</v>
      </c>
      <c r="D3538" t="s">
        <v>1120</v>
      </c>
      <c r="E3538">
        <v>35</v>
      </c>
    </row>
    <row r="3539" spans="1:5" x14ac:dyDescent="0.3">
      <c r="A3539" t="s">
        <v>38</v>
      </c>
      <c r="B3539">
        <v>2012</v>
      </c>
      <c r="C3539" t="str">
        <f>_xlfn.CONCAT(Table16[[#This Row],[STATE]],"-",Table16[[#This Row],[YEAR]])</f>
        <v>Delhi-2012</v>
      </c>
      <c r="D3539" t="s">
        <v>841</v>
      </c>
      <c r="E3539">
        <v>162</v>
      </c>
    </row>
    <row r="3540" spans="1:5" x14ac:dyDescent="0.3">
      <c r="A3540" t="s">
        <v>38</v>
      </c>
      <c r="B3540">
        <v>2012</v>
      </c>
      <c r="C3540" t="str">
        <f>_xlfn.CONCAT(Table16[[#This Row],[STATE]],"-",Table16[[#This Row],[YEAR]])</f>
        <v>Delhi-2012</v>
      </c>
      <c r="D3540" t="s">
        <v>1115</v>
      </c>
      <c r="E3540">
        <v>71</v>
      </c>
    </row>
    <row r="3541" spans="1:5" x14ac:dyDescent="0.3">
      <c r="A3541" t="s">
        <v>38</v>
      </c>
      <c r="B3541">
        <v>2012</v>
      </c>
      <c r="C3541" t="str">
        <f>_xlfn.CONCAT(Table16[[#This Row],[STATE]],"-",Table16[[#This Row],[YEAR]])</f>
        <v>Delhi-2012</v>
      </c>
      <c r="D3541" t="s">
        <v>1113</v>
      </c>
      <c r="E3541">
        <v>15</v>
      </c>
    </row>
    <row r="3542" spans="1:5" x14ac:dyDescent="0.3">
      <c r="A3542" t="s">
        <v>38</v>
      </c>
      <c r="B3542">
        <v>2012</v>
      </c>
      <c r="C3542" t="str">
        <f>_xlfn.CONCAT(Table16[[#This Row],[STATE]],"-",Table16[[#This Row],[YEAR]])</f>
        <v>Delhi-2012</v>
      </c>
      <c r="D3542" t="s">
        <v>1121</v>
      </c>
      <c r="E3542">
        <v>12</v>
      </c>
    </row>
    <row r="3543" spans="1:5" x14ac:dyDescent="0.3">
      <c r="A3543" t="s">
        <v>38</v>
      </c>
      <c r="B3543">
        <v>2012</v>
      </c>
      <c r="C3543" t="str">
        <f>_xlfn.CONCAT(Table16[[#This Row],[STATE]],"-",Table16[[#This Row],[YEAR]])</f>
        <v>Delhi-2012</v>
      </c>
      <c r="D3543" t="s">
        <v>143</v>
      </c>
      <c r="E3543">
        <v>10</v>
      </c>
    </row>
    <row r="3544" spans="1:5" x14ac:dyDescent="0.3">
      <c r="A3544" t="s">
        <v>38</v>
      </c>
      <c r="B3544">
        <v>2012</v>
      </c>
      <c r="C3544" t="str">
        <f>_xlfn.CONCAT(Table16[[#This Row],[STATE]],"-",Table16[[#This Row],[YEAR]])</f>
        <v>Delhi-2012</v>
      </c>
      <c r="D3544" t="s">
        <v>281</v>
      </c>
      <c r="E3544">
        <v>116</v>
      </c>
    </row>
    <row r="3545" spans="1:5" x14ac:dyDescent="0.3">
      <c r="A3545" t="s">
        <v>38</v>
      </c>
      <c r="B3545">
        <v>2012</v>
      </c>
      <c r="C3545" t="str">
        <f>_xlfn.CONCAT(Table16[[#This Row],[STATE]],"-",Table16[[#This Row],[YEAR]])</f>
        <v>Delhi-2012</v>
      </c>
      <c r="D3545" t="s">
        <v>266</v>
      </c>
      <c r="E3545">
        <v>3</v>
      </c>
    </row>
    <row r="3546" spans="1:5" x14ac:dyDescent="0.3">
      <c r="A3546" t="s">
        <v>39</v>
      </c>
      <c r="B3546">
        <v>2009</v>
      </c>
      <c r="C3546" t="str">
        <f>_xlfn.CONCAT(Table16[[#This Row],[STATE]],"-",Table16[[#This Row],[YEAR]])</f>
        <v>Lakshadweep-2009</v>
      </c>
      <c r="D3546" t="s">
        <v>181</v>
      </c>
      <c r="E3546">
        <v>0</v>
      </c>
    </row>
    <row r="3547" spans="1:5" x14ac:dyDescent="0.3">
      <c r="A3547" t="s">
        <v>39</v>
      </c>
      <c r="B3547">
        <v>2010</v>
      </c>
      <c r="C3547" t="str">
        <f>_xlfn.CONCAT(Table16[[#This Row],[STATE]],"-",Table16[[#This Row],[YEAR]])</f>
        <v>Lakshadweep-2010</v>
      </c>
      <c r="D3547" t="s">
        <v>181</v>
      </c>
      <c r="E3547">
        <v>0</v>
      </c>
    </row>
    <row r="3548" spans="1:5" x14ac:dyDescent="0.3">
      <c r="A3548" t="s">
        <v>39</v>
      </c>
      <c r="B3548">
        <v>2012</v>
      </c>
      <c r="C3548" t="str">
        <f>_xlfn.CONCAT(Table16[[#This Row],[STATE]],"-",Table16[[#This Row],[YEAR]])</f>
        <v>Lakshadweep-2012</v>
      </c>
      <c r="D3548" t="s">
        <v>181</v>
      </c>
      <c r="E3548">
        <v>0</v>
      </c>
    </row>
    <row r="3549" spans="1:5" x14ac:dyDescent="0.3">
      <c r="A3549" t="s">
        <v>40</v>
      </c>
      <c r="B3549">
        <v>2001</v>
      </c>
      <c r="C3549" t="str">
        <f>_xlfn.CONCAT(Table16[[#This Row],[STATE]],"-",Table16[[#This Row],[YEAR]])</f>
        <v>Pondicherry-2001</v>
      </c>
      <c r="D3549" t="s">
        <v>498</v>
      </c>
      <c r="E3549">
        <v>25</v>
      </c>
    </row>
    <row r="3550" spans="1:5" x14ac:dyDescent="0.3">
      <c r="A3550" t="s">
        <v>40</v>
      </c>
      <c r="B3550">
        <v>2001</v>
      </c>
      <c r="C3550" t="str">
        <f>_xlfn.CONCAT(Table16[[#This Row],[STATE]],"-",Table16[[#This Row],[YEAR]])</f>
        <v>Pondicherry-2001</v>
      </c>
      <c r="D3550" t="s">
        <v>96</v>
      </c>
      <c r="E3550">
        <v>6</v>
      </c>
    </row>
    <row r="3551" spans="1:5" x14ac:dyDescent="0.3">
      <c r="A3551" t="s">
        <v>40</v>
      </c>
      <c r="B3551">
        <v>2001</v>
      </c>
      <c r="C3551" t="str">
        <f>_xlfn.CONCAT(Table16[[#This Row],[STATE]],"-",Table16[[#This Row],[YEAR]])</f>
        <v>Pondicherry-2001</v>
      </c>
      <c r="D3551" t="s">
        <v>103</v>
      </c>
      <c r="E3551">
        <v>6</v>
      </c>
    </row>
    <row r="3552" spans="1:5" x14ac:dyDescent="0.3">
      <c r="A3552" t="s">
        <v>40</v>
      </c>
      <c r="B3552">
        <v>2001</v>
      </c>
      <c r="C3552" t="str">
        <f>_xlfn.CONCAT(Table16[[#This Row],[STATE]],"-",Table16[[#This Row],[YEAR]])</f>
        <v>Pondicherry-2001</v>
      </c>
      <c r="D3552" t="s">
        <v>123</v>
      </c>
      <c r="E3552">
        <v>4</v>
      </c>
    </row>
    <row r="3553" spans="1:5" x14ac:dyDescent="0.3">
      <c r="A3553" t="s">
        <v>40</v>
      </c>
      <c r="B3553">
        <v>2002</v>
      </c>
      <c r="C3553" t="str">
        <f>_xlfn.CONCAT(Table16[[#This Row],[STATE]],"-",Table16[[#This Row],[YEAR]])</f>
        <v>Pondicherry-2002</v>
      </c>
      <c r="D3553" t="s">
        <v>498</v>
      </c>
      <c r="E3553">
        <v>30</v>
      </c>
    </row>
    <row r="3554" spans="1:5" x14ac:dyDescent="0.3">
      <c r="A3554" t="s">
        <v>40</v>
      </c>
      <c r="B3554">
        <v>2002</v>
      </c>
      <c r="C3554" t="str">
        <f>_xlfn.CONCAT(Table16[[#This Row],[STATE]],"-",Table16[[#This Row],[YEAR]])</f>
        <v>Pondicherry-2002</v>
      </c>
      <c r="D3554" t="s">
        <v>96</v>
      </c>
      <c r="E3554">
        <v>13</v>
      </c>
    </row>
    <row r="3555" spans="1:5" x14ac:dyDescent="0.3">
      <c r="A3555" t="s">
        <v>40</v>
      </c>
      <c r="B3555">
        <v>2002</v>
      </c>
      <c r="C3555" t="str">
        <f>_xlfn.CONCAT(Table16[[#This Row],[STATE]],"-",Table16[[#This Row],[YEAR]])</f>
        <v>Pondicherry-2002</v>
      </c>
      <c r="D3555" t="s">
        <v>103</v>
      </c>
      <c r="E3555">
        <v>10</v>
      </c>
    </row>
    <row r="3556" spans="1:5" x14ac:dyDescent="0.3">
      <c r="A3556" t="s">
        <v>40</v>
      </c>
      <c r="B3556">
        <v>2002</v>
      </c>
      <c r="C3556" t="str">
        <f>_xlfn.CONCAT(Table16[[#This Row],[STATE]],"-",Table16[[#This Row],[YEAR]])</f>
        <v>Pondicherry-2002</v>
      </c>
      <c r="D3556" t="s">
        <v>123</v>
      </c>
      <c r="E3556">
        <v>6</v>
      </c>
    </row>
    <row r="3557" spans="1:5" x14ac:dyDescent="0.3">
      <c r="A3557" t="s">
        <v>40</v>
      </c>
      <c r="B3557">
        <v>2003</v>
      </c>
      <c r="C3557" t="str">
        <f>_xlfn.CONCAT(Table16[[#This Row],[STATE]],"-",Table16[[#This Row],[YEAR]])</f>
        <v>Pondicherry-2003</v>
      </c>
      <c r="D3557" t="s">
        <v>498</v>
      </c>
      <c r="E3557">
        <v>33</v>
      </c>
    </row>
    <row r="3558" spans="1:5" x14ac:dyDescent="0.3">
      <c r="A3558" t="s">
        <v>40</v>
      </c>
      <c r="B3558">
        <v>2003</v>
      </c>
      <c r="C3558" t="str">
        <f>_xlfn.CONCAT(Table16[[#This Row],[STATE]],"-",Table16[[#This Row],[YEAR]])</f>
        <v>Pondicherry-2003</v>
      </c>
      <c r="D3558" t="s">
        <v>96</v>
      </c>
      <c r="E3558">
        <v>16</v>
      </c>
    </row>
    <row r="3559" spans="1:5" x14ac:dyDescent="0.3">
      <c r="A3559" t="s">
        <v>40</v>
      </c>
      <c r="B3559">
        <v>2003</v>
      </c>
      <c r="C3559" t="str">
        <f>_xlfn.CONCAT(Table16[[#This Row],[STATE]],"-",Table16[[#This Row],[YEAR]])</f>
        <v>Pondicherry-2003</v>
      </c>
      <c r="D3559" t="s">
        <v>103</v>
      </c>
      <c r="E3559">
        <v>15</v>
      </c>
    </row>
    <row r="3560" spans="1:5" x14ac:dyDescent="0.3">
      <c r="A3560" t="s">
        <v>40</v>
      </c>
      <c r="B3560">
        <v>2003</v>
      </c>
      <c r="C3560" t="str">
        <f>_xlfn.CONCAT(Table16[[#This Row],[STATE]],"-",Table16[[#This Row],[YEAR]])</f>
        <v>Pondicherry-2003</v>
      </c>
      <c r="D3560" t="s">
        <v>123</v>
      </c>
      <c r="E3560">
        <v>6</v>
      </c>
    </row>
    <row r="3561" spans="1:5" x14ac:dyDescent="0.3">
      <c r="A3561" t="s">
        <v>40</v>
      </c>
      <c r="B3561">
        <v>2004</v>
      </c>
      <c r="C3561" t="str">
        <f>_xlfn.CONCAT(Table16[[#This Row],[STATE]],"-",Table16[[#This Row],[YEAR]])</f>
        <v>Pondicherry-2004</v>
      </c>
      <c r="D3561" t="s">
        <v>498</v>
      </c>
      <c r="E3561">
        <v>30</v>
      </c>
    </row>
    <row r="3562" spans="1:5" x14ac:dyDescent="0.3">
      <c r="A3562" t="s">
        <v>40</v>
      </c>
      <c r="B3562">
        <v>2004</v>
      </c>
      <c r="C3562" t="str">
        <f>_xlfn.CONCAT(Table16[[#This Row],[STATE]],"-",Table16[[#This Row],[YEAR]])</f>
        <v>Pondicherry-2004</v>
      </c>
      <c r="D3562" t="s">
        <v>96</v>
      </c>
      <c r="E3562">
        <v>14</v>
      </c>
    </row>
    <row r="3563" spans="1:5" x14ac:dyDescent="0.3">
      <c r="A3563" t="s">
        <v>40</v>
      </c>
      <c r="B3563">
        <v>2004</v>
      </c>
      <c r="C3563" t="str">
        <f>_xlfn.CONCAT(Table16[[#This Row],[STATE]],"-",Table16[[#This Row],[YEAR]])</f>
        <v>Pondicherry-2004</v>
      </c>
      <c r="D3563" t="s">
        <v>103</v>
      </c>
      <c r="E3563">
        <v>18</v>
      </c>
    </row>
    <row r="3564" spans="1:5" x14ac:dyDescent="0.3">
      <c r="A3564" t="s">
        <v>40</v>
      </c>
      <c r="B3564">
        <v>2004</v>
      </c>
      <c r="C3564" t="str">
        <f>_xlfn.CONCAT(Table16[[#This Row],[STATE]],"-",Table16[[#This Row],[YEAR]])</f>
        <v>Pondicherry-2004</v>
      </c>
      <c r="D3564" t="s">
        <v>123</v>
      </c>
      <c r="E3564">
        <v>6</v>
      </c>
    </row>
    <row r="3565" spans="1:5" x14ac:dyDescent="0.3">
      <c r="A3565" t="s">
        <v>40</v>
      </c>
      <c r="B3565">
        <v>2005</v>
      </c>
      <c r="C3565" t="str">
        <f>_xlfn.CONCAT(Table16[[#This Row],[STATE]],"-",Table16[[#This Row],[YEAR]])</f>
        <v>Pondicherry-2005</v>
      </c>
      <c r="D3565" t="s">
        <v>498</v>
      </c>
      <c r="E3565">
        <v>12</v>
      </c>
    </row>
    <row r="3566" spans="1:5" x14ac:dyDescent="0.3">
      <c r="A3566" t="s">
        <v>40</v>
      </c>
      <c r="B3566">
        <v>2005</v>
      </c>
      <c r="C3566" t="str">
        <f>_xlfn.CONCAT(Table16[[#This Row],[STATE]],"-",Table16[[#This Row],[YEAR]])</f>
        <v>Pondicherry-2005</v>
      </c>
      <c r="D3566" t="s">
        <v>96</v>
      </c>
      <c r="E3566">
        <v>5</v>
      </c>
    </row>
    <row r="3567" spans="1:5" x14ac:dyDescent="0.3">
      <c r="A3567" t="s">
        <v>40</v>
      </c>
      <c r="B3567">
        <v>2005</v>
      </c>
      <c r="C3567" t="str">
        <f>_xlfn.CONCAT(Table16[[#This Row],[STATE]],"-",Table16[[#This Row],[YEAR]])</f>
        <v>Pondicherry-2005</v>
      </c>
      <c r="D3567" t="s">
        <v>103</v>
      </c>
      <c r="E3567">
        <v>6</v>
      </c>
    </row>
    <row r="3568" spans="1:5" x14ac:dyDescent="0.3">
      <c r="A3568" t="s">
        <v>40</v>
      </c>
      <c r="B3568">
        <v>2005</v>
      </c>
      <c r="C3568" t="str">
        <f>_xlfn.CONCAT(Table16[[#This Row],[STATE]],"-",Table16[[#This Row],[YEAR]])</f>
        <v>Pondicherry-2005</v>
      </c>
      <c r="D3568" t="s">
        <v>123</v>
      </c>
      <c r="E3568">
        <v>2</v>
      </c>
    </row>
    <row r="3569" spans="1:5" x14ac:dyDescent="0.3">
      <c r="A3569" t="s">
        <v>40</v>
      </c>
      <c r="B3569">
        <v>2006</v>
      </c>
      <c r="C3569" t="str">
        <f>_xlfn.CONCAT(Table16[[#This Row],[STATE]],"-",Table16[[#This Row],[YEAR]])</f>
        <v>Pondicherry-2006</v>
      </c>
      <c r="D3569" t="s">
        <v>498</v>
      </c>
      <c r="E3569">
        <v>23</v>
      </c>
    </row>
    <row r="3570" spans="1:5" x14ac:dyDescent="0.3">
      <c r="A3570" t="s">
        <v>40</v>
      </c>
      <c r="B3570">
        <v>2006</v>
      </c>
      <c r="C3570" t="str">
        <f>_xlfn.CONCAT(Table16[[#This Row],[STATE]],"-",Table16[[#This Row],[YEAR]])</f>
        <v>Pondicherry-2006</v>
      </c>
      <c r="D3570" t="s">
        <v>96</v>
      </c>
      <c r="E3570">
        <v>9</v>
      </c>
    </row>
    <row r="3571" spans="1:5" x14ac:dyDescent="0.3">
      <c r="A3571" t="s">
        <v>40</v>
      </c>
      <c r="B3571">
        <v>2006</v>
      </c>
      <c r="C3571" t="str">
        <f>_xlfn.CONCAT(Table16[[#This Row],[STATE]],"-",Table16[[#This Row],[YEAR]])</f>
        <v>Pondicherry-2006</v>
      </c>
      <c r="D3571" t="s">
        <v>103</v>
      </c>
      <c r="E3571">
        <v>6</v>
      </c>
    </row>
    <row r="3572" spans="1:5" x14ac:dyDescent="0.3">
      <c r="A3572" t="s">
        <v>40</v>
      </c>
      <c r="B3572">
        <v>2007</v>
      </c>
      <c r="C3572" t="str">
        <f>_xlfn.CONCAT(Table16[[#This Row],[STATE]],"-",Table16[[#This Row],[YEAR]])</f>
        <v>Pondicherry-2007</v>
      </c>
      <c r="D3572" t="s">
        <v>90</v>
      </c>
      <c r="E3572">
        <v>13</v>
      </c>
    </row>
    <row r="3573" spans="1:5" x14ac:dyDescent="0.3">
      <c r="A3573" t="s">
        <v>40</v>
      </c>
      <c r="B3573">
        <v>2007</v>
      </c>
      <c r="C3573" t="str">
        <f>_xlfn.CONCAT(Table16[[#This Row],[STATE]],"-",Table16[[#This Row],[YEAR]])</f>
        <v>Pondicherry-2007</v>
      </c>
      <c r="D3573" t="s">
        <v>96</v>
      </c>
      <c r="E3573">
        <v>3</v>
      </c>
    </row>
    <row r="3574" spans="1:5" x14ac:dyDescent="0.3">
      <c r="A3574" t="s">
        <v>40</v>
      </c>
      <c r="B3574">
        <v>2007</v>
      </c>
      <c r="C3574" t="str">
        <f>_xlfn.CONCAT(Table16[[#This Row],[STATE]],"-",Table16[[#This Row],[YEAR]])</f>
        <v>Pondicherry-2007</v>
      </c>
      <c r="D3574" t="s">
        <v>103</v>
      </c>
      <c r="E3574">
        <v>9</v>
      </c>
    </row>
    <row r="3575" spans="1:5" x14ac:dyDescent="0.3">
      <c r="A3575" t="s">
        <v>40</v>
      </c>
      <c r="B3575">
        <v>2007</v>
      </c>
      <c r="C3575" t="str">
        <f>_xlfn.CONCAT(Table16[[#This Row],[STATE]],"-",Table16[[#This Row],[YEAR]])</f>
        <v>Pondicherry-2007</v>
      </c>
      <c r="D3575" t="s">
        <v>123</v>
      </c>
      <c r="E3575">
        <v>0</v>
      </c>
    </row>
    <row r="3576" spans="1:5" x14ac:dyDescent="0.3">
      <c r="A3576" t="s">
        <v>40</v>
      </c>
      <c r="B3576">
        <v>2008</v>
      </c>
      <c r="C3576" t="str">
        <f>_xlfn.CONCAT(Table16[[#This Row],[STATE]],"-",Table16[[#This Row],[YEAR]])</f>
        <v>Pondicherry-2008</v>
      </c>
      <c r="D3576" t="s">
        <v>96</v>
      </c>
      <c r="E3576">
        <v>1</v>
      </c>
    </row>
    <row r="3577" spans="1:5" x14ac:dyDescent="0.3">
      <c r="A3577" t="s">
        <v>40</v>
      </c>
      <c r="B3577">
        <v>2008</v>
      </c>
      <c r="C3577" t="str">
        <f>_xlfn.CONCAT(Table16[[#This Row],[STATE]],"-",Table16[[#This Row],[YEAR]])</f>
        <v>Pondicherry-2008</v>
      </c>
      <c r="D3577" t="s">
        <v>103</v>
      </c>
      <c r="E3577">
        <v>2</v>
      </c>
    </row>
    <row r="3578" spans="1:5" x14ac:dyDescent="0.3">
      <c r="A3578" t="s">
        <v>40</v>
      </c>
      <c r="B3578">
        <v>2009</v>
      </c>
      <c r="C3578" t="str">
        <f>_xlfn.CONCAT(Table16[[#This Row],[STATE]],"-",Table16[[#This Row],[YEAR]])</f>
        <v>Pondicherry-2009</v>
      </c>
      <c r="D3578" t="s">
        <v>96</v>
      </c>
      <c r="E3578">
        <v>2</v>
      </c>
    </row>
    <row r="3579" spans="1:5" x14ac:dyDescent="0.3">
      <c r="A3579" t="s">
        <v>40</v>
      </c>
      <c r="B3579">
        <v>2009</v>
      </c>
      <c r="C3579" t="str">
        <f>_xlfn.CONCAT(Table16[[#This Row],[STATE]],"-",Table16[[#This Row],[YEAR]])</f>
        <v>Pondicherry-2009</v>
      </c>
      <c r="D3579" t="s">
        <v>103</v>
      </c>
      <c r="E3579">
        <v>2</v>
      </c>
    </row>
    <row r="3580" spans="1:5" x14ac:dyDescent="0.3">
      <c r="A3580" t="s">
        <v>40</v>
      </c>
      <c r="B3580">
        <v>2009</v>
      </c>
      <c r="C3580" t="str">
        <f>_xlfn.CONCAT(Table16[[#This Row],[STATE]],"-",Table16[[#This Row],[YEAR]])</f>
        <v>Pondicherry-2009</v>
      </c>
      <c r="D3580" t="s">
        <v>1122</v>
      </c>
      <c r="E3580">
        <v>8</v>
      </c>
    </row>
    <row r="3581" spans="1:5" x14ac:dyDescent="0.3">
      <c r="A3581" t="s">
        <v>40</v>
      </c>
      <c r="B3581">
        <v>2010</v>
      </c>
      <c r="C3581" t="str">
        <f>_xlfn.CONCAT(Table16[[#This Row],[STATE]],"-",Table16[[#This Row],[YEAR]])</f>
        <v>Pondicherry-2010</v>
      </c>
      <c r="D3581" t="s">
        <v>1123</v>
      </c>
      <c r="E3581">
        <v>5</v>
      </c>
    </row>
    <row r="3582" spans="1:5" x14ac:dyDescent="0.3">
      <c r="A3582" t="s">
        <v>40</v>
      </c>
      <c r="B3582">
        <v>2010</v>
      </c>
      <c r="C3582" t="str">
        <f>_xlfn.CONCAT(Table16[[#This Row],[STATE]],"-",Table16[[#This Row],[YEAR]])</f>
        <v>Pondicherry-2010</v>
      </c>
      <c r="D3582" t="s">
        <v>96</v>
      </c>
      <c r="E3582">
        <v>3</v>
      </c>
    </row>
    <row r="3583" spans="1:5" x14ac:dyDescent="0.3">
      <c r="A3583" t="s">
        <v>40</v>
      </c>
      <c r="B3583">
        <v>2010</v>
      </c>
      <c r="C3583" t="str">
        <f>_xlfn.CONCAT(Table16[[#This Row],[STATE]],"-",Table16[[#This Row],[YEAR]])</f>
        <v>Pondicherry-2010</v>
      </c>
      <c r="D3583" t="s">
        <v>103</v>
      </c>
      <c r="E3583">
        <v>3</v>
      </c>
    </row>
    <row r="3584" spans="1:5" x14ac:dyDescent="0.3">
      <c r="A3584" t="s">
        <v>40</v>
      </c>
      <c r="B3584">
        <v>2010</v>
      </c>
      <c r="C3584" t="str">
        <f>_xlfn.CONCAT(Table16[[#This Row],[STATE]],"-",Table16[[#This Row],[YEAR]])</f>
        <v>Pondicherry-2010</v>
      </c>
      <c r="D3584" t="s">
        <v>123</v>
      </c>
      <c r="E3584">
        <v>0</v>
      </c>
    </row>
    <row r="3585" spans="1:5" x14ac:dyDescent="0.3">
      <c r="A3585" t="s">
        <v>40</v>
      </c>
      <c r="B3585">
        <v>2010</v>
      </c>
      <c r="C3585" t="str">
        <f>_xlfn.CONCAT(Table16[[#This Row],[STATE]],"-",Table16[[#This Row],[YEAR]])</f>
        <v>Pondicherry-2010</v>
      </c>
      <c r="D3585" t="s">
        <v>1122</v>
      </c>
      <c r="E3585">
        <v>11</v>
      </c>
    </row>
    <row r="3586" spans="1:5" x14ac:dyDescent="0.3">
      <c r="A3586" t="s">
        <v>40</v>
      </c>
      <c r="B3586">
        <v>2011</v>
      </c>
      <c r="C3586" t="str">
        <f>_xlfn.CONCAT(Table16[[#This Row],[STATE]],"-",Table16[[#This Row],[YEAR]])</f>
        <v>Pondicherry-2011</v>
      </c>
      <c r="D3586" t="s">
        <v>1123</v>
      </c>
      <c r="E3586">
        <v>3</v>
      </c>
    </row>
    <row r="3587" spans="1:5" x14ac:dyDescent="0.3">
      <c r="A3587" t="s">
        <v>40</v>
      </c>
      <c r="B3587">
        <v>2011</v>
      </c>
      <c r="C3587" t="str">
        <f>_xlfn.CONCAT(Table16[[#This Row],[STATE]],"-",Table16[[#This Row],[YEAR]])</f>
        <v>Pondicherry-2011</v>
      </c>
      <c r="D3587" t="s">
        <v>96</v>
      </c>
      <c r="E3587">
        <v>3</v>
      </c>
    </row>
    <row r="3588" spans="1:5" x14ac:dyDescent="0.3">
      <c r="A3588" t="s">
        <v>40</v>
      </c>
      <c r="B3588">
        <v>2011</v>
      </c>
      <c r="C3588" t="str">
        <f>_xlfn.CONCAT(Table16[[#This Row],[STATE]],"-",Table16[[#This Row],[YEAR]])</f>
        <v>Pondicherry-2011</v>
      </c>
      <c r="D3588" t="s">
        <v>103</v>
      </c>
      <c r="E3588">
        <v>2</v>
      </c>
    </row>
    <row r="3589" spans="1:5" x14ac:dyDescent="0.3">
      <c r="A3589" t="s">
        <v>40</v>
      </c>
      <c r="B3589">
        <v>2011</v>
      </c>
      <c r="C3589" t="str">
        <f>_xlfn.CONCAT(Table16[[#This Row],[STATE]],"-",Table16[[#This Row],[YEAR]])</f>
        <v>Pondicherry-2011</v>
      </c>
      <c r="D3589" t="s">
        <v>1122</v>
      </c>
      <c r="E3589">
        <v>30</v>
      </c>
    </row>
    <row r="3590" spans="1:5" x14ac:dyDescent="0.3">
      <c r="A3590" t="s">
        <v>40</v>
      </c>
      <c r="B3590">
        <v>2012</v>
      </c>
      <c r="C3590" t="str">
        <f>_xlfn.CONCAT(Table16[[#This Row],[STATE]],"-",Table16[[#This Row],[YEAR]])</f>
        <v>Pondicherry-2012</v>
      </c>
      <c r="D3590" t="s">
        <v>1123</v>
      </c>
      <c r="E3590">
        <v>3</v>
      </c>
    </row>
    <row r="3591" spans="1:5" x14ac:dyDescent="0.3">
      <c r="A3591" t="s">
        <v>40</v>
      </c>
      <c r="B3591">
        <v>2012</v>
      </c>
      <c r="C3591" t="str">
        <f>_xlfn.CONCAT(Table16[[#This Row],[STATE]],"-",Table16[[#This Row],[YEAR]])</f>
        <v>Pondicherry-2012</v>
      </c>
      <c r="D3591" t="s">
        <v>96</v>
      </c>
      <c r="E3591">
        <v>3</v>
      </c>
    </row>
    <row r="3592" spans="1:5" x14ac:dyDescent="0.3">
      <c r="A3592" t="s">
        <v>40</v>
      </c>
      <c r="B3592">
        <v>2012</v>
      </c>
      <c r="C3592" t="str">
        <f>_xlfn.CONCAT(Table16[[#This Row],[STATE]],"-",Table16[[#This Row],[YEAR]])</f>
        <v>Pondicherry-2012</v>
      </c>
      <c r="D3592" t="s">
        <v>103</v>
      </c>
      <c r="E3592">
        <v>2</v>
      </c>
    </row>
    <row r="3593" spans="1:5" x14ac:dyDescent="0.3">
      <c r="A3593" t="s">
        <v>40</v>
      </c>
      <c r="B3593">
        <v>2012</v>
      </c>
      <c r="C3593" t="str">
        <f>_xlfn.CONCAT(Table16[[#This Row],[STATE]],"-",Table16[[#This Row],[YEAR]])</f>
        <v>Pondicherry-2012</v>
      </c>
      <c r="D3593" t="s">
        <v>1124</v>
      </c>
      <c r="E3593">
        <v>25</v>
      </c>
    </row>
    <row r="3594" spans="1:5" x14ac:dyDescent="0.3">
      <c r="A3594" t="s">
        <v>6</v>
      </c>
      <c r="B3594">
        <v>2013</v>
      </c>
      <c r="C3594" t="str">
        <f>_xlfn.CONCAT(Table16[[#This Row],[STATE]],"-",Table16[[#This Row],[YEAR]])</f>
        <v>Andhra Pradesh-2013</v>
      </c>
      <c r="D3594" t="s">
        <v>175</v>
      </c>
      <c r="E3594">
        <v>141</v>
      </c>
    </row>
    <row r="3595" spans="1:5" x14ac:dyDescent="0.3">
      <c r="A3595" t="s">
        <v>6</v>
      </c>
      <c r="B3595">
        <v>2013</v>
      </c>
      <c r="C3595" t="str">
        <f>_xlfn.CONCAT(Table16[[#This Row],[STATE]],"-",Table16[[#This Row],[YEAR]])</f>
        <v>Andhra Pradesh-2013</v>
      </c>
      <c r="D3595" t="s">
        <v>137</v>
      </c>
      <c r="E3595">
        <v>224</v>
      </c>
    </row>
    <row r="3596" spans="1:5" x14ac:dyDescent="0.3">
      <c r="A3596" t="s">
        <v>6</v>
      </c>
      <c r="B3596">
        <v>2013</v>
      </c>
      <c r="C3596" t="str">
        <f>_xlfn.CONCAT(Table16[[#This Row],[STATE]],"-",Table16[[#This Row],[YEAR]])</f>
        <v>Andhra Pradesh-2013</v>
      </c>
      <c r="D3596" t="s">
        <v>1125</v>
      </c>
      <c r="E3596">
        <v>3</v>
      </c>
    </row>
    <row r="3597" spans="1:5" x14ac:dyDescent="0.3">
      <c r="A3597" t="s">
        <v>6</v>
      </c>
      <c r="B3597">
        <v>2013</v>
      </c>
      <c r="C3597" t="str">
        <f>_xlfn.CONCAT(Table16[[#This Row],[STATE]],"-",Table16[[#This Row],[YEAR]])</f>
        <v>Andhra Pradesh-2013</v>
      </c>
      <c r="D3597" t="s">
        <v>162</v>
      </c>
      <c r="E3597">
        <v>59</v>
      </c>
    </row>
    <row r="3598" spans="1:5" x14ac:dyDescent="0.3">
      <c r="A3598" t="s">
        <v>6</v>
      </c>
      <c r="B3598">
        <v>2013</v>
      </c>
      <c r="C3598" t="str">
        <f>_xlfn.CONCAT(Table16[[#This Row],[STATE]],"-",Table16[[#This Row],[YEAR]])</f>
        <v>Andhra Pradesh-2013</v>
      </c>
      <c r="D3598" t="s">
        <v>1126</v>
      </c>
      <c r="E3598">
        <v>31</v>
      </c>
    </row>
    <row r="3599" spans="1:5" x14ac:dyDescent="0.3">
      <c r="A3599" t="s">
        <v>6</v>
      </c>
      <c r="B3599">
        <v>2013</v>
      </c>
      <c r="C3599" t="str">
        <f>_xlfn.CONCAT(Table16[[#This Row],[STATE]],"-",Table16[[#This Row],[YEAR]])</f>
        <v>Andhra Pradesh-2013</v>
      </c>
      <c r="D3599" t="s">
        <v>163</v>
      </c>
      <c r="E3599">
        <v>13</v>
      </c>
    </row>
    <row r="3600" spans="1:5" x14ac:dyDescent="0.3">
      <c r="A3600" t="s">
        <v>6</v>
      </c>
      <c r="B3600">
        <v>2013</v>
      </c>
      <c r="C3600" t="str">
        <f>_xlfn.CONCAT(Table16[[#This Row],[STATE]],"-",Table16[[#This Row],[YEAR]])</f>
        <v>Andhra Pradesh-2013</v>
      </c>
      <c r="D3600" t="s">
        <v>1127</v>
      </c>
      <c r="E3600">
        <v>270</v>
      </c>
    </row>
    <row r="3601" spans="1:5" x14ac:dyDescent="0.3">
      <c r="A3601" t="s">
        <v>6</v>
      </c>
      <c r="B3601">
        <v>2013</v>
      </c>
      <c r="C3601" t="str">
        <f>_xlfn.CONCAT(Table16[[#This Row],[STATE]],"-",Table16[[#This Row],[YEAR]])</f>
        <v>Andhra Pradesh-2013</v>
      </c>
      <c r="D3601" t="s">
        <v>1128</v>
      </c>
      <c r="E3601">
        <v>80</v>
      </c>
    </row>
    <row r="3602" spans="1:5" x14ac:dyDescent="0.3">
      <c r="A3602" t="s">
        <v>6</v>
      </c>
      <c r="B3602">
        <v>2013</v>
      </c>
      <c r="C3602" t="str">
        <f>_xlfn.CONCAT(Table16[[#This Row],[STATE]],"-",Table16[[#This Row],[YEAR]])</f>
        <v>Andhra Pradesh-2013</v>
      </c>
      <c r="D3602" t="s">
        <v>90</v>
      </c>
      <c r="E3602">
        <v>116</v>
      </c>
    </row>
    <row r="3603" spans="1:5" x14ac:dyDescent="0.3">
      <c r="A3603" t="s">
        <v>6</v>
      </c>
      <c r="B3603">
        <v>2013</v>
      </c>
      <c r="C3603" t="str">
        <f>_xlfn.CONCAT(Table16[[#This Row],[STATE]],"-",Table16[[#This Row],[YEAR]])</f>
        <v>Andhra Pradesh-2013</v>
      </c>
      <c r="D3603" t="s">
        <v>166</v>
      </c>
      <c r="E3603">
        <v>75</v>
      </c>
    </row>
    <row r="3604" spans="1:5" x14ac:dyDescent="0.3">
      <c r="A3604" t="s">
        <v>6</v>
      </c>
      <c r="B3604">
        <v>2013</v>
      </c>
      <c r="C3604" t="str">
        <f>_xlfn.CONCAT(Table16[[#This Row],[STATE]],"-",Table16[[#This Row],[YEAR]])</f>
        <v>Andhra Pradesh-2013</v>
      </c>
      <c r="D3604" t="s">
        <v>1129</v>
      </c>
      <c r="E3604">
        <v>128</v>
      </c>
    </row>
    <row r="3605" spans="1:5" x14ac:dyDescent="0.3">
      <c r="A3605" t="s">
        <v>6</v>
      </c>
      <c r="B3605">
        <v>2013</v>
      </c>
      <c r="C3605" t="str">
        <f>_xlfn.CONCAT(Table16[[#This Row],[STATE]],"-",Table16[[#This Row],[YEAR]])</f>
        <v>Andhra Pradesh-2013</v>
      </c>
      <c r="D3605" t="s">
        <v>178</v>
      </c>
      <c r="E3605">
        <v>58</v>
      </c>
    </row>
    <row r="3606" spans="1:5" x14ac:dyDescent="0.3">
      <c r="A3606" t="s">
        <v>6</v>
      </c>
      <c r="B3606">
        <v>2013</v>
      </c>
      <c r="C3606" t="str">
        <f>_xlfn.CONCAT(Table16[[#This Row],[STATE]],"-",Table16[[#This Row],[YEAR]])</f>
        <v>Andhra Pradesh-2013</v>
      </c>
      <c r="D3606" t="s">
        <v>1130</v>
      </c>
      <c r="E3606">
        <v>102</v>
      </c>
    </row>
    <row r="3607" spans="1:5" x14ac:dyDescent="0.3">
      <c r="A3607" t="s">
        <v>6</v>
      </c>
      <c r="B3607">
        <v>2013</v>
      </c>
      <c r="C3607" t="str">
        <f>_xlfn.CONCAT(Table16[[#This Row],[STATE]],"-",Table16[[#This Row],[YEAR]])</f>
        <v>Andhra Pradesh-2013</v>
      </c>
      <c r="D3607" t="s">
        <v>1131</v>
      </c>
      <c r="E3607">
        <v>12</v>
      </c>
    </row>
    <row r="3608" spans="1:5" x14ac:dyDescent="0.3">
      <c r="A3608" t="s">
        <v>6</v>
      </c>
      <c r="B3608">
        <v>2013</v>
      </c>
      <c r="C3608" t="str">
        <f>_xlfn.CONCAT(Table16[[#This Row],[STATE]],"-",Table16[[#This Row],[YEAR]])</f>
        <v>Andhra Pradesh-2013</v>
      </c>
      <c r="D3608" t="s">
        <v>1132</v>
      </c>
      <c r="E3608">
        <v>52</v>
      </c>
    </row>
    <row r="3609" spans="1:5" x14ac:dyDescent="0.3">
      <c r="A3609" t="s">
        <v>6</v>
      </c>
      <c r="B3609">
        <v>2013</v>
      </c>
      <c r="C3609" t="str">
        <f>_xlfn.CONCAT(Table16[[#This Row],[STATE]],"-",Table16[[#This Row],[YEAR]])</f>
        <v>Andhra Pradesh-2013</v>
      </c>
      <c r="D3609" t="s">
        <v>1133</v>
      </c>
      <c r="E3609">
        <v>28</v>
      </c>
    </row>
    <row r="3610" spans="1:5" x14ac:dyDescent="0.3">
      <c r="A3610" t="s">
        <v>6</v>
      </c>
      <c r="B3610">
        <v>2013</v>
      </c>
      <c r="C3610" t="str">
        <f>_xlfn.CONCAT(Table16[[#This Row],[STATE]],"-",Table16[[#This Row],[YEAR]])</f>
        <v>Andhra Pradesh-2013</v>
      </c>
      <c r="D3610" t="s">
        <v>172</v>
      </c>
      <c r="E3610">
        <v>30</v>
      </c>
    </row>
    <row r="3611" spans="1:5" x14ac:dyDescent="0.3">
      <c r="A3611" t="s">
        <v>6</v>
      </c>
      <c r="B3611">
        <v>2013</v>
      </c>
      <c r="C3611" t="str">
        <f>_xlfn.CONCAT(Table16[[#This Row],[STATE]],"-",Table16[[#This Row],[YEAR]])</f>
        <v>Andhra Pradesh-2013</v>
      </c>
      <c r="D3611" t="s">
        <v>147</v>
      </c>
      <c r="E3611">
        <v>50</v>
      </c>
    </row>
    <row r="3612" spans="1:5" x14ac:dyDescent="0.3">
      <c r="A3612" t="s">
        <v>6</v>
      </c>
      <c r="B3612">
        <v>2013</v>
      </c>
      <c r="C3612" t="str">
        <f>_xlfn.CONCAT(Table16[[#This Row],[STATE]],"-",Table16[[#This Row],[YEAR]])</f>
        <v>Andhra Pradesh-2013</v>
      </c>
      <c r="D3612" t="s">
        <v>1134</v>
      </c>
      <c r="E3612">
        <v>22</v>
      </c>
    </row>
    <row r="3613" spans="1:5" x14ac:dyDescent="0.3">
      <c r="A3613" t="s">
        <v>7</v>
      </c>
      <c r="B3613">
        <v>2013</v>
      </c>
      <c r="C3613" t="str">
        <f>_xlfn.CONCAT(Table16[[#This Row],[STATE]],"-",Table16[[#This Row],[YEAR]])</f>
        <v>Arunachal Pradesh-2013</v>
      </c>
      <c r="D3613" t="s">
        <v>193</v>
      </c>
      <c r="E3613">
        <v>5</v>
      </c>
    </row>
    <row r="3614" spans="1:5" x14ac:dyDescent="0.3">
      <c r="A3614" t="s">
        <v>7</v>
      </c>
      <c r="B3614">
        <v>2013</v>
      </c>
      <c r="C3614" t="str">
        <f>_xlfn.CONCAT(Table16[[#This Row],[STATE]],"-",Table16[[#This Row],[YEAR]])</f>
        <v>Arunachal Pradesh-2013</v>
      </c>
      <c r="D3614" t="s">
        <v>1135</v>
      </c>
      <c r="E3614">
        <v>3</v>
      </c>
    </row>
    <row r="3615" spans="1:5" x14ac:dyDescent="0.3">
      <c r="A3615" t="s">
        <v>8</v>
      </c>
      <c r="B3615">
        <v>2013</v>
      </c>
      <c r="C3615" t="str">
        <f>_xlfn.CONCAT(Table16[[#This Row],[STATE]],"-",Table16[[#This Row],[YEAR]])</f>
        <v>Assam-2013</v>
      </c>
      <c r="D3615" t="s">
        <v>90</v>
      </c>
      <c r="E3615">
        <v>100</v>
      </c>
    </row>
    <row r="3616" spans="1:5" x14ac:dyDescent="0.3">
      <c r="A3616" t="s">
        <v>8</v>
      </c>
      <c r="B3616">
        <v>2013</v>
      </c>
      <c r="C3616" t="str">
        <f>_xlfn.CONCAT(Table16[[#This Row],[STATE]],"-",Table16[[#This Row],[YEAR]])</f>
        <v>Assam-2013</v>
      </c>
      <c r="D3616" t="s">
        <v>1136</v>
      </c>
      <c r="E3616">
        <v>80</v>
      </c>
    </row>
    <row r="3617" spans="1:5" x14ac:dyDescent="0.3">
      <c r="A3617" t="s">
        <v>8</v>
      </c>
      <c r="B3617">
        <v>2013</v>
      </c>
      <c r="C3617" t="str">
        <f>_xlfn.CONCAT(Table16[[#This Row],[STATE]],"-",Table16[[#This Row],[YEAR]])</f>
        <v>Assam-2013</v>
      </c>
      <c r="D3617" t="s">
        <v>103</v>
      </c>
      <c r="E3617">
        <v>3</v>
      </c>
    </row>
    <row r="3618" spans="1:5" x14ac:dyDescent="0.3">
      <c r="A3618" t="s">
        <v>8</v>
      </c>
      <c r="B3618">
        <v>2013</v>
      </c>
      <c r="C3618" t="str">
        <f>_xlfn.CONCAT(Table16[[#This Row],[STATE]],"-",Table16[[#This Row],[YEAR]])</f>
        <v>Assam-2013</v>
      </c>
      <c r="D3618" t="s">
        <v>1137</v>
      </c>
      <c r="E3618">
        <v>3</v>
      </c>
    </row>
    <row r="3619" spans="1:5" x14ac:dyDescent="0.3">
      <c r="A3619" t="s">
        <v>8</v>
      </c>
      <c r="B3619">
        <v>2013</v>
      </c>
      <c r="C3619" t="str">
        <f>_xlfn.CONCAT(Table16[[#This Row],[STATE]],"-",Table16[[#This Row],[YEAR]])</f>
        <v>Assam-2013</v>
      </c>
      <c r="D3619" t="s">
        <v>196</v>
      </c>
      <c r="E3619">
        <v>48</v>
      </c>
    </row>
    <row r="3620" spans="1:5" x14ac:dyDescent="0.3">
      <c r="A3620" t="s">
        <v>8</v>
      </c>
      <c r="B3620">
        <v>2013</v>
      </c>
      <c r="C3620" t="str">
        <f>_xlfn.CONCAT(Table16[[#This Row],[STATE]],"-",Table16[[#This Row],[YEAR]])</f>
        <v>Assam-2013</v>
      </c>
      <c r="D3620" t="s">
        <v>102</v>
      </c>
      <c r="E3620">
        <v>12</v>
      </c>
    </row>
    <row r="3621" spans="1:5" x14ac:dyDescent="0.3">
      <c r="A3621" t="s">
        <v>8</v>
      </c>
      <c r="B3621">
        <v>2013</v>
      </c>
      <c r="C3621" t="str">
        <f>_xlfn.CONCAT(Table16[[#This Row],[STATE]],"-",Table16[[#This Row],[YEAR]])</f>
        <v>Assam-2013</v>
      </c>
      <c r="D3621" t="s">
        <v>1138</v>
      </c>
      <c r="E3621">
        <v>19</v>
      </c>
    </row>
    <row r="3622" spans="1:5" x14ac:dyDescent="0.3">
      <c r="A3622" t="s">
        <v>8</v>
      </c>
      <c r="B3622">
        <v>2013</v>
      </c>
      <c r="C3622" t="str">
        <f>_xlfn.CONCAT(Table16[[#This Row],[STATE]],"-",Table16[[#This Row],[YEAR]])</f>
        <v>Assam-2013</v>
      </c>
      <c r="D3622" t="s">
        <v>361</v>
      </c>
      <c r="E3622">
        <v>70</v>
      </c>
    </row>
    <row r="3623" spans="1:5" x14ac:dyDescent="0.3">
      <c r="A3623" t="s">
        <v>9</v>
      </c>
      <c r="B3623">
        <v>2013</v>
      </c>
      <c r="C3623" t="str">
        <f>_xlfn.CONCAT(Table16[[#This Row],[STATE]],"-",Table16[[#This Row],[YEAR]])</f>
        <v>Bihar-2013</v>
      </c>
      <c r="D3623" t="s">
        <v>230</v>
      </c>
      <c r="E3623">
        <v>562</v>
      </c>
    </row>
    <row r="3624" spans="1:5" x14ac:dyDescent="0.3">
      <c r="A3624" t="s">
        <v>9</v>
      </c>
      <c r="B3624">
        <v>2013</v>
      </c>
      <c r="C3624" t="str">
        <f>_xlfn.CONCAT(Table16[[#This Row],[STATE]],"-",Table16[[#This Row],[YEAR]])</f>
        <v>Bihar-2013</v>
      </c>
      <c r="D3624" t="s">
        <v>1034</v>
      </c>
      <c r="E3624">
        <v>301</v>
      </c>
    </row>
    <row r="3625" spans="1:5" x14ac:dyDescent="0.3">
      <c r="A3625" t="s">
        <v>9</v>
      </c>
      <c r="B3625">
        <v>2013</v>
      </c>
      <c r="C3625" t="str">
        <f>_xlfn.CONCAT(Table16[[#This Row],[STATE]],"-",Table16[[#This Row],[YEAR]])</f>
        <v>Bihar-2013</v>
      </c>
      <c r="D3625" t="s">
        <v>1139</v>
      </c>
      <c r="E3625">
        <v>104</v>
      </c>
    </row>
    <row r="3626" spans="1:5" x14ac:dyDescent="0.3">
      <c r="A3626" t="s">
        <v>9</v>
      </c>
      <c r="B3626">
        <v>2013</v>
      </c>
      <c r="C3626" t="str">
        <f>_xlfn.CONCAT(Table16[[#This Row],[STATE]],"-",Table16[[#This Row],[YEAR]])</f>
        <v>Bihar-2013</v>
      </c>
      <c r="D3626" t="s">
        <v>243</v>
      </c>
      <c r="E3626">
        <v>36</v>
      </c>
    </row>
    <row r="3627" spans="1:5" x14ac:dyDescent="0.3">
      <c r="A3627" t="s">
        <v>9</v>
      </c>
      <c r="B3627">
        <v>2013</v>
      </c>
      <c r="C3627" t="str">
        <f>_xlfn.CONCAT(Table16[[#This Row],[STATE]],"-",Table16[[#This Row],[YEAR]])</f>
        <v>Bihar-2013</v>
      </c>
      <c r="D3627" t="s">
        <v>103</v>
      </c>
      <c r="E3627">
        <v>96</v>
      </c>
    </row>
    <row r="3628" spans="1:5" x14ac:dyDescent="0.3">
      <c r="A3628" t="s">
        <v>9</v>
      </c>
      <c r="B3628">
        <v>2013</v>
      </c>
      <c r="C3628" t="str">
        <f>_xlfn.CONCAT(Table16[[#This Row],[STATE]],"-",Table16[[#This Row],[YEAR]])</f>
        <v>Bihar-2013</v>
      </c>
      <c r="D3628" t="s">
        <v>1140</v>
      </c>
      <c r="E3628">
        <v>13</v>
      </c>
    </row>
    <row r="3629" spans="1:5" x14ac:dyDescent="0.3">
      <c r="A3629" t="s">
        <v>9</v>
      </c>
      <c r="B3629">
        <v>2013</v>
      </c>
      <c r="C3629" t="str">
        <f>_xlfn.CONCAT(Table16[[#This Row],[STATE]],"-",Table16[[#This Row],[YEAR]])</f>
        <v>Bihar-2013</v>
      </c>
      <c r="D3629" t="s">
        <v>314</v>
      </c>
      <c r="E3629">
        <v>7</v>
      </c>
    </row>
    <row r="3630" spans="1:5" x14ac:dyDescent="0.3">
      <c r="A3630" t="s">
        <v>9</v>
      </c>
      <c r="B3630">
        <v>2013</v>
      </c>
      <c r="C3630" t="str">
        <f>_xlfn.CONCAT(Table16[[#This Row],[STATE]],"-",Table16[[#This Row],[YEAR]])</f>
        <v>Bihar-2013</v>
      </c>
      <c r="D3630" t="s">
        <v>1137</v>
      </c>
      <c r="E3630">
        <v>2</v>
      </c>
    </row>
    <row r="3631" spans="1:5" x14ac:dyDescent="0.3">
      <c r="A3631" t="s">
        <v>9</v>
      </c>
      <c r="B3631">
        <v>2013</v>
      </c>
      <c r="C3631" t="str">
        <f>_xlfn.CONCAT(Table16[[#This Row],[STATE]],"-",Table16[[#This Row],[YEAR]])</f>
        <v>Bihar-2013</v>
      </c>
      <c r="D3631" t="s">
        <v>1141</v>
      </c>
      <c r="E3631">
        <v>4</v>
      </c>
    </row>
    <row r="3632" spans="1:5" x14ac:dyDescent="0.3">
      <c r="A3632" t="s">
        <v>9</v>
      </c>
      <c r="B3632">
        <v>2013</v>
      </c>
      <c r="C3632" t="str">
        <f>_xlfn.CONCAT(Table16[[#This Row],[STATE]],"-",Table16[[#This Row],[YEAR]])</f>
        <v>Bihar-2013</v>
      </c>
      <c r="D3632" t="s">
        <v>1142</v>
      </c>
      <c r="E3632">
        <v>5</v>
      </c>
    </row>
    <row r="3633" spans="1:5" x14ac:dyDescent="0.3">
      <c r="A3633" t="s">
        <v>9</v>
      </c>
      <c r="B3633">
        <v>2013</v>
      </c>
      <c r="C3633" t="str">
        <f>_xlfn.CONCAT(Table16[[#This Row],[STATE]],"-",Table16[[#This Row],[YEAR]])</f>
        <v>Bihar-2013</v>
      </c>
      <c r="D3633" t="s">
        <v>1143</v>
      </c>
      <c r="E3633">
        <v>32</v>
      </c>
    </row>
    <row r="3634" spans="1:5" x14ac:dyDescent="0.3">
      <c r="A3634" t="s">
        <v>9</v>
      </c>
      <c r="B3634">
        <v>2013</v>
      </c>
      <c r="C3634" t="str">
        <f>_xlfn.CONCAT(Table16[[#This Row],[STATE]],"-",Table16[[#This Row],[YEAR]])</f>
        <v>Bihar-2013</v>
      </c>
      <c r="D3634" t="s">
        <v>248</v>
      </c>
      <c r="E3634">
        <v>12</v>
      </c>
    </row>
    <row r="3635" spans="1:5" x14ac:dyDescent="0.3">
      <c r="A3635" t="s">
        <v>9</v>
      </c>
      <c r="B3635">
        <v>2013</v>
      </c>
      <c r="C3635" t="str">
        <f>_xlfn.CONCAT(Table16[[#This Row],[STATE]],"-",Table16[[#This Row],[YEAR]])</f>
        <v>Bihar-2013</v>
      </c>
      <c r="D3635" t="s">
        <v>1144</v>
      </c>
      <c r="E3635">
        <v>55</v>
      </c>
    </row>
    <row r="3636" spans="1:5" x14ac:dyDescent="0.3">
      <c r="A3636" t="s">
        <v>9</v>
      </c>
      <c r="B3636">
        <v>2013</v>
      </c>
      <c r="C3636" t="str">
        <f>_xlfn.CONCAT(Table16[[#This Row],[STATE]],"-",Table16[[#This Row],[YEAR]])</f>
        <v>Bihar-2013</v>
      </c>
      <c r="D3636" t="s">
        <v>1145</v>
      </c>
      <c r="E3636">
        <v>30</v>
      </c>
    </row>
    <row r="3637" spans="1:5" x14ac:dyDescent="0.3">
      <c r="A3637" t="s">
        <v>9</v>
      </c>
      <c r="B3637">
        <v>2013</v>
      </c>
      <c r="C3637" t="str">
        <f>_xlfn.CONCAT(Table16[[#This Row],[STATE]],"-",Table16[[#This Row],[YEAR]])</f>
        <v>Bihar-2013</v>
      </c>
      <c r="D3637" t="s">
        <v>249</v>
      </c>
      <c r="E3637">
        <v>21</v>
      </c>
    </row>
    <row r="3638" spans="1:5" x14ac:dyDescent="0.3">
      <c r="A3638" t="s">
        <v>9</v>
      </c>
      <c r="B3638">
        <v>2013</v>
      </c>
      <c r="C3638" t="str">
        <f>_xlfn.CONCAT(Table16[[#This Row],[STATE]],"-",Table16[[#This Row],[YEAR]])</f>
        <v>Bihar-2013</v>
      </c>
      <c r="D3638" t="s">
        <v>1146</v>
      </c>
      <c r="E3638">
        <v>12</v>
      </c>
    </row>
    <row r="3639" spans="1:5" x14ac:dyDescent="0.3">
      <c r="A3639" t="s">
        <v>9</v>
      </c>
      <c r="B3639">
        <v>2013</v>
      </c>
      <c r="C3639" t="str">
        <f>_xlfn.CONCAT(Table16[[#This Row],[STATE]],"-",Table16[[#This Row],[YEAR]])</f>
        <v>Bihar-2013</v>
      </c>
      <c r="D3639" t="s">
        <v>1147</v>
      </c>
      <c r="E3639">
        <v>41</v>
      </c>
    </row>
    <row r="3640" spans="1:5" x14ac:dyDescent="0.3">
      <c r="A3640" t="s">
        <v>9</v>
      </c>
      <c r="B3640">
        <v>2013</v>
      </c>
      <c r="C3640" t="str">
        <f>_xlfn.CONCAT(Table16[[#This Row],[STATE]],"-",Table16[[#This Row],[YEAR]])</f>
        <v>Bihar-2013</v>
      </c>
      <c r="D3640" t="s">
        <v>1148</v>
      </c>
      <c r="E3640">
        <v>150</v>
      </c>
    </row>
    <row r="3641" spans="1:5" x14ac:dyDescent="0.3">
      <c r="A3641" t="s">
        <v>9</v>
      </c>
      <c r="B3641">
        <v>2013</v>
      </c>
      <c r="C3641" t="str">
        <f>_xlfn.CONCAT(Table16[[#This Row],[STATE]],"-",Table16[[#This Row],[YEAR]])</f>
        <v>Bihar-2013</v>
      </c>
      <c r="D3641" t="s">
        <v>250</v>
      </c>
      <c r="E3641">
        <v>143</v>
      </c>
    </row>
    <row r="3642" spans="1:5" x14ac:dyDescent="0.3">
      <c r="A3642" t="s">
        <v>9</v>
      </c>
      <c r="B3642">
        <v>2013</v>
      </c>
      <c r="C3642" t="str">
        <f>_xlfn.CONCAT(Table16[[#This Row],[STATE]],"-",Table16[[#This Row],[YEAR]])</f>
        <v>Bihar-2013</v>
      </c>
      <c r="D3642" t="s">
        <v>1149</v>
      </c>
      <c r="E3642">
        <v>573</v>
      </c>
    </row>
    <row r="3643" spans="1:5" x14ac:dyDescent="0.3">
      <c r="A3643" t="s">
        <v>9</v>
      </c>
      <c r="B3643">
        <v>2013</v>
      </c>
      <c r="C3643" t="str">
        <f>_xlfn.CONCAT(Table16[[#This Row],[STATE]],"-",Table16[[#This Row],[YEAR]])</f>
        <v>Bihar-2013</v>
      </c>
      <c r="D3643" t="s">
        <v>1150</v>
      </c>
      <c r="E3643">
        <v>2</v>
      </c>
    </row>
    <row r="3644" spans="1:5" x14ac:dyDescent="0.3">
      <c r="A3644" t="s">
        <v>9</v>
      </c>
      <c r="B3644">
        <v>2013</v>
      </c>
      <c r="C3644" t="str">
        <f>_xlfn.CONCAT(Table16[[#This Row],[STATE]],"-",Table16[[#This Row],[YEAR]])</f>
        <v>Bihar-2013</v>
      </c>
      <c r="D3644" t="s">
        <v>234</v>
      </c>
      <c r="E3644">
        <v>227</v>
      </c>
    </row>
    <row r="3645" spans="1:5" x14ac:dyDescent="0.3">
      <c r="A3645" t="s">
        <v>9</v>
      </c>
      <c r="B3645">
        <v>2013</v>
      </c>
      <c r="C3645" t="str">
        <f>_xlfn.CONCAT(Table16[[#This Row],[STATE]],"-",Table16[[#This Row],[YEAR]])</f>
        <v>Bihar-2013</v>
      </c>
      <c r="D3645" t="s">
        <v>531</v>
      </c>
      <c r="E3645">
        <v>160</v>
      </c>
    </row>
    <row r="3646" spans="1:5" x14ac:dyDescent="0.3">
      <c r="A3646" t="s">
        <v>9</v>
      </c>
      <c r="B3646">
        <v>2013</v>
      </c>
      <c r="C3646" t="str">
        <f>_xlfn.CONCAT(Table16[[#This Row],[STATE]],"-",Table16[[#This Row],[YEAR]])</f>
        <v>Bihar-2013</v>
      </c>
      <c r="D3646" t="s">
        <v>1151</v>
      </c>
      <c r="E3646">
        <v>5</v>
      </c>
    </row>
    <row r="3647" spans="1:5" x14ac:dyDescent="0.3">
      <c r="A3647" t="s">
        <v>9</v>
      </c>
      <c r="B3647">
        <v>2013</v>
      </c>
      <c r="C3647" t="str">
        <f>_xlfn.CONCAT(Table16[[#This Row],[STATE]],"-",Table16[[#This Row],[YEAR]])</f>
        <v>Bihar-2013</v>
      </c>
      <c r="D3647" t="s">
        <v>1152</v>
      </c>
      <c r="E3647">
        <v>12</v>
      </c>
    </row>
    <row r="3648" spans="1:5" x14ac:dyDescent="0.3">
      <c r="A3648" t="s">
        <v>9</v>
      </c>
      <c r="B3648">
        <v>2013</v>
      </c>
      <c r="C3648" t="str">
        <f>_xlfn.CONCAT(Table16[[#This Row],[STATE]],"-",Table16[[#This Row],[YEAR]])</f>
        <v>Bihar-2013</v>
      </c>
      <c r="D3648" t="s">
        <v>1153</v>
      </c>
      <c r="E3648">
        <v>15</v>
      </c>
    </row>
    <row r="3649" spans="1:5" x14ac:dyDescent="0.3">
      <c r="A3649" t="s">
        <v>9</v>
      </c>
      <c r="B3649">
        <v>2013</v>
      </c>
      <c r="C3649" t="str">
        <f>_xlfn.CONCAT(Table16[[#This Row],[STATE]],"-",Table16[[#This Row],[YEAR]])</f>
        <v>Bihar-2013</v>
      </c>
      <c r="D3649" t="s">
        <v>1154</v>
      </c>
      <c r="E3649">
        <v>14</v>
      </c>
    </row>
    <row r="3650" spans="1:5" x14ac:dyDescent="0.3">
      <c r="A3650" t="s">
        <v>9</v>
      </c>
      <c r="B3650">
        <v>2013</v>
      </c>
      <c r="C3650" t="str">
        <f>_xlfn.CONCAT(Table16[[#This Row],[STATE]],"-",Table16[[#This Row],[YEAR]])</f>
        <v>Bihar-2013</v>
      </c>
      <c r="D3650" t="s">
        <v>1155</v>
      </c>
      <c r="E3650">
        <v>13</v>
      </c>
    </row>
    <row r="3651" spans="1:5" x14ac:dyDescent="0.3">
      <c r="A3651" t="s">
        <v>9</v>
      </c>
      <c r="B3651">
        <v>2013</v>
      </c>
      <c r="C3651" t="str">
        <f>_xlfn.CONCAT(Table16[[#This Row],[STATE]],"-",Table16[[#This Row],[YEAR]])</f>
        <v>Bihar-2013</v>
      </c>
      <c r="D3651" t="s">
        <v>1156</v>
      </c>
      <c r="E3651">
        <v>15</v>
      </c>
    </row>
    <row r="3652" spans="1:5" x14ac:dyDescent="0.3">
      <c r="A3652" t="s">
        <v>9</v>
      </c>
      <c r="B3652">
        <v>2013</v>
      </c>
      <c r="C3652" t="str">
        <f>_xlfn.CONCAT(Table16[[#This Row],[STATE]],"-",Table16[[#This Row],[YEAR]])</f>
        <v>Bihar-2013</v>
      </c>
      <c r="D3652" t="s">
        <v>1157</v>
      </c>
      <c r="E3652">
        <v>16</v>
      </c>
    </row>
    <row r="3653" spans="1:5" x14ac:dyDescent="0.3">
      <c r="A3653" t="s">
        <v>10</v>
      </c>
      <c r="B3653">
        <v>2013</v>
      </c>
      <c r="C3653" t="str">
        <f>_xlfn.CONCAT(Table16[[#This Row],[STATE]],"-",Table16[[#This Row],[YEAR]])</f>
        <v>Chhattisgarh-2013</v>
      </c>
      <c r="D3653" t="s">
        <v>1158</v>
      </c>
      <c r="E3653">
        <v>380</v>
      </c>
    </row>
    <row r="3654" spans="1:5" x14ac:dyDescent="0.3">
      <c r="A3654" t="s">
        <v>10</v>
      </c>
      <c r="B3654">
        <v>2013</v>
      </c>
      <c r="C3654" t="str">
        <f>_xlfn.CONCAT(Table16[[#This Row],[STATE]],"-",Table16[[#This Row],[YEAR]])</f>
        <v>Chhattisgarh-2013</v>
      </c>
      <c r="D3654" t="s">
        <v>1159</v>
      </c>
      <c r="E3654">
        <v>149</v>
      </c>
    </row>
    <row r="3655" spans="1:5" x14ac:dyDescent="0.3">
      <c r="A3655" t="s">
        <v>10</v>
      </c>
      <c r="B3655">
        <v>2013</v>
      </c>
      <c r="C3655" t="str">
        <f>_xlfn.CONCAT(Table16[[#This Row],[STATE]],"-",Table16[[#This Row],[YEAR]])</f>
        <v>Chhattisgarh-2013</v>
      </c>
      <c r="D3655" t="s">
        <v>314</v>
      </c>
      <c r="E3655">
        <v>347</v>
      </c>
    </row>
    <row r="3656" spans="1:5" x14ac:dyDescent="0.3">
      <c r="A3656" t="s">
        <v>10</v>
      </c>
      <c r="B3656">
        <v>2013</v>
      </c>
      <c r="C3656" t="str">
        <f>_xlfn.CONCAT(Table16[[#This Row],[STATE]],"-",Table16[[#This Row],[YEAR]])</f>
        <v>Chhattisgarh-2013</v>
      </c>
      <c r="D3656" t="s">
        <v>140</v>
      </c>
      <c r="E3656">
        <v>49</v>
      </c>
    </row>
    <row r="3657" spans="1:5" x14ac:dyDescent="0.3">
      <c r="A3657" t="s">
        <v>10</v>
      </c>
      <c r="B3657">
        <v>2013</v>
      </c>
      <c r="C3657" t="str">
        <f>_xlfn.CONCAT(Table16[[#This Row],[STATE]],"-",Table16[[#This Row],[YEAR]])</f>
        <v>Chhattisgarh-2013</v>
      </c>
      <c r="D3657" t="s">
        <v>1160</v>
      </c>
      <c r="E3657">
        <v>11</v>
      </c>
    </row>
    <row r="3658" spans="1:5" x14ac:dyDescent="0.3">
      <c r="A3658" t="s">
        <v>10</v>
      </c>
      <c r="B3658">
        <v>2013</v>
      </c>
      <c r="C3658" t="str">
        <f>_xlfn.CONCAT(Table16[[#This Row],[STATE]],"-",Table16[[#This Row],[YEAR]])</f>
        <v>Chhattisgarh-2013</v>
      </c>
      <c r="D3658" t="s">
        <v>1161</v>
      </c>
      <c r="E3658">
        <v>31</v>
      </c>
    </row>
    <row r="3659" spans="1:5" x14ac:dyDescent="0.3">
      <c r="A3659" t="s">
        <v>10</v>
      </c>
      <c r="B3659">
        <v>2013</v>
      </c>
      <c r="C3659" t="str">
        <f>_xlfn.CONCAT(Table16[[#This Row],[STATE]],"-",Table16[[#This Row],[YEAR]])</f>
        <v>Chhattisgarh-2013</v>
      </c>
      <c r="D3659" t="s">
        <v>103</v>
      </c>
      <c r="E3659">
        <v>223</v>
      </c>
    </row>
    <row r="3660" spans="1:5" x14ac:dyDescent="0.3">
      <c r="A3660" t="s">
        <v>10</v>
      </c>
      <c r="B3660">
        <v>2013</v>
      </c>
      <c r="C3660" t="str">
        <f>_xlfn.CONCAT(Table16[[#This Row],[STATE]],"-",Table16[[#This Row],[YEAR]])</f>
        <v>Chhattisgarh-2013</v>
      </c>
      <c r="D3660" t="s">
        <v>1162</v>
      </c>
      <c r="E3660">
        <v>11</v>
      </c>
    </row>
    <row r="3661" spans="1:5" x14ac:dyDescent="0.3">
      <c r="A3661" t="s">
        <v>10</v>
      </c>
      <c r="B3661">
        <v>2013</v>
      </c>
      <c r="C3661" t="str">
        <f>_xlfn.CONCAT(Table16[[#This Row],[STATE]],"-",Table16[[#This Row],[YEAR]])</f>
        <v>Chhattisgarh-2013</v>
      </c>
      <c r="D3661" t="s">
        <v>1163</v>
      </c>
      <c r="E3661">
        <v>44</v>
      </c>
    </row>
    <row r="3662" spans="1:5" x14ac:dyDescent="0.3">
      <c r="A3662" t="s">
        <v>10</v>
      </c>
      <c r="B3662">
        <v>2013</v>
      </c>
      <c r="C3662" t="str">
        <f>_xlfn.CONCAT(Table16[[#This Row],[STATE]],"-",Table16[[#This Row],[YEAR]])</f>
        <v>Chhattisgarh-2013</v>
      </c>
      <c r="D3662" t="s">
        <v>348</v>
      </c>
      <c r="E3662">
        <v>31</v>
      </c>
    </row>
    <row r="3663" spans="1:5" x14ac:dyDescent="0.3">
      <c r="A3663" t="s">
        <v>10</v>
      </c>
      <c r="B3663">
        <v>2013</v>
      </c>
      <c r="C3663" t="str">
        <f>_xlfn.CONCAT(Table16[[#This Row],[STATE]],"-",Table16[[#This Row],[YEAR]])</f>
        <v>Chhattisgarh-2013</v>
      </c>
      <c r="D3663" t="s">
        <v>1137</v>
      </c>
      <c r="E3663">
        <v>68</v>
      </c>
    </row>
    <row r="3664" spans="1:5" x14ac:dyDescent="0.3">
      <c r="A3664" t="s">
        <v>10</v>
      </c>
      <c r="B3664">
        <v>2013</v>
      </c>
      <c r="C3664" t="str">
        <f>_xlfn.CONCAT(Table16[[#This Row],[STATE]],"-",Table16[[#This Row],[YEAR]])</f>
        <v>Chhattisgarh-2013</v>
      </c>
      <c r="D3664" t="s">
        <v>1164</v>
      </c>
      <c r="E3664">
        <v>8</v>
      </c>
    </row>
    <row r="3665" spans="1:5" x14ac:dyDescent="0.3">
      <c r="A3665" t="s">
        <v>10</v>
      </c>
      <c r="B3665">
        <v>2013</v>
      </c>
      <c r="C3665" t="str">
        <f>_xlfn.CONCAT(Table16[[#This Row],[STATE]],"-",Table16[[#This Row],[YEAR]])</f>
        <v>Chhattisgarh-2013</v>
      </c>
      <c r="D3665" t="s">
        <v>1165</v>
      </c>
      <c r="E3665">
        <v>51</v>
      </c>
    </row>
    <row r="3666" spans="1:5" x14ac:dyDescent="0.3">
      <c r="A3666" t="s">
        <v>10</v>
      </c>
      <c r="B3666">
        <v>2013</v>
      </c>
      <c r="C3666" t="str">
        <f>_xlfn.CONCAT(Table16[[#This Row],[STATE]],"-",Table16[[#This Row],[YEAR]])</f>
        <v>Chhattisgarh-2013</v>
      </c>
      <c r="D3666" t="s">
        <v>1166</v>
      </c>
      <c r="E3666">
        <v>50</v>
      </c>
    </row>
    <row r="3667" spans="1:5" x14ac:dyDescent="0.3">
      <c r="A3667" t="s">
        <v>10</v>
      </c>
      <c r="B3667">
        <v>2013</v>
      </c>
      <c r="C3667" t="str">
        <f>_xlfn.CONCAT(Table16[[#This Row],[STATE]],"-",Table16[[#This Row],[YEAR]])</f>
        <v>Chhattisgarh-2013</v>
      </c>
      <c r="D3667" t="s">
        <v>1167</v>
      </c>
      <c r="E3667">
        <v>5</v>
      </c>
    </row>
    <row r="3668" spans="1:5" x14ac:dyDescent="0.3">
      <c r="A3668" t="s">
        <v>10</v>
      </c>
      <c r="B3668">
        <v>2013</v>
      </c>
      <c r="C3668" t="str">
        <f>_xlfn.CONCAT(Table16[[#This Row],[STATE]],"-",Table16[[#This Row],[YEAR]])</f>
        <v>Chhattisgarh-2013</v>
      </c>
      <c r="D3668" t="s">
        <v>221</v>
      </c>
      <c r="E3668">
        <v>3</v>
      </c>
    </row>
    <row r="3669" spans="1:5" x14ac:dyDescent="0.3">
      <c r="A3669" t="s">
        <v>10</v>
      </c>
      <c r="B3669">
        <v>2013</v>
      </c>
      <c r="C3669" t="str">
        <f>_xlfn.CONCAT(Table16[[#This Row],[STATE]],"-",Table16[[#This Row],[YEAR]])</f>
        <v>Chhattisgarh-2013</v>
      </c>
      <c r="D3669" t="s">
        <v>1168</v>
      </c>
      <c r="E3669">
        <v>2</v>
      </c>
    </row>
    <row r="3670" spans="1:5" x14ac:dyDescent="0.3">
      <c r="A3670" t="s">
        <v>11</v>
      </c>
      <c r="B3670">
        <v>2013</v>
      </c>
      <c r="C3670" t="str">
        <f>_xlfn.CONCAT(Table16[[#This Row],[STATE]],"-",Table16[[#This Row],[YEAR]])</f>
        <v>Goa-2013</v>
      </c>
      <c r="D3670" t="s">
        <v>1169</v>
      </c>
      <c r="E3670">
        <v>25</v>
      </c>
    </row>
    <row r="3671" spans="1:5" x14ac:dyDescent="0.3">
      <c r="A3671" t="s">
        <v>11</v>
      </c>
      <c r="B3671">
        <v>2013</v>
      </c>
      <c r="C3671" t="str">
        <f>_xlfn.CONCAT(Table16[[#This Row],[STATE]],"-",Table16[[#This Row],[YEAR]])</f>
        <v>Goa-2013</v>
      </c>
      <c r="D3671" t="s">
        <v>1170</v>
      </c>
      <c r="E3671">
        <v>37</v>
      </c>
    </row>
    <row r="3672" spans="1:5" x14ac:dyDescent="0.3">
      <c r="A3672" t="s">
        <v>11</v>
      </c>
      <c r="B3672">
        <v>2013</v>
      </c>
      <c r="C3672" t="str">
        <f>_xlfn.CONCAT(Table16[[#This Row],[STATE]],"-",Table16[[#This Row],[YEAR]])</f>
        <v>Goa-2013</v>
      </c>
      <c r="D3672" t="s">
        <v>1171</v>
      </c>
      <c r="E3672">
        <v>14</v>
      </c>
    </row>
    <row r="3673" spans="1:5" x14ac:dyDescent="0.3">
      <c r="A3673" t="s">
        <v>11</v>
      </c>
      <c r="B3673">
        <v>2013</v>
      </c>
      <c r="C3673" t="str">
        <f>_xlfn.CONCAT(Table16[[#This Row],[STATE]],"-",Table16[[#This Row],[YEAR]])</f>
        <v>Goa-2013</v>
      </c>
      <c r="D3673" t="s">
        <v>1172</v>
      </c>
      <c r="E3673">
        <v>8</v>
      </c>
    </row>
    <row r="3674" spans="1:5" x14ac:dyDescent="0.3">
      <c r="A3674" t="s">
        <v>11</v>
      </c>
      <c r="B3674">
        <v>2013</v>
      </c>
      <c r="C3674" t="str">
        <f>_xlfn.CONCAT(Table16[[#This Row],[STATE]],"-",Table16[[#This Row],[YEAR]])</f>
        <v>Goa-2013</v>
      </c>
      <c r="D3674" t="s">
        <v>314</v>
      </c>
      <c r="E3674">
        <v>10</v>
      </c>
    </row>
    <row r="3675" spans="1:5" x14ac:dyDescent="0.3">
      <c r="A3675" t="s">
        <v>11</v>
      </c>
      <c r="B3675">
        <v>2013</v>
      </c>
      <c r="C3675" t="str">
        <f>_xlfn.CONCAT(Table16[[#This Row],[STATE]],"-",Table16[[#This Row],[YEAR]])</f>
        <v>Goa-2013</v>
      </c>
      <c r="D3675" t="s">
        <v>103</v>
      </c>
      <c r="E3675">
        <v>6</v>
      </c>
    </row>
    <row r="3676" spans="1:5" x14ac:dyDescent="0.3">
      <c r="A3676" t="s">
        <v>12</v>
      </c>
      <c r="B3676">
        <v>2013</v>
      </c>
      <c r="C3676" t="str">
        <f>_xlfn.CONCAT(Table16[[#This Row],[STATE]],"-",Table16[[#This Row],[YEAR]])</f>
        <v>Gujarat-2013</v>
      </c>
      <c r="D3676" t="s">
        <v>1173</v>
      </c>
      <c r="E3676">
        <v>22</v>
      </c>
    </row>
    <row r="3677" spans="1:5" x14ac:dyDescent="0.3">
      <c r="A3677" t="s">
        <v>12</v>
      </c>
      <c r="B3677">
        <v>2013</v>
      </c>
      <c r="C3677" t="str">
        <f>_xlfn.CONCAT(Table16[[#This Row],[STATE]],"-",Table16[[#This Row],[YEAR]])</f>
        <v>Gujarat-2013</v>
      </c>
      <c r="D3677" t="s">
        <v>103</v>
      </c>
      <c r="E3677">
        <v>814</v>
      </c>
    </row>
    <row r="3678" spans="1:5" x14ac:dyDescent="0.3">
      <c r="A3678" t="s">
        <v>12</v>
      </c>
      <c r="B3678">
        <v>2013</v>
      </c>
      <c r="C3678" t="str">
        <f>_xlfn.CONCAT(Table16[[#This Row],[STATE]],"-",Table16[[#This Row],[YEAR]])</f>
        <v>Gujarat-2013</v>
      </c>
      <c r="D3678" t="s">
        <v>1174</v>
      </c>
      <c r="E3678">
        <v>52</v>
      </c>
    </row>
    <row r="3679" spans="1:5" x14ac:dyDescent="0.3">
      <c r="A3679" t="s">
        <v>12</v>
      </c>
      <c r="B3679">
        <v>2013</v>
      </c>
      <c r="C3679" t="str">
        <f>_xlfn.CONCAT(Table16[[#This Row],[STATE]],"-",Table16[[#This Row],[YEAR]])</f>
        <v>Gujarat-2013</v>
      </c>
      <c r="D3679" t="s">
        <v>120</v>
      </c>
      <c r="E3679">
        <v>148</v>
      </c>
    </row>
    <row r="3680" spans="1:5" x14ac:dyDescent="0.3">
      <c r="A3680" t="s">
        <v>12</v>
      </c>
      <c r="B3680">
        <v>2013</v>
      </c>
      <c r="C3680" t="str">
        <f>_xlfn.CONCAT(Table16[[#This Row],[STATE]],"-",Table16[[#This Row],[YEAR]])</f>
        <v>Gujarat-2013</v>
      </c>
      <c r="D3680" t="s">
        <v>1175</v>
      </c>
      <c r="E3680">
        <v>28</v>
      </c>
    </row>
    <row r="3681" spans="1:5" x14ac:dyDescent="0.3">
      <c r="A3681" t="s">
        <v>12</v>
      </c>
      <c r="B3681">
        <v>2013</v>
      </c>
      <c r="C3681" t="str">
        <f>_xlfn.CONCAT(Table16[[#This Row],[STATE]],"-",Table16[[#This Row],[YEAR]])</f>
        <v>Gujarat-2013</v>
      </c>
      <c r="D3681" t="s">
        <v>1170</v>
      </c>
      <c r="E3681">
        <v>377</v>
      </c>
    </row>
    <row r="3682" spans="1:5" x14ac:dyDescent="0.3">
      <c r="A3682" t="s">
        <v>12</v>
      </c>
      <c r="B3682">
        <v>2013</v>
      </c>
      <c r="C3682" t="str">
        <f>_xlfn.CONCAT(Table16[[#This Row],[STATE]],"-",Table16[[#This Row],[YEAR]])</f>
        <v>Gujarat-2013</v>
      </c>
      <c r="D3682" t="s">
        <v>1172</v>
      </c>
      <c r="E3682">
        <v>140</v>
      </c>
    </row>
    <row r="3683" spans="1:5" x14ac:dyDescent="0.3">
      <c r="A3683" t="s">
        <v>12</v>
      </c>
      <c r="B3683">
        <v>2013</v>
      </c>
      <c r="C3683" t="str">
        <f>_xlfn.CONCAT(Table16[[#This Row],[STATE]],"-",Table16[[#This Row],[YEAR]])</f>
        <v>Gujarat-2013</v>
      </c>
      <c r="D3683" t="s">
        <v>90</v>
      </c>
      <c r="E3683">
        <v>1358</v>
      </c>
    </row>
    <row r="3684" spans="1:5" x14ac:dyDescent="0.3">
      <c r="A3684" t="s">
        <v>12</v>
      </c>
      <c r="B3684">
        <v>2013</v>
      </c>
      <c r="C3684" t="str">
        <f>_xlfn.CONCAT(Table16[[#This Row],[STATE]],"-",Table16[[#This Row],[YEAR]])</f>
        <v>Gujarat-2013</v>
      </c>
      <c r="D3684" t="s">
        <v>314</v>
      </c>
      <c r="E3684">
        <v>610</v>
      </c>
    </row>
    <row r="3685" spans="1:5" x14ac:dyDescent="0.3">
      <c r="A3685" t="s">
        <v>12</v>
      </c>
      <c r="B3685">
        <v>2013</v>
      </c>
      <c r="C3685" t="str">
        <f>_xlfn.CONCAT(Table16[[#This Row],[STATE]],"-",Table16[[#This Row],[YEAR]])</f>
        <v>Gujarat-2013</v>
      </c>
      <c r="D3685" t="s">
        <v>1176</v>
      </c>
      <c r="E3685">
        <v>152</v>
      </c>
    </row>
    <row r="3686" spans="1:5" x14ac:dyDescent="0.3">
      <c r="A3686" t="s">
        <v>12</v>
      </c>
      <c r="B3686">
        <v>2013</v>
      </c>
      <c r="C3686" t="str">
        <f>_xlfn.CONCAT(Table16[[#This Row],[STATE]],"-",Table16[[#This Row],[YEAR]])</f>
        <v>Gujarat-2013</v>
      </c>
      <c r="D3686" t="s">
        <v>141</v>
      </c>
      <c r="E3686">
        <v>529</v>
      </c>
    </row>
    <row r="3687" spans="1:5" x14ac:dyDescent="0.3">
      <c r="A3687" t="s">
        <v>12</v>
      </c>
      <c r="B3687">
        <v>2013</v>
      </c>
      <c r="C3687" t="str">
        <f>_xlfn.CONCAT(Table16[[#This Row],[STATE]],"-",Table16[[#This Row],[YEAR]])</f>
        <v>Gujarat-2013</v>
      </c>
      <c r="D3687" t="s">
        <v>1177</v>
      </c>
      <c r="E3687">
        <v>103</v>
      </c>
    </row>
    <row r="3688" spans="1:5" x14ac:dyDescent="0.3">
      <c r="A3688" t="s">
        <v>12</v>
      </c>
      <c r="B3688">
        <v>2013</v>
      </c>
      <c r="C3688" t="str">
        <f>_xlfn.CONCAT(Table16[[#This Row],[STATE]],"-",Table16[[#This Row],[YEAR]])</f>
        <v>Gujarat-2013</v>
      </c>
      <c r="D3688" t="s">
        <v>197</v>
      </c>
      <c r="E3688">
        <v>51</v>
      </c>
    </row>
    <row r="3689" spans="1:5" x14ac:dyDescent="0.3">
      <c r="A3689" t="s">
        <v>12</v>
      </c>
      <c r="B3689">
        <v>2013</v>
      </c>
      <c r="C3689" t="str">
        <f>_xlfn.CONCAT(Table16[[#This Row],[STATE]],"-",Table16[[#This Row],[YEAR]])</f>
        <v>Gujarat-2013</v>
      </c>
      <c r="D3689" t="s">
        <v>1178</v>
      </c>
      <c r="E3689">
        <v>22</v>
      </c>
    </row>
    <row r="3690" spans="1:5" x14ac:dyDescent="0.3">
      <c r="A3690" t="s">
        <v>12</v>
      </c>
      <c r="B3690">
        <v>2013</v>
      </c>
      <c r="C3690" t="str">
        <f>_xlfn.CONCAT(Table16[[#This Row],[STATE]],"-",Table16[[#This Row],[YEAR]])</f>
        <v>Gujarat-2013</v>
      </c>
      <c r="D3690" t="s">
        <v>1179</v>
      </c>
      <c r="E3690">
        <v>116</v>
      </c>
    </row>
    <row r="3691" spans="1:5" x14ac:dyDescent="0.3">
      <c r="A3691" t="s">
        <v>12</v>
      </c>
      <c r="B3691">
        <v>2013</v>
      </c>
      <c r="C3691" t="str">
        <f>_xlfn.CONCAT(Table16[[#This Row],[STATE]],"-",Table16[[#This Row],[YEAR]])</f>
        <v>Gujarat-2013</v>
      </c>
      <c r="D3691" t="s">
        <v>401</v>
      </c>
      <c r="E3691">
        <v>17</v>
      </c>
    </row>
    <row r="3692" spans="1:5" x14ac:dyDescent="0.3">
      <c r="A3692" t="s">
        <v>12</v>
      </c>
      <c r="B3692">
        <v>2013</v>
      </c>
      <c r="C3692" t="str">
        <f>_xlfn.CONCAT(Table16[[#This Row],[STATE]],"-",Table16[[#This Row],[YEAR]])</f>
        <v>Gujarat-2013</v>
      </c>
      <c r="D3692" t="s">
        <v>1180</v>
      </c>
      <c r="E3692">
        <v>60</v>
      </c>
    </row>
    <row r="3693" spans="1:5" x14ac:dyDescent="0.3">
      <c r="A3693" t="s">
        <v>12</v>
      </c>
      <c r="B3693">
        <v>2013</v>
      </c>
      <c r="C3693" t="str">
        <f>_xlfn.CONCAT(Table16[[#This Row],[STATE]],"-",Table16[[#This Row],[YEAR]])</f>
        <v>Gujarat-2013</v>
      </c>
      <c r="D3693" t="s">
        <v>1181</v>
      </c>
      <c r="E3693">
        <v>18</v>
      </c>
    </row>
    <row r="3694" spans="1:5" x14ac:dyDescent="0.3">
      <c r="A3694" t="s">
        <v>12</v>
      </c>
      <c r="B3694">
        <v>2013</v>
      </c>
      <c r="C3694" t="str">
        <f>_xlfn.CONCAT(Table16[[#This Row],[STATE]],"-",Table16[[#This Row],[YEAR]])</f>
        <v>Gujarat-2013</v>
      </c>
      <c r="D3694" t="s">
        <v>433</v>
      </c>
      <c r="E3694">
        <v>17</v>
      </c>
    </row>
    <row r="3695" spans="1:5" x14ac:dyDescent="0.3">
      <c r="A3695" t="s">
        <v>12</v>
      </c>
      <c r="B3695">
        <v>2013</v>
      </c>
      <c r="C3695" t="str">
        <f>_xlfn.CONCAT(Table16[[#This Row],[STATE]],"-",Table16[[#This Row],[YEAR]])</f>
        <v>Gujarat-2013</v>
      </c>
      <c r="D3695" t="s">
        <v>1182</v>
      </c>
      <c r="E3695">
        <v>30</v>
      </c>
    </row>
    <row r="3696" spans="1:5" x14ac:dyDescent="0.3">
      <c r="A3696" t="s">
        <v>12</v>
      </c>
      <c r="B3696">
        <v>2013</v>
      </c>
      <c r="C3696" t="str">
        <f>_xlfn.CONCAT(Table16[[#This Row],[STATE]],"-",Table16[[#This Row],[YEAR]])</f>
        <v>Gujarat-2013</v>
      </c>
      <c r="D3696" t="s">
        <v>146</v>
      </c>
      <c r="E3696">
        <v>50</v>
      </c>
    </row>
    <row r="3697" spans="1:5" x14ac:dyDescent="0.3">
      <c r="A3697" t="s">
        <v>13</v>
      </c>
      <c r="B3697">
        <v>2013</v>
      </c>
      <c r="C3697" t="str">
        <f>_xlfn.CONCAT(Table16[[#This Row],[STATE]],"-",Table16[[#This Row],[YEAR]])</f>
        <v>Haryana-2013</v>
      </c>
      <c r="D3697" t="s">
        <v>1183</v>
      </c>
      <c r="E3697">
        <v>12</v>
      </c>
    </row>
    <row r="3698" spans="1:5" x14ac:dyDescent="0.3">
      <c r="A3698" t="s">
        <v>13</v>
      </c>
      <c r="B3698">
        <v>2013</v>
      </c>
      <c r="C3698" t="str">
        <f>_xlfn.CONCAT(Table16[[#This Row],[STATE]],"-",Table16[[#This Row],[YEAR]])</f>
        <v>Haryana-2013</v>
      </c>
      <c r="D3698" t="s">
        <v>1184</v>
      </c>
      <c r="E3698">
        <v>6</v>
      </c>
    </row>
    <row r="3699" spans="1:5" x14ac:dyDescent="0.3">
      <c r="A3699" t="s">
        <v>13</v>
      </c>
      <c r="B3699">
        <v>2013</v>
      </c>
      <c r="C3699" t="str">
        <f>_xlfn.CONCAT(Table16[[#This Row],[STATE]],"-",Table16[[#This Row],[YEAR]])</f>
        <v>Haryana-2013</v>
      </c>
      <c r="D3699" t="s">
        <v>1185</v>
      </c>
      <c r="E3699">
        <v>56</v>
      </c>
    </row>
    <row r="3700" spans="1:5" x14ac:dyDescent="0.3">
      <c r="A3700" t="s">
        <v>13</v>
      </c>
      <c r="B3700">
        <v>2013</v>
      </c>
      <c r="C3700" t="str">
        <f>_xlfn.CONCAT(Table16[[#This Row],[STATE]],"-",Table16[[#This Row],[YEAR]])</f>
        <v>Haryana-2013</v>
      </c>
      <c r="D3700" t="s">
        <v>1186</v>
      </c>
      <c r="E3700">
        <v>44</v>
      </c>
    </row>
    <row r="3701" spans="1:5" x14ac:dyDescent="0.3">
      <c r="A3701" t="s">
        <v>13</v>
      </c>
      <c r="B3701">
        <v>2013</v>
      </c>
      <c r="C3701" t="str">
        <f>_xlfn.CONCAT(Table16[[#This Row],[STATE]],"-",Table16[[#This Row],[YEAR]])</f>
        <v>Haryana-2013</v>
      </c>
      <c r="D3701" t="s">
        <v>314</v>
      </c>
      <c r="E3701">
        <v>4</v>
      </c>
    </row>
    <row r="3702" spans="1:5" x14ac:dyDescent="0.3">
      <c r="A3702" t="s">
        <v>13</v>
      </c>
      <c r="B3702">
        <v>2013</v>
      </c>
      <c r="C3702" t="str">
        <f>_xlfn.CONCAT(Table16[[#This Row],[STATE]],"-",Table16[[#This Row],[YEAR]])</f>
        <v>Haryana-2013</v>
      </c>
      <c r="D3702" t="s">
        <v>103</v>
      </c>
      <c r="E3702">
        <v>6</v>
      </c>
    </row>
    <row r="3703" spans="1:5" x14ac:dyDescent="0.3">
      <c r="A3703" t="s">
        <v>13</v>
      </c>
      <c r="B3703">
        <v>2013</v>
      </c>
      <c r="C3703" t="str">
        <f>_xlfn.CONCAT(Table16[[#This Row],[STATE]],"-",Table16[[#This Row],[YEAR]])</f>
        <v>Haryana-2013</v>
      </c>
      <c r="D3703" t="s">
        <v>146</v>
      </c>
      <c r="E3703">
        <v>2</v>
      </c>
    </row>
    <row r="3704" spans="1:5" x14ac:dyDescent="0.3">
      <c r="A3704" t="s">
        <v>13</v>
      </c>
      <c r="B3704">
        <v>2013</v>
      </c>
      <c r="C3704" t="str">
        <f>_xlfn.CONCAT(Table16[[#This Row],[STATE]],"-",Table16[[#This Row],[YEAR]])</f>
        <v>Haryana-2013</v>
      </c>
      <c r="D3704" t="s">
        <v>1187</v>
      </c>
      <c r="E3704">
        <v>9</v>
      </c>
    </row>
    <row r="3705" spans="1:5" x14ac:dyDescent="0.3">
      <c r="A3705" t="s">
        <v>13</v>
      </c>
      <c r="B3705">
        <v>2013</v>
      </c>
      <c r="C3705" t="str">
        <f>_xlfn.CONCAT(Table16[[#This Row],[STATE]],"-",Table16[[#This Row],[YEAR]])</f>
        <v>Haryana-2013</v>
      </c>
      <c r="D3705" t="s">
        <v>1188</v>
      </c>
      <c r="E3705">
        <v>11</v>
      </c>
    </row>
    <row r="3706" spans="1:5" x14ac:dyDescent="0.3">
      <c r="A3706" t="s">
        <v>13</v>
      </c>
      <c r="B3706">
        <v>2013</v>
      </c>
      <c r="C3706" t="str">
        <f>_xlfn.CONCAT(Table16[[#This Row],[STATE]],"-",Table16[[#This Row],[YEAR]])</f>
        <v>Haryana-2013</v>
      </c>
      <c r="D3706" t="s">
        <v>433</v>
      </c>
      <c r="E3706">
        <v>12</v>
      </c>
    </row>
    <row r="3707" spans="1:5" x14ac:dyDescent="0.3">
      <c r="A3707" t="s">
        <v>13</v>
      </c>
      <c r="B3707">
        <v>2013</v>
      </c>
      <c r="C3707" t="str">
        <f>_xlfn.CONCAT(Table16[[#This Row],[STATE]],"-",Table16[[#This Row],[YEAR]])</f>
        <v>Haryana-2013</v>
      </c>
      <c r="D3707" t="s">
        <v>1189</v>
      </c>
      <c r="E3707">
        <v>13</v>
      </c>
    </row>
    <row r="3708" spans="1:5" x14ac:dyDescent="0.3">
      <c r="A3708" t="s">
        <v>13</v>
      </c>
      <c r="B3708">
        <v>2013</v>
      </c>
      <c r="C3708" t="str">
        <f>_xlfn.CONCAT(Table16[[#This Row],[STATE]],"-",Table16[[#This Row],[YEAR]])</f>
        <v>Haryana-2013</v>
      </c>
      <c r="D3708" t="s">
        <v>314</v>
      </c>
      <c r="E3708">
        <v>5</v>
      </c>
    </row>
    <row r="3709" spans="1:5" x14ac:dyDescent="0.3">
      <c r="A3709" t="s">
        <v>13</v>
      </c>
      <c r="B3709">
        <v>2013</v>
      </c>
      <c r="C3709" t="str">
        <f>_xlfn.CONCAT(Table16[[#This Row],[STATE]],"-",Table16[[#This Row],[YEAR]])</f>
        <v>Haryana-2013</v>
      </c>
      <c r="D3709" t="s">
        <v>1190</v>
      </c>
      <c r="E3709">
        <v>14</v>
      </c>
    </row>
    <row r="3710" spans="1:5" x14ac:dyDescent="0.3">
      <c r="A3710" t="s">
        <v>13</v>
      </c>
      <c r="B3710">
        <v>2013</v>
      </c>
      <c r="C3710" t="str">
        <f>_xlfn.CONCAT(Table16[[#This Row],[STATE]],"-",Table16[[#This Row],[YEAR]])</f>
        <v>Haryana-2013</v>
      </c>
      <c r="D3710" t="s">
        <v>407</v>
      </c>
      <c r="E3710">
        <v>7</v>
      </c>
    </row>
    <row r="3711" spans="1:5" x14ac:dyDescent="0.3">
      <c r="A3711" t="s">
        <v>13</v>
      </c>
      <c r="B3711">
        <v>2013</v>
      </c>
      <c r="C3711" t="str">
        <f>_xlfn.CONCAT(Table16[[#This Row],[STATE]],"-",Table16[[#This Row],[YEAR]])</f>
        <v>Haryana-2013</v>
      </c>
      <c r="D3711" t="s">
        <v>1191</v>
      </c>
      <c r="E3711">
        <v>12</v>
      </c>
    </row>
    <row r="3712" spans="1:5" x14ac:dyDescent="0.3">
      <c r="A3712" t="s">
        <v>13</v>
      </c>
      <c r="B3712">
        <v>2013</v>
      </c>
      <c r="C3712" t="str">
        <f>_xlfn.CONCAT(Table16[[#This Row],[STATE]],"-",Table16[[#This Row],[YEAR]])</f>
        <v>Haryana-2013</v>
      </c>
      <c r="D3712" t="s">
        <v>410</v>
      </c>
      <c r="E3712">
        <v>10</v>
      </c>
    </row>
    <row r="3713" spans="1:5" x14ac:dyDescent="0.3">
      <c r="A3713" t="s">
        <v>13</v>
      </c>
      <c r="B3713">
        <v>2013</v>
      </c>
      <c r="C3713" t="str">
        <f>_xlfn.CONCAT(Table16[[#This Row],[STATE]],"-",Table16[[#This Row],[YEAR]])</f>
        <v>Haryana-2013</v>
      </c>
      <c r="D3713" t="s">
        <v>407</v>
      </c>
      <c r="E3713">
        <v>9</v>
      </c>
    </row>
    <row r="3714" spans="1:5" x14ac:dyDescent="0.3">
      <c r="A3714" t="s">
        <v>13</v>
      </c>
      <c r="B3714">
        <v>2013</v>
      </c>
      <c r="C3714" t="str">
        <f>_xlfn.CONCAT(Table16[[#This Row],[STATE]],"-",Table16[[#This Row],[YEAR]])</f>
        <v>Haryana-2013</v>
      </c>
      <c r="D3714" t="s">
        <v>423</v>
      </c>
      <c r="E3714">
        <v>2</v>
      </c>
    </row>
    <row r="3715" spans="1:5" x14ac:dyDescent="0.3">
      <c r="A3715" t="s">
        <v>13</v>
      </c>
      <c r="B3715">
        <v>2013</v>
      </c>
      <c r="C3715" t="str">
        <f>_xlfn.CONCAT(Table16[[#This Row],[STATE]],"-",Table16[[#This Row],[YEAR]])</f>
        <v>Haryana-2013</v>
      </c>
      <c r="D3715" t="s">
        <v>424</v>
      </c>
      <c r="E3715">
        <v>5</v>
      </c>
    </row>
    <row r="3716" spans="1:5" x14ac:dyDescent="0.3">
      <c r="A3716" t="s">
        <v>13</v>
      </c>
      <c r="B3716">
        <v>2013</v>
      </c>
      <c r="C3716" t="str">
        <f>_xlfn.CONCAT(Table16[[#This Row],[STATE]],"-",Table16[[#This Row],[YEAR]])</f>
        <v>Haryana-2013</v>
      </c>
      <c r="D3716" t="s">
        <v>1192</v>
      </c>
      <c r="E3716">
        <v>12</v>
      </c>
    </row>
    <row r="3717" spans="1:5" x14ac:dyDescent="0.3">
      <c r="A3717" t="s">
        <v>13</v>
      </c>
      <c r="B3717">
        <v>2013</v>
      </c>
      <c r="C3717" t="str">
        <f>_xlfn.CONCAT(Table16[[#This Row],[STATE]],"-",Table16[[#This Row],[YEAR]])</f>
        <v>Haryana-2013</v>
      </c>
      <c r="D3717" t="s">
        <v>1193</v>
      </c>
      <c r="E3717">
        <v>5</v>
      </c>
    </row>
    <row r="3718" spans="1:5" x14ac:dyDescent="0.3">
      <c r="A3718" t="s">
        <v>13</v>
      </c>
      <c r="B3718">
        <v>2013</v>
      </c>
      <c r="C3718" t="str">
        <f>_xlfn.CONCAT(Table16[[#This Row],[STATE]],"-",Table16[[#This Row],[YEAR]])</f>
        <v>Haryana-2013</v>
      </c>
      <c r="D3718" t="s">
        <v>1194</v>
      </c>
      <c r="E3718">
        <v>13</v>
      </c>
    </row>
    <row r="3719" spans="1:5" x14ac:dyDescent="0.3">
      <c r="A3719" t="s">
        <v>13</v>
      </c>
      <c r="B3719">
        <v>2013</v>
      </c>
      <c r="C3719" t="str">
        <f>_xlfn.CONCAT(Table16[[#This Row],[STATE]],"-",Table16[[#This Row],[YEAR]])</f>
        <v>Haryana-2013</v>
      </c>
      <c r="D3719" t="s">
        <v>1195</v>
      </c>
      <c r="E3719">
        <v>4</v>
      </c>
    </row>
    <row r="3720" spans="1:5" x14ac:dyDescent="0.3">
      <c r="A3720" t="s">
        <v>13</v>
      </c>
      <c r="B3720">
        <v>2013</v>
      </c>
      <c r="C3720" t="str">
        <f>_xlfn.CONCAT(Table16[[#This Row],[STATE]],"-",Table16[[#This Row],[YEAR]])</f>
        <v>Haryana-2013</v>
      </c>
      <c r="D3720" t="s">
        <v>1196</v>
      </c>
      <c r="E3720">
        <v>11</v>
      </c>
    </row>
    <row r="3721" spans="1:5" x14ac:dyDescent="0.3">
      <c r="A3721" t="s">
        <v>13</v>
      </c>
      <c r="B3721">
        <v>2013</v>
      </c>
      <c r="C3721" t="str">
        <f>_xlfn.CONCAT(Table16[[#This Row],[STATE]],"-",Table16[[#This Row],[YEAR]])</f>
        <v>Haryana-2013</v>
      </c>
      <c r="D3721" t="s">
        <v>197</v>
      </c>
      <c r="E3721">
        <v>124</v>
      </c>
    </row>
    <row r="3722" spans="1:5" x14ac:dyDescent="0.3">
      <c r="A3722" t="s">
        <v>13</v>
      </c>
      <c r="B3722">
        <v>2013</v>
      </c>
      <c r="C3722" t="str">
        <f>_xlfn.CONCAT(Table16[[#This Row],[STATE]],"-",Table16[[#This Row],[YEAR]])</f>
        <v>Haryana-2013</v>
      </c>
      <c r="D3722" t="s">
        <v>314</v>
      </c>
      <c r="E3722">
        <v>12</v>
      </c>
    </row>
    <row r="3723" spans="1:5" x14ac:dyDescent="0.3">
      <c r="A3723" t="s">
        <v>13</v>
      </c>
      <c r="B3723">
        <v>2013</v>
      </c>
      <c r="C3723" t="str">
        <f>_xlfn.CONCAT(Table16[[#This Row],[STATE]],"-",Table16[[#This Row],[YEAR]])</f>
        <v>Haryana-2013</v>
      </c>
      <c r="D3723" t="s">
        <v>103</v>
      </c>
      <c r="E3723">
        <v>3</v>
      </c>
    </row>
    <row r="3724" spans="1:5" x14ac:dyDescent="0.3">
      <c r="A3724" t="s">
        <v>13</v>
      </c>
      <c r="B3724">
        <v>2013</v>
      </c>
      <c r="C3724" t="str">
        <f>_xlfn.CONCAT(Table16[[#This Row],[STATE]],"-",Table16[[#This Row],[YEAR]])</f>
        <v>Haryana-2013</v>
      </c>
      <c r="D3724" t="s">
        <v>777</v>
      </c>
      <c r="E3724">
        <v>8</v>
      </c>
    </row>
    <row r="3725" spans="1:5" x14ac:dyDescent="0.3">
      <c r="A3725" t="s">
        <v>13</v>
      </c>
      <c r="B3725">
        <v>2013</v>
      </c>
      <c r="C3725" t="str">
        <f>_xlfn.CONCAT(Table16[[#This Row],[STATE]],"-",Table16[[#This Row],[YEAR]])</f>
        <v>Haryana-2013</v>
      </c>
      <c r="D3725" t="s">
        <v>185</v>
      </c>
      <c r="E3725">
        <v>12</v>
      </c>
    </row>
    <row r="3726" spans="1:5" x14ac:dyDescent="0.3">
      <c r="A3726" t="s">
        <v>13</v>
      </c>
      <c r="B3726">
        <v>2013</v>
      </c>
      <c r="C3726" t="str">
        <f>_xlfn.CONCAT(Table16[[#This Row],[STATE]],"-",Table16[[#This Row],[YEAR]])</f>
        <v>Haryana-2013</v>
      </c>
      <c r="D3726" t="s">
        <v>386</v>
      </c>
      <c r="E3726">
        <v>15</v>
      </c>
    </row>
    <row r="3727" spans="1:5" x14ac:dyDescent="0.3">
      <c r="A3727" t="s">
        <v>13</v>
      </c>
      <c r="B3727">
        <v>2013</v>
      </c>
      <c r="C3727" t="str">
        <f>_xlfn.CONCAT(Table16[[#This Row],[STATE]],"-",Table16[[#This Row],[YEAR]])</f>
        <v>Haryana-2013</v>
      </c>
      <c r="D3727" t="s">
        <v>415</v>
      </c>
      <c r="E3727">
        <v>5</v>
      </c>
    </row>
    <row r="3728" spans="1:5" x14ac:dyDescent="0.3">
      <c r="A3728" t="s">
        <v>13</v>
      </c>
      <c r="B3728">
        <v>2013</v>
      </c>
      <c r="C3728" t="str">
        <f>_xlfn.CONCAT(Table16[[#This Row],[STATE]],"-",Table16[[#This Row],[YEAR]])</f>
        <v>Haryana-2013</v>
      </c>
      <c r="D3728" t="s">
        <v>1197</v>
      </c>
      <c r="E3728">
        <v>12</v>
      </c>
    </row>
    <row r="3729" spans="1:5" x14ac:dyDescent="0.3">
      <c r="A3729" t="s">
        <v>13</v>
      </c>
      <c r="B3729">
        <v>2013</v>
      </c>
      <c r="C3729" t="str">
        <f>_xlfn.CONCAT(Table16[[#This Row],[STATE]],"-",Table16[[#This Row],[YEAR]])</f>
        <v>Haryana-2013</v>
      </c>
      <c r="D3729" t="s">
        <v>1198</v>
      </c>
      <c r="E3729">
        <v>7</v>
      </c>
    </row>
    <row r="3730" spans="1:5" x14ac:dyDescent="0.3">
      <c r="A3730" t="s">
        <v>13</v>
      </c>
      <c r="B3730">
        <v>2013</v>
      </c>
      <c r="C3730" t="str">
        <f>_xlfn.CONCAT(Table16[[#This Row],[STATE]],"-",Table16[[#This Row],[YEAR]])</f>
        <v>Haryana-2013</v>
      </c>
      <c r="D3730" t="s">
        <v>1192</v>
      </c>
      <c r="E3730">
        <v>10</v>
      </c>
    </row>
    <row r="3731" spans="1:5" x14ac:dyDescent="0.3">
      <c r="A3731" t="s">
        <v>13</v>
      </c>
      <c r="B3731">
        <v>2013</v>
      </c>
      <c r="C3731" t="str">
        <f>_xlfn.CONCAT(Table16[[#This Row],[STATE]],"-",Table16[[#This Row],[YEAR]])</f>
        <v>Haryana-2013</v>
      </c>
      <c r="D3731" t="s">
        <v>1199</v>
      </c>
      <c r="E3731">
        <v>4</v>
      </c>
    </row>
    <row r="3732" spans="1:5" x14ac:dyDescent="0.3">
      <c r="A3732" t="s">
        <v>13</v>
      </c>
      <c r="B3732">
        <v>2013</v>
      </c>
      <c r="C3732" t="str">
        <f>_xlfn.CONCAT(Table16[[#This Row],[STATE]],"-",Table16[[#This Row],[YEAR]])</f>
        <v>Haryana-2013</v>
      </c>
      <c r="D3732" t="s">
        <v>1200</v>
      </c>
      <c r="E3732">
        <v>12</v>
      </c>
    </row>
    <row r="3733" spans="1:5" x14ac:dyDescent="0.3">
      <c r="A3733" t="s">
        <v>13</v>
      </c>
      <c r="B3733">
        <v>2013</v>
      </c>
      <c r="C3733" t="str">
        <f>_xlfn.CONCAT(Table16[[#This Row],[STATE]],"-",Table16[[#This Row],[YEAR]])</f>
        <v>Haryana-2013</v>
      </c>
      <c r="D3733" t="s">
        <v>1201</v>
      </c>
      <c r="E3733">
        <v>3</v>
      </c>
    </row>
    <row r="3734" spans="1:5" x14ac:dyDescent="0.3">
      <c r="A3734" t="s">
        <v>13</v>
      </c>
      <c r="B3734">
        <v>2013</v>
      </c>
      <c r="C3734" t="str">
        <f>_xlfn.CONCAT(Table16[[#This Row],[STATE]],"-",Table16[[#This Row],[YEAR]])</f>
        <v>Haryana-2013</v>
      </c>
      <c r="D3734" t="s">
        <v>1202</v>
      </c>
      <c r="E3734">
        <v>5</v>
      </c>
    </row>
    <row r="3735" spans="1:5" x14ac:dyDescent="0.3">
      <c r="A3735" t="s">
        <v>13</v>
      </c>
      <c r="B3735">
        <v>2013</v>
      </c>
      <c r="C3735" t="str">
        <f>_xlfn.CONCAT(Table16[[#This Row],[STATE]],"-",Table16[[#This Row],[YEAR]])</f>
        <v>Haryana-2013</v>
      </c>
      <c r="D3735" t="s">
        <v>253</v>
      </c>
      <c r="E3735">
        <v>3</v>
      </c>
    </row>
    <row r="3736" spans="1:5" x14ac:dyDescent="0.3">
      <c r="A3736" t="s">
        <v>13</v>
      </c>
      <c r="B3736">
        <v>2013</v>
      </c>
      <c r="C3736" t="str">
        <f>_xlfn.CONCAT(Table16[[#This Row],[STATE]],"-",Table16[[#This Row],[YEAR]])</f>
        <v>Haryana-2013</v>
      </c>
      <c r="D3736" t="s">
        <v>431</v>
      </c>
      <c r="E3736">
        <v>8</v>
      </c>
    </row>
    <row r="3737" spans="1:5" x14ac:dyDescent="0.3">
      <c r="A3737" t="s">
        <v>14</v>
      </c>
      <c r="B3737">
        <v>2013</v>
      </c>
      <c r="C3737" t="str">
        <f>_xlfn.CONCAT(Table16[[#This Row],[STATE]],"-",Table16[[#This Row],[YEAR]])</f>
        <v>Himachal Pradesh-2013</v>
      </c>
      <c r="D3737" t="s">
        <v>1203</v>
      </c>
      <c r="E3737">
        <v>54</v>
      </c>
    </row>
    <row r="3738" spans="1:5" x14ac:dyDescent="0.3">
      <c r="A3738" t="s">
        <v>14</v>
      </c>
      <c r="B3738">
        <v>2013</v>
      </c>
      <c r="C3738" t="str">
        <f>_xlfn.CONCAT(Table16[[#This Row],[STATE]],"-",Table16[[#This Row],[YEAR]])</f>
        <v>Himachal Pradesh-2013</v>
      </c>
      <c r="D3738" t="s">
        <v>1204</v>
      </c>
      <c r="E3738">
        <v>25</v>
      </c>
    </row>
    <row r="3739" spans="1:5" x14ac:dyDescent="0.3">
      <c r="A3739" t="s">
        <v>14</v>
      </c>
      <c r="B3739">
        <v>2013</v>
      </c>
      <c r="C3739" t="str">
        <f>_xlfn.CONCAT(Table16[[#This Row],[STATE]],"-",Table16[[#This Row],[YEAR]])</f>
        <v>Himachal Pradesh-2013</v>
      </c>
      <c r="D3739" t="s">
        <v>1205</v>
      </c>
      <c r="E3739">
        <v>16</v>
      </c>
    </row>
    <row r="3740" spans="1:5" x14ac:dyDescent="0.3">
      <c r="A3740" t="s">
        <v>14</v>
      </c>
      <c r="B3740">
        <v>2013</v>
      </c>
      <c r="C3740" t="str">
        <f>_xlfn.CONCAT(Table16[[#This Row],[STATE]],"-",Table16[[#This Row],[YEAR]])</f>
        <v>Himachal Pradesh-2013</v>
      </c>
      <c r="D3740" t="s">
        <v>1206</v>
      </c>
      <c r="E3740">
        <v>30</v>
      </c>
    </row>
    <row r="3741" spans="1:5" x14ac:dyDescent="0.3">
      <c r="A3741" t="s">
        <v>14</v>
      </c>
      <c r="B3741">
        <v>2013</v>
      </c>
      <c r="C3741" t="str">
        <f>_xlfn.CONCAT(Table16[[#This Row],[STATE]],"-",Table16[[#This Row],[YEAR]])</f>
        <v>Himachal Pradesh-2013</v>
      </c>
      <c r="D3741" t="s">
        <v>1207</v>
      </c>
      <c r="E3741">
        <v>2</v>
      </c>
    </row>
    <row r="3742" spans="1:5" x14ac:dyDescent="0.3">
      <c r="A3742" t="s">
        <v>15</v>
      </c>
      <c r="B3742">
        <v>2002</v>
      </c>
      <c r="C3742" t="str">
        <f>_xlfn.CONCAT(Table16[[#This Row],[STATE]],"-",Table16[[#This Row],[YEAR]])</f>
        <v>Jammu &amp; Kashmir-2002</v>
      </c>
      <c r="D3742" t="s">
        <v>482</v>
      </c>
      <c r="E3742">
        <v>39</v>
      </c>
    </row>
    <row r="3743" spans="1:5" x14ac:dyDescent="0.3">
      <c r="A3743" t="s">
        <v>15</v>
      </c>
      <c r="B3743">
        <v>2002</v>
      </c>
      <c r="C3743" t="str">
        <f>_xlfn.CONCAT(Table16[[#This Row],[STATE]],"-",Table16[[#This Row],[YEAR]])</f>
        <v>Jammu &amp; Kashmir-2002</v>
      </c>
      <c r="D3743" t="s">
        <v>484</v>
      </c>
      <c r="E3743">
        <v>15</v>
      </c>
    </row>
    <row r="3744" spans="1:5" x14ac:dyDescent="0.3">
      <c r="A3744" t="s">
        <v>15</v>
      </c>
      <c r="B3744">
        <v>2002</v>
      </c>
      <c r="C3744" t="str">
        <f>_xlfn.CONCAT(Table16[[#This Row],[STATE]],"-",Table16[[#This Row],[YEAR]])</f>
        <v>Jammu &amp; Kashmir-2002</v>
      </c>
      <c r="D3744" t="s">
        <v>471</v>
      </c>
      <c r="E3744">
        <v>5</v>
      </c>
    </row>
    <row r="3745" spans="1:5" x14ac:dyDescent="0.3">
      <c r="A3745" t="s">
        <v>15</v>
      </c>
      <c r="B3745">
        <v>2002</v>
      </c>
      <c r="C3745" t="str">
        <f>_xlfn.CONCAT(Table16[[#This Row],[STATE]],"-",Table16[[#This Row],[YEAR]])</f>
        <v>Jammu &amp; Kashmir-2002</v>
      </c>
      <c r="D3745" t="s">
        <v>97</v>
      </c>
      <c r="E3745">
        <v>28</v>
      </c>
    </row>
    <row r="3746" spans="1:5" x14ac:dyDescent="0.3">
      <c r="A3746" t="s">
        <v>15</v>
      </c>
      <c r="B3746">
        <v>2002</v>
      </c>
      <c r="C3746" t="str">
        <f>_xlfn.CONCAT(Table16[[#This Row],[STATE]],"-",Table16[[#This Row],[YEAR]])</f>
        <v>Jammu &amp; Kashmir-2002</v>
      </c>
      <c r="D3746" t="s">
        <v>109</v>
      </c>
      <c r="E3746">
        <v>68</v>
      </c>
    </row>
    <row r="3747" spans="1:5" x14ac:dyDescent="0.3">
      <c r="A3747" t="s">
        <v>15</v>
      </c>
      <c r="B3747">
        <v>2002</v>
      </c>
      <c r="C3747" t="str">
        <f>_xlfn.CONCAT(Table16[[#This Row],[STATE]],"-",Table16[[#This Row],[YEAR]])</f>
        <v>Jammu &amp; Kashmir-2002</v>
      </c>
      <c r="D3747" t="s">
        <v>186</v>
      </c>
      <c r="E3747">
        <v>19</v>
      </c>
    </row>
    <row r="3748" spans="1:5" x14ac:dyDescent="0.3">
      <c r="A3748" t="s">
        <v>15</v>
      </c>
      <c r="B3748">
        <v>2002</v>
      </c>
      <c r="C3748" t="str">
        <f>_xlfn.CONCAT(Table16[[#This Row],[STATE]],"-",Table16[[#This Row],[YEAR]])</f>
        <v>Jammu &amp; Kashmir-2002</v>
      </c>
      <c r="D3748" t="s">
        <v>103</v>
      </c>
      <c r="E3748">
        <v>99</v>
      </c>
    </row>
    <row r="3749" spans="1:5" x14ac:dyDescent="0.3">
      <c r="A3749" t="s">
        <v>15</v>
      </c>
      <c r="B3749">
        <v>2002</v>
      </c>
      <c r="C3749" t="str">
        <f>_xlfn.CONCAT(Table16[[#This Row],[STATE]],"-",Table16[[#This Row],[YEAR]])</f>
        <v>Jammu &amp; Kashmir-2002</v>
      </c>
      <c r="D3749" t="s">
        <v>1208</v>
      </c>
      <c r="E3749">
        <v>3</v>
      </c>
    </row>
    <row r="3750" spans="1:5" x14ac:dyDescent="0.3">
      <c r="A3750" t="s">
        <v>15</v>
      </c>
      <c r="B3750">
        <v>2002</v>
      </c>
      <c r="C3750" t="str">
        <f>_xlfn.CONCAT(Table16[[#This Row],[STATE]],"-",Table16[[#This Row],[YEAR]])</f>
        <v>Jammu &amp; Kashmir-2002</v>
      </c>
      <c r="D3750" t="s">
        <v>483</v>
      </c>
      <c r="E3750">
        <v>3</v>
      </c>
    </row>
    <row r="3751" spans="1:5" x14ac:dyDescent="0.3">
      <c r="A3751" t="s">
        <v>15</v>
      </c>
      <c r="B3751">
        <v>2002</v>
      </c>
      <c r="C3751" t="str">
        <f>_xlfn.CONCAT(Table16[[#This Row],[STATE]],"-",Table16[[#This Row],[YEAR]])</f>
        <v>Jammu &amp; Kashmir-2002</v>
      </c>
      <c r="D3751" t="s">
        <v>116</v>
      </c>
      <c r="E3751">
        <v>3</v>
      </c>
    </row>
    <row r="3752" spans="1:5" x14ac:dyDescent="0.3">
      <c r="A3752" t="s">
        <v>15</v>
      </c>
      <c r="B3752">
        <v>2001</v>
      </c>
      <c r="C3752" t="str">
        <f>_xlfn.CONCAT(Table16[[#This Row],[STATE]],"-",Table16[[#This Row],[YEAR]])</f>
        <v>Jammu &amp; Kashmir-2001</v>
      </c>
      <c r="D3752" t="s">
        <v>123</v>
      </c>
      <c r="E3752">
        <v>28</v>
      </c>
    </row>
    <row r="3753" spans="1:5" x14ac:dyDescent="0.3">
      <c r="A3753" t="s">
        <v>15</v>
      </c>
      <c r="B3753">
        <v>2001</v>
      </c>
      <c r="C3753" t="str">
        <f>_xlfn.CONCAT(Table16[[#This Row],[STATE]],"-",Table16[[#This Row],[YEAR]])</f>
        <v>Jammu &amp; Kashmir-2001</v>
      </c>
      <c r="D3753" t="s">
        <v>110</v>
      </c>
      <c r="E3753">
        <v>73</v>
      </c>
    </row>
    <row r="3754" spans="1:5" x14ac:dyDescent="0.3">
      <c r="A3754" t="s">
        <v>15</v>
      </c>
      <c r="B3754">
        <v>2001</v>
      </c>
      <c r="C3754" t="str">
        <f>_xlfn.CONCAT(Table16[[#This Row],[STATE]],"-",Table16[[#This Row],[YEAR]])</f>
        <v>Jammu &amp; Kashmir-2001</v>
      </c>
      <c r="D3754" t="s">
        <v>482</v>
      </c>
      <c r="E3754">
        <v>27</v>
      </c>
    </row>
    <row r="3755" spans="1:5" x14ac:dyDescent="0.3">
      <c r="A3755" t="s">
        <v>15</v>
      </c>
      <c r="B3755">
        <v>2001</v>
      </c>
      <c r="C3755" t="str">
        <f>_xlfn.CONCAT(Table16[[#This Row],[STATE]],"-",Table16[[#This Row],[YEAR]])</f>
        <v>Jammu &amp; Kashmir-2001</v>
      </c>
      <c r="D3755" t="s">
        <v>484</v>
      </c>
      <c r="E3755">
        <v>16</v>
      </c>
    </row>
    <row r="3756" spans="1:5" x14ac:dyDescent="0.3">
      <c r="A3756" t="s">
        <v>15</v>
      </c>
      <c r="B3756">
        <v>2001</v>
      </c>
      <c r="C3756" t="str">
        <f>_xlfn.CONCAT(Table16[[#This Row],[STATE]],"-",Table16[[#This Row],[YEAR]])</f>
        <v>Jammu &amp; Kashmir-2001</v>
      </c>
      <c r="D3756" t="s">
        <v>471</v>
      </c>
      <c r="E3756">
        <v>22</v>
      </c>
    </row>
    <row r="3757" spans="1:5" x14ac:dyDescent="0.3">
      <c r="A3757" t="s">
        <v>15</v>
      </c>
      <c r="B3757">
        <v>2001</v>
      </c>
      <c r="C3757" t="str">
        <f>_xlfn.CONCAT(Table16[[#This Row],[STATE]],"-",Table16[[#This Row],[YEAR]])</f>
        <v>Jammu &amp; Kashmir-2001</v>
      </c>
      <c r="D3757" t="s">
        <v>97</v>
      </c>
      <c r="E3757">
        <v>13</v>
      </c>
    </row>
    <row r="3758" spans="1:5" x14ac:dyDescent="0.3">
      <c r="A3758" t="s">
        <v>15</v>
      </c>
      <c r="B3758">
        <v>2001</v>
      </c>
      <c r="C3758" t="str">
        <f>_xlfn.CONCAT(Table16[[#This Row],[STATE]],"-",Table16[[#This Row],[YEAR]])</f>
        <v>Jammu &amp; Kashmir-2001</v>
      </c>
      <c r="D3758" t="s">
        <v>109</v>
      </c>
      <c r="E3758">
        <v>10</v>
      </c>
    </row>
    <row r="3759" spans="1:5" x14ac:dyDescent="0.3">
      <c r="A3759" t="s">
        <v>15</v>
      </c>
      <c r="B3759">
        <v>2001</v>
      </c>
      <c r="C3759" t="str">
        <f>_xlfn.CONCAT(Table16[[#This Row],[STATE]],"-",Table16[[#This Row],[YEAR]])</f>
        <v>Jammu &amp; Kashmir-2001</v>
      </c>
      <c r="D3759" t="s">
        <v>186</v>
      </c>
      <c r="E3759">
        <v>69</v>
      </c>
    </row>
    <row r="3760" spans="1:5" x14ac:dyDescent="0.3">
      <c r="A3760" t="s">
        <v>15</v>
      </c>
      <c r="B3760">
        <v>2001</v>
      </c>
      <c r="C3760" t="str">
        <f>_xlfn.CONCAT(Table16[[#This Row],[STATE]],"-",Table16[[#This Row],[YEAR]])</f>
        <v>Jammu &amp; Kashmir-2001</v>
      </c>
      <c r="D3760" t="s">
        <v>103</v>
      </c>
      <c r="E3760">
        <v>77</v>
      </c>
    </row>
    <row r="3761" spans="1:5" x14ac:dyDescent="0.3">
      <c r="A3761" t="s">
        <v>16</v>
      </c>
      <c r="B3761">
        <v>2013</v>
      </c>
      <c r="C3761" t="str">
        <f>_xlfn.CONCAT(Table16[[#This Row],[STATE]],"-",Table16[[#This Row],[YEAR]])</f>
        <v>Jharkhand-2013</v>
      </c>
      <c r="D3761" t="s">
        <v>230</v>
      </c>
      <c r="E3761">
        <v>182</v>
      </c>
    </row>
    <row r="3762" spans="1:5" x14ac:dyDescent="0.3">
      <c r="A3762" t="s">
        <v>16</v>
      </c>
      <c r="B3762">
        <v>2013</v>
      </c>
      <c r="C3762" t="str">
        <f>_xlfn.CONCAT(Table16[[#This Row],[STATE]],"-",Table16[[#This Row],[YEAR]])</f>
        <v>Jharkhand-2013</v>
      </c>
      <c r="D3762" t="s">
        <v>601</v>
      </c>
      <c r="E3762">
        <v>255</v>
      </c>
    </row>
    <row r="3763" spans="1:5" x14ac:dyDescent="0.3">
      <c r="A3763" t="s">
        <v>16</v>
      </c>
      <c r="B3763">
        <v>2013</v>
      </c>
      <c r="C3763" t="str">
        <f>_xlfn.CONCAT(Table16[[#This Row],[STATE]],"-",Table16[[#This Row],[YEAR]])</f>
        <v>Jharkhand-2013</v>
      </c>
      <c r="D3763" t="s">
        <v>1209</v>
      </c>
      <c r="E3763">
        <v>105</v>
      </c>
    </row>
    <row r="3764" spans="1:5" x14ac:dyDescent="0.3">
      <c r="A3764" t="s">
        <v>16</v>
      </c>
      <c r="B3764">
        <v>2013</v>
      </c>
      <c r="C3764" t="str">
        <f>_xlfn.CONCAT(Table16[[#This Row],[STATE]],"-",Table16[[#This Row],[YEAR]])</f>
        <v>Jharkhand-2013</v>
      </c>
      <c r="D3764" t="s">
        <v>1210</v>
      </c>
      <c r="E3764">
        <v>35</v>
      </c>
    </row>
    <row r="3765" spans="1:5" x14ac:dyDescent="0.3">
      <c r="A3765" t="s">
        <v>16</v>
      </c>
      <c r="B3765">
        <v>2013</v>
      </c>
      <c r="C3765" t="str">
        <f>_xlfn.CONCAT(Table16[[#This Row],[STATE]],"-",Table16[[#This Row],[YEAR]])</f>
        <v>Jharkhand-2013</v>
      </c>
      <c r="D3765" t="s">
        <v>604</v>
      </c>
      <c r="E3765">
        <v>40</v>
      </c>
    </row>
    <row r="3766" spans="1:5" x14ac:dyDescent="0.3">
      <c r="A3766" t="s">
        <v>16</v>
      </c>
      <c r="B3766">
        <v>2013</v>
      </c>
      <c r="C3766" t="str">
        <f>_xlfn.CONCAT(Table16[[#This Row],[STATE]],"-",Table16[[#This Row],[YEAR]])</f>
        <v>Jharkhand-2013</v>
      </c>
      <c r="D3766" t="s">
        <v>1211</v>
      </c>
      <c r="E3766">
        <v>29</v>
      </c>
    </row>
    <row r="3767" spans="1:5" x14ac:dyDescent="0.3">
      <c r="A3767" t="s">
        <v>16</v>
      </c>
      <c r="B3767">
        <v>2013</v>
      </c>
      <c r="C3767" t="str">
        <f>_xlfn.CONCAT(Table16[[#This Row],[STATE]],"-",Table16[[#This Row],[YEAR]])</f>
        <v>Jharkhand-2013</v>
      </c>
      <c r="D3767" t="s">
        <v>1212</v>
      </c>
      <c r="E3767">
        <v>42</v>
      </c>
    </row>
    <row r="3768" spans="1:5" x14ac:dyDescent="0.3">
      <c r="A3768" t="s">
        <v>16</v>
      </c>
      <c r="B3768">
        <v>2013</v>
      </c>
      <c r="C3768" t="str">
        <f>_xlfn.CONCAT(Table16[[#This Row],[STATE]],"-",Table16[[#This Row],[YEAR]])</f>
        <v>Jharkhand-2013</v>
      </c>
      <c r="D3768" t="s">
        <v>592</v>
      </c>
      <c r="E3768">
        <v>311</v>
      </c>
    </row>
    <row r="3769" spans="1:5" x14ac:dyDescent="0.3">
      <c r="A3769" t="s">
        <v>16</v>
      </c>
      <c r="B3769">
        <v>2013</v>
      </c>
      <c r="C3769" t="str">
        <f>_xlfn.CONCAT(Table16[[#This Row],[STATE]],"-",Table16[[#This Row],[YEAR]])</f>
        <v>Jharkhand-2013</v>
      </c>
      <c r="D3769" t="s">
        <v>1213</v>
      </c>
      <c r="E3769">
        <v>42</v>
      </c>
    </row>
    <row r="3770" spans="1:5" x14ac:dyDescent="0.3">
      <c r="A3770" t="s">
        <v>16</v>
      </c>
      <c r="B3770">
        <v>2013</v>
      </c>
      <c r="C3770" t="str">
        <f>_xlfn.CONCAT(Table16[[#This Row],[STATE]],"-",Table16[[#This Row],[YEAR]])</f>
        <v>Jharkhand-2013</v>
      </c>
      <c r="D3770" t="s">
        <v>163</v>
      </c>
      <c r="E3770">
        <v>60</v>
      </c>
    </row>
    <row r="3771" spans="1:5" x14ac:dyDescent="0.3">
      <c r="A3771" t="s">
        <v>16</v>
      </c>
      <c r="B3771">
        <v>2013</v>
      </c>
      <c r="C3771" t="str">
        <f>_xlfn.CONCAT(Table16[[#This Row],[STATE]],"-",Table16[[#This Row],[YEAR]])</f>
        <v>Jharkhand-2013</v>
      </c>
      <c r="D3771" t="s">
        <v>314</v>
      </c>
      <c r="E3771">
        <v>50</v>
      </c>
    </row>
    <row r="3772" spans="1:5" x14ac:dyDescent="0.3">
      <c r="A3772" t="s">
        <v>16</v>
      </c>
      <c r="B3772">
        <v>2013</v>
      </c>
      <c r="C3772" t="str">
        <f>_xlfn.CONCAT(Table16[[#This Row],[STATE]],"-",Table16[[#This Row],[YEAR]])</f>
        <v>Jharkhand-2013</v>
      </c>
      <c r="D3772" t="s">
        <v>1137</v>
      </c>
      <c r="E3772">
        <v>12</v>
      </c>
    </row>
    <row r="3773" spans="1:5" x14ac:dyDescent="0.3">
      <c r="A3773" t="s">
        <v>16</v>
      </c>
      <c r="B3773">
        <v>2013</v>
      </c>
      <c r="C3773" t="str">
        <f>_xlfn.CONCAT(Table16[[#This Row],[STATE]],"-",Table16[[#This Row],[YEAR]])</f>
        <v>Jharkhand-2013</v>
      </c>
      <c r="D3773" t="s">
        <v>1214</v>
      </c>
      <c r="E3773">
        <v>125</v>
      </c>
    </row>
    <row r="3774" spans="1:5" x14ac:dyDescent="0.3">
      <c r="A3774" t="s">
        <v>16</v>
      </c>
      <c r="B3774">
        <v>2013</v>
      </c>
      <c r="C3774" t="str">
        <f>_xlfn.CONCAT(Table16[[#This Row],[STATE]],"-",Table16[[#This Row],[YEAR]])</f>
        <v>Jharkhand-2013</v>
      </c>
      <c r="D3774" t="s">
        <v>103</v>
      </c>
      <c r="E3774">
        <v>221</v>
      </c>
    </row>
    <row r="3775" spans="1:5" x14ac:dyDescent="0.3">
      <c r="A3775" t="s">
        <v>16</v>
      </c>
      <c r="B3775">
        <v>2013</v>
      </c>
      <c r="C3775" t="str">
        <f>_xlfn.CONCAT(Table16[[#This Row],[STATE]],"-",Table16[[#This Row],[YEAR]])</f>
        <v>Jharkhand-2013</v>
      </c>
      <c r="D3775" t="s">
        <v>1066</v>
      </c>
      <c r="E3775">
        <v>424</v>
      </c>
    </row>
    <row r="3776" spans="1:5" x14ac:dyDescent="0.3">
      <c r="A3776" t="s">
        <v>16</v>
      </c>
      <c r="B3776">
        <v>2013</v>
      </c>
      <c r="C3776" t="str">
        <f>_xlfn.CONCAT(Table16[[#This Row],[STATE]],"-",Table16[[#This Row],[YEAR]])</f>
        <v>Jharkhand-2013</v>
      </c>
      <c r="D3776" t="s">
        <v>1215</v>
      </c>
      <c r="E3776">
        <v>45</v>
      </c>
    </row>
    <row r="3777" spans="1:5" x14ac:dyDescent="0.3">
      <c r="A3777" t="s">
        <v>16</v>
      </c>
      <c r="B3777">
        <v>2013</v>
      </c>
      <c r="C3777" t="str">
        <f>_xlfn.CONCAT(Table16[[#This Row],[STATE]],"-",Table16[[#This Row],[YEAR]])</f>
        <v>Jharkhand-2013</v>
      </c>
      <c r="D3777" t="s">
        <v>1216</v>
      </c>
      <c r="E3777">
        <v>22</v>
      </c>
    </row>
    <row r="3778" spans="1:5" x14ac:dyDescent="0.3">
      <c r="A3778" t="s">
        <v>16</v>
      </c>
      <c r="B3778">
        <v>2013</v>
      </c>
      <c r="C3778" t="str">
        <f>_xlfn.CONCAT(Table16[[#This Row],[STATE]],"-",Table16[[#This Row],[YEAR]])</f>
        <v>Jharkhand-2013</v>
      </c>
      <c r="D3778" t="s">
        <v>1217</v>
      </c>
      <c r="E3778">
        <v>10</v>
      </c>
    </row>
    <row r="3779" spans="1:5" x14ac:dyDescent="0.3">
      <c r="A3779" t="s">
        <v>16</v>
      </c>
      <c r="B3779">
        <v>2013</v>
      </c>
      <c r="C3779" t="str">
        <f>_xlfn.CONCAT(Table16[[#This Row],[STATE]],"-",Table16[[#This Row],[YEAR]])</f>
        <v>Jharkhand-2013</v>
      </c>
      <c r="D3779" t="s">
        <v>266</v>
      </c>
      <c r="E3779">
        <v>87</v>
      </c>
    </row>
    <row r="3780" spans="1:5" x14ac:dyDescent="0.3">
      <c r="A3780" t="s">
        <v>16</v>
      </c>
      <c r="B3780">
        <v>2013</v>
      </c>
      <c r="C3780" t="str">
        <f>_xlfn.CONCAT(Table16[[#This Row],[STATE]],"-",Table16[[#This Row],[YEAR]])</f>
        <v>Jharkhand-2013</v>
      </c>
      <c r="D3780" t="s">
        <v>1218</v>
      </c>
      <c r="E3780">
        <v>20</v>
      </c>
    </row>
    <row r="3781" spans="1:5" x14ac:dyDescent="0.3">
      <c r="A3781" t="s">
        <v>16</v>
      </c>
      <c r="B3781">
        <v>2013</v>
      </c>
      <c r="C3781" t="str">
        <f>_xlfn.CONCAT(Table16[[#This Row],[STATE]],"-",Table16[[#This Row],[YEAR]])</f>
        <v>Jharkhand-2013</v>
      </c>
      <c r="D3781" t="s">
        <v>1219</v>
      </c>
      <c r="E3781">
        <v>10</v>
      </c>
    </row>
    <row r="3782" spans="1:5" x14ac:dyDescent="0.3">
      <c r="A3782" t="s">
        <v>16</v>
      </c>
      <c r="B3782">
        <v>2013</v>
      </c>
      <c r="C3782" t="str">
        <f>_xlfn.CONCAT(Table16[[#This Row],[STATE]],"-",Table16[[#This Row],[YEAR]])</f>
        <v>Jharkhand-2013</v>
      </c>
      <c r="D3782" t="s">
        <v>1220</v>
      </c>
      <c r="E3782">
        <v>15</v>
      </c>
    </row>
    <row r="3783" spans="1:5" x14ac:dyDescent="0.3">
      <c r="A3783" t="s">
        <v>16</v>
      </c>
      <c r="B3783">
        <v>2013</v>
      </c>
      <c r="C3783" t="str">
        <f>_xlfn.CONCAT(Table16[[#This Row],[STATE]],"-",Table16[[#This Row],[YEAR]])</f>
        <v>Jharkhand-2013</v>
      </c>
      <c r="D3783" t="s">
        <v>1221</v>
      </c>
      <c r="E3783">
        <v>40</v>
      </c>
    </row>
    <row r="3784" spans="1:5" x14ac:dyDescent="0.3">
      <c r="A3784" t="s">
        <v>16</v>
      </c>
      <c r="B3784">
        <v>2013</v>
      </c>
      <c r="C3784" t="str">
        <f>_xlfn.CONCAT(Table16[[#This Row],[STATE]],"-",Table16[[#This Row],[YEAR]])</f>
        <v>Jharkhand-2013</v>
      </c>
      <c r="D3784" t="s">
        <v>1222</v>
      </c>
      <c r="E3784">
        <v>25</v>
      </c>
    </row>
    <row r="3785" spans="1:5" x14ac:dyDescent="0.3">
      <c r="A3785" t="s">
        <v>16</v>
      </c>
      <c r="B3785">
        <v>2013</v>
      </c>
      <c r="C3785" t="str">
        <f>_xlfn.CONCAT(Table16[[#This Row],[STATE]],"-",Table16[[#This Row],[YEAR]])</f>
        <v>Jharkhand-2013</v>
      </c>
      <c r="D3785" t="s">
        <v>1223</v>
      </c>
      <c r="E3785">
        <v>44</v>
      </c>
    </row>
    <row r="3786" spans="1:5" x14ac:dyDescent="0.3">
      <c r="A3786" t="s">
        <v>16</v>
      </c>
      <c r="B3786">
        <v>2013</v>
      </c>
      <c r="C3786" t="str">
        <f>_xlfn.CONCAT(Table16[[#This Row],[STATE]],"-",Table16[[#This Row],[YEAR]])</f>
        <v>Jharkhand-2013</v>
      </c>
      <c r="D3786" t="s">
        <v>1224</v>
      </c>
      <c r="E3786">
        <v>44</v>
      </c>
    </row>
    <row r="3787" spans="1:5" x14ac:dyDescent="0.3">
      <c r="A3787" t="s">
        <v>16</v>
      </c>
      <c r="B3787">
        <v>2013</v>
      </c>
      <c r="C3787" t="str">
        <f>_xlfn.CONCAT(Table16[[#This Row],[STATE]],"-",Table16[[#This Row],[YEAR]])</f>
        <v>Jharkhand-2013</v>
      </c>
      <c r="D3787" t="s">
        <v>90</v>
      </c>
      <c r="E3787">
        <v>370</v>
      </c>
    </row>
    <row r="3788" spans="1:5" x14ac:dyDescent="0.3">
      <c r="A3788" t="s">
        <v>16</v>
      </c>
      <c r="B3788">
        <v>2013</v>
      </c>
      <c r="C3788" t="str">
        <f>_xlfn.CONCAT(Table16[[#This Row],[STATE]],"-",Table16[[#This Row],[YEAR]])</f>
        <v>Jharkhand-2013</v>
      </c>
      <c r="D3788" t="s">
        <v>163</v>
      </c>
      <c r="E3788">
        <v>7</v>
      </c>
    </row>
    <row r="3789" spans="1:5" x14ac:dyDescent="0.3">
      <c r="A3789" t="s">
        <v>16</v>
      </c>
      <c r="B3789">
        <v>2013</v>
      </c>
      <c r="C3789" t="str">
        <f>_xlfn.CONCAT(Table16[[#This Row],[STATE]],"-",Table16[[#This Row],[YEAR]])</f>
        <v>Jharkhand-2013</v>
      </c>
      <c r="D3789" t="s">
        <v>1213</v>
      </c>
      <c r="E3789">
        <v>8</v>
      </c>
    </row>
    <row r="3790" spans="1:5" x14ac:dyDescent="0.3">
      <c r="A3790" t="s">
        <v>16</v>
      </c>
      <c r="B3790">
        <v>2013</v>
      </c>
      <c r="C3790" t="str">
        <f>_xlfn.CONCAT(Table16[[#This Row],[STATE]],"-",Table16[[#This Row],[YEAR]])</f>
        <v>Jharkhand-2013</v>
      </c>
      <c r="D3790" t="s">
        <v>1225</v>
      </c>
      <c r="E3790">
        <v>6</v>
      </c>
    </row>
    <row r="3791" spans="1:5" x14ac:dyDescent="0.3">
      <c r="A3791" t="s">
        <v>16</v>
      </c>
      <c r="B3791">
        <v>2013</v>
      </c>
      <c r="C3791" t="str">
        <f>_xlfn.CONCAT(Table16[[#This Row],[STATE]],"-",Table16[[#This Row],[YEAR]])</f>
        <v>Jharkhand-2013</v>
      </c>
      <c r="D3791" t="s">
        <v>1226</v>
      </c>
      <c r="E3791">
        <v>11</v>
      </c>
    </row>
    <row r="3792" spans="1:5" x14ac:dyDescent="0.3">
      <c r="A3792" t="s">
        <v>16</v>
      </c>
      <c r="B3792">
        <v>2013</v>
      </c>
      <c r="C3792" t="str">
        <f>_xlfn.CONCAT(Table16[[#This Row],[STATE]],"-",Table16[[#This Row],[YEAR]])</f>
        <v>Jharkhand-2013</v>
      </c>
      <c r="D3792" t="s">
        <v>1227</v>
      </c>
      <c r="E3792">
        <v>82</v>
      </c>
    </row>
    <row r="3793" spans="1:5" x14ac:dyDescent="0.3">
      <c r="A3793" t="s">
        <v>16</v>
      </c>
      <c r="B3793">
        <v>2013</v>
      </c>
      <c r="C3793" t="str">
        <f>_xlfn.CONCAT(Table16[[#This Row],[STATE]],"-",Table16[[#This Row],[YEAR]])</f>
        <v>Jharkhand-2013</v>
      </c>
      <c r="D3793" t="s">
        <v>90</v>
      </c>
      <c r="E3793">
        <v>19</v>
      </c>
    </row>
    <row r="3794" spans="1:5" x14ac:dyDescent="0.3">
      <c r="A3794" t="s">
        <v>16</v>
      </c>
      <c r="B3794">
        <v>2013</v>
      </c>
      <c r="C3794" t="str">
        <f>_xlfn.CONCAT(Table16[[#This Row],[STATE]],"-",Table16[[#This Row],[YEAR]])</f>
        <v>Jharkhand-2013</v>
      </c>
      <c r="D3794" t="s">
        <v>507</v>
      </c>
      <c r="E3794">
        <v>6</v>
      </c>
    </row>
    <row r="3795" spans="1:5" x14ac:dyDescent="0.3">
      <c r="A3795" t="s">
        <v>16</v>
      </c>
      <c r="B3795">
        <v>2013</v>
      </c>
      <c r="C3795" t="str">
        <f>_xlfn.CONCAT(Table16[[#This Row],[STATE]],"-",Table16[[#This Row],[YEAR]])</f>
        <v>Jharkhand-2013</v>
      </c>
      <c r="D3795" t="s">
        <v>1228</v>
      </c>
      <c r="E3795">
        <v>85</v>
      </c>
    </row>
    <row r="3796" spans="1:5" x14ac:dyDescent="0.3">
      <c r="A3796" t="s">
        <v>16</v>
      </c>
      <c r="B3796">
        <v>2013</v>
      </c>
      <c r="C3796" t="str">
        <f>_xlfn.CONCAT(Table16[[#This Row],[STATE]],"-",Table16[[#This Row],[YEAR]])</f>
        <v>Jharkhand-2013</v>
      </c>
      <c r="D3796" t="s">
        <v>564</v>
      </c>
      <c r="E3796">
        <v>26</v>
      </c>
    </row>
    <row r="3797" spans="1:5" x14ac:dyDescent="0.3">
      <c r="A3797" t="s">
        <v>16</v>
      </c>
      <c r="B3797">
        <v>2013</v>
      </c>
      <c r="C3797" t="str">
        <f>_xlfn.CONCAT(Table16[[#This Row],[STATE]],"-",Table16[[#This Row],[YEAR]])</f>
        <v>Jharkhand-2013</v>
      </c>
      <c r="D3797" t="s">
        <v>1229</v>
      </c>
      <c r="E3797">
        <v>52</v>
      </c>
    </row>
    <row r="3798" spans="1:5" x14ac:dyDescent="0.3">
      <c r="A3798" t="s">
        <v>16</v>
      </c>
      <c r="B3798">
        <v>2013</v>
      </c>
      <c r="C3798" t="str">
        <f>_xlfn.CONCAT(Table16[[#This Row],[STATE]],"-",Table16[[#This Row],[YEAR]])</f>
        <v>Jharkhand-2013</v>
      </c>
      <c r="D3798" t="s">
        <v>1230</v>
      </c>
      <c r="E3798">
        <v>27</v>
      </c>
    </row>
    <row r="3799" spans="1:5" x14ac:dyDescent="0.3">
      <c r="A3799" t="s">
        <v>16</v>
      </c>
      <c r="B3799">
        <v>2013</v>
      </c>
      <c r="C3799" t="str">
        <f>_xlfn.CONCAT(Table16[[#This Row],[STATE]],"-",Table16[[#This Row],[YEAR]])</f>
        <v>Jharkhand-2013</v>
      </c>
      <c r="D3799" t="s">
        <v>611</v>
      </c>
      <c r="E3799">
        <v>59</v>
      </c>
    </row>
    <row r="3800" spans="1:5" x14ac:dyDescent="0.3">
      <c r="A3800" t="s">
        <v>16</v>
      </c>
      <c r="B3800">
        <v>2013</v>
      </c>
      <c r="C3800" t="str">
        <f>_xlfn.CONCAT(Table16[[#This Row],[STATE]],"-",Table16[[#This Row],[YEAR]])</f>
        <v>Jharkhand-2013</v>
      </c>
      <c r="D3800" t="s">
        <v>1231</v>
      </c>
      <c r="E3800">
        <v>41</v>
      </c>
    </row>
    <row r="3801" spans="1:5" x14ac:dyDescent="0.3">
      <c r="A3801" t="s">
        <v>16</v>
      </c>
      <c r="B3801">
        <v>2013</v>
      </c>
      <c r="C3801" t="str">
        <f>_xlfn.CONCAT(Table16[[#This Row],[STATE]],"-",Table16[[#This Row],[YEAR]])</f>
        <v>Jharkhand-2013</v>
      </c>
      <c r="D3801" t="s">
        <v>1232</v>
      </c>
      <c r="E3801">
        <v>115</v>
      </c>
    </row>
    <row r="3802" spans="1:5" x14ac:dyDescent="0.3">
      <c r="A3802" t="s">
        <v>16</v>
      </c>
      <c r="B3802">
        <v>2013</v>
      </c>
      <c r="C3802" t="str">
        <f>_xlfn.CONCAT(Table16[[#This Row],[STATE]],"-",Table16[[#This Row],[YEAR]])</f>
        <v>Jharkhand-2013</v>
      </c>
      <c r="D3802" t="s">
        <v>1233</v>
      </c>
      <c r="E3802">
        <v>38</v>
      </c>
    </row>
    <row r="3803" spans="1:5" x14ac:dyDescent="0.3">
      <c r="A3803" t="s">
        <v>16</v>
      </c>
      <c r="B3803">
        <v>2013</v>
      </c>
      <c r="C3803" t="str">
        <f>_xlfn.CONCAT(Table16[[#This Row],[STATE]],"-",Table16[[#This Row],[YEAR]])</f>
        <v>Jharkhand-2013</v>
      </c>
      <c r="D3803" t="s">
        <v>1234</v>
      </c>
      <c r="E3803">
        <v>22</v>
      </c>
    </row>
    <row r="3804" spans="1:5" x14ac:dyDescent="0.3">
      <c r="A3804" t="s">
        <v>16</v>
      </c>
      <c r="B3804">
        <v>2013</v>
      </c>
      <c r="C3804" t="str">
        <f>_xlfn.CONCAT(Table16[[#This Row],[STATE]],"-",Table16[[#This Row],[YEAR]])</f>
        <v>Jharkhand-2013</v>
      </c>
      <c r="D3804" t="s">
        <v>1235</v>
      </c>
      <c r="E3804">
        <v>20</v>
      </c>
    </row>
    <row r="3805" spans="1:5" x14ac:dyDescent="0.3">
      <c r="A3805" t="s">
        <v>16</v>
      </c>
      <c r="B3805">
        <v>2013</v>
      </c>
      <c r="C3805" t="str">
        <f>_xlfn.CONCAT(Table16[[#This Row],[STATE]],"-",Table16[[#This Row],[YEAR]])</f>
        <v>Jharkhand-2013</v>
      </c>
      <c r="D3805" t="s">
        <v>1236</v>
      </c>
      <c r="E3805">
        <v>12</v>
      </c>
    </row>
    <row r="3806" spans="1:5" x14ac:dyDescent="0.3">
      <c r="A3806" t="s">
        <v>16</v>
      </c>
      <c r="B3806">
        <v>2013</v>
      </c>
      <c r="C3806" t="str">
        <f>_xlfn.CONCAT(Table16[[#This Row],[STATE]],"-",Table16[[#This Row],[YEAR]])</f>
        <v>Jharkhand-2013</v>
      </c>
      <c r="D3806" t="s">
        <v>1237</v>
      </c>
      <c r="E3806">
        <v>9</v>
      </c>
    </row>
    <row r="3807" spans="1:5" x14ac:dyDescent="0.3">
      <c r="A3807" t="s">
        <v>16</v>
      </c>
      <c r="B3807">
        <v>2013</v>
      </c>
      <c r="C3807" t="str">
        <f>_xlfn.CONCAT(Table16[[#This Row],[STATE]],"-",Table16[[#This Row],[YEAR]])</f>
        <v>Jharkhand-2013</v>
      </c>
      <c r="D3807" t="s">
        <v>1238</v>
      </c>
      <c r="E3807">
        <v>15</v>
      </c>
    </row>
    <row r="3808" spans="1:5" x14ac:dyDescent="0.3">
      <c r="A3808" t="s">
        <v>17</v>
      </c>
      <c r="B3808">
        <v>2013</v>
      </c>
      <c r="C3808" t="str">
        <f>_xlfn.CONCAT(Table16[[#This Row],[STATE]],"-",Table16[[#This Row],[YEAR]])</f>
        <v>Karnataka-2013</v>
      </c>
      <c r="D3808" t="s">
        <v>447</v>
      </c>
      <c r="E3808">
        <v>3</v>
      </c>
    </row>
    <row r="3809" spans="1:5" x14ac:dyDescent="0.3">
      <c r="A3809" t="s">
        <v>17</v>
      </c>
      <c r="B3809">
        <v>2013</v>
      </c>
      <c r="C3809" t="str">
        <f>_xlfn.CONCAT(Table16[[#This Row],[STATE]],"-",Table16[[#This Row],[YEAR]])</f>
        <v>Karnataka-2013</v>
      </c>
      <c r="D3809" t="s">
        <v>1239</v>
      </c>
      <c r="E3809">
        <v>4</v>
      </c>
    </row>
    <row r="3810" spans="1:5" x14ac:dyDescent="0.3">
      <c r="A3810" t="s">
        <v>17</v>
      </c>
      <c r="B3810">
        <v>2013</v>
      </c>
      <c r="C3810" t="str">
        <f>_xlfn.CONCAT(Table16[[#This Row],[STATE]],"-",Table16[[#This Row],[YEAR]])</f>
        <v>Karnataka-2013</v>
      </c>
      <c r="D3810" t="s">
        <v>462</v>
      </c>
      <c r="E3810">
        <v>9</v>
      </c>
    </row>
    <row r="3811" spans="1:5" x14ac:dyDescent="0.3">
      <c r="A3811" t="s">
        <v>17</v>
      </c>
      <c r="B3811">
        <v>2013</v>
      </c>
      <c r="C3811" t="str">
        <f>_xlfn.CONCAT(Table16[[#This Row],[STATE]],"-",Table16[[#This Row],[YEAR]])</f>
        <v>Karnataka-2013</v>
      </c>
      <c r="D3811" t="s">
        <v>185</v>
      </c>
      <c r="E3811">
        <v>19</v>
      </c>
    </row>
    <row r="3812" spans="1:5" x14ac:dyDescent="0.3">
      <c r="A3812" t="s">
        <v>17</v>
      </c>
      <c r="B3812">
        <v>2013</v>
      </c>
      <c r="C3812" t="str">
        <f>_xlfn.CONCAT(Table16[[#This Row],[STATE]],"-",Table16[[#This Row],[YEAR]])</f>
        <v>Karnataka-2013</v>
      </c>
      <c r="D3812" t="s">
        <v>1240</v>
      </c>
      <c r="E3812">
        <v>21</v>
      </c>
    </row>
    <row r="3813" spans="1:5" x14ac:dyDescent="0.3">
      <c r="A3813" t="s">
        <v>17</v>
      </c>
      <c r="B3813">
        <v>2013</v>
      </c>
      <c r="C3813" t="str">
        <f>_xlfn.CONCAT(Table16[[#This Row],[STATE]],"-",Table16[[#This Row],[YEAR]])</f>
        <v>Karnataka-2013</v>
      </c>
      <c r="D3813" t="s">
        <v>464</v>
      </c>
      <c r="E3813">
        <v>24</v>
      </c>
    </row>
    <row r="3814" spans="1:5" x14ac:dyDescent="0.3">
      <c r="A3814" t="s">
        <v>17</v>
      </c>
      <c r="B3814">
        <v>2013</v>
      </c>
      <c r="C3814" t="str">
        <f>_xlfn.CONCAT(Table16[[#This Row],[STATE]],"-",Table16[[#This Row],[YEAR]])</f>
        <v>Karnataka-2013</v>
      </c>
      <c r="D3814" t="s">
        <v>1241</v>
      </c>
      <c r="E3814">
        <v>15</v>
      </c>
    </row>
    <row r="3815" spans="1:5" x14ac:dyDescent="0.3">
      <c r="A3815" t="s">
        <v>17</v>
      </c>
      <c r="B3815">
        <v>2013</v>
      </c>
      <c r="C3815" t="str">
        <f>_xlfn.CONCAT(Table16[[#This Row],[STATE]],"-",Table16[[#This Row],[YEAR]])</f>
        <v>Karnataka-2013</v>
      </c>
      <c r="D3815" t="s">
        <v>1242</v>
      </c>
      <c r="E3815">
        <v>17</v>
      </c>
    </row>
    <row r="3816" spans="1:5" x14ac:dyDescent="0.3">
      <c r="A3816" t="s">
        <v>17</v>
      </c>
      <c r="B3816">
        <v>2013</v>
      </c>
      <c r="C3816" t="str">
        <f>_xlfn.CONCAT(Table16[[#This Row],[STATE]],"-",Table16[[#This Row],[YEAR]])</f>
        <v>Karnataka-2013</v>
      </c>
      <c r="D3816" t="s">
        <v>1243</v>
      </c>
      <c r="E3816">
        <v>13</v>
      </c>
    </row>
    <row r="3817" spans="1:5" x14ac:dyDescent="0.3">
      <c r="A3817" t="s">
        <v>17</v>
      </c>
      <c r="B3817">
        <v>2013</v>
      </c>
      <c r="C3817" t="str">
        <f>_xlfn.CONCAT(Table16[[#This Row],[STATE]],"-",Table16[[#This Row],[YEAR]])</f>
        <v>Karnataka-2013</v>
      </c>
      <c r="D3817" t="s">
        <v>1244</v>
      </c>
      <c r="E3817">
        <v>14</v>
      </c>
    </row>
    <row r="3818" spans="1:5" x14ac:dyDescent="0.3">
      <c r="A3818" t="s">
        <v>17</v>
      </c>
      <c r="B3818">
        <v>2013</v>
      </c>
      <c r="C3818" t="str">
        <f>_xlfn.CONCAT(Table16[[#This Row],[STATE]],"-",Table16[[#This Row],[YEAR]])</f>
        <v>Karnataka-2013</v>
      </c>
      <c r="D3818" t="s">
        <v>480</v>
      </c>
      <c r="E3818">
        <v>11</v>
      </c>
    </row>
    <row r="3819" spans="1:5" x14ac:dyDescent="0.3">
      <c r="A3819" t="s">
        <v>17</v>
      </c>
      <c r="B3819">
        <v>2013</v>
      </c>
      <c r="C3819" t="str">
        <f>_xlfn.CONCAT(Table16[[#This Row],[STATE]],"-",Table16[[#This Row],[YEAR]])</f>
        <v>Karnataka-2013</v>
      </c>
      <c r="D3819" t="s">
        <v>1245</v>
      </c>
      <c r="E3819">
        <v>4</v>
      </c>
    </row>
    <row r="3820" spans="1:5" x14ac:dyDescent="0.3">
      <c r="A3820" t="s">
        <v>17</v>
      </c>
      <c r="B3820">
        <v>2013</v>
      </c>
      <c r="C3820" t="str">
        <f>_xlfn.CONCAT(Table16[[#This Row],[STATE]],"-",Table16[[#This Row],[YEAR]])</f>
        <v>Karnataka-2013</v>
      </c>
      <c r="D3820" t="s">
        <v>480</v>
      </c>
      <c r="E3820">
        <v>6</v>
      </c>
    </row>
    <row r="3821" spans="1:5" x14ac:dyDescent="0.3">
      <c r="A3821" t="s">
        <v>17</v>
      </c>
      <c r="B3821">
        <v>2013</v>
      </c>
      <c r="C3821" t="str">
        <f>_xlfn.CONCAT(Table16[[#This Row],[STATE]],"-",Table16[[#This Row],[YEAR]])</f>
        <v>Karnataka-2013</v>
      </c>
      <c r="D3821" t="s">
        <v>185</v>
      </c>
      <c r="E3821">
        <v>45</v>
      </c>
    </row>
    <row r="3822" spans="1:5" x14ac:dyDescent="0.3">
      <c r="A3822" t="s">
        <v>17</v>
      </c>
      <c r="B3822">
        <v>2013</v>
      </c>
      <c r="C3822" t="str">
        <f>_xlfn.CONCAT(Table16[[#This Row],[STATE]],"-",Table16[[#This Row],[YEAR]])</f>
        <v>Karnataka-2013</v>
      </c>
      <c r="D3822" t="s">
        <v>1246</v>
      </c>
      <c r="E3822">
        <v>1</v>
      </c>
    </row>
    <row r="3823" spans="1:5" x14ac:dyDescent="0.3">
      <c r="A3823" t="s">
        <v>17</v>
      </c>
      <c r="B3823">
        <v>2013</v>
      </c>
      <c r="C3823" t="str">
        <f>_xlfn.CONCAT(Table16[[#This Row],[STATE]],"-",Table16[[#This Row],[YEAR]])</f>
        <v>Karnataka-2013</v>
      </c>
      <c r="D3823" t="s">
        <v>1247</v>
      </c>
      <c r="E3823">
        <v>15</v>
      </c>
    </row>
    <row r="3824" spans="1:5" x14ac:dyDescent="0.3">
      <c r="A3824" t="s">
        <v>17</v>
      </c>
      <c r="B3824">
        <v>2013</v>
      </c>
      <c r="C3824" t="str">
        <f>_xlfn.CONCAT(Table16[[#This Row],[STATE]],"-",Table16[[#This Row],[YEAR]])</f>
        <v>Karnataka-2013</v>
      </c>
      <c r="D3824" t="s">
        <v>468</v>
      </c>
      <c r="E3824">
        <v>4</v>
      </c>
    </row>
    <row r="3825" spans="1:5" x14ac:dyDescent="0.3">
      <c r="A3825" t="s">
        <v>17</v>
      </c>
      <c r="B3825">
        <v>2013</v>
      </c>
      <c r="C3825" t="str">
        <f>_xlfn.CONCAT(Table16[[#This Row],[STATE]],"-",Table16[[#This Row],[YEAR]])</f>
        <v>Karnataka-2013</v>
      </c>
      <c r="D3825" t="s">
        <v>1248</v>
      </c>
      <c r="E3825">
        <v>2</v>
      </c>
    </row>
    <row r="3826" spans="1:5" x14ac:dyDescent="0.3">
      <c r="A3826" t="s">
        <v>17</v>
      </c>
      <c r="B3826">
        <v>2013</v>
      </c>
      <c r="C3826" t="str">
        <f>_xlfn.CONCAT(Table16[[#This Row],[STATE]],"-",Table16[[#This Row],[YEAR]])</f>
        <v>Karnataka-2013</v>
      </c>
      <c r="D3826" t="s">
        <v>470</v>
      </c>
      <c r="E3826">
        <v>20</v>
      </c>
    </row>
    <row r="3827" spans="1:5" x14ac:dyDescent="0.3">
      <c r="A3827" t="s">
        <v>17</v>
      </c>
      <c r="B3827">
        <v>2013</v>
      </c>
      <c r="C3827" t="str">
        <f>_xlfn.CONCAT(Table16[[#This Row],[STATE]],"-",Table16[[#This Row],[YEAR]])</f>
        <v>Karnataka-2013</v>
      </c>
      <c r="D3827" t="s">
        <v>314</v>
      </c>
      <c r="E3827">
        <v>2</v>
      </c>
    </row>
    <row r="3828" spans="1:5" x14ac:dyDescent="0.3">
      <c r="A3828" t="s">
        <v>17</v>
      </c>
      <c r="B3828">
        <v>2013</v>
      </c>
      <c r="C3828" t="str">
        <f>_xlfn.CONCAT(Table16[[#This Row],[STATE]],"-",Table16[[#This Row],[YEAR]])</f>
        <v>Karnataka-2013</v>
      </c>
      <c r="D3828" t="s">
        <v>110</v>
      </c>
      <c r="E3828">
        <v>3</v>
      </c>
    </row>
    <row r="3829" spans="1:5" x14ac:dyDescent="0.3">
      <c r="A3829" t="s">
        <v>17</v>
      </c>
      <c r="B3829">
        <v>2013</v>
      </c>
      <c r="C3829" t="str">
        <f>_xlfn.CONCAT(Table16[[#This Row],[STATE]],"-",Table16[[#This Row],[YEAR]])</f>
        <v>Karnataka-2013</v>
      </c>
      <c r="D3829" t="s">
        <v>103</v>
      </c>
      <c r="E3829">
        <v>8</v>
      </c>
    </row>
    <row r="3830" spans="1:5" x14ac:dyDescent="0.3">
      <c r="A3830" t="s">
        <v>17</v>
      </c>
      <c r="B3830">
        <v>2013</v>
      </c>
      <c r="C3830" t="str">
        <f>_xlfn.CONCAT(Table16[[#This Row],[STATE]],"-",Table16[[#This Row],[YEAR]])</f>
        <v>Karnataka-2013</v>
      </c>
      <c r="D3830" t="s">
        <v>1249</v>
      </c>
      <c r="E3830">
        <v>12</v>
      </c>
    </row>
    <row r="3831" spans="1:5" x14ac:dyDescent="0.3">
      <c r="A3831" t="s">
        <v>17</v>
      </c>
      <c r="B3831">
        <v>2013</v>
      </c>
      <c r="C3831" t="str">
        <f>_xlfn.CONCAT(Table16[[#This Row],[STATE]],"-",Table16[[#This Row],[YEAR]])</f>
        <v>Karnataka-2013</v>
      </c>
      <c r="D3831" t="s">
        <v>140</v>
      </c>
      <c r="E3831">
        <v>25</v>
      </c>
    </row>
    <row r="3832" spans="1:5" x14ac:dyDescent="0.3">
      <c r="A3832" t="s">
        <v>17</v>
      </c>
      <c r="B3832">
        <v>2013</v>
      </c>
      <c r="C3832" t="str">
        <f>_xlfn.CONCAT(Table16[[#This Row],[STATE]],"-",Table16[[#This Row],[YEAR]])</f>
        <v>Karnataka-2013</v>
      </c>
      <c r="D3832" t="s">
        <v>1250</v>
      </c>
      <c r="E3832">
        <v>28</v>
      </c>
    </row>
    <row r="3833" spans="1:5" x14ac:dyDescent="0.3">
      <c r="A3833" t="s">
        <v>17</v>
      </c>
      <c r="B3833">
        <v>2013</v>
      </c>
      <c r="C3833" t="str">
        <f>_xlfn.CONCAT(Table16[[#This Row],[STATE]],"-",Table16[[#This Row],[YEAR]])</f>
        <v>Karnataka-2013</v>
      </c>
      <c r="D3833" t="s">
        <v>110</v>
      </c>
      <c r="E3833">
        <v>17</v>
      </c>
    </row>
    <row r="3834" spans="1:5" x14ac:dyDescent="0.3">
      <c r="A3834" t="s">
        <v>17</v>
      </c>
      <c r="B3834">
        <v>2013</v>
      </c>
      <c r="C3834" t="str">
        <f>_xlfn.CONCAT(Table16[[#This Row],[STATE]],"-",Table16[[#This Row],[YEAR]])</f>
        <v>Karnataka-2013</v>
      </c>
      <c r="D3834" t="s">
        <v>1251</v>
      </c>
      <c r="E3834">
        <v>14</v>
      </c>
    </row>
    <row r="3835" spans="1:5" x14ac:dyDescent="0.3">
      <c r="A3835" t="s">
        <v>17</v>
      </c>
      <c r="B3835">
        <v>2013</v>
      </c>
      <c r="C3835" t="str">
        <f>_xlfn.CONCAT(Table16[[#This Row],[STATE]],"-",Table16[[#This Row],[YEAR]])</f>
        <v>Karnataka-2013</v>
      </c>
      <c r="D3835" t="s">
        <v>314</v>
      </c>
      <c r="E3835">
        <v>5</v>
      </c>
    </row>
    <row r="3836" spans="1:5" x14ac:dyDescent="0.3">
      <c r="A3836" t="s">
        <v>17</v>
      </c>
      <c r="B3836">
        <v>2013</v>
      </c>
      <c r="C3836" t="str">
        <f>_xlfn.CONCAT(Table16[[#This Row],[STATE]],"-",Table16[[#This Row],[YEAR]])</f>
        <v>Karnataka-2013</v>
      </c>
      <c r="D3836" t="s">
        <v>1192</v>
      </c>
      <c r="E3836">
        <v>7</v>
      </c>
    </row>
    <row r="3837" spans="1:5" x14ac:dyDescent="0.3">
      <c r="A3837" t="s">
        <v>17</v>
      </c>
      <c r="B3837">
        <v>2013</v>
      </c>
      <c r="C3837" t="str">
        <f>_xlfn.CONCAT(Table16[[#This Row],[STATE]],"-",Table16[[#This Row],[YEAR]])</f>
        <v>Karnataka-2013</v>
      </c>
      <c r="D3837" t="s">
        <v>1252</v>
      </c>
      <c r="E3837">
        <v>8</v>
      </c>
    </row>
    <row r="3838" spans="1:5" x14ac:dyDescent="0.3">
      <c r="A3838" t="s">
        <v>17</v>
      </c>
      <c r="B3838">
        <v>2013</v>
      </c>
      <c r="C3838" t="str">
        <f>_xlfn.CONCAT(Table16[[#This Row],[STATE]],"-",Table16[[#This Row],[YEAR]])</f>
        <v>Karnataka-2013</v>
      </c>
      <c r="D3838" t="s">
        <v>1253</v>
      </c>
      <c r="E3838">
        <v>7</v>
      </c>
    </row>
    <row r="3839" spans="1:5" x14ac:dyDescent="0.3">
      <c r="A3839" t="s">
        <v>17</v>
      </c>
      <c r="B3839">
        <v>2013</v>
      </c>
      <c r="C3839" t="str">
        <f>_xlfn.CONCAT(Table16[[#This Row],[STATE]],"-",Table16[[#This Row],[YEAR]])</f>
        <v>Karnataka-2013</v>
      </c>
      <c r="D3839" t="s">
        <v>1254</v>
      </c>
      <c r="E3839">
        <v>2</v>
      </c>
    </row>
    <row r="3840" spans="1:5" x14ac:dyDescent="0.3">
      <c r="A3840" t="s">
        <v>17</v>
      </c>
      <c r="B3840">
        <v>2013</v>
      </c>
      <c r="C3840" t="str">
        <f>_xlfn.CONCAT(Table16[[#This Row],[STATE]],"-",Table16[[#This Row],[YEAR]])</f>
        <v>Karnataka-2013</v>
      </c>
      <c r="D3840" t="s">
        <v>314</v>
      </c>
      <c r="E3840">
        <v>3</v>
      </c>
    </row>
    <row r="3841" spans="1:5" x14ac:dyDescent="0.3">
      <c r="A3841" t="s">
        <v>17</v>
      </c>
      <c r="B3841">
        <v>2013</v>
      </c>
      <c r="C3841" t="str">
        <f>_xlfn.CONCAT(Table16[[#This Row],[STATE]],"-",Table16[[#This Row],[YEAR]])</f>
        <v>Karnataka-2013</v>
      </c>
      <c r="D3841" t="s">
        <v>1170</v>
      </c>
      <c r="E3841">
        <v>6</v>
      </c>
    </row>
    <row r="3842" spans="1:5" x14ac:dyDescent="0.3">
      <c r="A3842" t="s">
        <v>17</v>
      </c>
      <c r="B3842">
        <v>2013</v>
      </c>
      <c r="C3842" t="str">
        <f>_xlfn.CONCAT(Table16[[#This Row],[STATE]],"-",Table16[[#This Row],[YEAR]])</f>
        <v>Karnataka-2013</v>
      </c>
      <c r="D3842" t="s">
        <v>173</v>
      </c>
      <c r="E3842">
        <v>9</v>
      </c>
    </row>
    <row r="3843" spans="1:5" x14ac:dyDescent="0.3">
      <c r="A3843" t="s">
        <v>17</v>
      </c>
      <c r="B3843">
        <v>2013</v>
      </c>
      <c r="C3843" t="str">
        <f>_xlfn.CONCAT(Table16[[#This Row],[STATE]],"-",Table16[[#This Row],[YEAR]])</f>
        <v>Karnataka-2013</v>
      </c>
      <c r="D3843" t="s">
        <v>422</v>
      </c>
      <c r="E3843">
        <v>3</v>
      </c>
    </row>
    <row r="3844" spans="1:5" x14ac:dyDescent="0.3">
      <c r="A3844" t="s">
        <v>17</v>
      </c>
      <c r="B3844">
        <v>2013</v>
      </c>
      <c r="C3844" t="str">
        <f>_xlfn.CONCAT(Table16[[#This Row],[STATE]],"-",Table16[[#This Row],[YEAR]])</f>
        <v>Karnataka-2013</v>
      </c>
      <c r="D3844" t="s">
        <v>259</v>
      </c>
      <c r="E3844">
        <v>10</v>
      </c>
    </row>
    <row r="3845" spans="1:5" x14ac:dyDescent="0.3">
      <c r="A3845" t="s">
        <v>17</v>
      </c>
      <c r="B3845">
        <v>2013</v>
      </c>
      <c r="C3845" t="str">
        <f>_xlfn.CONCAT(Table16[[#This Row],[STATE]],"-",Table16[[#This Row],[YEAR]])</f>
        <v>Karnataka-2013</v>
      </c>
      <c r="D3845" t="s">
        <v>1255</v>
      </c>
      <c r="E3845">
        <v>71</v>
      </c>
    </row>
    <row r="3846" spans="1:5" x14ac:dyDescent="0.3">
      <c r="A3846" t="s">
        <v>17</v>
      </c>
      <c r="B3846">
        <v>2013</v>
      </c>
      <c r="C3846" t="str">
        <f>_xlfn.CONCAT(Table16[[#This Row],[STATE]],"-",Table16[[#This Row],[YEAR]])</f>
        <v>Karnataka-2013</v>
      </c>
      <c r="D3846" t="s">
        <v>103</v>
      </c>
      <c r="E3846">
        <v>141</v>
      </c>
    </row>
    <row r="3847" spans="1:5" x14ac:dyDescent="0.3">
      <c r="A3847" t="s">
        <v>17</v>
      </c>
      <c r="B3847">
        <v>2013</v>
      </c>
      <c r="C3847" t="str">
        <f>_xlfn.CONCAT(Table16[[#This Row],[STATE]],"-",Table16[[#This Row],[YEAR]])</f>
        <v>Karnataka-2013</v>
      </c>
      <c r="D3847" t="s">
        <v>314</v>
      </c>
      <c r="E3847">
        <v>41</v>
      </c>
    </row>
    <row r="3848" spans="1:5" x14ac:dyDescent="0.3">
      <c r="A3848" t="s">
        <v>17</v>
      </c>
      <c r="B3848">
        <v>2013</v>
      </c>
      <c r="C3848" t="str">
        <f>_xlfn.CONCAT(Table16[[#This Row],[STATE]],"-",Table16[[#This Row],[YEAR]])</f>
        <v>Karnataka-2013</v>
      </c>
      <c r="D3848" t="s">
        <v>1256</v>
      </c>
      <c r="E3848">
        <v>31</v>
      </c>
    </row>
    <row r="3849" spans="1:5" x14ac:dyDescent="0.3">
      <c r="A3849" t="s">
        <v>17</v>
      </c>
      <c r="B3849">
        <v>2013</v>
      </c>
      <c r="C3849" t="str">
        <f>_xlfn.CONCAT(Table16[[#This Row],[STATE]],"-",Table16[[#This Row],[YEAR]])</f>
        <v>Karnataka-2013</v>
      </c>
      <c r="D3849" t="s">
        <v>141</v>
      </c>
      <c r="E3849">
        <v>41</v>
      </c>
    </row>
    <row r="3850" spans="1:5" x14ac:dyDescent="0.3">
      <c r="A3850" t="s">
        <v>17</v>
      </c>
      <c r="B3850">
        <v>2013</v>
      </c>
      <c r="C3850" t="str">
        <f>_xlfn.CONCAT(Table16[[#This Row],[STATE]],"-",Table16[[#This Row],[YEAR]])</f>
        <v>Karnataka-2013</v>
      </c>
      <c r="D3850" t="s">
        <v>636</v>
      </c>
      <c r="E3850">
        <v>9</v>
      </c>
    </row>
    <row r="3851" spans="1:5" x14ac:dyDescent="0.3">
      <c r="A3851" t="s">
        <v>17</v>
      </c>
      <c r="B3851">
        <v>2013</v>
      </c>
      <c r="C3851" t="str">
        <f>_xlfn.CONCAT(Table16[[#This Row],[STATE]],"-",Table16[[#This Row],[YEAR]])</f>
        <v>Karnataka-2013</v>
      </c>
      <c r="D3851" t="s">
        <v>223</v>
      </c>
      <c r="E3851">
        <v>32</v>
      </c>
    </row>
    <row r="3852" spans="1:5" x14ac:dyDescent="0.3">
      <c r="A3852" t="s">
        <v>17</v>
      </c>
      <c r="B3852">
        <v>2013</v>
      </c>
      <c r="C3852" t="str">
        <f>_xlfn.CONCAT(Table16[[#This Row],[STATE]],"-",Table16[[#This Row],[YEAR]])</f>
        <v>Karnataka-2013</v>
      </c>
      <c r="D3852" t="s">
        <v>1257</v>
      </c>
      <c r="E3852">
        <v>39</v>
      </c>
    </row>
    <row r="3853" spans="1:5" x14ac:dyDescent="0.3">
      <c r="A3853" t="s">
        <v>17</v>
      </c>
      <c r="B3853">
        <v>2013</v>
      </c>
      <c r="C3853" t="str">
        <f>_xlfn.CONCAT(Table16[[#This Row],[STATE]],"-",Table16[[#This Row],[YEAR]])</f>
        <v>Karnataka-2013</v>
      </c>
      <c r="D3853" t="s">
        <v>1258</v>
      </c>
      <c r="E3853">
        <v>19</v>
      </c>
    </row>
    <row r="3854" spans="1:5" x14ac:dyDescent="0.3">
      <c r="A3854" t="s">
        <v>17</v>
      </c>
      <c r="B3854">
        <v>2013</v>
      </c>
      <c r="C3854" t="str">
        <f>_xlfn.CONCAT(Table16[[#This Row],[STATE]],"-",Table16[[#This Row],[YEAR]])</f>
        <v>Karnataka-2013</v>
      </c>
      <c r="D3854" t="s">
        <v>1252</v>
      </c>
      <c r="E3854">
        <v>14</v>
      </c>
    </row>
    <row r="3855" spans="1:5" x14ac:dyDescent="0.3">
      <c r="A3855" t="s">
        <v>17</v>
      </c>
      <c r="B3855">
        <v>2013</v>
      </c>
      <c r="C3855" t="str">
        <f>_xlfn.CONCAT(Table16[[#This Row],[STATE]],"-",Table16[[#This Row],[YEAR]])</f>
        <v>Karnataka-2013</v>
      </c>
      <c r="D3855" t="s">
        <v>317</v>
      </c>
      <c r="E3855">
        <v>5</v>
      </c>
    </row>
    <row r="3856" spans="1:5" x14ac:dyDescent="0.3">
      <c r="A3856" t="s">
        <v>17</v>
      </c>
      <c r="B3856">
        <v>2013</v>
      </c>
      <c r="C3856" t="str">
        <f>_xlfn.CONCAT(Table16[[#This Row],[STATE]],"-",Table16[[#This Row],[YEAR]])</f>
        <v>Karnataka-2013</v>
      </c>
      <c r="D3856" t="s">
        <v>173</v>
      </c>
      <c r="E3856">
        <v>22</v>
      </c>
    </row>
    <row r="3857" spans="1:5" x14ac:dyDescent="0.3">
      <c r="A3857" t="s">
        <v>17</v>
      </c>
      <c r="B3857">
        <v>2013</v>
      </c>
      <c r="C3857" t="str">
        <f>_xlfn.CONCAT(Table16[[#This Row],[STATE]],"-",Table16[[#This Row],[YEAR]])</f>
        <v>Karnataka-2013</v>
      </c>
      <c r="D3857" t="s">
        <v>1259</v>
      </c>
      <c r="E3857">
        <v>88</v>
      </c>
    </row>
    <row r="3858" spans="1:5" x14ac:dyDescent="0.3">
      <c r="A3858" t="s">
        <v>17</v>
      </c>
      <c r="B3858">
        <v>2013</v>
      </c>
      <c r="C3858" t="str">
        <f>_xlfn.CONCAT(Table16[[#This Row],[STATE]],"-",Table16[[#This Row],[YEAR]])</f>
        <v>Karnataka-2013</v>
      </c>
      <c r="D3858" t="s">
        <v>1190</v>
      </c>
      <c r="E3858">
        <v>249</v>
      </c>
    </row>
    <row r="3859" spans="1:5" x14ac:dyDescent="0.3">
      <c r="A3859" t="s">
        <v>17</v>
      </c>
      <c r="B3859">
        <v>2013</v>
      </c>
      <c r="C3859" t="str">
        <f>_xlfn.CONCAT(Table16[[#This Row],[STATE]],"-",Table16[[#This Row],[YEAR]])</f>
        <v>Karnataka-2013</v>
      </c>
      <c r="D3859" t="s">
        <v>1260</v>
      </c>
      <c r="E3859">
        <v>69</v>
      </c>
    </row>
    <row r="3860" spans="1:5" x14ac:dyDescent="0.3">
      <c r="A3860" t="s">
        <v>17</v>
      </c>
      <c r="B3860">
        <v>2013</v>
      </c>
      <c r="C3860" t="str">
        <f>_xlfn.CONCAT(Table16[[#This Row],[STATE]],"-",Table16[[#This Row],[YEAR]])</f>
        <v>Karnataka-2013</v>
      </c>
      <c r="D3860" t="s">
        <v>646</v>
      </c>
      <c r="E3860">
        <v>19</v>
      </c>
    </row>
    <row r="3861" spans="1:5" x14ac:dyDescent="0.3">
      <c r="A3861" t="s">
        <v>17</v>
      </c>
      <c r="B3861">
        <v>2013</v>
      </c>
      <c r="C3861" t="str">
        <f>_xlfn.CONCAT(Table16[[#This Row],[STATE]],"-",Table16[[#This Row],[YEAR]])</f>
        <v>Karnataka-2013</v>
      </c>
      <c r="D3861" t="s">
        <v>287</v>
      </c>
      <c r="E3861">
        <v>66</v>
      </c>
    </row>
    <row r="3862" spans="1:5" x14ac:dyDescent="0.3">
      <c r="A3862" t="s">
        <v>17</v>
      </c>
      <c r="B3862">
        <v>2013</v>
      </c>
      <c r="C3862" t="str">
        <f>_xlfn.CONCAT(Table16[[#This Row],[STATE]],"-",Table16[[#This Row],[YEAR]])</f>
        <v>Karnataka-2013</v>
      </c>
      <c r="D3862" t="s">
        <v>656</v>
      </c>
      <c r="E3862">
        <v>14</v>
      </c>
    </row>
    <row r="3863" spans="1:5" x14ac:dyDescent="0.3">
      <c r="A3863" t="s">
        <v>18</v>
      </c>
      <c r="B3863">
        <v>2013</v>
      </c>
      <c r="C3863" t="str">
        <f>_xlfn.CONCAT(Table16[[#This Row],[STATE]],"-",Table16[[#This Row],[YEAR]])</f>
        <v>Kerala-2013</v>
      </c>
      <c r="D3863" t="s">
        <v>90</v>
      </c>
      <c r="E3863">
        <v>56</v>
      </c>
    </row>
    <row r="3864" spans="1:5" x14ac:dyDescent="0.3">
      <c r="A3864" t="s">
        <v>18</v>
      </c>
      <c r="B3864">
        <v>2013</v>
      </c>
      <c r="C3864" t="str">
        <f>_xlfn.CONCAT(Table16[[#This Row],[STATE]],"-",Table16[[#This Row],[YEAR]])</f>
        <v>Kerala-2013</v>
      </c>
      <c r="D3864" t="s">
        <v>230</v>
      </c>
      <c r="E3864">
        <v>91</v>
      </c>
    </row>
    <row r="3865" spans="1:5" x14ac:dyDescent="0.3">
      <c r="A3865" t="s">
        <v>18</v>
      </c>
      <c r="B3865">
        <v>2013</v>
      </c>
      <c r="C3865" t="str">
        <f>_xlfn.CONCAT(Table16[[#This Row],[STATE]],"-",Table16[[#This Row],[YEAR]])</f>
        <v>Kerala-2013</v>
      </c>
      <c r="D3865" t="s">
        <v>103</v>
      </c>
      <c r="E3865">
        <v>110</v>
      </c>
    </row>
    <row r="3866" spans="1:5" x14ac:dyDescent="0.3">
      <c r="A3866" t="s">
        <v>18</v>
      </c>
      <c r="B3866">
        <v>2013</v>
      </c>
      <c r="C3866" t="str">
        <f>_xlfn.CONCAT(Table16[[#This Row],[STATE]],"-",Table16[[#This Row],[YEAR]])</f>
        <v>Kerala-2013</v>
      </c>
      <c r="D3866" t="s">
        <v>642</v>
      </c>
      <c r="E3866">
        <v>15</v>
      </c>
    </row>
    <row r="3867" spans="1:5" x14ac:dyDescent="0.3">
      <c r="A3867" t="s">
        <v>18</v>
      </c>
      <c r="B3867">
        <v>2013</v>
      </c>
      <c r="C3867" t="str">
        <f>_xlfn.CONCAT(Table16[[#This Row],[STATE]],"-",Table16[[#This Row],[YEAR]])</f>
        <v>Kerala-2013</v>
      </c>
      <c r="D3867" t="s">
        <v>1261</v>
      </c>
      <c r="E3867">
        <v>90</v>
      </c>
    </row>
    <row r="3868" spans="1:5" x14ac:dyDescent="0.3">
      <c r="A3868" t="s">
        <v>18</v>
      </c>
      <c r="B3868">
        <v>2013</v>
      </c>
      <c r="C3868" t="str">
        <f>_xlfn.CONCAT(Table16[[#This Row],[STATE]],"-",Table16[[#This Row],[YEAR]])</f>
        <v>Kerala-2013</v>
      </c>
      <c r="D3868" t="s">
        <v>1262</v>
      </c>
      <c r="E3868">
        <v>30</v>
      </c>
    </row>
    <row r="3869" spans="1:5" x14ac:dyDescent="0.3">
      <c r="A3869" t="s">
        <v>18</v>
      </c>
      <c r="B3869">
        <v>2013</v>
      </c>
      <c r="C3869" t="str">
        <f>_xlfn.CONCAT(Table16[[#This Row],[STATE]],"-",Table16[[#This Row],[YEAR]])</f>
        <v>Kerala-2013</v>
      </c>
      <c r="D3869" t="s">
        <v>314</v>
      </c>
      <c r="E3869">
        <v>88</v>
      </c>
    </row>
    <row r="3870" spans="1:5" x14ac:dyDescent="0.3">
      <c r="A3870" t="s">
        <v>18</v>
      </c>
      <c r="B3870">
        <v>2013</v>
      </c>
      <c r="C3870" t="str">
        <f>_xlfn.CONCAT(Table16[[#This Row],[STATE]],"-",Table16[[#This Row],[YEAR]])</f>
        <v>Kerala-2013</v>
      </c>
      <c r="D3870" t="s">
        <v>96</v>
      </c>
      <c r="E3870">
        <v>7</v>
      </c>
    </row>
    <row r="3871" spans="1:5" x14ac:dyDescent="0.3">
      <c r="A3871" t="s">
        <v>18</v>
      </c>
      <c r="B3871">
        <v>2013</v>
      </c>
      <c r="C3871" t="str">
        <f>_xlfn.CONCAT(Table16[[#This Row],[STATE]],"-",Table16[[#This Row],[YEAR]])</f>
        <v>Kerala-2013</v>
      </c>
      <c r="D3871" t="s">
        <v>185</v>
      </c>
      <c r="E3871">
        <v>15</v>
      </c>
    </row>
    <row r="3872" spans="1:5" x14ac:dyDescent="0.3">
      <c r="A3872" t="s">
        <v>18</v>
      </c>
      <c r="B3872">
        <v>2013</v>
      </c>
      <c r="C3872" t="str">
        <f>_xlfn.CONCAT(Table16[[#This Row],[STATE]],"-",Table16[[#This Row],[YEAR]])</f>
        <v>Kerala-2013</v>
      </c>
      <c r="D3872" t="s">
        <v>221</v>
      </c>
      <c r="E3872">
        <v>27</v>
      </c>
    </row>
    <row r="3873" spans="1:5" x14ac:dyDescent="0.3">
      <c r="A3873" t="s">
        <v>18</v>
      </c>
      <c r="B3873">
        <v>2013</v>
      </c>
      <c r="C3873" t="str">
        <f>_xlfn.CONCAT(Table16[[#This Row],[STATE]],"-",Table16[[#This Row],[YEAR]])</f>
        <v>Kerala-2013</v>
      </c>
      <c r="D3873" t="s">
        <v>1126</v>
      </c>
      <c r="E3873">
        <v>6</v>
      </c>
    </row>
    <row r="3874" spans="1:5" x14ac:dyDescent="0.3">
      <c r="A3874" t="s">
        <v>18</v>
      </c>
      <c r="B3874">
        <v>2013</v>
      </c>
      <c r="C3874" t="str">
        <f>_xlfn.CONCAT(Table16[[#This Row],[STATE]],"-",Table16[[#This Row],[YEAR]])</f>
        <v>Kerala-2013</v>
      </c>
      <c r="D3874" t="s">
        <v>1263</v>
      </c>
      <c r="E3874">
        <v>30</v>
      </c>
    </row>
    <row r="3875" spans="1:5" x14ac:dyDescent="0.3">
      <c r="A3875" t="s">
        <v>18</v>
      </c>
      <c r="B3875">
        <v>2013</v>
      </c>
      <c r="C3875" t="str">
        <f>_xlfn.CONCAT(Table16[[#This Row],[STATE]],"-",Table16[[#This Row],[YEAR]])</f>
        <v>Kerala-2013</v>
      </c>
      <c r="D3875" t="s">
        <v>163</v>
      </c>
      <c r="E3875">
        <v>64</v>
      </c>
    </row>
    <row r="3876" spans="1:5" x14ac:dyDescent="0.3">
      <c r="A3876" t="s">
        <v>18</v>
      </c>
      <c r="B3876">
        <v>2013</v>
      </c>
      <c r="C3876" t="str">
        <f>_xlfn.CONCAT(Table16[[#This Row],[STATE]],"-",Table16[[#This Row],[YEAR]])</f>
        <v>Kerala-2013</v>
      </c>
      <c r="D3876" t="s">
        <v>614</v>
      </c>
      <c r="E3876">
        <v>55</v>
      </c>
    </row>
    <row r="3877" spans="1:5" x14ac:dyDescent="0.3">
      <c r="A3877" t="s">
        <v>18</v>
      </c>
      <c r="B3877">
        <v>2013</v>
      </c>
      <c r="C3877" t="str">
        <f>_xlfn.CONCAT(Table16[[#This Row],[STATE]],"-",Table16[[#This Row],[YEAR]])</f>
        <v>Kerala-2013</v>
      </c>
      <c r="D3877" t="s">
        <v>381</v>
      </c>
      <c r="E3877">
        <v>25</v>
      </c>
    </row>
    <row r="3878" spans="1:5" x14ac:dyDescent="0.3">
      <c r="A3878" t="s">
        <v>18</v>
      </c>
      <c r="B3878">
        <v>2013</v>
      </c>
      <c r="C3878" t="str">
        <f>_xlfn.CONCAT(Table16[[#This Row],[STATE]],"-",Table16[[#This Row],[YEAR]])</f>
        <v>Kerala-2013</v>
      </c>
      <c r="D3878" t="s">
        <v>658</v>
      </c>
      <c r="E3878">
        <v>14</v>
      </c>
    </row>
    <row r="3879" spans="1:5" x14ac:dyDescent="0.3">
      <c r="A3879" t="s">
        <v>19</v>
      </c>
      <c r="B3879">
        <v>2013</v>
      </c>
      <c r="C3879" t="str">
        <f>_xlfn.CONCAT(Table16[[#This Row],[STATE]],"-",Table16[[#This Row],[YEAR]])</f>
        <v>Madhya Pradesh-2013</v>
      </c>
      <c r="D3879" t="s">
        <v>197</v>
      </c>
      <c r="E3879">
        <v>1773</v>
      </c>
    </row>
    <row r="3880" spans="1:5" x14ac:dyDescent="0.3">
      <c r="A3880" t="s">
        <v>19</v>
      </c>
      <c r="B3880">
        <v>2013</v>
      </c>
      <c r="C3880" t="str">
        <f>_xlfn.CONCAT(Table16[[#This Row],[STATE]],"-",Table16[[#This Row],[YEAR]])</f>
        <v>Madhya Pradesh-2013</v>
      </c>
      <c r="D3880" t="s">
        <v>314</v>
      </c>
      <c r="E3880">
        <v>923</v>
      </c>
    </row>
    <row r="3881" spans="1:5" x14ac:dyDescent="0.3">
      <c r="A3881" t="s">
        <v>19</v>
      </c>
      <c r="B3881">
        <v>2013</v>
      </c>
      <c r="C3881" t="str">
        <f>_xlfn.CONCAT(Table16[[#This Row],[STATE]],"-",Table16[[#This Row],[YEAR]])</f>
        <v>Madhya Pradesh-2013</v>
      </c>
      <c r="D3881" t="s">
        <v>190</v>
      </c>
      <c r="E3881">
        <v>117</v>
      </c>
    </row>
    <row r="3882" spans="1:5" x14ac:dyDescent="0.3">
      <c r="A3882" t="s">
        <v>19</v>
      </c>
      <c r="B3882">
        <v>2013</v>
      </c>
      <c r="C3882" t="str">
        <f>_xlfn.CONCAT(Table16[[#This Row],[STATE]],"-",Table16[[#This Row],[YEAR]])</f>
        <v>Madhya Pradesh-2013</v>
      </c>
      <c r="D3882" t="s">
        <v>103</v>
      </c>
      <c r="E3882">
        <v>1239</v>
      </c>
    </row>
    <row r="3883" spans="1:5" x14ac:dyDescent="0.3">
      <c r="A3883" t="s">
        <v>19</v>
      </c>
      <c r="B3883">
        <v>2013</v>
      </c>
      <c r="C3883" t="str">
        <f>_xlfn.CONCAT(Table16[[#This Row],[STATE]],"-",Table16[[#This Row],[YEAR]])</f>
        <v>Madhya Pradesh-2013</v>
      </c>
      <c r="D3883" t="s">
        <v>90</v>
      </c>
      <c r="E3883">
        <v>1640</v>
      </c>
    </row>
    <row r="3884" spans="1:5" x14ac:dyDescent="0.3">
      <c r="A3884" t="s">
        <v>19</v>
      </c>
      <c r="B3884">
        <v>2013</v>
      </c>
      <c r="C3884" t="str">
        <f>_xlfn.CONCAT(Table16[[#This Row],[STATE]],"-",Table16[[#This Row],[YEAR]])</f>
        <v>Madhya Pradesh-2013</v>
      </c>
      <c r="D3884" t="s">
        <v>412</v>
      </c>
      <c r="E3884">
        <v>238</v>
      </c>
    </row>
    <row r="3885" spans="1:5" x14ac:dyDescent="0.3">
      <c r="A3885" t="s">
        <v>19</v>
      </c>
      <c r="B3885">
        <v>2013</v>
      </c>
      <c r="C3885" t="str">
        <f>_xlfn.CONCAT(Table16[[#This Row],[STATE]],"-",Table16[[#This Row],[YEAR]])</f>
        <v>Madhya Pradesh-2013</v>
      </c>
      <c r="D3885" t="s">
        <v>185</v>
      </c>
      <c r="E3885">
        <v>217</v>
      </c>
    </row>
    <row r="3886" spans="1:5" x14ac:dyDescent="0.3">
      <c r="A3886" t="s">
        <v>19</v>
      </c>
      <c r="B3886">
        <v>2013</v>
      </c>
      <c r="C3886" t="str">
        <f>_xlfn.CONCAT(Table16[[#This Row],[STATE]],"-",Table16[[#This Row],[YEAR]])</f>
        <v>Madhya Pradesh-2013</v>
      </c>
      <c r="D3886" t="s">
        <v>699</v>
      </c>
      <c r="E3886">
        <v>37</v>
      </c>
    </row>
    <row r="3887" spans="1:5" x14ac:dyDescent="0.3">
      <c r="A3887" t="s">
        <v>19</v>
      </c>
      <c r="B3887">
        <v>2013</v>
      </c>
      <c r="C3887" t="str">
        <f>_xlfn.CONCAT(Table16[[#This Row],[STATE]],"-",Table16[[#This Row],[YEAR]])</f>
        <v>Madhya Pradesh-2013</v>
      </c>
      <c r="D3887" t="s">
        <v>1246</v>
      </c>
      <c r="E3887">
        <v>988</v>
      </c>
    </row>
    <row r="3888" spans="1:5" x14ac:dyDescent="0.3">
      <c r="A3888" t="s">
        <v>19</v>
      </c>
      <c r="B3888">
        <v>2013</v>
      </c>
      <c r="C3888" t="str">
        <f>_xlfn.CONCAT(Table16[[#This Row],[STATE]],"-",Table16[[#This Row],[YEAR]])</f>
        <v>Madhya Pradesh-2013</v>
      </c>
      <c r="D3888" t="s">
        <v>718</v>
      </c>
      <c r="E3888">
        <v>500</v>
      </c>
    </row>
    <row r="3889" spans="1:5" x14ac:dyDescent="0.3">
      <c r="A3889" t="s">
        <v>19</v>
      </c>
      <c r="B3889">
        <v>2013</v>
      </c>
      <c r="C3889" t="str">
        <f>_xlfn.CONCAT(Table16[[#This Row],[STATE]],"-",Table16[[#This Row],[YEAR]])</f>
        <v>Madhya Pradesh-2013</v>
      </c>
      <c r="D3889" t="s">
        <v>1137</v>
      </c>
      <c r="E3889">
        <v>85</v>
      </c>
    </row>
    <row r="3890" spans="1:5" x14ac:dyDescent="0.3">
      <c r="A3890" t="s">
        <v>19</v>
      </c>
      <c r="B3890">
        <v>2013</v>
      </c>
      <c r="C3890" t="str">
        <f>_xlfn.CONCAT(Table16[[#This Row],[STATE]],"-",Table16[[#This Row],[YEAR]])</f>
        <v>Madhya Pradesh-2013</v>
      </c>
      <c r="D3890" t="s">
        <v>950</v>
      </c>
      <c r="E3890">
        <v>697</v>
      </c>
    </row>
    <row r="3891" spans="1:5" x14ac:dyDescent="0.3">
      <c r="A3891" t="s">
        <v>19</v>
      </c>
      <c r="B3891">
        <v>2013</v>
      </c>
      <c r="C3891" t="str">
        <f>_xlfn.CONCAT(Table16[[#This Row],[STATE]],"-",Table16[[#This Row],[YEAR]])</f>
        <v>Madhya Pradesh-2013</v>
      </c>
      <c r="D3891" t="s">
        <v>368</v>
      </c>
      <c r="E3891">
        <v>143</v>
      </c>
    </row>
    <row r="3892" spans="1:5" x14ac:dyDescent="0.3">
      <c r="A3892" t="s">
        <v>19</v>
      </c>
      <c r="B3892">
        <v>2013</v>
      </c>
      <c r="C3892" t="str">
        <f>_xlfn.CONCAT(Table16[[#This Row],[STATE]],"-",Table16[[#This Row],[YEAR]])</f>
        <v>Madhya Pradesh-2013</v>
      </c>
      <c r="D3892" t="s">
        <v>1264</v>
      </c>
      <c r="E3892">
        <v>1012</v>
      </c>
    </row>
    <row r="3893" spans="1:5" x14ac:dyDescent="0.3">
      <c r="A3893" t="s">
        <v>19</v>
      </c>
      <c r="B3893">
        <v>2013</v>
      </c>
      <c r="C3893" t="str">
        <f>_xlfn.CONCAT(Table16[[#This Row],[STATE]],"-",Table16[[#This Row],[YEAR]])</f>
        <v>Madhya Pradesh-2013</v>
      </c>
      <c r="D3893" t="s">
        <v>1175</v>
      </c>
      <c r="E3893">
        <v>42</v>
      </c>
    </row>
    <row r="3894" spans="1:5" x14ac:dyDescent="0.3">
      <c r="A3894" t="s">
        <v>19</v>
      </c>
      <c r="B3894">
        <v>2013</v>
      </c>
      <c r="C3894" t="str">
        <f>_xlfn.CONCAT(Table16[[#This Row],[STATE]],"-",Table16[[#This Row],[YEAR]])</f>
        <v>Madhya Pradesh-2013</v>
      </c>
      <c r="D3894" t="s">
        <v>1265</v>
      </c>
      <c r="E3894">
        <v>120</v>
      </c>
    </row>
    <row r="3895" spans="1:5" x14ac:dyDescent="0.3">
      <c r="A3895" t="s">
        <v>19</v>
      </c>
      <c r="B3895">
        <v>2013</v>
      </c>
      <c r="C3895" t="str">
        <f>_xlfn.CONCAT(Table16[[#This Row],[STATE]],"-",Table16[[#This Row],[YEAR]])</f>
        <v>Madhya Pradesh-2013</v>
      </c>
      <c r="D3895" t="s">
        <v>1266</v>
      </c>
      <c r="E3895">
        <v>173</v>
      </c>
    </row>
    <row r="3896" spans="1:5" x14ac:dyDescent="0.3">
      <c r="A3896" t="s">
        <v>20</v>
      </c>
      <c r="B3896">
        <v>2013</v>
      </c>
      <c r="C3896" t="str">
        <f>_xlfn.CONCAT(Table16[[#This Row],[STATE]],"-",Table16[[#This Row],[YEAR]])</f>
        <v>Maharashtra-2013</v>
      </c>
      <c r="D3896" t="s">
        <v>391</v>
      </c>
      <c r="E3896">
        <v>633</v>
      </c>
    </row>
    <row r="3897" spans="1:5" x14ac:dyDescent="0.3">
      <c r="A3897" t="s">
        <v>20</v>
      </c>
      <c r="B3897">
        <v>2013</v>
      </c>
      <c r="C3897" t="str">
        <f>_xlfn.CONCAT(Table16[[#This Row],[STATE]],"-",Table16[[#This Row],[YEAR]])</f>
        <v>Maharashtra-2013</v>
      </c>
      <c r="D3897" t="s">
        <v>1137</v>
      </c>
      <c r="E3897">
        <v>199</v>
      </c>
    </row>
    <row r="3898" spans="1:5" x14ac:dyDescent="0.3">
      <c r="A3898" t="s">
        <v>20</v>
      </c>
      <c r="B3898">
        <v>2013</v>
      </c>
      <c r="C3898" t="str">
        <f>_xlfn.CONCAT(Table16[[#This Row],[STATE]],"-",Table16[[#This Row],[YEAR]])</f>
        <v>Maharashtra-2013</v>
      </c>
      <c r="D3898" t="s">
        <v>314</v>
      </c>
      <c r="E3898">
        <v>545</v>
      </c>
    </row>
    <row r="3899" spans="1:5" x14ac:dyDescent="0.3">
      <c r="A3899" t="s">
        <v>20</v>
      </c>
      <c r="B3899">
        <v>2013</v>
      </c>
      <c r="C3899" t="str">
        <f>_xlfn.CONCAT(Table16[[#This Row],[STATE]],"-",Table16[[#This Row],[YEAR]])</f>
        <v>Maharashtra-2013</v>
      </c>
      <c r="D3899" t="s">
        <v>103</v>
      </c>
      <c r="E3899">
        <v>607</v>
      </c>
    </row>
    <row r="3900" spans="1:5" x14ac:dyDescent="0.3">
      <c r="A3900" t="s">
        <v>20</v>
      </c>
      <c r="B3900">
        <v>2013</v>
      </c>
      <c r="C3900" t="str">
        <f>_xlfn.CONCAT(Table16[[#This Row],[STATE]],"-",Table16[[#This Row],[YEAR]])</f>
        <v>Maharashtra-2013</v>
      </c>
      <c r="D3900" t="s">
        <v>1267</v>
      </c>
      <c r="E3900">
        <v>3</v>
      </c>
    </row>
    <row r="3901" spans="1:5" x14ac:dyDescent="0.3">
      <c r="A3901" t="s">
        <v>20</v>
      </c>
      <c r="B3901">
        <v>2013</v>
      </c>
      <c r="C3901" t="str">
        <f>_xlfn.CONCAT(Table16[[#This Row],[STATE]],"-",Table16[[#This Row],[YEAR]])</f>
        <v>Maharashtra-2013</v>
      </c>
      <c r="D3901" t="s">
        <v>1268</v>
      </c>
      <c r="E3901">
        <v>145</v>
      </c>
    </row>
    <row r="3902" spans="1:5" x14ac:dyDescent="0.3">
      <c r="A3902" t="s">
        <v>20</v>
      </c>
      <c r="B3902">
        <v>2013</v>
      </c>
      <c r="C3902" t="str">
        <f>_xlfn.CONCAT(Table16[[#This Row],[STATE]],"-",Table16[[#This Row],[YEAR]])</f>
        <v>Maharashtra-2013</v>
      </c>
      <c r="D3902" t="s">
        <v>287</v>
      </c>
      <c r="E3902">
        <v>128</v>
      </c>
    </row>
    <row r="3903" spans="1:5" x14ac:dyDescent="0.3">
      <c r="A3903" t="s">
        <v>20</v>
      </c>
      <c r="B3903">
        <v>2013</v>
      </c>
      <c r="C3903" t="str">
        <f>_xlfn.CONCAT(Table16[[#This Row],[STATE]],"-",Table16[[#This Row],[YEAR]])</f>
        <v>Maharashtra-2013</v>
      </c>
      <c r="D3903" t="s">
        <v>484</v>
      </c>
      <c r="E3903">
        <v>26</v>
      </c>
    </row>
    <row r="3904" spans="1:5" x14ac:dyDescent="0.3">
      <c r="A3904" t="s">
        <v>20</v>
      </c>
      <c r="B3904">
        <v>2013</v>
      </c>
      <c r="C3904" t="str">
        <f>_xlfn.CONCAT(Table16[[#This Row],[STATE]],"-",Table16[[#This Row],[YEAR]])</f>
        <v>Maharashtra-2013</v>
      </c>
      <c r="D3904" t="s">
        <v>1269</v>
      </c>
      <c r="E3904">
        <v>2</v>
      </c>
    </row>
    <row r="3905" spans="1:5" x14ac:dyDescent="0.3">
      <c r="A3905" t="s">
        <v>20</v>
      </c>
      <c r="B3905">
        <v>2013</v>
      </c>
      <c r="C3905" t="str">
        <f>_xlfn.CONCAT(Table16[[#This Row],[STATE]],"-",Table16[[#This Row],[YEAR]])</f>
        <v>Maharashtra-2013</v>
      </c>
      <c r="D3905" t="s">
        <v>1270</v>
      </c>
      <c r="E3905">
        <v>138</v>
      </c>
    </row>
    <row r="3906" spans="1:5" x14ac:dyDescent="0.3">
      <c r="A3906" t="s">
        <v>20</v>
      </c>
      <c r="B3906">
        <v>2013</v>
      </c>
      <c r="C3906" t="str">
        <f>_xlfn.CONCAT(Table16[[#This Row],[STATE]],"-",Table16[[#This Row],[YEAR]])</f>
        <v>Maharashtra-2013</v>
      </c>
      <c r="D3906" t="s">
        <v>1271</v>
      </c>
      <c r="E3906">
        <v>1</v>
      </c>
    </row>
    <row r="3907" spans="1:5" x14ac:dyDescent="0.3">
      <c r="A3907" t="s">
        <v>20</v>
      </c>
      <c r="B3907">
        <v>2013</v>
      </c>
      <c r="C3907" t="str">
        <f>_xlfn.CONCAT(Table16[[#This Row],[STATE]],"-",Table16[[#This Row],[YEAR]])</f>
        <v>Maharashtra-2013</v>
      </c>
      <c r="D3907" t="s">
        <v>378</v>
      </c>
      <c r="E3907">
        <v>153</v>
      </c>
    </row>
    <row r="3908" spans="1:5" x14ac:dyDescent="0.3">
      <c r="A3908" t="s">
        <v>20</v>
      </c>
      <c r="B3908">
        <v>2013</v>
      </c>
      <c r="C3908" t="str">
        <f>_xlfn.CONCAT(Table16[[#This Row],[STATE]],"-",Table16[[#This Row],[YEAR]])</f>
        <v>Maharashtra-2013</v>
      </c>
      <c r="D3908" t="s">
        <v>110</v>
      </c>
      <c r="E3908">
        <v>31</v>
      </c>
    </row>
    <row r="3909" spans="1:5" x14ac:dyDescent="0.3">
      <c r="A3909" t="s">
        <v>20</v>
      </c>
      <c r="B3909">
        <v>2013</v>
      </c>
      <c r="C3909" t="str">
        <f>_xlfn.CONCAT(Table16[[#This Row],[STATE]],"-",Table16[[#This Row],[YEAR]])</f>
        <v>Maharashtra-2013</v>
      </c>
      <c r="D3909" t="s">
        <v>230</v>
      </c>
      <c r="E3909">
        <v>580</v>
      </c>
    </row>
    <row r="3910" spans="1:5" x14ac:dyDescent="0.3">
      <c r="A3910" t="s">
        <v>20</v>
      </c>
      <c r="B3910">
        <v>2013</v>
      </c>
      <c r="C3910" t="str">
        <f>_xlfn.CONCAT(Table16[[#This Row],[STATE]],"-",Table16[[#This Row],[YEAR]])</f>
        <v>Maharashtra-2013</v>
      </c>
      <c r="D3910" t="s">
        <v>109</v>
      </c>
      <c r="E3910">
        <v>22</v>
      </c>
    </row>
    <row r="3911" spans="1:5" x14ac:dyDescent="0.3">
      <c r="A3911" t="s">
        <v>20</v>
      </c>
      <c r="B3911">
        <v>2013</v>
      </c>
      <c r="C3911" t="str">
        <f>_xlfn.CONCAT(Table16[[#This Row],[STATE]],"-",Table16[[#This Row],[YEAR]])</f>
        <v>Maharashtra-2013</v>
      </c>
      <c r="D3911" t="s">
        <v>193</v>
      </c>
      <c r="E3911">
        <v>245</v>
      </c>
    </row>
    <row r="3912" spans="1:5" x14ac:dyDescent="0.3">
      <c r="A3912" t="s">
        <v>21</v>
      </c>
      <c r="B3912">
        <v>2013</v>
      </c>
      <c r="C3912" t="str">
        <f>_xlfn.CONCAT(Table16[[#This Row],[STATE]],"-",Table16[[#This Row],[YEAR]])</f>
        <v>Manipur-2013</v>
      </c>
      <c r="D3912" t="s">
        <v>140</v>
      </c>
      <c r="E3912">
        <v>15</v>
      </c>
    </row>
    <row r="3913" spans="1:5" x14ac:dyDescent="0.3">
      <c r="A3913" t="s">
        <v>21</v>
      </c>
      <c r="B3913">
        <v>2013</v>
      </c>
      <c r="C3913" t="str">
        <f>_xlfn.CONCAT(Table16[[#This Row],[STATE]],"-",Table16[[#This Row],[YEAR]])</f>
        <v>Manipur-2013</v>
      </c>
      <c r="D3913" t="s">
        <v>103</v>
      </c>
      <c r="E3913">
        <v>15</v>
      </c>
    </row>
    <row r="3914" spans="1:5" x14ac:dyDescent="0.3">
      <c r="A3914" t="s">
        <v>22</v>
      </c>
      <c r="B3914">
        <v>2013</v>
      </c>
      <c r="C3914" t="str">
        <f>_xlfn.CONCAT(Table16[[#This Row],[STATE]],"-",Table16[[#This Row],[YEAR]])</f>
        <v>Meghalaya-2013</v>
      </c>
      <c r="D3914" t="s">
        <v>1272</v>
      </c>
      <c r="E3914">
        <v>62</v>
      </c>
    </row>
    <row r="3915" spans="1:5" x14ac:dyDescent="0.3">
      <c r="A3915" t="s">
        <v>22</v>
      </c>
      <c r="B3915">
        <v>2013</v>
      </c>
      <c r="C3915" t="str">
        <f>_xlfn.CONCAT(Table16[[#This Row],[STATE]],"-",Table16[[#This Row],[YEAR]])</f>
        <v>Meghalaya-2013</v>
      </c>
      <c r="D3915" t="s">
        <v>314</v>
      </c>
      <c r="E3915">
        <v>44</v>
      </c>
    </row>
    <row r="3916" spans="1:5" x14ac:dyDescent="0.3">
      <c r="A3916" t="s">
        <v>23</v>
      </c>
      <c r="B3916">
        <v>2013</v>
      </c>
      <c r="C3916" t="str">
        <f>_xlfn.CONCAT(Table16[[#This Row],[STATE]],"-",Table16[[#This Row],[YEAR]])</f>
        <v>Mizoram-2013</v>
      </c>
      <c r="D3916" t="s">
        <v>447</v>
      </c>
      <c r="E3916">
        <v>35</v>
      </c>
    </row>
    <row r="3917" spans="1:5" x14ac:dyDescent="0.3">
      <c r="A3917" t="s">
        <v>23</v>
      </c>
      <c r="B3917">
        <v>2013</v>
      </c>
      <c r="C3917" t="str">
        <f>_xlfn.CONCAT(Table16[[#This Row],[STATE]],"-",Table16[[#This Row],[YEAR]])</f>
        <v>Mizoram-2013</v>
      </c>
      <c r="D3917" t="s">
        <v>185</v>
      </c>
      <c r="E3917">
        <v>15</v>
      </c>
    </row>
    <row r="3918" spans="1:5" x14ac:dyDescent="0.3">
      <c r="A3918" t="s">
        <v>23</v>
      </c>
      <c r="B3918">
        <v>2013</v>
      </c>
      <c r="C3918" t="str">
        <f>_xlfn.CONCAT(Table16[[#This Row],[STATE]],"-",Table16[[#This Row],[YEAR]])</f>
        <v>Mizoram-2013</v>
      </c>
      <c r="D3918" t="s">
        <v>103</v>
      </c>
      <c r="E3918">
        <v>12</v>
      </c>
    </row>
    <row r="3919" spans="1:5" x14ac:dyDescent="0.3">
      <c r="A3919" t="s">
        <v>24</v>
      </c>
      <c r="B3919">
        <v>2013</v>
      </c>
      <c r="C3919" t="str">
        <f>_xlfn.CONCAT(Table16[[#This Row],[STATE]],"-",Table16[[#This Row],[YEAR]])</f>
        <v>Nagaland-2013</v>
      </c>
      <c r="D3919" t="s">
        <v>103</v>
      </c>
      <c r="E3919">
        <v>9</v>
      </c>
    </row>
    <row r="3920" spans="1:5" x14ac:dyDescent="0.3">
      <c r="A3920" t="s">
        <v>25</v>
      </c>
      <c r="B3920">
        <v>2013</v>
      </c>
      <c r="C3920" t="str">
        <f>_xlfn.CONCAT(Table16[[#This Row],[STATE]],"-",Table16[[#This Row],[YEAR]])</f>
        <v>Orissa-2013</v>
      </c>
      <c r="D3920" t="s">
        <v>1273</v>
      </c>
      <c r="E3920">
        <v>349</v>
      </c>
    </row>
    <row r="3921" spans="1:5" x14ac:dyDescent="0.3">
      <c r="A3921" t="s">
        <v>25</v>
      </c>
      <c r="B3921">
        <v>2013</v>
      </c>
      <c r="C3921" t="str">
        <f>_xlfn.CONCAT(Table16[[#This Row],[STATE]],"-",Table16[[#This Row],[YEAR]])</f>
        <v>Orissa-2013</v>
      </c>
      <c r="D3921" t="s">
        <v>773</v>
      </c>
      <c r="E3921">
        <v>32</v>
      </c>
    </row>
    <row r="3922" spans="1:5" x14ac:dyDescent="0.3">
      <c r="A3922" t="s">
        <v>25</v>
      </c>
      <c r="B3922">
        <v>2013</v>
      </c>
      <c r="C3922" t="str">
        <f>_xlfn.CONCAT(Table16[[#This Row],[STATE]],"-",Table16[[#This Row],[YEAR]])</f>
        <v>Orissa-2013</v>
      </c>
      <c r="D3922" t="s">
        <v>777</v>
      </c>
      <c r="E3922">
        <v>45</v>
      </c>
    </row>
    <row r="3923" spans="1:5" x14ac:dyDescent="0.3">
      <c r="A3923" t="s">
        <v>25</v>
      </c>
      <c r="B3923">
        <v>2013</v>
      </c>
      <c r="C3923" t="str">
        <f>_xlfn.CONCAT(Table16[[#This Row],[STATE]],"-",Table16[[#This Row],[YEAR]])</f>
        <v>Orissa-2013</v>
      </c>
      <c r="D3923" t="s">
        <v>103</v>
      </c>
      <c r="E3923">
        <v>193</v>
      </c>
    </row>
    <row r="3924" spans="1:5" x14ac:dyDescent="0.3">
      <c r="A3924" t="s">
        <v>25</v>
      </c>
      <c r="B3924">
        <v>2013</v>
      </c>
      <c r="C3924" t="str">
        <f>_xlfn.CONCAT(Table16[[#This Row],[STATE]],"-",Table16[[#This Row],[YEAR]])</f>
        <v>Orissa-2013</v>
      </c>
      <c r="D3924" t="s">
        <v>314</v>
      </c>
      <c r="E3924">
        <v>67</v>
      </c>
    </row>
    <row r="3925" spans="1:5" x14ac:dyDescent="0.3">
      <c r="A3925" t="s">
        <v>25</v>
      </c>
      <c r="B3925">
        <v>2013</v>
      </c>
      <c r="C3925" t="str">
        <f>_xlfn.CONCAT(Table16[[#This Row],[STATE]],"-",Table16[[#This Row],[YEAR]])</f>
        <v>Orissa-2013</v>
      </c>
      <c r="D3925" t="s">
        <v>1274</v>
      </c>
      <c r="E3925">
        <v>163</v>
      </c>
    </row>
    <row r="3926" spans="1:5" x14ac:dyDescent="0.3">
      <c r="A3926" t="s">
        <v>26</v>
      </c>
      <c r="B3926">
        <v>2013</v>
      </c>
      <c r="C3926" t="str">
        <f>_xlfn.CONCAT(Table16[[#This Row],[STATE]],"-",Table16[[#This Row],[YEAR]])</f>
        <v>Punjab-2013</v>
      </c>
      <c r="D3926" t="s">
        <v>314</v>
      </c>
      <c r="E3926">
        <v>710</v>
      </c>
    </row>
    <row r="3927" spans="1:5" x14ac:dyDescent="0.3">
      <c r="A3927" t="s">
        <v>26</v>
      </c>
      <c r="B3927">
        <v>2013</v>
      </c>
      <c r="C3927" t="str">
        <f>_xlfn.CONCAT(Table16[[#This Row],[STATE]],"-",Table16[[#This Row],[YEAR]])</f>
        <v>Punjab-2013</v>
      </c>
      <c r="D3927" t="s">
        <v>90</v>
      </c>
      <c r="E3927">
        <v>2183</v>
      </c>
    </row>
    <row r="3928" spans="1:5" x14ac:dyDescent="0.3">
      <c r="A3928" t="s">
        <v>26</v>
      </c>
      <c r="B3928">
        <v>2013</v>
      </c>
      <c r="C3928" t="str">
        <f>_xlfn.CONCAT(Table16[[#This Row],[STATE]],"-",Table16[[#This Row],[YEAR]])</f>
        <v>Punjab-2013</v>
      </c>
      <c r="D3928" t="s">
        <v>793</v>
      </c>
      <c r="E3928">
        <v>30</v>
      </c>
    </row>
    <row r="3929" spans="1:5" x14ac:dyDescent="0.3">
      <c r="A3929" t="s">
        <v>26</v>
      </c>
      <c r="B3929">
        <v>2013</v>
      </c>
      <c r="C3929" t="str">
        <f>_xlfn.CONCAT(Table16[[#This Row],[STATE]],"-",Table16[[#This Row],[YEAR]])</f>
        <v>Punjab-2013</v>
      </c>
      <c r="D3929" t="s">
        <v>390</v>
      </c>
      <c r="E3929">
        <v>46</v>
      </c>
    </row>
    <row r="3930" spans="1:5" x14ac:dyDescent="0.3">
      <c r="A3930" t="s">
        <v>26</v>
      </c>
      <c r="B3930">
        <v>2013</v>
      </c>
      <c r="C3930" t="str">
        <f>_xlfn.CONCAT(Table16[[#This Row],[STATE]],"-",Table16[[#This Row],[YEAR]])</f>
        <v>Punjab-2013</v>
      </c>
      <c r="D3930" t="s">
        <v>794</v>
      </c>
      <c r="E3930">
        <v>52</v>
      </c>
    </row>
    <row r="3931" spans="1:5" x14ac:dyDescent="0.3">
      <c r="A3931" t="s">
        <v>26</v>
      </c>
      <c r="B3931">
        <v>2013</v>
      </c>
      <c r="C3931" t="str">
        <f>_xlfn.CONCAT(Table16[[#This Row],[STATE]],"-",Table16[[#This Row],[YEAR]])</f>
        <v>Punjab-2013</v>
      </c>
      <c r="D3931" t="s">
        <v>385</v>
      </c>
      <c r="E3931">
        <v>38</v>
      </c>
    </row>
    <row r="3932" spans="1:5" x14ac:dyDescent="0.3">
      <c r="A3932" t="s">
        <v>26</v>
      </c>
      <c r="B3932">
        <v>2013</v>
      </c>
      <c r="C3932" t="str">
        <f>_xlfn.CONCAT(Table16[[#This Row],[STATE]],"-",Table16[[#This Row],[YEAR]])</f>
        <v>Punjab-2013</v>
      </c>
      <c r="D3932" t="s">
        <v>777</v>
      </c>
      <c r="E3932">
        <v>39</v>
      </c>
    </row>
    <row r="3933" spans="1:5" x14ac:dyDescent="0.3">
      <c r="A3933" t="s">
        <v>26</v>
      </c>
      <c r="B3933">
        <v>2013</v>
      </c>
      <c r="C3933" t="str">
        <f>_xlfn.CONCAT(Table16[[#This Row],[STATE]],"-",Table16[[#This Row],[YEAR]])</f>
        <v>Punjab-2013</v>
      </c>
      <c r="D3933" t="s">
        <v>102</v>
      </c>
      <c r="E3933">
        <v>669</v>
      </c>
    </row>
    <row r="3934" spans="1:5" x14ac:dyDescent="0.3">
      <c r="A3934" t="s">
        <v>26</v>
      </c>
      <c r="B3934">
        <v>2013</v>
      </c>
      <c r="C3934" t="str">
        <f>_xlfn.CONCAT(Table16[[#This Row],[STATE]],"-",Table16[[#This Row],[YEAR]])</f>
        <v>Punjab-2013</v>
      </c>
      <c r="D3934" t="s">
        <v>103</v>
      </c>
      <c r="E3934">
        <v>271</v>
      </c>
    </row>
    <row r="3935" spans="1:5" x14ac:dyDescent="0.3">
      <c r="A3935" t="s">
        <v>26</v>
      </c>
      <c r="B3935">
        <v>2013</v>
      </c>
      <c r="C3935" t="str">
        <f>_xlfn.CONCAT(Table16[[#This Row],[STATE]],"-",Table16[[#This Row],[YEAR]])</f>
        <v>Punjab-2013</v>
      </c>
      <c r="D3935" t="s">
        <v>801</v>
      </c>
      <c r="E3935">
        <v>496</v>
      </c>
    </row>
    <row r="3936" spans="1:5" x14ac:dyDescent="0.3">
      <c r="A3936" t="s">
        <v>26</v>
      </c>
      <c r="B3936">
        <v>2013</v>
      </c>
      <c r="C3936" t="str">
        <f>_xlfn.CONCAT(Table16[[#This Row],[STATE]],"-",Table16[[#This Row],[YEAR]])</f>
        <v>Punjab-2013</v>
      </c>
      <c r="D3936" t="s">
        <v>800</v>
      </c>
      <c r="E3936">
        <v>404</v>
      </c>
    </row>
    <row r="3937" spans="1:5" x14ac:dyDescent="0.3">
      <c r="A3937" t="s">
        <v>26</v>
      </c>
      <c r="B3937">
        <v>2013</v>
      </c>
      <c r="C3937" t="str">
        <f>_xlfn.CONCAT(Table16[[#This Row],[STATE]],"-",Table16[[#This Row],[YEAR]])</f>
        <v>Punjab-2013</v>
      </c>
      <c r="D3937" t="s">
        <v>197</v>
      </c>
      <c r="E3937">
        <v>1673</v>
      </c>
    </row>
    <row r="3938" spans="1:5" x14ac:dyDescent="0.3">
      <c r="A3938" t="s">
        <v>26</v>
      </c>
      <c r="B3938">
        <v>2013</v>
      </c>
      <c r="C3938" t="str">
        <f>_xlfn.CONCAT(Table16[[#This Row],[STATE]],"-",Table16[[#This Row],[YEAR]])</f>
        <v>Punjab-2013</v>
      </c>
      <c r="D3938" t="s">
        <v>795</v>
      </c>
      <c r="E3938">
        <v>149</v>
      </c>
    </row>
    <row r="3939" spans="1:5" x14ac:dyDescent="0.3">
      <c r="A3939" t="s">
        <v>26</v>
      </c>
      <c r="B3939">
        <v>2013</v>
      </c>
      <c r="C3939" t="str">
        <f>_xlfn.CONCAT(Table16[[#This Row],[STATE]],"-",Table16[[#This Row],[YEAR]])</f>
        <v>Punjab-2013</v>
      </c>
      <c r="D3939" t="s">
        <v>698</v>
      </c>
      <c r="E3939">
        <v>88</v>
      </c>
    </row>
    <row r="3940" spans="1:5" x14ac:dyDescent="0.3">
      <c r="A3940" t="s">
        <v>26</v>
      </c>
      <c r="B3940">
        <v>2013</v>
      </c>
      <c r="C3940" t="str">
        <f>_xlfn.CONCAT(Table16[[#This Row],[STATE]],"-",Table16[[#This Row],[YEAR]])</f>
        <v>Punjab-2013</v>
      </c>
      <c r="D3940" t="s">
        <v>1252</v>
      </c>
      <c r="E3940">
        <v>18</v>
      </c>
    </row>
    <row r="3941" spans="1:5" x14ac:dyDescent="0.3">
      <c r="A3941" t="s">
        <v>26</v>
      </c>
      <c r="B3941">
        <v>2013</v>
      </c>
      <c r="C3941" t="str">
        <f>_xlfn.CONCAT(Table16[[#This Row],[STATE]],"-",Table16[[#This Row],[YEAR]])</f>
        <v>Punjab-2013</v>
      </c>
      <c r="D3941" t="s">
        <v>1275</v>
      </c>
      <c r="E3941">
        <v>3486</v>
      </c>
    </row>
    <row r="3942" spans="1:5" x14ac:dyDescent="0.3">
      <c r="A3942" t="s">
        <v>27</v>
      </c>
      <c r="B3942">
        <v>2013</v>
      </c>
      <c r="C3942" t="str">
        <f>_xlfn.CONCAT(Table16[[#This Row],[STATE]],"-",Table16[[#This Row],[YEAR]])</f>
        <v>Rajasthan-2013</v>
      </c>
      <c r="D3942" t="s">
        <v>1276</v>
      </c>
      <c r="E3942">
        <v>1527</v>
      </c>
    </row>
    <row r="3943" spans="1:5" x14ac:dyDescent="0.3">
      <c r="A3943" t="s">
        <v>27</v>
      </c>
      <c r="B3943">
        <v>2013</v>
      </c>
      <c r="C3943" t="str">
        <f>_xlfn.CONCAT(Table16[[#This Row],[STATE]],"-",Table16[[#This Row],[YEAR]])</f>
        <v>Rajasthan-2013</v>
      </c>
      <c r="D3943" t="s">
        <v>1277</v>
      </c>
      <c r="E3943">
        <v>1138</v>
      </c>
    </row>
    <row r="3944" spans="1:5" x14ac:dyDescent="0.3">
      <c r="A3944" t="s">
        <v>27</v>
      </c>
      <c r="B3944">
        <v>2013</v>
      </c>
      <c r="C3944" t="str">
        <f>_xlfn.CONCAT(Table16[[#This Row],[STATE]],"-",Table16[[#This Row],[YEAR]])</f>
        <v>Rajasthan-2013</v>
      </c>
      <c r="D3944" t="s">
        <v>103</v>
      </c>
      <c r="E3944">
        <v>536</v>
      </c>
    </row>
    <row r="3945" spans="1:5" x14ac:dyDescent="0.3">
      <c r="A3945" t="s">
        <v>27</v>
      </c>
      <c r="B3945">
        <v>2013</v>
      </c>
      <c r="C3945" t="str">
        <f>_xlfn.CONCAT(Table16[[#This Row],[STATE]],"-",Table16[[#This Row],[YEAR]])</f>
        <v>Rajasthan-2013</v>
      </c>
      <c r="D3945" t="s">
        <v>390</v>
      </c>
      <c r="E3945">
        <v>1722</v>
      </c>
    </row>
    <row r="3946" spans="1:5" x14ac:dyDescent="0.3">
      <c r="A3946" t="s">
        <v>27</v>
      </c>
      <c r="B3946">
        <v>2013</v>
      </c>
      <c r="C3946" t="str">
        <f>_xlfn.CONCAT(Table16[[#This Row],[STATE]],"-",Table16[[#This Row],[YEAR]])</f>
        <v>Rajasthan-2013</v>
      </c>
      <c r="D3946" t="s">
        <v>773</v>
      </c>
      <c r="E3946">
        <v>911</v>
      </c>
    </row>
    <row r="3947" spans="1:5" x14ac:dyDescent="0.3">
      <c r="A3947" t="s">
        <v>27</v>
      </c>
      <c r="B3947">
        <v>2013</v>
      </c>
      <c r="C3947" t="str">
        <f>_xlfn.CONCAT(Table16[[#This Row],[STATE]],"-",Table16[[#This Row],[YEAR]])</f>
        <v>Rajasthan-2013</v>
      </c>
      <c r="D3947" t="s">
        <v>1278</v>
      </c>
      <c r="E3947">
        <v>241</v>
      </c>
    </row>
    <row r="3948" spans="1:5" x14ac:dyDescent="0.3">
      <c r="A3948" t="s">
        <v>27</v>
      </c>
      <c r="B3948">
        <v>2013</v>
      </c>
      <c r="C3948" t="str">
        <f>_xlfn.CONCAT(Table16[[#This Row],[STATE]],"-",Table16[[#This Row],[YEAR]])</f>
        <v>Rajasthan-2013</v>
      </c>
      <c r="D3948" t="s">
        <v>811</v>
      </c>
      <c r="E3948">
        <v>7</v>
      </c>
    </row>
    <row r="3949" spans="1:5" x14ac:dyDescent="0.3">
      <c r="A3949" t="s">
        <v>27</v>
      </c>
      <c r="B3949">
        <v>2013</v>
      </c>
      <c r="C3949" t="str">
        <f>_xlfn.CONCAT(Table16[[#This Row],[STATE]],"-",Table16[[#This Row],[YEAR]])</f>
        <v>Rajasthan-2013</v>
      </c>
      <c r="D3949" t="s">
        <v>806</v>
      </c>
      <c r="E3949">
        <v>26</v>
      </c>
    </row>
    <row r="3950" spans="1:5" x14ac:dyDescent="0.3">
      <c r="A3950" t="s">
        <v>27</v>
      </c>
      <c r="B3950">
        <v>2013</v>
      </c>
      <c r="C3950" t="str">
        <f>_xlfn.CONCAT(Table16[[#This Row],[STATE]],"-",Table16[[#This Row],[YEAR]])</f>
        <v>Rajasthan-2013</v>
      </c>
      <c r="D3950" t="s">
        <v>1270</v>
      </c>
      <c r="E3950">
        <v>12</v>
      </c>
    </row>
    <row r="3951" spans="1:5" x14ac:dyDescent="0.3">
      <c r="A3951" t="s">
        <v>27</v>
      </c>
      <c r="B3951">
        <v>2013</v>
      </c>
      <c r="C3951" t="str">
        <f>_xlfn.CONCAT(Table16[[#This Row],[STATE]],"-",Table16[[#This Row],[YEAR]])</f>
        <v>Rajasthan-2013</v>
      </c>
      <c r="D3951" t="s">
        <v>1137</v>
      </c>
      <c r="E3951">
        <v>342</v>
      </c>
    </row>
    <row r="3952" spans="1:5" x14ac:dyDescent="0.3">
      <c r="A3952" t="s">
        <v>27</v>
      </c>
      <c r="B3952">
        <v>2013</v>
      </c>
      <c r="C3952" t="str">
        <f>_xlfn.CONCAT(Table16[[#This Row],[STATE]],"-",Table16[[#This Row],[YEAR]])</f>
        <v>Rajasthan-2013</v>
      </c>
      <c r="D3952" t="s">
        <v>193</v>
      </c>
      <c r="E3952">
        <v>13</v>
      </c>
    </row>
    <row r="3953" spans="1:5" x14ac:dyDescent="0.3">
      <c r="A3953" t="s">
        <v>28</v>
      </c>
      <c r="B3953">
        <v>2013</v>
      </c>
      <c r="C3953" t="str">
        <f>_xlfn.CONCAT(Table16[[#This Row],[STATE]],"-",Table16[[#This Row],[YEAR]])</f>
        <v>Sikkim-2013</v>
      </c>
      <c r="D3953" t="s">
        <v>1279</v>
      </c>
      <c r="E3953">
        <v>18</v>
      </c>
    </row>
    <row r="3954" spans="1:5" x14ac:dyDescent="0.3">
      <c r="A3954" t="s">
        <v>28</v>
      </c>
      <c r="B3954">
        <v>2013</v>
      </c>
      <c r="C3954" t="str">
        <f>_xlfn.CONCAT(Table16[[#This Row],[STATE]],"-",Table16[[#This Row],[YEAR]])</f>
        <v>Sikkim-2013</v>
      </c>
      <c r="D3954" t="s">
        <v>829</v>
      </c>
      <c r="E3954">
        <v>1</v>
      </c>
    </row>
    <row r="3955" spans="1:5" x14ac:dyDescent="0.3">
      <c r="A3955" t="s">
        <v>28</v>
      </c>
      <c r="B3955">
        <v>2013</v>
      </c>
      <c r="C3955" t="str">
        <f>_xlfn.CONCAT(Table16[[#This Row],[STATE]],"-",Table16[[#This Row],[YEAR]])</f>
        <v>Sikkim-2013</v>
      </c>
      <c r="D3955" t="s">
        <v>103</v>
      </c>
      <c r="E3955">
        <v>1</v>
      </c>
    </row>
    <row r="3956" spans="1:5" x14ac:dyDescent="0.3">
      <c r="A3956" t="s">
        <v>28</v>
      </c>
      <c r="B3956">
        <v>2013</v>
      </c>
      <c r="C3956" t="str">
        <f>_xlfn.CONCAT(Table16[[#This Row],[STATE]],"-",Table16[[#This Row],[YEAR]])</f>
        <v>Sikkim-2013</v>
      </c>
      <c r="D3956" t="s">
        <v>830</v>
      </c>
      <c r="E3956">
        <v>4</v>
      </c>
    </row>
    <row r="3957" spans="1:5" x14ac:dyDescent="0.3">
      <c r="A3957" t="s">
        <v>28</v>
      </c>
      <c r="B3957">
        <v>2013</v>
      </c>
      <c r="C3957" t="str">
        <f>_xlfn.CONCAT(Table16[[#This Row],[STATE]],"-",Table16[[#This Row],[YEAR]])</f>
        <v>Sikkim-2013</v>
      </c>
      <c r="D3957" t="s">
        <v>314</v>
      </c>
      <c r="E3957">
        <v>10</v>
      </c>
    </row>
    <row r="3958" spans="1:5" x14ac:dyDescent="0.3">
      <c r="A3958" t="s">
        <v>28</v>
      </c>
      <c r="B3958">
        <v>2013</v>
      </c>
      <c r="C3958" t="str">
        <f>_xlfn.CONCAT(Table16[[#This Row],[STATE]],"-",Table16[[#This Row],[YEAR]])</f>
        <v>Sikkim-2013</v>
      </c>
      <c r="D3958" t="s">
        <v>197</v>
      </c>
      <c r="E3958">
        <v>4</v>
      </c>
    </row>
    <row r="3959" spans="1:5" x14ac:dyDescent="0.3">
      <c r="A3959" t="s">
        <v>28</v>
      </c>
      <c r="B3959">
        <v>2013</v>
      </c>
      <c r="C3959" t="str">
        <f>_xlfn.CONCAT(Table16[[#This Row],[STATE]],"-",Table16[[#This Row],[YEAR]])</f>
        <v>Sikkim-2013</v>
      </c>
      <c r="D3959" t="s">
        <v>1280</v>
      </c>
      <c r="E3959">
        <v>1</v>
      </c>
    </row>
    <row r="3960" spans="1:5" x14ac:dyDescent="0.3">
      <c r="A3960" t="s">
        <v>28</v>
      </c>
      <c r="B3960">
        <v>2013</v>
      </c>
      <c r="C3960" t="str">
        <f>_xlfn.CONCAT(Table16[[#This Row],[STATE]],"-",Table16[[#This Row],[YEAR]])</f>
        <v>Sikkim-2013</v>
      </c>
      <c r="D3960" t="s">
        <v>840</v>
      </c>
      <c r="E3960">
        <v>6</v>
      </c>
    </row>
    <row r="3961" spans="1:5" x14ac:dyDescent="0.3">
      <c r="A3961" t="s">
        <v>28</v>
      </c>
      <c r="B3961">
        <v>2013</v>
      </c>
      <c r="C3961" t="str">
        <f>_xlfn.CONCAT(Table16[[#This Row],[STATE]],"-",Table16[[#This Row],[YEAR]])</f>
        <v>Sikkim-2013</v>
      </c>
      <c r="D3961" t="s">
        <v>837</v>
      </c>
      <c r="E3961">
        <v>2</v>
      </c>
    </row>
    <row r="3962" spans="1:5" x14ac:dyDescent="0.3">
      <c r="A3962" t="s">
        <v>29</v>
      </c>
      <c r="B3962">
        <v>2013</v>
      </c>
      <c r="C3962" t="str">
        <f>_xlfn.CONCAT(Table16[[#This Row],[STATE]],"-",Table16[[#This Row],[YEAR]])</f>
        <v>Tamilnadu-2013</v>
      </c>
      <c r="D3962" t="s">
        <v>1166</v>
      </c>
      <c r="E3962">
        <v>152</v>
      </c>
    </row>
    <row r="3963" spans="1:5" x14ac:dyDescent="0.3">
      <c r="A3963" t="s">
        <v>29</v>
      </c>
      <c r="B3963">
        <v>2013</v>
      </c>
      <c r="C3963" t="str">
        <f>_xlfn.CONCAT(Table16[[#This Row],[STATE]],"-",Table16[[#This Row],[YEAR]])</f>
        <v>Tamilnadu-2013</v>
      </c>
      <c r="D3963" t="s">
        <v>196</v>
      </c>
      <c r="E3963">
        <v>112</v>
      </c>
    </row>
    <row r="3964" spans="1:5" x14ac:dyDescent="0.3">
      <c r="A3964" t="s">
        <v>29</v>
      </c>
      <c r="B3964">
        <v>2013</v>
      </c>
      <c r="C3964" t="str">
        <f>_xlfn.CONCAT(Table16[[#This Row],[STATE]],"-",Table16[[#This Row],[YEAR]])</f>
        <v>Tamilnadu-2013</v>
      </c>
      <c r="D3964" t="s">
        <v>360</v>
      </c>
      <c r="E3964">
        <v>515</v>
      </c>
    </row>
    <row r="3965" spans="1:5" x14ac:dyDescent="0.3">
      <c r="A3965" t="s">
        <v>29</v>
      </c>
      <c r="B3965">
        <v>2013</v>
      </c>
      <c r="C3965" t="str">
        <f>_xlfn.CONCAT(Table16[[#This Row],[STATE]],"-",Table16[[#This Row],[YEAR]])</f>
        <v>Tamilnadu-2013</v>
      </c>
      <c r="D3965" t="s">
        <v>1281</v>
      </c>
      <c r="E3965">
        <v>29</v>
      </c>
    </row>
    <row r="3966" spans="1:5" x14ac:dyDescent="0.3">
      <c r="A3966" t="s">
        <v>29</v>
      </c>
      <c r="B3966">
        <v>2013</v>
      </c>
      <c r="C3966" t="str">
        <f>_xlfn.CONCAT(Table16[[#This Row],[STATE]],"-",Table16[[#This Row],[YEAR]])</f>
        <v>Tamilnadu-2013</v>
      </c>
      <c r="D3966" t="s">
        <v>1282</v>
      </c>
      <c r="E3966">
        <v>12</v>
      </c>
    </row>
    <row r="3967" spans="1:5" x14ac:dyDescent="0.3">
      <c r="A3967" t="s">
        <v>29</v>
      </c>
      <c r="B3967">
        <v>2013</v>
      </c>
      <c r="C3967" t="str">
        <f>_xlfn.CONCAT(Table16[[#This Row],[STATE]],"-",Table16[[#This Row],[YEAR]])</f>
        <v>Tamilnadu-2013</v>
      </c>
      <c r="D3967" t="s">
        <v>90</v>
      </c>
      <c r="E3967">
        <v>197</v>
      </c>
    </row>
    <row r="3968" spans="1:5" x14ac:dyDescent="0.3">
      <c r="A3968" t="s">
        <v>29</v>
      </c>
      <c r="B3968">
        <v>2013</v>
      </c>
      <c r="C3968" t="str">
        <f>_xlfn.CONCAT(Table16[[#This Row],[STATE]],"-",Table16[[#This Row],[YEAR]])</f>
        <v>Tamilnadu-2013</v>
      </c>
      <c r="D3968" t="s">
        <v>1283</v>
      </c>
      <c r="E3968">
        <v>30</v>
      </c>
    </row>
    <row r="3969" spans="1:5" x14ac:dyDescent="0.3">
      <c r="A3969" t="s">
        <v>29</v>
      </c>
      <c r="B3969">
        <v>2013</v>
      </c>
      <c r="C3969" t="str">
        <f>_xlfn.CONCAT(Table16[[#This Row],[STATE]],"-",Table16[[#This Row],[YEAR]])</f>
        <v>Tamilnadu-2013</v>
      </c>
      <c r="D3969" t="s">
        <v>1284</v>
      </c>
      <c r="E3969">
        <v>16</v>
      </c>
    </row>
    <row r="3970" spans="1:5" x14ac:dyDescent="0.3">
      <c r="A3970" t="s">
        <v>29</v>
      </c>
      <c r="B3970">
        <v>2013</v>
      </c>
      <c r="C3970" t="str">
        <f>_xlfn.CONCAT(Table16[[#This Row],[STATE]],"-",Table16[[#This Row],[YEAR]])</f>
        <v>Tamilnadu-2013</v>
      </c>
      <c r="D3970" t="s">
        <v>1285</v>
      </c>
      <c r="E3970">
        <v>15</v>
      </c>
    </row>
    <row r="3971" spans="1:5" x14ac:dyDescent="0.3">
      <c r="A3971" t="s">
        <v>29</v>
      </c>
      <c r="B3971">
        <v>2013</v>
      </c>
      <c r="C3971" t="str">
        <f>_xlfn.CONCAT(Table16[[#This Row],[STATE]],"-",Table16[[#This Row],[YEAR]])</f>
        <v>Tamilnadu-2013</v>
      </c>
      <c r="D3971" t="s">
        <v>1286</v>
      </c>
      <c r="E3971">
        <v>8</v>
      </c>
    </row>
    <row r="3972" spans="1:5" x14ac:dyDescent="0.3">
      <c r="A3972" t="s">
        <v>29</v>
      </c>
      <c r="B3972">
        <v>2013</v>
      </c>
      <c r="C3972" t="str">
        <f>_xlfn.CONCAT(Table16[[#This Row],[STATE]],"-",Table16[[#This Row],[YEAR]])</f>
        <v>Tamilnadu-2013</v>
      </c>
      <c r="D3972" t="s">
        <v>1287</v>
      </c>
      <c r="E3972">
        <v>476</v>
      </c>
    </row>
    <row r="3973" spans="1:5" x14ac:dyDescent="0.3">
      <c r="A3973" t="s">
        <v>29</v>
      </c>
      <c r="B3973">
        <v>2013</v>
      </c>
      <c r="C3973" t="str">
        <f>_xlfn.CONCAT(Table16[[#This Row],[STATE]],"-",Table16[[#This Row],[YEAR]])</f>
        <v>Tamilnadu-2013</v>
      </c>
      <c r="D3973" t="s">
        <v>1132</v>
      </c>
      <c r="E3973">
        <v>65</v>
      </c>
    </row>
    <row r="3974" spans="1:5" x14ac:dyDescent="0.3">
      <c r="A3974" t="s">
        <v>29</v>
      </c>
      <c r="B3974">
        <v>2013</v>
      </c>
      <c r="C3974" t="str">
        <f>_xlfn.CONCAT(Table16[[#This Row],[STATE]],"-",Table16[[#This Row],[YEAR]])</f>
        <v>Tamilnadu-2013</v>
      </c>
      <c r="D3974" t="s">
        <v>1288</v>
      </c>
      <c r="E3974">
        <v>35</v>
      </c>
    </row>
    <row r="3975" spans="1:5" x14ac:dyDescent="0.3">
      <c r="A3975" t="s">
        <v>29</v>
      </c>
      <c r="B3975">
        <v>2013</v>
      </c>
      <c r="C3975" t="str">
        <f>_xlfn.CONCAT(Table16[[#This Row],[STATE]],"-",Table16[[#This Row],[YEAR]])</f>
        <v>Tamilnadu-2013</v>
      </c>
      <c r="D3975" t="s">
        <v>1289</v>
      </c>
      <c r="E3975">
        <v>25</v>
      </c>
    </row>
    <row r="3976" spans="1:5" x14ac:dyDescent="0.3">
      <c r="A3976" t="s">
        <v>29</v>
      </c>
      <c r="B3976">
        <v>2013</v>
      </c>
      <c r="C3976" t="str">
        <f>_xlfn.CONCAT(Table16[[#This Row],[STATE]],"-",Table16[[#This Row],[YEAR]])</f>
        <v>Tamilnadu-2013</v>
      </c>
      <c r="D3976" t="s">
        <v>1290</v>
      </c>
      <c r="E3976">
        <v>40</v>
      </c>
    </row>
    <row r="3977" spans="1:5" x14ac:dyDescent="0.3">
      <c r="A3977" t="s">
        <v>29</v>
      </c>
      <c r="B3977">
        <v>2013</v>
      </c>
      <c r="C3977" t="str">
        <f>_xlfn.CONCAT(Table16[[#This Row],[STATE]],"-",Table16[[#This Row],[YEAR]])</f>
        <v>Tamilnadu-2013</v>
      </c>
      <c r="D3977" t="s">
        <v>1291</v>
      </c>
      <c r="E3977">
        <v>140</v>
      </c>
    </row>
    <row r="3978" spans="1:5" x14ac:dyDescent="0.3">
      <c r="A3978" t="s">
        <v>29</v>
      </c>
      <c r="B3978">
        <v>2013</v>
      </c>
      <c r="C3978" t="str">
        <f>_xlfn.CONCAT(Table16[[#This Row],[STATE]],"-",Table16[[#This Row],[YEAR]])</f>
        <v>Tamilnadu-2013</v>
      </c>
      <c r="D3978" t="s">
        <v>1292</v>
      </c>
      <c r="E3978">
        <v>20</v>
      </c>
    </row>
    <row r="3979" spans="1:5" x14ac:dyDescent="0.3">
      <c r="A3979" t="s">
        <v>29</v>
      </c>
      <c r="B3979">
        <v>2013</v>
      </c>
      <c r="C3979" t="str">
        <f>_xlfn.CONCAT(Table16[[#This Row],[STATE]],"-",Table16[[#This Row],[YEAR]])</f>
        <v>Tamilnadu-2013</v>
      </c>
      <c r="D3979" t="s">
        <v>913</v>
      </c>
      <c r="E3979">
        <v>20</v>
      </c>
    </row>
    <row r="3980" spans="1:5" x14ac:dyDescent="0.3">
      <c r="A3980" t="s">
        <v>29</v>
      </c>
      <c r="B3980">
        <v>2013</v>
      </c>
      <c r="C3980" t="str">
        <f>_xlfn.CONCAT(Table16[[#This Row],[STATE]],"-",Table16[[#This Row],[YEAR]])</f>
        <v>Tamilnadu-2013</v>
      </c>
      <c r="D3980" t="s">
        <v>1293</v>
      </c>
      <c r="E3980">
        <v>25</v>
      </c>
    </row>
    <row r="3981" spans="1:5" x14ac:dyDescent="0.3">
      <c r="A3981" t="s">
        <v>29</v>
      </c>
      <c r="B3981">
        <v>2013</v>
      </c>
      <c r="C3981" t="str">
        <f>_xlfn.CONCAT(Table16[[#This Row],[STATE]],"-",Table16[[#This Row],[YEAR]])</f>
        <v>Tamilnadu-2013</v>
      </c>
      <c r="D3981" t="s">
        <v>1294</v>
      </c>
      <c r="E3981">
        <v>20</v>
      </c>
    </row>
    <row r="3982" spans="1:5" x14ac:dyDescent="0.3">
      <c r="A3982" t="s">
        <v>29</v>
      </c>
      <c r="B3982">
        <v>2013</v>
      </c>
      <c r="C3982" t="str">
        <f>_xlfn.CONCAT(Table16[[#This Row],[STATE]],"-",Table16[[#This Row],[YEAR]])</f>
        <v>Tamilnadu-2013</v>
      </c>
      <c r="D3982" t="s">
        <v>886</v>
      </c>
      <c r="E3982">
        <v>25</v>
      </c>
    </row>
    <row r="3983" spans="1:5" x14ac:dyDescent="0.3">
      <c r="A3983" t="s">
        <v>29</v>
      </c>
      <c r="B3983">
        <v>2013</v>
      </c>
      <c r="C3983" t="str">
        <f>_xlfn.CONCAT(Table16[[#This Row],[STATE]],"-",Table16[[#This Row],[YEAR]])</f>
        <v>Tamilnadu-2013</v>
      </c>
      <c r="D3983" t="s">
        <v>1295</v>
      </c>
      <c r="E3983">
        <v>30</v>
      </c>
    </row>
    <row r="3984" spans="1:5" x14ac:dyDescent="0.3">
      <c r="A3984" t="s">
        <v>29</v>
      </c>
      <c r="B3984">
        <v>2013</v>
      </c>
      <c r="C3984" t="str">
        <f>_xlfn.CONCAT(Table16[[#This Row],[STATE]],"-",Table16[[#This Row],[YEAR]])</f>
        <v>Tamilnadu-2013</v>
      </c>
      <c r="D3984" t="s">
        <v>1296</v>
      </c>
      <c r="E3984">
        <v>15</v>
      </c>
    </row>
    <row r="3985" spans="1:5" x14ac:dyDescent="0.3">
      <c r="A3985" t="s">
        <v>29</v>
      </c>
      <c r="B3985">
        <v>2013</v>
      </c>
      <c r="C3985" t="str">
        <f>_xlfn.CONCAT(Table16[[#This Row],[STATE]],"-",Table16[[#This Row],[YEAR]])</f>
        <v>Tamilnadu-2013</v>
      </c>
      <c r="D3985" t="s">
        <v>633</v>
      </c>
      <c r="E3985">
        <v>10</v>
      </c>
    </row>
    <row r="3986" spans="1:5" x14ac:dyDescent="0.3">
      <c r="A3986" t="s">
        <v>29</v>
      </c>
      <c r="B3986">
        <v>2013</v>
      </c>
      <c r="C3986" t="str">
        <f>_xlfn.CONCAT(Table16[[#This Row],[STATE]],"-",Table16[[#This Row],[YEAR]])</f>
        <v>Tamilnadu-2013</v>
      </c>
      <c r="D3986" t="s">
        <v>103</v>
      </c>
      <c r="E3986">
        <v>40</v>
      </c>
    </row>
    <row r="3987" spans="1:5" x14ac:dyDescent="0.3">
      <c r="A3987" t="s">
        <v>29</v>
      </c>
      <c r="B3987">
        <v>2013</v>
      </c>
      <c r="C3987" t="str">
        <f>_xlfn.CONCAT(Table16[[#This Row],[STATE]],"-",Table16[[#This Row],[YEAR]])</f>
        <v>Tamilnadu-2013</v>
      </c>
      <c r="D3987" t="s">
        <v>1297</v>
      </c>
      <c r="E3987">
        <v>20</v>
      </c>
    </row>
    <row r="3988" spans="1:5" x14ac:dyDescent="0.3">
      <c r="A3988" t="s">
        <v>29</v>
      </c>
      <c r="B3988">
        <v>2013</v>
      </c>
      <c r="C3988" t="str">
        <f>_xlfn.CONCAT(Table16[[#This Row],[STATE]],"-",Table16[[#This Row],[YEAR]])</f>
        <v>Tamilnadu-2013</v>
      </c>
      <c r="D3988" t="s">
        <v>1298</v>
      </c>
      <c r="E3988">
        <v>13</v>
      </c>
    </row>
    <row r="3989" spans="1:5" x14ac:dyDescent="0.3">
      <c r="A3989" t="s">
        <v>29</v>
      </c>
      <c r="B3989">
        <v>2013</v>
      </c>
      <c r="C3989" t="str">
        <f>_xlfn.CONCAT(Table16[[#This Row],[STATE]],"-",Table16[[#This Row],[YEAR]])</f>
        <v>Tamilnadu-2013</v>
      </c>
      <c r="D3989" t="s">
        <v>1299</v>
      </c>
      <c r="E3989">
        <v>20</v>
      </c>
    </row>
    <row r="3990" spans="1:5" x14ac:dyDescent="0.3">
      <c r="A3990" t="s">
        <v>29</v>
      </c>
      <c r="B3990">
        <v>2013</v>
      </c>
      <c r="C3990" t="str">
        <f>_xlfn.CONCAT(Table16[[#This Row],[STATE]],"-",Table16[[#This Row],[YEAR]])</f>
        <v>Tamilnadu-2013</v>
      </c>
      <c r="D3990" t="s">
        <v>140</v>
      </c>
      <c r="E3990">
        <v>360</v>
      </c>
    </row>
    <row r="3991" spans="1:5" x14ac:dyDescent="0.3">
      <c r="A3991" t="s">
        <v>29</v>
      </c>
      <c r="B3991">
        <v>2013</v>
      </c>
      <c r="C3991" t="str">
        <f>_xlfn.CONCAT(Table16[[#This Row],[STATE]],"-",Table16[[#This Row],[YEAR]])</f>
        <v>Tamilnadu-2013</v>
      </c>
      <c r="D3991" t="s">
        <v>1300</v>
      </c>
      <c r="E3991">
        <v>100</v>
      </c>
    </row>
    <row r="3992" spans="1:5" x14ac:dyDescent="0.3">
      <c r="A3992" t="s">
        <v>29</v>
      </c>
      <c r="B3992">
        <v>2013</v>
      </c>
      <c r="C3992" t="str">
        <f>_xlfn.CONCAT(Table16[[#This Row],[STATE]],"-",Table16[[#This Row],[YEAR]])</f>
        <v>Tamilnadu-2013</v>
      </c>
      <c r="D3992" t="s">
        <v>916</v>
      </c>
      <c r="E3992">
        <v>280</v>
      </c>
    </row>
    <row r="3993" spans="1:5" x14ac:dyDescent="0.3">
      <c r="A3993" t="s">
        <v>29</v>
      </c>
      <c r="B3993">
        <v>2013</v>
      </c>
      <c r="C3993" t="str">
        <f>_xlfn.CONCAT(Table16[[#This Row],[STATE]],"-",Table16[[#This Row],[YEAR]])</f>
        <v>Tamilnadu-2013</v>
      </c>
      <c r="D3993" t="s">
        <v>1301</v>
      </c>
      <c r="E3993">
        <v>25</v>
      </c>
    </row>
    <row r="3994" spans="1:5" x14ac:dyDescent="0.3">
      <c r="A3994" t="s">
        <v>29</v>
      </c>
      <c r="B3994">
        <v>2013</v>
      </c>
      <c r="C3994" t="str">
        <f>_xlfn.CONCAT(Table16[[#This Row],[STATE]],"-",Table16[[#This Row],[YEAR]])</f>
        <v>Tamilnadu-2013</v>
      </c>
      <c r="D3994" t="s">
        <v>1302</v>
      </c>
      <c r="E3994">
        <v>20</v>
      </c>
    </row>
    <row r="3995" spans="1:5" x14ac:dyDescent="0.3">
      <c r="A3995" t="s">
        <v>29</v>
      </c>
      <c r="B3995">
        <v>2013</v>
      </c>
      <c r="C3995" t="str">
        <f>_xlfn.CONCAT(Table16[[#This Row],[STATE]],"-",Table16[[#This Row],[YEAR]])</f>
        <v>Tamilnadu-2013</v>
      </c>
      <c r="D3995" t="s">
        <v>1303</v>
      </c>
      <c r="E3995">
        <v>20</v>
      </c>
    </row>
    <row r="3996" spans="1:5" x14ac:dyDescent="0.3">
      <c r="A3996" t="s">
        <v>29</v>
      </c>
      <c r="B3996">
        <v>2013</v>
      </c>
      <c r="C3996" t="str">
        <f>_xlfn.CONCAT(Table16[[#This Row],[STATE]],"-",Table16[[#This Row],[YEAR]])</f>
        <v>Tamilnadu-2013</v>
      </c>
      <c r="D3996" t="s">
        <v>1304</v>
      </c>
      <c r="E3996">
        <v>20</v>
      </c>
    </row>
    <row r="3997" spans="1:5" x14ac:dyDescent="0.3">
      <c r="A3997" t="s">
        <v>29</v>
      </c>
      <c r="B3997">
        <v>2013</v>
      </c>
      <c r="C3997" t="str">
        <f>_xlfn.CONCAT(Table16[[#This Row],[STATE]],"-",Table16[[#This Row],[YEAR]])</f>
        <v>Tamilnadu-2013</v>
      </c>
      <c r="D3997" t="s">
        <v>1305</v>
      </c>
      <c r="E3997">
        <v>20</v>
      </c>
    </row>
    <row r="3998" spans="1:5" x14ac:dyDescent="0.3">
      <c r="A3998" t="s">
        <v>29</v>
      </c>
      <c r="B3998">
        <v>2013</v>
      </c>
      <c r="C3998" t="str">
        <f>_xlfn.CONCAT(Table16[[#This Row],[STATE]],"-",Table16[[#This Row],[YEAR]])</f>
        <v>Tamilnadu-2013</v>
      </c>
      <c r="D3998" t="s">
        <v>1306</v>
      </c>
      <c r="E3998">
        <v>20</v>
      </c>
    </row>
    <row r="3999" spans="1:5" x14ac:dyDescent="0.3">
      <c r="A3999" t="s">
        <v>29</v>
      </c>
      <c r="B3999">
        <v>2013</v>
      </c>
      <c r="C3999" t="str">
        <f>_xlfn.CONCAT(Table16[[#This Row],[STATE]],"-",Table16[[#This Row],[YEAR]])</f>
        <v>Tamilnadu-2013</v>
      </c>
      <c r="D3999" t="s">
        <v>1307</v>
      </c>
      <c r="E3999">
        <v>20</v>
      </c>
    </row>
    <row r="4000" spans="1:5" x14ac:dyDescent="0.3">
      <c r="A4000" t="s">
        <v>30</v>
      </c>
      <c r="B4000">
        <v>2013</v>
      </c>
      <c r="C4000" t="str">
        <f>_xlfn.CONCAT(Table16[[#This Row],[STATE]],"-",Table16[[#This Row],[YEAR]])</f>
        <v>Tripura-2013</v>
      </c>
      <c r="D4000" t="s">
        <v>287</v>
      </c>
      <c r="E4000">
        <v>20</v>
      </c>
    </row>
    <row r="4001" spans="1:5" x14ac:dyDescent="0.3">
      <c r="A4001" t="s">
        <v>30</v>
      </c>
      <c r="B4001">
        <v>2013</v>
      </c>
      <c r="C4001" t="str">
        <f>_xlfn.CONCAT(Table16[[#This Row],[STATE]],"-",Table16[[#This Row],[YEAR]])</f>
        <v>Tripura-2013</v>
      </c>
      <c r="D4001" t="s">
        <v>1308</v>
      </c>
      <c r="E4001">
        <v>41</v>
      </c>
    </row>
    <row r="4002" spans="1:5" x14ac:dyDescent="0.3">
      <c r="A4002" t="s">
        <v>30</v>
      </c>
      <c r="B4002">
        <v>2013</v>
      </c>
      <c r="C4002" t="str">
        <f>_xlfn.CONCAT(Table16[[#This Row],[STATE]],"-",Table16[[#This Row],[YEAR]])</f>
        <v>Tripura-2013</v>
      </c>
      <c r="D4002" t="s">
        <v>103</v>
      </c>
      <c r="E4002">
        <v>32</v>
      </c>
    </row>
    <row r="4003" spans="1:5" x14ac:dyDescent="0.3">
      <c r="A4003" t="s">
        <v>30</v>
      </c>
      <c r="B4003">
        <v>2013</v>
      </c>
      <c r="C4003" t="str">
        <f>_xlfn.CONCAT(Table16[[#This Row],[STATE]],"-",Table16[[#This Row],[YEAR]])</f>
        <v>Tripura-2013</v>
      </c>
      <c r="D4003" t="s">
        <v>1125</v>
      </c>
      <c r="E4003">
        <v>13</v>
      </c>
    </row>
    <row r="4004" spans="1:5" x14ac:dyDescent="0.3">
      <c r="A4004" t="s">
        <v>30</v>
      </c>
      <c r="B4004">
        <v>2013</v>
      </c>
      <c r="C4004" t="str">
        <f>_xlfn.CONCAT(Table16[[#This Row],[STATE]],"-",Table16[[#This Row],[YEAR]])</f>
        <v>Tripura-2013</v>
      </c>
      <c r="D4004" t="s">
        <v>932</v>
      </c>
      <c r="E4004">
        <v>10</v>
      </c>
    </row>
    <row r="4005" spans="1:5" x14ac:dyDescent="0.3">
      <c r="A4005" t="s">
        <v>30</v>
      </c>
      <c r="B4005">
        <v>2013</v>
      </c>
      <c r="C4005" t="str">
        <f>_xlfn.CONCAT(Table16[[#This Row],[STATE]],"-",Table16[[#This Row],[YEAR]])</f>
        <v>Tripura-2013</v>
      </c>
      <c r="D4005" t="s">
        <v>937</v>
      </c>
      <c r="E4005">
        <v>138</v>
      </c>
    </row>
    <row r="4006" spans="1:5" x14ac:dyDescent="0.3">
      <c r="A4006" t="s">
        <v>30</v>
      </c>
      <c r="B4006">
        <v>2013</v>
      </c>
      <c r="C4006" t="str">
        <f>_xlfn.CONCAT(Table16[[#This Row],[STATE]],"-",Table16[[#This Row],[YEAR]])</f>
        <v>Tripura-2013</v>
      </c>
      <c r="D4006" t="s">
        <v>135</v>
      </c>
      <c r="E4006">
        <v>15</v>
      </c>
    </row>
    <row r="4007" spans="1:5" x14ac:dyDescent="0.3">
      <c r="A4007" t="s">
        <v>30</v>
      </c>
      <c r="B4007">
        <v>2013</v>
      </c>
      <c r="C4007" t="str">
        <f>_xlfn.CONCAT(Table16[[#This Row],[STATE]],"-",Table16[[#This Row],[YEAR]])</f>
        <v>Tripura-2013</v>
      </c>
      <c r="D4007" t="s">
        <v>934</v>
      </c>
      <c r="E4007">
        <v>60</v>
      </c>
    </row>
    <row r="4008" spans="1:5" x14ac:dyDescent="0.3">
      <c r="A4008" t="s">
        <v>31</v>
      </c>
      <c r="B4008">
        <v>2013</v>
      </c>
      <c r="C4008" t="str">
        <f>_xlfn.CONCAT(Table16[[#This Row],[STATE]],"-",Table16[[#This Row],[YEAR]])</f>
        <v>Uttar Pradesh-2013</v>
      </c>
      <c r="D4008" t="s">
        <v>1309</v>
      </c>
      <c r="E4008">
        <v>133</v>
      </c>
    </row>
    <row r="4009" spans="1:5" x14ac:dyDescent="0.3">
      <c r="A4009" t="s">
        <v>31</v>
      </c>
      <c r="B4009">
        <v>2013</v>
      </c>
      <c r="C4009" t="str">
        <f>_xlfn.CONCAT(Table16[[#This Row],[STATE]],"-",Table16[[#This Row],[YEAR]])</f>
        <v>Uttar Pradesh-2013</v>
      </c>
      <c r="D4009" t="s">
        <v>1310</v>
      </c>
      <c r="E4009">
        <v>115</v>
      </c>
    </row>
    <row r="4010" spans="1:5" x14ac:dyDescent="0.3">
      <c r="A4010" t="s">
        <v>31</v>
      </c>
      <c r="B4010">
        <v>2013</v>
      </c>
      <c r="C4010" t="str">
        <f>_xlfn.CONCAT(Table16[[#This Row],[STATE]],"-",Table16[[#This Row],[YEAR]])</f>
        <v>Uttar Pradesh-2013</v>
      </c>
      <c r="D4010" t="s">
        <v>1311</v>
      </c>
      <c r="E4010">
        <v>225</v>
      </c>
    </row>
    <row r="4011" spans="1:5" x14ac:dyDescent="0.3">
      <c r="A4011" t="s">
        <v>31</v>
      </c>
      <c r="B4011">
        <v>2013</v>
      </c>
      <c r="C4011" t="str">
        <f>_xlfn.CONCAT(Table16[[#This Row],[STATE]],"-",Table16[[#This Row],[YEAR]])</f>
        <v>Uttar Pradesh-2013</v>
      </c>
      <c r="D4011" t="s">
        <v>1312</v>
      </c>
      <c r="E4011">
        <v>117</v>
      </c>
    </row>
    <row r="4012" spans="1:5" x14ac:dyDescent="0.3">
      <c r="A4012" t="s">
        <v>31</v>
      </c>
      <c r="B4012">
        <v>2013</v>
      </c>
      <c r="C4012" t="str">
        <f>_xlfn.CONCAT(Table16[[#This Row],[STATE]],"-",Table16[[#This Row],[YEAR]])</f>
        <v>Uttar Pradesh-2013</v>
      </c>
      <c r="D4012" t="s">
        <v>98</v>
      </c>
      <c r="E4012">
        <v>130</v>
      </c>
    </row>
    <row r="4013" spans="1:5" x14ac:dyDescent="0.3">
      <c r="A4013" t="s">
        <v>31</v>
      </c>
      <c r="B4013">
        <v>2013</v>
      </c>
      <c r="C4013" t="str">
        <f>_xlfn.CONCAT(Table16[[#This Row],[STATE]],"-",Table16[[#This Row],[YEAR]])</f>
        <v>Uttar Pradesh-2013</v>
      </c>
      <c r="D4013" t="s">
        <v>1313</v>
      </c>
      <c r="E4013">
        <v>228</v>
      </c>
    </row>
    <row r="4014" spans="1:5" x14ac:dyDescent="0.3">
      <c r="A4014" t="s">
        <v>31</v>
      </c>
      <c r="B4014">
        <v>2013</v>
      </c>
      <c r="C4014" t="str">
        <f>_xlfn.CONCAT(Table16[[#This Row],[STATE]],"-",Table16[[#This Row],[YEAR]])</f>
        <v>Uttar Pradesh-2013</v>
      </c>
      <c r="D4014" t="s">
        <v>942</v>
      </c>
      <c r="E4014">
        <v>132</v>
      </c>
    </row>
    <row r="4015" spans="1:5" x14ac:dyDescent="0.3">
      <c r="A4015" t="s">
        <v>31</v>
      </c>
      <c r="B4015">
        <v>2013</v>
      </c>
      <c r="C4015" t="str">
        <f>_xlfn.CONCAT(Table16[[#This Row],[STATE]],"-",Table16[[#This Row],[YEAR]])</f>
        <v>Uttar Pradesh-2013</v>
      </c>
      <c r="D4015" t="s">
        <v>1314</v>
      </c>
      <c r="E4015">
        <v>167</v>
      </c>
    </row>
    <row r="4016" spans="1:5" x14ac:dyDescent="0.3">
      <c r="A4016" t="s">
        <v>31</v>
      </c>
      <c r="B4016">
        <v>2013</v>
      </c>
      <c r="C4016" t="str">
        <f>_xlfn.CONCAT(Table16[[#This Row],[STATE]],"-",Table16[[#This Row],[YEAR]])</f>
        <v>Uttar Pradesh-2013</v>
      </c>
      <c r="D4016" t="s">
        <v>1315</v>
      </c>
      <c r="E4016">
        <v>195</v>
      </c>
    </row>
    <row r="4017" spans="1:5" x14ac:dyDescent="0.3">
      <c r="A4017" t="s">
        <v>31</v>
      </c>
      <c r="B4017">
        <v>2013</v>
      </c>
      <c r="C4017" t="str">
        <f>_xlfn.CONCAT(Table16[[#This Row],[STATE]],"-",Table16[[#This Row],[YEAR]])</f>
        <v>Uttar Pradesh-2013</v>
      </c>
      <c r="D4017" t="s">
        <v>1316</v>
      </c>
      <c r="E4017">
        <v>128</v>
      </c>
    </row>
    <row r="4018" spans="1:5" x14ac:dyDescent="0.3">
      <c r="A4018" t="s">
        <v>31</v>
      </c>
      <c r="B4018">
        <v>2013</v>
      </c>
      <c r="C4018" t="str">
        <f>_xlfn.CONCAT(Table16[[#This Row],[STATE]],"-",Table16[[#This Row],[YEAR]])</f>
        <v>Uttar Pradesh-2013</v>
      </c>
      <c r="D4018" t="s">
        <v>1317</v>
      </c>
      <c r="E4018">
        <v>159</v>
      </c>
    </row>
    <row r="4019" spans="1:5" x14ac:dyDescent="0.3">
      <c r="A4019" t="s">
        <v>31</v>
      </c>
      <c r="B4019">
        <v>2013</v>
      </c>
      <c r="C4019" t="str">
        <f>_xlfn.CONCAT(Table16[[#This Row],[STATE]],"-",Table16[[#This Row],[YEAR]])</f>
        <v>Uttar Pradesh-2013</v>
      </c>
      <c r="D4019" t="s">
        <v>1318</v>
      </c>
      <c r="E4019">
        <v>16</v>
      </c>
    </row>
    <row r="4020" spans="1:5" x14ac:dyDescent="0.3">
      <c r="A4020" t="s">
        <v>31</v>
      </c>
      <c r="B4020">
        <v>2013</v>
      </c>
      <c r="C4020" t="str">
        <f>_xlfn.CONCAT(Table16[[#This Row],[STATE]],"-",Table16[[#This Row],[YEAR]])</f>
        <v>Uttar Pradesh-2013</v>
      </c>
      <c r="D4020" t="s">
        <v>1319</v>
      </c>
      <c r="E4020">
        <v>24</v>
      </c>
    </row>
    <row r="4021" spans="1:5" x14ac:dyDescent="0.3">
      <c r="A4021" t="s">
        <v>31</v>
      </c>
      <c r="B4021">
        <v>2013</v>
      </c>
      <c r="C4021" t="str">
        <f>_xlfn.CONCAT(Table16[[#This Row],[STATE]],"-",Table16[[#This Row],[YEAR]])</f>
        <v>Uttar Pradesh-2013</v>
      </c>
      <c r="D4021" t="s">
        <v>660</v>
      </c>
      <c r="E4021">
        <v>19</v>
      </c>
    </row>
    <row r="4022" spans="1:5" x14ac:dyDescent="0.3">
      <c r="A4022" t="s">
        <v>31</v>
      </c>
      <c r="B4022">
        <v>2013</v>
      </c>
      <c r="C4022" t="str">
        <f>_xlfn.CONCAT(Table16[[#This Row],[STATE]],"-",Table16[[#This Row],[YEAR]])</f>
        <v>Uttar Pradesh-2013</v>
      </c>
      <c r="D4022" t="s">
        <v>1320</v>
      </c>
      <c r="E4022">
        <v>1313</v>
      </c>
    </row>
    <row r="4023" spans="1:5" x14ac:dyDescent="0.3">
      <c r="A4023" t="s">
        <v>31</v>
      </c>
      <c r="B4023">
        <v>2013</v>
      </c>
      <c r="C4023" t="str">
        <f>_xlfn.CONCAT(Table16[[#This Row],[STATE]],"-",Table16[[#This Row],[YEAR]])</f>
        <v>Uttar Pradesh-2013</v>
      </c>
      <c r="D4023" t="s">
        <v>942</v>
      </c>
      <c r="E4023">
        <v>132</v>
      </c>
    </row>
    <row r="4024" spans="1:5" x14ac:dyDescent="0.3">
      <c r="A4024" t="s">
        <v>31</v>
      </c>
      <c r="B4024">
        <v>2013</v>
      </c>
      <c r="C4024" t="str">
        <f>_xlfn.CONCAT(Table16[[#This Row],[STATE]],"-",Table16[[#This Row],[YEAR]])</f>
        <v>Uttar Pradesh-2013</v>
      </c>
      <c r="D4024" t="s">
        <v>1321</v>
      </c>
      <c r="E4024">
        <v>33</v>
      </c>
    </row>
    <row r="4025" spans="1:5" x14ac:dyDescent="0.3">
      <c r="A4025" t="s">
        <v>31</v>
      </c>
      <c r="B4025">
        <v>2013</v>
      </c>
      <c r="C4025" t="str">
        <f>_xlfn.CONCAT(Table16[[#This Row],[STATE]],"-",Table16[[#This Row],[YEAR]])</f>
        <v>Uttar Pradesh-2013</v>
      </c>
      <c r="D4025" t="s">
        <v>361</v>
      </c>
      <c r="E4025">
        <v>20</v>
      </c>
    </row>
    <row r="4026" spans="1:5" x14ac:dyDescent="0.3">
      <c r="A4026" t="s">
        <v>31</v>
      </c>
      <c r="B4026">
        <v>2013</v>
      </c>
      <c r="C4026" t="str">
        <f>_xlfn.CONCAT(Table16[[#This Row],[STATE]],"-",Table16[[#This Row],[YEAR]])</f>
        <v>Uttar Pradesh-2013</v>
      </c>
      <c r="D4026" t="s">
        <v>140</v>
      </c>
      <c r="E4026">
        <v>20</v>
      </c>
    </row>
    <row r="4027" spans="1:5" x14ac:dyDescent="0.3">
      <c r="A4027" t="s">
        <v>31</v>
      </c>
      <c r="B4027">
        <v>2013</v>
      </c>
      <c r="C4027" t="str">
        <f>_xlfn.CONCAT(Table16[[#This Row],[STATE]],"-",Table16[[#This Row],[YEAR]])</f>
        <v>Uttar Pradesh-2013</v>
      </c>
      <c r="D4027" t="s">
        <v>1322</v>
      </c>
      <c r="E4027">
        <v>20</v>
      </c>
    </row>
    <row r="4028" spans="1:5" x14ac:dyDescent="0.3">
      <c r="A4028" t="s">
        <v>31</v>
      </c>
      <c r="B4028">
        <v>2013</v>
      </c>
      <c r="C4028" t="str">
        <f>_xlfn.CONCAT(Table16[[#This Row],[STATE]],"-",Table16[[#This Row],[YEAR]])</f>
        <v>Uttar Pradesh-2013</v>
      </c>
      <c r="D4028" t="s">
        <v>90</v>
      </c>
      <c r="E4028">
        <v>20</v>
      </c>
    </row>
    <row r="4029" spans="1:5" x14ac:dyDescent="0.3">
      <c r="A4029" t="s">
        <v>32</v>
      </c>
      <c r="B4029">
        <v>2013</v>
      </c>
      <c r="C4029" t="str">
        <f>_xlfn.CONCAT(Table16[[#This Row],[STATE]],"-",Table16[[#This Row],[YEAR]])</f>
        <v>Uttaranchal-2013</v>
      </c>
      <c r="D4029" t="s">
        <v>264</v>
      </c>
      <c r="E4029">
        <v>150</v>
      </c>
    </row>
    <row r="4030" spans="1:5" x14ac:dyDescent="0.3">
      <c r="A4030" t="s">
        <v>32</v>
      </c>
      <c r="B4030">
        <v>2013</v>
      </c>
      <c r="C4030" t="str">
        <f>_xlfn.CONCAT(Table16[[#This Row],[STATE]],"-",Table16[[#This Row],[YEAR]])</f>
        <v>Uttaranchal-2013</v>
      </c>
      <c r="D4030" t="s">
        <v>230</v>
      </c>
      <c r="E4030">
        <v>125</v>
      </c>
    </row>
    <row r="4031" spans="1:5" x14ac:dyDescent="0.3">
      <c r="A4031" t="s">
        <v>32</v>
      </c>
      <c r="B4031">
        <v>2013</v>
      </c>
      <c r="C4031" t="str">
        <f>_xlfn.CONCAT(Table16[[#This Row],[STATE]],"-",Table16[[#This Row],[YEAR]])</f>
        <v>Uttaranchal-2013</v>
      </c>
      <c r="D4031" t="s">
        <v>1323</v>
      </c>
      <c r="E4031">
        <v>80</v>
      </c>
    </row>
    <row r="4032" spans="1:5" x14ac:dyDescent="0.3">
      <c r="A4032" t="s">
        <v>32</v>
      </c>
      <c r="B4032">
        <v>2013</v>
      </c>
      <c r="C4032" t="str">
        <f>_xlfn.CONCAT(Table16[[#This Row],[STATE]],"-",Table16[[#This Row],[YEAR]])</f>
        <v>Uttaranchal-2013</v>
      </c>
      <c r="D4032" t="s">
        <v>90</v>
      </c>
      <c r="E4032">
        <v>25</v>
      </c>
    </row>
    <row r="4033" spans="1:5" x14ac:dyDescent="0.3">
      <c r="A4033" t="s">
        <v>33</v>
      </c>
      <c r="B4033">
        <v>2013</v>
      </c>
      <c r="C4033" t="str">
        <f>_xlfn.CONCAT(Table16[[#This Row],[STATE]],"-",Table16[[#This Row],[YEAR]])</f>
        <v>West Bengal-2013</v>
      </c>
      <c r="D4033" t="s">
        <v>1228</v>
      </c>
      <c r="E4033">
        <v>10</v>
      </c>
    </row>
    <row r="4034" spans="1:5" x14ac:dyDescent="0.3">
      <c r="A4034" t="s">
        <v>33</v>
      </c>
      <c r="B4034">
        <v>2013</v>
      </c>
      <c r="C4034" t="str">
        <f>_xlfn.CONCAT(Table16[[#This Row],[STATE]],"-",Table16[[#This Row],[YEAR]])</f>
        <v>West Bengal-2013</v>
      </c>
      <c r="D4034" t="s">
        <v>1324</v>
      </c>
      <c r="E4034">
        <v>7</v>
      </c>
    </row>
    <row r="4035" spans="1:5" x14ac:dyDescent="0.3">
      <c r="A4035" t="s">
        <v>33</v>
      </c>
      <c r="B4035">
        <v>2013</v>
      </c>
      <c r="C4035" t="str">
        <f>_xlfn.CONCAT(Table16[[#This Row],[STATE]],"-",Table16[[#This Row],[YEAR]])</f>
        <v>West Bengal-2013</v>
      </c>
      <c r="D4035" t="s">
        <v>1325</v>
      </c>
      <c r="E4035">
        <v>4</v>
      </c>
    </row>
    <row r="4036" spans="1:5" x14ac:dyDescent="0.3">
      <c r="A4036" t="s">
        <v>33</v>
      </c>
      <c r="B4036">
        <v>2013</v>
      </c>
      <c r="C4036" t="str">
        <f>_xlfn.CONCAT(Table16[[#This Row],[STATE]],"-",Table16[[#This Row],[YEAR]])</f>
        <v>West Bengal-2013</v>
      </c>
      <c r="D4036" t="s">
        <v>103</v>
      </c>
      <c r="E4036">
        <v>451</v>
      </c>
    </row>
    <row r="4037" spans="1:5" x14ac:dyDescent="0.3">
      <c r="A4037" t="s">
        <v>33</v>
      </c>
      <c r="B4037">
        <v>2013</v>
      </c>
      <c r="C4037" t="str">
        <f>_xlfn.CONCAT(Table16[[#This Row],[STATE]],"-",Table16[[#This Row],[YEAR]])</f>
        <v>West Bengal-2013</v>
      </c>
      <c r="D4037" t="s">
        <v>1326</v>
      </c>
      <c r="E4037">
        <v>83</v>
      </c>
    </row>
    <row r="4038" spans="1:5" x14ac:dyDescent="0.3">
      <c r="A4038" t="s">
        <v>33</v>
      </c>
      <c r="B4038">
        <v>2013</v>
      </c>
      <c r="C4038" t="str">
        <f>_xlfn.CONCAT(Table16[[#This Row],[STATE]],"-",Table16[[#This Row],[YEAR]])</f>
        <v>West Bengal-2013</v>
      </c>
      <c r="D4038" t="s">
        <v>1327</v>
      </c>
      <c r="E4038">
        <v>371</v>
      </c>
    </row>
    <row r="4039" spans="1:5" x14ac:dyDescent="0.3">
      <c r="A4039" t="s">
        <v>33</v>
      </c>
      <c r="B4039">
        <v>2013</v>
      </c>
      <c r="C4039" t="str">
        <f>_xlfn.CONCAT(Table16[[#This Row],[STATE]],"-",Table16[[#This Row],[YEAR]])</f>
        <v>West Bengal-2013</v>
      </c>
      <c r="D4039" t="s">
        <v>120</v>
      </c>
      <c r="E4039">
        <v>92</v>
      </c>
    </row>
    <row r="4040" spans="1:5" x14ac:dyDescent="0.3">
      <c r="A4040" t="s">
        <v>33</v>
      </c>
      <c r="B4040">
        <v>2013</v>
      </c>
      <c r="C4040" t="str">
        <f>_xlfn.CONCAT(Table16[[#This Row],[STATE]],"-",Table16[[#This Row],[YEAR]])</f>
        <v>West Bengal-2013</v>
      </c>
      <c r="D4040" t="s">
        <v>1328</v>
      </c>
      <c r="E4040">
        <v>75</v>
      </c>
    </row>
    <row r="4041" spans="1:5" x14ac:dyDescent="0.3">
      <c r="A4041" t="s">
        <v>33</v>
      </c>
      <c r="B4041">
        <v>2013</v>
      </c>
      <c r="C4041" t="str">
        <f>_xlfn.CONCAT(Table16[[#This Row],[STATE]],"-",Table16[[#This Row],[YEAR]])</f>
        <v>West Bengal-2013</v>
      </c>
      <c r="D4041" t="s">
        <v>1017</v>
      </c>
      <c r="E4041">
        <v>6</v>
      </c>
    </row>
    <row r="4042" spans="1:5" x14ac:dyDescent="0.3">
      <c r="A4042" t="s">
        <v>33</v>
      </c>
      <c r="B4042">
        <v>2013</v>
      </c>
      <c r="C4042" t="str">
        <f>_xlfn.CONCAT(Table16[[#This Row],[STATE]],"-",Table16[[#This Row],[YEAR]])</f>
        <v>West Bengal-2013</v>
      </c>
      <c r="D4042" t="s">
        <v>1048</v>
      </c>
      <c r="E4042">
        <v>25</v>
      </c>
    </row>
    <row r="4043" spans="1:5" x14ac:dyDescent="0.3">
      <c r="A4043" t="s">
        <v>33</v>
      </c>
      <c r="B4043">
        <v>2013</v>
      </c>
      <c r="C4043" t="str">
        <f>_xlfn.CONCAT(Table16[[#This Row],[STATE]],"-",Table16[[#This Row],[YEAR]])</f>
        <v>West Bengal-2013</v>
      </c>
      <c r="D4043" t="s">
        <v>1063</v>
      </c>
      <c r="E4043">
        <v>2</v>
      </c>
    </row>
    <row r="4044" spans="1:5" x14ac:dyDescent="0.3">
      <c r="A4044" t="s">
        <v>33</v>
      </c>
      <c r="B4044">
        <v>2013</v>
      </c>
      <c r="C4044" t="str">
        <f>_xlfn.CONCAT(Table16[[#This Row],[STATE]],"-",Table16[[#This Row],[YEAR]])</f>
        <v>West Bengal-2013</v>
      </c>
      <c r="D4044" t="s">
        <v>1050</v>
      </c>
      <c r="E4044">
        <v>10</v>
      </c>
    </row>
    <row r="4045" spans="1:5" x14ac:dyDescent="0.3">
      <c r="A4045" t="s">
        <v>33</v>
      </c>
      <c r="B4045">
        <v>2013</v>
      </c>
      <c r="C4045" t="str">
        <f>_xlfn.CONCAT(Table16[[#This Row],[STATE]],"-",Table16[[#This Row],[YEAR]])</f>
        <v>West Bengal-2013</v>
      </c>
      <c r="D4045" t="s">
        <v>1329</v>
      </c>
      <c r="E4045">
        <v>3</v>
      </c>
    </row>
    <row r="4046" spans="1:5" x14ac:dyDescent="0.3">
      <c r="A4046" t="s">
        <v>33</v>
      </c>
      <c r="B4046">
        <v>2013</v>
      </c>
      <c r="C4046" t="str">
        <f>_xlfn.CONCAT(Table16[[#This Row],[STATE]],"-",Table16[[#This Row],[YEAR]])</f>
        <v>West Bengal-2013</v>
      </c>
      <c r="D4046" t="s">
        <v>1330</v>
      </c>
      <c r="E4046">
        <v>10</v>
      </c>
    </row>
    <row r="4047" spans="1:5" x14ac:dyDescent="0.3">
      <c r="A4047" t="s">
        <v>33</v>
      </c>
      <c r="B4047">
        <v>2013</v>
      </c>
      <c r="C4047" t="str">
        <f>_xlfn.CONCAT(Table16[[#This Row],[STATE]],"-",Table16[[#This Row],[YEAR]])</f>
        <v>West Bengal-2013</v>
      </c>
      <c r="D4047" t="s">
        <v>1053</v>
      </c>
      <c r="E4047">
        <v>3</v>
      </c>
    </row>
    <row r="4048" spans="1:5" x14ac:dyDescent="0.3">
      <c r="A4048" t="s">
        <v>33</v>
      </c>
      <c r="B4048">
        <v>2013</v>
      </c>
      <c r="C4048" t="str">
        <f>_xlfn.CONCAT(Table16[[#This Row],[STATE]],"-",Table16[[#This Row],[YEAR]])</f>
        <v>West Bengal-2013</v>
      </c>
      <c r="D4048" t="s">
        <v>1331</v>
      </c>
      <c r="E4048">
        <v>2</v>
      </c>
    </row>
    <row r="4049" spans="1:5" x14ac:dyDescent="0.3">
      <c r="A4049" t="s">
        <v>33</v>
      </c>
      <c r="B4049">
        <v>2013</v>
      </c>
      <c r="C4049" t="str">
        <f>_xlfn.CONCAT(Table16[[#This Row],[STATE]],"-",Table16[[#This Row],[YEAR]])</f>
        <v>West Bengal-2013</v>
      </c>
      <c r="D4049" t="s">
        <v>1051</v>
      </c>
      <c r="E4049">
        <v>2</v>
      </c>
    </row>
    <row r="4050" spans="1:5" x14ac:dyDescent="0.3">
      <c r="A4050" t="s">
        <v>33</v>
      </c>
      <c r="B4050">
        <v>2013</v>
      </c>
      <c r="C4050" t="str">
        <f>_xlfn.CONCAT(Table16[[#This Row],[STATE]],"-",Table16[[#This Row],[YEAR]])</f>
        <v>West Bengal-2013</v>
      </c>
      <c r="D4050" t="s">
        <v>1052</v>
      </c>
      <c r="E4050">
        <v>52</v>
      </c>
    </row>
    <row r="4051" spans="1:5" x14ac:dyDescent="0.3">
      <c r="A4051" t="s">
        <v>33</v>
      </c>
      <c r="B4051">
        <v>2013</v>
      </c>
      <c r="C4051" t="str">
        <f>_xlfn.CONCAT(Table16[[#This Row],[STATE]],"-",Table16[[#This Row],[YEAR]])</f>
        <v>West Bengal-2013</v>
      </c>
      <c r="D4051" t="s">
        <v>140</v>
      </c>
      <c r="E4051">
        <v>9</v>
      </c>
    </row>
    <row r="4052" spans="1:5" x14ac:dyDescent="0.3">
      <c r="A4052" t="s">
        <v>33</v>
      </c>
      <c r="B4052">
        <v>2013</v>
      </c>
      <c r="C4052" t="str">
        <f>_xlfn.CONCAT(Table16[[#This Row],[STATE]],"-",Table16[[#This Row],[YEAR]])</f>
        <v>West Bengal-2013</v>
      </c>
      <c r="D4052" t="s">
        <v>1332</v>
      </c>
      <c r="E4052">
        <v>37</v>
      </c>
    </row>
    <row r="4053" spans="1:5" x14ac:dyDescent="0.3">
      <c r="A4053" t="s">
        <v>33</v>
      </c>
      <c r="B4053">
        <v>2013</v>
      </c>
      <c r="C4053" t="str">
        <f>_xlfn.CONCAT(Table16[[#This Row],[STATE]],"-",Table16[[#This Row],[YEAR]])</f>
        <v>West Bengal-2013</v>
      </c>
      <c r="D4053" t="s">
        <v>1333</v>
      </c>
      <c r="E4053">
        <v>30</v>
      </c>
    </row>
    <row r="4054" spans="1:5" x14ac:dyDescent="0.3">
      <c r="A4054" t="s">
        <v>33</v>
      </c>
      <c r="B4054">
        <v>2013</v>
      </c>
      <c r="C4054" t="str">
        <f>_xlfn.CONCAT(Table16[[#This Row],[STATE]],"-",Table16[[#This Row],[YEAR]])</f>
        <v>West Bengal-2013</v>
      </c>
      <c r="D4054" t="s">
        <v>1066</v>
      </c>
      <c r="E4054">
        <v>30</v>
      </c>
    </row>
    <row r="4055" spans="1:5" x14ac:dyDescent="0.3">
      <c r="A4055" t="s">
        <v>33</v>
      </c>
      <c r="B4055">
        <v>2013</v>
      </c>
      <c r="C4055" t="str">
        <f>_xlfn.CONCAT(Table16[[#This Row],[STATE]],"-",Table16[[#This Row],[YEAR]])</f>
        <v>West Bengal-2013</v>
      </c>
      <c r="D4055" t="s">
        <v>834</v>
      </c>
      <c r="E4055">
        <v>63</v>
      </c>
    </row>
    <row r="4056" spans="1:5" x14ac:dyDescent="0.3">
      <c r="A4056" t="s">
        <v>33</v>
      </c>
      <c r="B4056">
        <v>2013</v>
      </c>
      <c r="C4056" t="str">
        <f>_xlfn.CONCAT(Table16[[#This Row],[STATE]],"-",Table16[[#This Row],[YEAR]])</f>
        <v>West Bengal-2013</v>
      </c>
      <c r="D4056" t="s">
        <v>1334</v>
      </c>
      <c r="E4056">
        <v>179</v>
      </c>
    </row>
    <row r="4057" spans="1:5" x14ac:dyDescent="0.3">
      <c r="A4057" t="s">
        <v>33</v>
      </c>
      <c r="B4057">
        <v>2013</v>
      </c>
      <c r="C4057" t="str">
        <f>_xlfn.CONCAT(Table16[[#This Row],[STATE]],"-",Table16[[#This Row],[YEAR]])</f>
        <v>West Bengal-2013</v>
      </c>
      <c r="D4057" t="s">
        <v>314</v>
      </c>
      <c r="E4057">
        <v>242</v>
      </c>
    </row>
    <row r="4058" spans="1:5" x14ac:dyDescent="0.3">
      <c r="A4058" t="s">
        <v>33</v>
      </c>
      <c r="B4058">
        <v>2013</v>
      </c>
      <c r="C4058" t="str">
        <f>_xlfn.CONCAT(Table16[[#This Row],[STATE]],"-",Table16[[#This Row],[YEAR]])</f>
        <v>West Bengal-2013</v>
      </c>
      <c r="D4058" t="s">
        <v>1335</v>
      </c>
      <c r="E4058">
        <v>15</v>
      </c>
    </row>
    <row r="4059" spans="1:5" x14ac:dyDescent="0.3">
      <c r="A4059" t="s">
        <v>33</v>
      </c>
      <c r="B4059">
        <v>2013</v>
      </c>
      <c r="C4059" t="str">
        <f>_xlfn.CONCAT(Table16[[#This Row],[STATE]],"-",Table16[[#This Row],[YEAR]])</f>
        <v>West Bengal-2013</v>
      </c>
      <c r="D4059" t="s">
        <v>1336</v>
      </c>
      <c r="E4059">
        <v>23</v>
      </c>
    </row>
    <row r="4060" spans="1:5" x14ac:dyDescent="0.3">
      <c r="A4060" t="s">
        <v>33</v>
      </c>
      <c r="B4060">
        <v>2013</v>
      </c>
      <c r="C4060" t="str">
        <f>_xlfn.CONCAT(Table16[[#This Row],[STATE]],"-",Table16[[#This Row],[YEAR]])</f>
        <v>West Bengal-2013</v>
      </c>
      <c r="D4060" t="s">
        <v>1337</v>
      </c>
      <c r="E4060">
        <v>5</v>
      </c>
    </row>
    <row r="4061" spans="1:5" x14ac:dyDescent="0.3">
      <c r="A4061" t="s">
        <v>33</v>
      </c>
      <c r="B4061">
        <v>2013</v>
      </c>
      <c r="C4061" t="str">
        <f>_xlfn.CONCAT(Table16[[#This Row],[STATE]],"-",Table16[[#This Row],[YEAR]])</f>
        <v>West Bengal-2013</v>
      </c>
      <c r="D4061" t="s">
        <v>1338</v>
      </c>
      <c r="E4061">
        <v>15</v>
      </c>
    </row>
    <row r="4062" spans="1:5" x14ac:dyDescent="0.3">
      <c r="A4062" t="s">
        <v>33</v>
      </c>
      <c r="B4062">
        <v>2013</v>
      </c>
      <c r="C4062" t="str">
        <f>_xlfn.CONCAT(Table16[[#This Row],[STATE]],"-",Table16[[#This Row],[YEAR]])</f>
        <v>West Bengal-2013</v>
      </c>
      <c r="D4062" t="s">
        <v>96</v>
      </c>
      <c r="E4062">
        <v>37</v>
      </c>
    </row>
    <row r="4063" spans="1:5" x14ac:dyDescent="0.3">
      <c r="A4063" t="s">
        <v>33</v>
      </c>
      <c r="B4063">
        <v>2013</v>
      </c>
      <c r="C4063" t="str">
        <f>_xlfn.CONCAT(Table16[[#This Row],[STATE]],"-",Table16[[#This Row],[YEAR]])</f>
        <v>West Bengal-2013</v>
      </c>
      <c r="D4063" t="s">
        <v>1339</v>
      </c>
      <c r="E4063">
        <v>20</v>
      </c>
    </row>
    <row r="4064" spans="1:5" x14ac:dyDescent="0.3">
      <c r="A4064" t="s">
        <v>33</v>
      </c>
      <c r="B4064">
        <v>2013</v>
      </c>
      <c r="C4064" t="str">
        <f>_xlfn.CONCAT(Table16[[#This Row],[STATE]],"-",Table16[[#This Row],[YEAR]])</f>
        <v>West Bengal-2013</v>
      </c>
      <c r="D4064" t="s">
        <v>1340</v>
      </c>
      <c r="E4064">
        <v>25</v>
      </c>
    </row>
    <row r="4065" spans="1:5" x14ac:dyDescent="0.3">
      <c r="A4065" t="s">
        <v>34</v>
      </c>
      <c r="B4065">
        <v>2001</v>
      </c>
      <c r="C4065" t="str">
        <f>_xlfn.CONCAT(Table16[[#This Row],[STATE]],"-",Table16[[#This Row],[YEAR]])</f>
        <v>A &amp; N Islands-2001</v>
      </c>
      <c r="D4065" t="s">
        <v>283</v>
      </c>
      <c r="E4065">
        <v>12</v>
      </c>
    </row>
    <row r="4066" spans="1:5" x14ac:dyDescent="0.3">
      <c r="A4066" t="s">
        <v>34</v>
      </c>
      <c r="B4066">
        <v>2001</v>
      </c>
      <c r="C4066" t="str">
        <f>_xlfn.CONCAT(Table16[[#This Row],[STATE]],"-",Table16[[#This Row],[YEAR]])</f>
        <v>A &amp; N Islands-2001</v>
      </c>
      <c r="D4066" t="s">
        <v>679</v>
      </c>
      <c r="E4066">
        <v>24</v>
      </c>
    </row>
    <row r="4067" spans="1:5" x14ac:dyDescent="0.3">
      <c r="A4067" t="s">
        <v>34</v>
      </c>
      <c r="B4067">
        <v>2001</v>
      </c>
      <c r="C4067" t="str">
        <f>_xlfn.CONCAT(Table16[[#This Row],[STATE]],"-",Table16[[#This Row],[YEAR]])</f>
        <v>A &amp; N Islands-2001</v>
      </c>
      <c r="D4067" t="s">
        <v>292</v>
      </c>
      <c r="E4067">
        <v>7</v>
      </c>
    </row>
    <row r="4068" spans="1:5" x14ac:dyDescent="0.3">
      <c r="A4068" t="s">
        <v>34</v>
      </c>
      <c r="B4068">
        <v>2001</v>
      </c>
      <c r="C4068" t="str">
        <f>_xlfn.CONCAT(Table16[[#This Row],[STATE]],"-",Table16[[#This Row],[YEAR]])</f>
        <v>A &amp; N Islands-2001</v>
      </c>
      <c r="D4068" t="s">
        <v>103</v>
      </c>
      <c r="E4068">
        <v>3</v>
      </c>
    </row>
    <row r="4069" spans="1:5" x14ac:dyDescent="0.3">
      <c r="A4069" t="s">
        <v>34</v>
      </c>
      <c r="B4069">
        <v>2001</v>
      </c>
      <c r="C4069" t="str">
        <f>_xlfn.CONCAT(Table16[[#This Row],[STATE]],"-",Table16[[#This Row],[YEAR]])</f>
        <v>A &amp; N Islands-2001</v>
      </c>
      <c r="D4069" t="s">
        <v>140</v>
      </c>
      <c r="E4069">
        <v>3</v>
      </c>
    </row>
    <row r="4070" spans="1:5" x14ac:dyDescent="0.3">
      <c r="A4070" t="s">
        <v>34</v>
      </c>
      <c r="B4070">
        <v>2001</v>
      </c>
      <c r="C4070" t="str">
        <f>_xlfn.CONCAT(Table16[[#This Row],[STATE]],"-",Table16[[#This Row],[YEAR]])</f>
        <v>A &amp; N Islands-2001</v>
      </c>
      <c r="D4070" t="s">
        <v>90</v>
      </c>
      <c r="E4070">
        <v>9</v>
      </c>
    </row>
    <row r="4071" spans="1:5" x14ac:dyDescent="0.3">
      <c r="A4071" t="s">
        <v>34</v>
      </c>
      <c r="B4071">
        <v>2001</v>
      </c>
      <c r="C4071" t="str">
        <f>_xlfn.CONCAT(Table16[[#This Row],[STATE]],"-",Table16[[#This Row],[YEAR]])</f>
        <v>A &amp; N Islands-2001</v>
      </c>
      <c r="D4071" t="s">
        <v>401</v>
      </c>
      <c r="E4071">
        <v>23</v>
      </c>
    </row>
    <row r="4072" spans="1:5" x14ac:dyDescent="0.3">
      <c r="A4072" t="s">
        <v>34</v>
      </c>
      <c r="B4072">
        <v>2001</v>
      </c>
      <c r="C4072" t="str">
        <f>_xlfn.CONCAT(Table16[[#This Row],[STATE]],"-",Table16[[#This Row],[YEAR]])</f>
        <v>A &amp; N Islands-2001</v>
      </c>
      <c r="D4072" t="s">
        <v>182</v>
      </c>
      <c r="E4072">
        <v>49</v>
      </c>
    </row>
    <row r="4073" spans="1:5" x14ac:dyDescent="0.3">
      <c r="A4073" t="s">
        <v>35</v>
      </c>
      <c r="B4073">
        <v>2013</v>
      </c>
      <c r="C4073" t="str">
        <f>_xlfn.CONCAT(Table16[[#This Row],[STATE]],"-",Table16[[#This Row],[YEAR]])</f>
        <v>Chandigarh-2013</v>
      </c>
      <c r="D4073" t="s">
        <v>103</v>
      </c>
      <c r="E4073">
        <v>17</v>
      </c>
    </row>
    <row r="4074" spans="1:5" x14ac:dyDescent="0.3">
      <c r="A4074" t="s">
        <v>35</v>
      </c>
      <c r="B4074">
        <v>2013</v>
      </c>
      <c r="C4074" t="str">
        <f>_xlfn.CONCAT(Table16[[#This Row],[STATE]],"-",Table16[[#This Row],[YEAR]])</f>
        <v>Chandigarh-2013</v>
      </c>
      <c r="D4074" t="s">
        <v>314</v>
      </c>
      <c r="E4074">
        <v>225</v>
      </c>
    </row>
    <row r="4075" spans="1:5" x14ac:dyDescent="0.3">
      <c r="A4075" t="s">
        <v>35</v>
      </c>
      <c r="B4075">
        <v>2013</v>
      </c>
      <c r="C4075" t="str">
        <f>_xlfn.CONCAT(Table16[[#This Row],[STATE]],"-",Table16[[#This Row],[YEAR]])</f>
        <v>Chandigarh-2013</v>
      </c>
      <c r="D4075" t="s">
        <v>146</v>
      </c>
      <c r="E4075">
        <v>132</v>
      </c>
    </row>
    <row r="4076" spans="1:5" x14ac:dyDescent="0.3">
      <c r="A4076" t="s">
        <v>35</v>
      </c>
      <c r="B4076">
        <v>2013</v>
      </c>
      <c r="C4076" t="str">
        <f>_xlfn.CONCAT(Table16[[#This Row],[STATE]],"-",Table16[[#This Row],[YEAR]])</f>
        <v>Chandigarh-2013</v>
      </c>
      <c r="D4076" t="s">
        <v>190</v>
      </c>
      <c r="E4076">
        <v>107</v>
      </c>
    </row>
    <row r="4077" spans="1:5" x14ac:dyDescent="0.3">
      <c r="A4077" t="s">
        <v>35</v>
      </c>
      <c r="B4077">
        <v>2013</v>
      </c>
      <c r="C4077" t="str">
        <f>_xlfn.CONCAT(Table16[[#This Row],[STATE]],"-",Table16[[#This Row],[YEAR]])</f>
        <v>Chandigarh-2013</v>
      </c>
      <c r="D4077" t="s">
        <v>1341</v>
      </c>
      <c r="E4077">
        <v>44</v>
      </c>
    </row>
    <row r="4078" spans="1:5" x14ac:dyDescent="0.3">
      <c r="A4078" t="s">
        <v>36</v>
      </c>
      <c r="B4078">
        <v>2013</v>
      </c>
      <c r="C4078" t="str">
        <f>_xlfn.CONCAT(Table16[[#This Row],[STATE]],"-",Table16[[#This Row],[YEAR]])</f>
        <v>D &amp; N Haveli-2013</v>
      </c>
      <c r="D4078" t="s">
        <v>99</v>
      </c>
      <c r="E4078">
        <v>0</v>
      </c>
    </row>
    <row r="4079" spans="1:5" x14ac:dyDescent="0.3">
      <c r="A4079" t="s">
        <v>37</v>
      </c>
      <c r="B4079">
        <v>2013</v>
      </c>
      <c r="C4079" t="str">
        <f>_xlfn.CONCAT(Table16[[#This Row],[STATE]],"-",Table16[[#This Row],[YEAR]])</f>
        <v>Daman &amp; Diu-2013</v>
      </c>
      <c r="D4079" t="s">
        <v>181</v>
      </c>
      <c r="E4079" t="s">
        <v>1342</v>
      </c>
    </row>
    <row r="4080" spans="1:5" x14ac:dyDescent="0.3">
      <c r="A4080" t="s">
        <v>38</v>
      </c>
      <c r="B4080">
        <v>2013</v>
      </c>
      <c r="C4080" t="str">
        <f>_xlfn.CONCAT(Table16[[#This Row],[STATE]],"-",Table16[[#This Row],[YEAR]])</f>
        <v>Delhi-2013</v>
      </c>
      <c r="D4080" t="s">
        <v>1193</v>
      </c>
      <c r="E4080">
        <v>258</v>
      </c>
    </row>
    <row r="4081" spans="1:5" x14ac:dyDescent="0.3">
      <c r="A4081" t="s">
        <v>38</v>
      </c>
      <c r="B4081">
        <v>2013</v>
      </c>
      <c r="C4081" t="str">
        <f>_xlfn.CONCAT(Table16[[#This Row],[STATE]],"-",Table16[[#This Row],[YEAR]])</f>
        <v>Delhi-2013</v>
      </c>
      <c r="D4081" t="s">
        <v>1343</v>
      </c>
      <c r="E4081">
        <v>164</v>
      </c>
    </row>
    <row r="4082" spans="1:5" x14ac:dyDescent="0.3">
      <c r="A4082" t="s">
        <v>38</v>
      </c>
      <c r="B4082">
        <v>2013</v>
      </c>
      <c r="C4082" t="str">
        <f>_xlfn.CONCAT(Table16[[#This Row],[STATE]],"-",Table16[[#This Row],[YEAR]])</f>
        <v>Delhi-2013</v>
      </c>
      <c r="D4082" t="s">
        <v>259</v>
      </c>
      <c r="E4082">
        <v>156</v>
      </c>
    </row>
    <row r="4083" spans="1:5" x14ac:dyDescent="0.3">
      <c r="A4083" t="s">
        <v>38</v>
      </c>
      <c r="B4083">
        <v>2013</v>
      </c>
      <c r="C4083" t="str">
        <f>_xlfn.CONCAT(Table16[[#This Row],[STATE]],"-",Table16[[#This Row],[YEAR]])</f>
        <v>Delhi-2013</v>
      </c>
      <c r="D4083" t="s">
        <v>103</v>
      </c>
      <c r="E4083">
        <v>497</v>
      </c>
    </row>
    <row r="4084" spans="1:5" x14ac:dyDescent="0.3">
      <c r="A4084" t="s">
        <v>38</v>
      </c>
      <c r="B4084">
        <v>2013</v>
      </c>
      <c r="C4084" t="str">
        <f>_xlfn.CONCAT(Table16[[#This Row],[STATE]],"-",Table16[[#This Row],[YEAR]])</f>
        <v>Delhi-2013</v>
      </c>
      <c r="D4084" t="s">
        <v>314</v>
      </c>
      <c r="E4084">
        <v>648</v>
      </c>
    </row>
    <row r="4085" spans="1:5" x14ac:dyDescent="0.3">
      <c r="A4085" t="s">
        <v>38</v>
      </c>
      <c r="B4085">
        <v>2013</v>
      </c>
      <c r="C4085" t="str">
        <f>_xlfn.CONCAT(Table16[[#This Row],[STATE]],"-",Table16[[#This Row],[YEAR]])</f>
        <v>Delhi-2013</v>
      </c>
      <c r="D4085" t="s">
        <v>1344</v>
      </c>
      <c r="E4085">
        <v>383</v>
      </c>
    </row>
    <row r="4086" spans="1:5" x14ac:dyDescent="0.3">
      <c r="A4086" t="s">
        <v>38</v>
      </c>
      <c r="B4086">
        <v>2013</v>
      </c>
      <c r="C4086" t="str">
        <f>_xlfn.CONCAT(Table16[[#This Row],[STATE]],"-",Table16[[#This Row],[YEAR]])</f>
        <v>Delhi-2013</v>
      </c>
      <c r="D4086" t="s">
        <v>1170</v>
      </c>
      <c r="E4086">
        <v>534</v>
      </c>
    </row>
    <row r="4087" spans="1:5" x14ac:dyDescent="0.3">
      <c r="A4087" t="s">
        <v>38</v>
      </c>
      <c r="B4087">
        <v>2013</v>
      </c>
      <c r="C4087" t="str">
        <f>_xlfn.CONCAT(Table16[[#This Row],[STATE]],"-",Table16[[#This Row],[YEAR]])</f>
        <v>Delhi-2013</v>
      </c>
      <c r="D4087" t="s">
        <v>1345</v>
      </c>
      <c r="E4087">
        <v>22</v>
      </c>
    </row>
    <row r="4088" spans="1:5" x14ac:dyDescent="0.3">
      <c r="A4088" t="s">
        <v>38</v>
      </c>
      <c r="B4088">
        <v>2013</v>
      </c>
      <c r="C4088" t="str">
        <f>_xlfn.CONCAT(Table16[[#This Row],[STATE]],"-",Table16[[#This Row],[YEAR]])</f>
        <v>Delhi-2013</v>
      </c>
      <c r="D4088" t="s">
        <v>1080</v>
      </c>
      <c r="E4088">
        <v>9</v>
      </c>
    </row>
    <row r="4089" spans="1:5" x14ac:dyDescent="0.3">
      <c r="A4089" t="s">
        <v>38</v>
      </c>
      <c r="B4089">
        <v>2013</v>
      </c>
      <c r="C4089" t="str">
        <f>_xlfn.CONCAT(Table16[[#This Row],[STATE]],"-",Table16[[#This Row],[YEAR]])</f>
        <v>Delhi-2013</v>
      </c>
      <c r="D4089" t="s">
        <v>410</v>
      </c>
      <c r="E4089">
        <v>2</v>
      </c>
    </row>
    <row r="4090" spans="1:5" x14ac:dyDescent="0.3">
      <c r="A4090" t="s">
        <v>38</v>
      </c>
      <c r="B4090">
        <v>2013</v>
      </c>
      <c r="C4090" t="str">
        <f>_xlfn.CONCAT(Table16[[#This Row],[STATE]],"-",Table16[[#This Row],[YEAR]])</f>
        <v>Delhi-2013</v>
      </c>
      <c r="D4090" t="s">
        <v>1346</v>
      </c>
      <c r="E4090">
        <v>219</v>
      </c>
    </row>
    <row r="4091" spans="1:5" x14ac:dyDescent="0.3">
      <c r="A4091" t="s">
        <v>38</v>
      </c>
      <c r="B4091">
        <v>2013</v>
      </c>
      <c r="C4091" t="str">
        <f>_xlfn.CONCAT(Table16[[#This Row],[STATE]],"-",Table16[[#This Row],[YEAR]])</f>
        <v>Delhi-2013</v>
      </c>
      <c r="D4091" t="s">
        <v>1347</v>
      </c>
      <c r="E4091">
        <v>42</v>
      </c>
    </row>
    <row r="4092" spans="1:5" x14ac:dyDescent="0.3">
      <c r="A4092" t="s">
        <v>38</v>
      </c>
      <c r="B4092">
        <v>2013</v>
      </c>
      <c r="C4092" t="str">
        <f>_xlfn.CONCAT(Table16[[#This Row],[STATE]],"-",Table16[[#This Row],[YEAR]])</f>
        <v>Delhi-2013</v>
      </c>
      <c r="D4092" t="s">
        <v>1348</v>
      </c>
      <c r="E4092">
        <v>16</v>
      </c>
    </row>
    <row r="4093" spans="1:5" x14ac:dyDescent="0.3">
      <c r="A4093" t="s">
        <v>38</v>
      </c>
      <c r="B4093">
        <v>2013</v>
      </c>
      <c r="C4093" t="str">
        <f>_xlfn.CONCAT(Table16[[#This Row],[STATE]],"-",Table16[[#This Row],[YEAR]])</f>
        <v>Delhi-2013</v>
      </c>
      <c r="D4093" t="s">
        <v>1172</v>
      </c>
      <c r="E4093">
        <v>192</v>
      </c>
    </row>
    <row r="4094" spans="1:5" x14ac:dyDescent="0.3">
      <c r="A4094" t="s">
        <v>38</v>
      </c>
      <c r="B4094">
        <v>2013</v>
      </c>
      <c r="C4094" t="str">
        <f>_xlfn.CONCAT(Table16[[#This Row],[STATE]],"-",Table16[[#This Row],[YEAR]])</f>
        <v>Delhi-2013</v>
      </c>
      <c r="D4094" t="s">
        <v>1349</v>
      </c>
      <c r="E4094">
        <v>58</v>
      </c>
    </row>
    <row r="4095" spans="1:5" x14ac:dyDescent="0.3">
      <c r="A4095" t="s">
        <v>38</v>
      </c>
      <c r="B4095">
        <v>2013</v>
      </c>
      <c r="C4095" t="str">
        <f>_xlfn.CONCAT(Table16[[#This Row],[STATE]],"-",Table16[[#This Row],[YEAR]])</f>
        <v>Delhi-2013</v>
      </c>
      <c r="D4095" t="s">
        <v>1350</v>
      </c>
      <c r="E4095">
        <v>4</v>
      </c>
    </row>
    <row r="4096" spans="1:5" x14ac:dyDescent="0.3">
      <c r="A4096" t="s">
        <v>38</v>
      </c>
      <c r="B4096">
        <v>2013</v>
      </c>
      <c r="C4096" t="str">
        <f>_xlfn.CONCAT(Table16[[#This Row],[STATE]],"-",Table16[[#This Row],[YEAR]])</f>
        <v>Delhi-2013</v>
      </c>
      <c r="D4096" t="s">
        <v>1077</v>
      </c>
      <c r="E4096">
        <v>16</v>
      </c>
    </row>
    <row r="4097" spans="1:5" x14ac:dyDescent="0.3">
      <c r="A4097" t="s">
        <v>38</v>
      </c>
      <c r="B4097">
        <v>2013</v>
      </c>
      <c r="C4097" t="str">
        <f>_xlfn.CONCAT(Table16[[#This Row],[STATE]],"-",Table16[[#This Row],[YEAR]])</f>
        <v>Delhi-2013</v>
      </c>
      <c r="D4097" t="s">
        <v>1089</v>
      </c>
      <c r="E4097">
        <v>360</v>
      </c>
    </row>
    <row r="4098" spans="1:5" x14ac:dyDescent="0.3">
      <c r="A4098" t="s">
        <v>38</v>
      </c>
      <c r="B4098">
        <v>2013</v>
      </c>
      <c r="C4098" t="str">
        <f>_xlfn.CONCAT(Table16[[#This Row],[STATE]],"-",Table16[[#This Row],[YEAR]])</f>
        <v>Delhi-2013</v>
      </c>
      <c r="D4098" t="s">
        <v>1117</v>
      </c>
      <c r="E4098">
        <v>10</v>
      </c>
    </row>
    <row r="4099" spans="1:5" x14ac:dyDescent="0.3">
      <c r="A4099" t="s">
        <v>38</v>
      </c>
      <c r="B4099">
        <v>2013</v>
      </c>
      <c r="C4099" t="str">
        <f>_xlfn.CONCAT(Table16[[#This Row],[STATE]],"-",Table16[[#This Row],[YEAR]])</f>
        <v>Delhi-2013</v>
      </c>
      <c r="D4099" t="s">
        <v>1034</v>
      </c>
      <c r="E4099">
        <v>495</v>
      </c>
    </row>
    <row r="4100" spans="1:5" x14ac:dyDescent="0.3">
      <c r="A4100" t="s">
        <v>38</v>
      </c>
      <c r="B4100">
        <v>2013</v>
      </c>
      <c r="C4100" t="str">
        <f>_xlfn.CONCAT(Table16[[#This Row],[STATE]],"-",Table16[[#This Row],[YEAR]])</f>
        <v>Delhi-2013</v>
      </c>
      <c r="D4100" t="s">
        <v>1118</v>
      </c>
      <c r="E4100">
        <v>62</v>
      </c>
    </row>
    <row r="4101" spans="1:5" x14ac:dyDescent="0.3">
      <c r="A4101" t="s">
        <v>38</v>
      </c>
      <c r="B4101">
        <v>2013</v>
      </c>
      <c r="C4101" t="str">
        <f>_xlfn.CONCAT(Table16[[#This Row],[STATE]],"-",Table16[[#This Row],[YEAR]])</f>
        <v>Delhi-2013</v>
      </c>
      <c r="D4101" t="s">
        <v>1351</v>
      </c>
      <c r="E4101">
        <v>28</v>
      </c>
    </row>
    <row r="4102" spans="1:5" x14ac:dyDescent="0.3">
      <c r="A4102" t="s">
        <v>38</v>
      </c>
      <c r="B4102">
        <v>2013</v>
      </c>
      <c r="C4102" t="str">
        <f>_xlfn.CONCAT(Table16[[#This Row],[STATE]],"-",Table16[[#This Row],[YEAR]])</f>
        <v>Delhi-2013</v>
      </c>
      <c r="D4102" t="s">
        <v>1119</v>
      </c>
      <c r="E4102">
        <v>227</v>
      </c>
    </row>
    <row r="4103" spans="1:5" x14ac:dyDescent="0.3">
      <c r="A4103" t="s">
        <v>38</v>
      </c>
      <c r="B4103">
        <v>2013</v>
      </c>
      <c r="C4103" t="str">
        <f>_xlfn.CONCAT(Table16[[#This Row],[STATE]],"-",Table16[[#This Row],[YEAR]])</f>
        <v>Delhi-2013</v>
      </c>
      <c r="D4103" t="s">
        <v>1352</v>
      </c>
      <c r="E4103">
        <v>117</v>
      </c>
    </row>
    <row r="4104" spans="1:5" x14ac:dyDescent="0.3">
      <c r="A4104" t="s">
        <v>38</v>
      </c>
      <c r="B4104">
        <v>2013</v>
      </c>
      <c r="C4104" t="str">
        <f>_xlfn.CONCAT(Table16[[#This Row],[STATE]],"-",Table16[[#This Row],[YEAR]])</f>
        <v>Delhi-2013</v>
      </c>
      <c r="D4104" t="s">
        <v>1120</v>
      </c>
      <c r="E4104">
        <v>23</v>
      </c>
    </row>
    <row r="4105" spans="1:5" x14ac:dyDescent="0.3">
      <c r="A4105" t="s">
        <v>38</v>
      </c>
      <c r="B4105">
        <v>2013</v>
      </c>
      <c r="C4105" t="str">
        <f>_xlfn.CONCAT(Table16[[#This Row],[STATE]],"-",Table16[[#This Row],[YEAR]])</f>
        <v>Delhi-2013</v>
      </c>
      <c r="D4105" t="s">
        <v>841</v>
      </c>
      <c r="E4105">
        <v>192</v>
      </c>
    </row>
    <row r="4106" spans="1:5" x14ac:dyDescent="0.3">
      <c r="A4106" t="s">
        <v>38</v>
      </c>
      <c r="B4106">
        <v>2013</v>
      </c>
      <c r="C4106" t="str">
        <f>_xlfn.CONCAT(Table16[[#This Row],[STATE]],"-",Table16[[#This Row],[YEAR]])</f>
        <v>Delhi-2013</v>
      </c>
      <c r="D4106" t="s">
        <v>1115</v>
      </c>
      <c r="E4106">
        <v>330</v>
      </c>
    </row>
    <row r="4107" spans="1:5" x14ac:dyDescent="0.3">
      <c r="A4107" t="s">
        <v>38</v>
      </c>
      <c r="B4107">
        <v>2013</v>
      </c>
      <c r="C4107" t="str">
        <f>_xlfn.CONCAT(Table16[[#This Row],[STATE]],"-",Table16[[#This Row],[YEAR]])</f>
        <v>Delhi-2013</v>
      </c>
      <c r="D4107" t="s">
        <v>1113</v>
      </c>
      <c r="E4107">
        <v>94</v>
      </c>
    </row>
    <row r="4108" spans="1:5" x14ac:dyDescent="0.3">
      <c r="A4108" t="s">
        <v>38</v>
      </c>
      <c r="B4108">
        <v>2013</v>
      </c>
      <c r="C4108" t="str">
        <f>_xlfn.CONCAT(Table16[[#This Row],[STATE]],"-",Table16[[#This Row],[YEAR]])</f>
        <v>Delhi-2013</v>
      </c>
      <c r="D4108" t="s">
        <v>1121</v>
      </c>
      <c r="E4108">
        <v>34</v>
      </c>
    </row>
    <row r="4109" spans="1:5" x14ac:dyDescent="0.3">
      <c r="A4109" t="s">
        <v>38</v>
      </c>
      <c r="B4109">
        <v>2013</v>
      </c>
      <c r="C4109" t="str">
        <f>_xlfn.CONCAT(Table16[[#This Row],[STATE]],"-",Table16[[#This Row],[YEAR]])</f>
        <v>Delhi-2013</v>
      </c>
      <c r="D4109" t="s">
        <v>173</v>
      </c>
      <c r="E4109">
        <v>17</v>
      </c>
    </row>
    <row r="4110" spans="1:5" x14ac:dyDescent="0.3">
      <c r="A4110" t="s">
        <v>38</v>
      </c>
      <c r="B4110">
        <v>2013</v>
      </c>
      <c r="C4110" t="str">
        <f>_xlfn.CONCAT(Table16[[#This Row],[STATE]],"-",Table16[[#This Row],[YEAR]])</f>
        <v>Delhi-2013</v>
      </c>
      <c r="D4110" t="s">
        <v>1353</v>
      </c>
      <c r="E4110">
        <v>324</v>
      </c>
    </row>
    <row r="4111" spans="1:5" x14ac:dyDescent="0.3">
      <c r="A4111" t="s">
        <v>38</v>
      </c>
      <c r="B4111">
        <v>2013</v>
      </c>
      <c r="C4111" t="str">
        <f>_xlfn.CONCAT(Table16[[#This Row],[STATE]],"-",Table16[[#This Row],[YEAR]])</f>
        <v>Delhi-2013</v>
      </c>
      <c r="D4111" t="s">
        <v>1354</v>
      </c>
      <c r="E4111">
        <v>8</v>
      </c>
    </row>
    <row r="4112" spans="1:5" x14ac:dyDescent="0.3">
      <c r="A4112" t="s">
        <v>38</v>
      </c>
      <c r="B4112">
        <v>2013</v>
      </c>
      <c r="C4112" t="str">
        <f>_xlfn.CONCAT(Table16[[#This Row],[STATE]],"-",Table16[[#This Row],[YEAR]])</f>
        <v>Delhi-2013</v>
      </c>
      <c r="D4112" t="s">
        <v>1355</v>
      </c>
      <c r="E4112">
        <v>8</v>
      </c>
    </row>
    <row r="4113" spans="1:5" x14ac:dyDescent="0.3">
      <c r="A4113" t="s">
        <v>38</v>
      </c>
      <c r="B4113">
        <v>2013</v>
      </c>
      <c r="C4113" t="str">
        <f>_xlfn.CONCAT(Table16[[#This Row],[STATE]],"-",Table16[[#This Row],[YEAR]])</f>
        <v>Delhi-2013</v>
      </c>
      <c r="D4113" t="s">
        <v>1356</v>
      </c>
      <c r="E4113">
        <v>10</v>
      </c>
    </row>
    <row r="4114" spans="1:5" x14ac:dyDescent="0.3">
      <c r="A4114" t="s">
        <v>38</v>
      </c>
      <c r="B4114">
        <v>2013</v>
      </c>
      <c r="C4114" t="str">
        <f>_xlfn.CONCAT(Table16[[#This Row],[STATE]],"-",Table16[[#This Row],[YEAR]])</f>
        <v>Delhi-2013</v>
      </c>
      <c r="D4114" t="s">
        <v>1357</v>
      </c>
      <c r="E4114">
        <v>15</v>
      </c>
    </row>
    <row r="4115" spans="1:5" x14ac:dyDescent="0.3">
      <c r="A4115" t="s">
        <v>38</v>
      </c>
      <c r="B4115">
        <v>2013</v>
      </c>
      <c r="C4115" t="str">
        <f>_xlfn.CONCAT(Table16[[#This Row],[STATE]],"-",Table16[[#This Row],[YEAR]])</f>
        <v>Delhi-2013</v>
      </c>
      <c r="D4115" t="s">
        <v>1358</v>
      </c>
      <c r="E4115">
        <v>12</v>
      </c>
    </row>
    <row r="4116" spans="1:5" x14ac:dyDescent="0.3">
      <c r="A4116" t="s">
        <v>38</v>
      </c>
      <c r="B4116">
        <v>2013</v>
      </c>
      <c r="C4116" t="str">
        <f>_xlfn.CONCAT(Table16[[#This Row],[STATE]],"-",Table16[[#This Row],[YEAR]])</f>
        <v>Delhi-2013</v>
      </c>
      <c r="D4116" t="s">
        <v>266</v>
      </c>
      <c r="E4116">
        <v>80</v>
      </c>
    </row>
    <row r="4117" spans="1:5" x14ac:dyDescent="0.3">
      <c r="A4117" t="s">
        <v>38</v>
      </c>
      <c r="B4117">
        <v>2013</v>
      </c>
      <c r="C4117" t="str">
        <f>_xlfn.CONCAT(Table16[[#This Row],[STATE]],"-",Table16[[#This Row],[YEAR]])</f>
        <v>Delhi-2013</v>
      </c>
      <c r="D4117" t="s">
        <v>1116</v>
      </c>
      <c r="E4117" t="s">
        <v>1342</v>
      </c>
    </row>
    <row r="4118" spans="1:5" x14ac:dyDescent="0.3">
      <c r="A4118" t="s">
        <v>39</v>
      </c>
      <c r="B4118">
        <v>2013</v>
      </c>
      <c r="C4118" t="str">
        <f>_xlfn.CONCAT(Table16[[#This Row],[STATE]],"-",Table16[[#This Row],[YEAR]])</f>
        <v>Lakshadweep-2013</v>
      </c>
      <c r="D4118" t="s">
        <v>181</v>
      </c>
      <c r="E4118" t="s">
        <v>1342</v>
      </c>
    </row>
    <row r="4119" spans="1:5" x14ac:dyDescent="0.3">
      <c r="A4119" t="s">
        <v>40</v>
      </c>
      <c r="B4119">
        <v>2013</v>
      </c>
      <c r="C4119" t="str">
        <f>_xlfn.CONCAT(Table16[[#This Row],[STATE]],"-",Table16[[#This Row],[YEAR]])</f>
        <v>Pondicherry-2013</v>
      </c>
      <c r="D4119" t="s">
        <v>498</v>
      </c>
      <c r="E4119">
        <v>3</v>
      </c>
    </row>
    <row r="4120" spans="1:5" x14ac:dyDescent="0.3">
      <c r="A4120" t="s">
        <v>40</v>
      </c>
      <c r="B4120">
        <v>2013</v>
      </c>
      <c r="C4120" t="str">
        <f>_xlfn.CONCAT(Table16[[#This Row],[STATE]],"-",Table16[[#This Row],[YEAR]])</f>
        <v>Pondicherry-2013</v>
      </c>
      <c r="D4120" t="s">
        <v>96</v>
      </c>
      <c r="E4120">
        <v>3</v>
      </c>
    </row>
    <row r="4121" spans="1:5" x14ac:dyDescent="0.3">
      <c r="A4121" t="s">
        <v>40</v>
      </c>
      <c r="B4121">
        <v>2013</v>
      </c>
      <c r="C4121" t="str">
        <f>_xlfn.CONCAT(Table16[[#This Row],[STATE]],"-",Table16[[#This Row],[YEAR]])</f>
        <v>Pondicherry-2013</v>
      </c>
      <c r="D4121" t="s">
        <v>103</v>
      </c>
      <c r="E4121">
        <v>2</v>
      </c>
    </row>
    <row r="4122" spans="1:5" x14ac:dyDescent="0.3">
      <c r="A4122" t="s">
        <v>40</v>
      </c>
      <c r="B4122">
        <v>2013</v>
      </c>
      <c r="C4122" t="str">
        <f>_xlfn.CONCAT(Table16[[#This Row],[STATE]],"-",Table16[[#This Row],[YEAR]])</f>
        <v>Pondicherry-2013</v>
      </c>
      <c r="D4122" t="s">
        <v>1122</v>
      </c>
      <c r="E4122">
        <v>12</v>
      </c>
    </row>
    <row r="4123" spans="1:5" x14ac:dyDescent="0.3">
      <c r="A4123" t="s">
        <v>40</v>
      </c>
      <c r="B4123">
        <v>2013</v>
      </c>
      <c r="C4123" t="str">
        <f>_xlfn.CONCAT(Table16[[#This Row],[STATE]],"-",Table16[[#This Row],[YEAR]])</f>
        <v>Pondicherry-2013</v>
      </c>
      <c r="D4123" t="s">
        <v>230</v>
      </c>
      <c r="E4123">
        <v>10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807D0-00D6-4D99-B928-3DD4D16DCF4E}">
  <dimension ref="A1:E448"/>
  <sheetViews>
    <sheetView workbookViewId="0">
      <selection activeCell="D1" sqref="D1"/>
    </sheetView>
  </sheetViews>
  <sheetFormatPr defaultRowHeight="14.4" x14ac:dyDescent="0.3"/>
  <cols>
    <col min="1" max="1" width="22.77734375" customWidth="1"/>
    <col min="4" max="4" width="18.44140625" customWidth="1"/>
    <col min="5" max="5" width="18.88671875" customWidth="1"/>
  </cols>
  <sheetData>
    <row r="1" spans="1:5" x14ac:dyDescent="0.3">
      <c r="A1" t="s">
        <v>0</v>
      </c>
      <c r="B1" t="s">
        <v>1</v>
      </c>
      <c r="C1" t="s">
        <v>1362</v>
      </c>
      <c r="D1" t="s">
        <v>81</v>
      </c>
      <c r="E1" t="s">
        <v>82</v>
      </c>
    </row>
    <row r="2" spans="1:5" x14ac:dyDescent="0.3">
      <c r="A2" t="s">
        <v>6</v>
      </c>
      <c r="B2">
        <v>2001</v>
      </c>
      <c r="C2" t="str">
        <f>_xlfn.CONCAT(Table2[[#This Row],[STATE]],"-",Table2[[#This Row],[YEAR]])</f>
        <v>Andhra Pradesh-2001</v>
      </c>
      <c r="D2">
        <v>17345</v>
      </c>
      <c r="E2">
        <v>1063</v>
      </c>
    </row>
    <row r="3" spans="1:5" x14ac:dyDescent="0.3">
      <c r="A3" t="s">
        <v>6</v>
      </c>
      <c r="B3">
        <v>2002</v>
      </c>
      <c r="C3" t="str">
        <f>_xlfn.CONCAT(Table2[[#This Row],[STATE]],"-",Table2[[#This Row],[YEAR]])</f>
        <v>Andhra Pradesh-2002</v>
      </c>
      <c r="D3">
        <v>13322</v>
      </c>
      <c r="E3">
        <v>318</v>
      </c>
    </row>
    <row r="4" spans="1:5" x14ac:dyDescent="0.3">
      <c r="A4" t="s">
        <v>6</v>
      </c>
      <c r="B4">
        <v>2003</v>
      </c>
      <c r="C4" t="str">
        <f>_xlfn.CONCAT(Table2[[#This Row],[STATE]],"-",Table2[[#This Row],[YEAR]])</f>
        <v>Andhra Pradesh-2003</v>
      </c>
      <c r="D4">
        <v>15682</v>
      </c>
      <c r="E4">
        <v>536</v>
      </c>
    </row>
    <row r="5" spans="1:5" x14ac:dyDescent="0.3">
      <c r="A5" t="s">
        <v>6</v>
      </c>
      <c r="B5">
        <v>2004</v>
      </c>
      <c r="C5" t="str">
        <f>_xlfn.CONCAT(Table2[[#This Row],[STATE]],"-",Table2[[#This Row],[YEAR]])</f>
        <v>Andhra Pradesh-2004</v>
      </c>
      <c r="D5">
        <v>14397</v>
      </c>
      <c r="E5">
        <v>399</v>
      </c>
    </row>
    <row r="6" spans="1:5" x14ac:dyDescent="0.3">
      <c r="A6" t="s">
        <v>6</v>
      </c>
      <c r="B6">
        <v>2005</v>
      </c>
      <c r="C6" t="str">
        <f>_xlfn.CONCAT(Table2[[#This Row],[STATE]],"-",Table2[[#This Row],[YEAR]])</f>
        <v>Andhra Pradesh-2005</v>
      </c>
      <c r="D6">
        <v>12389</v>
      </c>
      <c r="E6">
        <v>977</v>
      </c>
    </row>
    <row r="7" spans="1:5" x14ac:dyDescent="0.3">
      <c r="A7" t="s">
        <v>6</v>
      </c>
      <c r="B7">
        <v>2006</v>
      </c>
      <c r="C7" t="str">
        <f>_xlfn.CONCAT(Table2[[#This Row],[STATE]],"-",Table2[[#This Row],[YEAR]])</f>
        <v>Andhra Pradesh-2006</v>
      </c>
      <c r="D7">
        <v>13869</v>
      </c>
      <c r="E7">
        <v>3625</v>
      </c>
    </row>
    <row r="8" spans="1:5" x14ac:dyDescent="0.3">
      <c r="A8" t="s">
        <v>6</v>
      </c>
      <c r="B8">
        <v>2007</v>
      </c>
      <c r="C8" t="str">
        <f>_xlfn.CONCAT(Table2[[#This Row],[STATE]],"-",Table2[[#This Row],[YEAR]])</f>
        <v>Andhra Pradesh-2007</v>
      </c>
      <c r="D8">
        <v>15550</v>
      </c>
      <c r="E8">
        <v>1267</v>
      </c>
    </row>
    <row r="9" spans="1:5" x14ac:dyDescent="0.3">
      <c r="A9" t="s">
        <v>6</v>
      </c>
      <c r="B9">
        <v>2008</v>
      </c>
      <c r="C9" t="str">
        <f>_xlfn.CONCAT(Table2[[#This Row],[STATE]],"-",Table2[[#This Row],[YEAR]])</f>
        <v>Andhra Pradesh-2008</v>
      </c>
      <c r="D9">
        <v>13999</v>
      </c>
      <c r="E9">
        <v>1231</v>
      </c>
    </row>
    <row r="10" spans="1:5" x14ac:dyDescent="0.3">
      <c r="A10" t="s">
        <v>6</v>
      </c>
      <c r="B10">
        <v>2009</v>
      </c>
      <c r="C10" t="str">
        <f>_xlfn.CONCAT(Table2[[#This Row],[STATE]],"-",Table2[[#This Row],[YEAR]])</f>
        <v>Andhra Pradesh-2009</v>
      </c>
      <c r="D10">
        <v>12644</v>
      </c>
      <c r="E10">
        <v>898</v>
      </c>
    </row>
    <row r="11" spans="1:5" x14ac:dyDescent="0.3">
      <c r="A11" t="s">
        <v>6</v>
      </c>
      <c r="B11">
        <v>2010</v>
      </c>
      <c r="C11" t="str">
        <f>_xlfn.CONCAT(Table2[[#This Row],[STATE]],"-",Table2[[#This Row],[YEAR]])</f>
        <v>Andhra Pradesh-2010</v>
      </c>
      <c r="D11">
        <v>13122</v>
      </c>
      <c r="E11">
        <v>1094</v>
      </c>
    </row>
    <row r="12" spans="1:5" x14ac:dyDescent="0.3">
      <c r="A12" t="s">
        <v>6</v>
      </c>
      <c r="B12">
        <v>2011</v>
      </c>
      <c r="C12" t="str">
        <f>_xlfn.CONCAT(Table2[[#This Row],[STATE]],"-",Table2[[#This Row],[YEAR]])</f>
        <v>Andhra Pradesh-2011</v>
      </c>
      <c r="D12">
        <v>14577</v>
      </c>
      <c r="E12">
        <v>1501</v>
      </c>
    </row>
    <row r="13" spans="1:5" x14ac:dyDescent="0.3">
      <c r="A13" t="s">
        <v>6</v>
      </c>
      <c r="B13">
        <v>2012</v>
      </c>
      <c r="C13" t="str">
        <f>_xlfn.CONCAT(Table2[[#This Row],[STATE]],"-",Table2[[#This Row],[YEAR]])</f>
        <v>Andhra Pradesh-2012</v>
      </c>
      <c r="D13">
        <v>9700</v>
      </c>
      <c r="E13">
        <v>1328</v>
      </c>
    </row>
    <row r="14" spans="1:5" x14ac:dyDescent="0.3">
      <c r="A14" t="s">
        <v>7</v>
      </c>
      <c r="B14">
        <v>2009</v>
      </c>
      <c r="C14" t="str">
        <f>_xlfn.CONCAT(Table2[[#This Row],[STATE]],"-",Table2[[#This Row],[YEAR]])</f>
        <v>Arunachal Pradesh-2009</v>
      </c>
      <c r="D14">
        <v>2</v>
      </c>
      <c r="E14">
        <v>0</v>
      </c>
    </row>
    <row r="15" spans="1:5" x14ac:dyDescent="0.3">
      <c r="A15" t="s">
        <v>7</v>
      </c>
      <c r="B15">
        <v>2010</v>
      </c>
      <c r="C15" t="str">
        <f>_xlfn.CONCAT(Table2[[#This Row],[STATE]],"-",Table2[[#This Row],[YEAR]])</f>
        <v>Arunachal Pradesh-2010</v>
      </c>
      <c r="D15">
        <v>9</v>
      </c>
      <c r="E15">
        <v>0</v>
      </c>
    </row>
    <row r="16" spans="1:5" x14ac:dyDescent="0.3">
      <c r="A16" t="s">
        <v>7</v>
      </c>
      <c r="B16">
        <v>2011</v>
      </c>
      <c r="C16" t="str">
        <f>_xlfn.CONCAT(Table2[[#This Row],[STATE]],"-",Table2[[#This Row],[YEAR]])</f>
        <v>Arunachal Pradesh-2011</v>
      </c>
      <c r="D16">
        <v>9</v>
      </c>
      <c r="E16">
        <v>0</v>
      </c>
    </row>
    <row r="17" spans="1:5" x14ac:dyDescent="0.3">
      <c r="A17" t="s">
        <v>7</v>
      </c>
      <c r="B17">
        <v>2012</v>
      </c>
      <c r="C17" t="str">
        <f>_xlfn.CONCAT(Table2[[#This Row],[STATE]],"-",Table2[[#This Row],[YEAR]])</f>
        <v>Arunachal Pradesh-2012</v>
      </c>
      <c r="D17">
        <v>9</v>
      </c>
      <c r="E17">
        <v>0</v>
      </c>
    </row>
    <row r="18" spans="1:5" x14ac:dyDescent="0.3">
      <c r="A18" t="s">
        <v>8</v>
      </c>
      <c r="B18">
        <v>2001</v>
      </c>
      <c r="C18" t="str">
        <f>_xlfn.CONCAT(Table2[[#This Row],[STATE]],"-",Table2[[#This Row],[YEAR]])</f>
        <v>Assam-2001</v>
      </c>
      <c r="D18">
        <v>2249</v>
      </c>
      <c r="E18">
        <v>25</v>
      </c>
    </row>
    <row r="19" spans="1:5" x14ac:dyDescent="0.3">
      <c r="A19" t="s">
        <v>8</v>
      </c>
      <c r="B19">
        <v>2002</v>
      </c>
      <c r="C19" t="str">
        <f>_xlfn.CONCAT(Table2[[#This Row],[STATE]],"-",Table2[[#This Row],[YEAR]])</f>
        <v>Assam-2002</v>
      </c>
      <c r="D19">
        <v>2712</v>
      </c>
      <c r="E19">
        <v>19</v>
      </c>
    </row>
    <row r="20" spans="1:5" x14ac:dyDescent="0.3">
      <c r="A20" t="s">
        <v>8</v>
      </c>
      <c r="B20">
        <v>2003</v>
      </c>
      <c r="C20" t="str">
        <f>_xlfn.CONCAT(Table2[[#This Row],[STATE]],"-",Table2[[#This Row],[YEAR]])</f>
        <v>Assam-2003</v>
      </c>
      <c r="D20">
        <v>2297</v>
      </c>
      <c r="E20">
        <v>38</v>
      </c>
    </row>
    <row r="21" spans="1:5" x14ac:dyDescent="0.3">
      <c r="A21" t="s">
        <v>8</v>
      </c>
      <c r="B21">
        <v>2004</v>
      </c>
      <c r="C21" t="str">
        <f>_xlfn.CONCAT(Table2[[#This Row],[STATE]],"-",Table2[[#This Row],[YEAR]])</f>
        <v>Assam-2004</v>
      </c>
      <c r="D21">
        <v>2594</v>
      </c>
      <c r="E21">
        <v>336</v>
      </c>
    </row>
    <row r="22" spans="1:5" x14ac:dyDescent="0.3">
      <c r="A22" t="s">
        <v>8</v>
      </c>
      <c r="B22">
        <v>2005</v>
      </c>
      <c r="C22" t="str">
        <f>_xlfn.CONCAT(Table2[[#This Row],[STATE]],"-",Table2[[#This Row],[YEAR]])</f>
        <v>Assam-2005</v>
      </c>
      <c r="D22">
        <v>2459</v>
      </c>
      <c r="E22">
        <v>187</v>
      </c>
    </row>
    <row r="23" spans="1:5" x14ac:dyDescent="0.3">
      <c r="A23" t="s">
        <v>8</v>
      </c>
      <c r="B23">
        <v>2006</v>
      </c>
      <c r="C23" t="str">
        <f>_xlfn.CONCAT(Table2[[#This Row],[STATE]],"-",Table2[[#This Row],[YEAR]])</f>
        <v>Assam-2006</v>
      </c>
      <c r="D23">
        <v>3721</v>
      </c>
      <c r="E23">
        <v>38</v>
      </c>
    </row>
    <row r="24" spans="1:5" x14ac:dyDescent="0.3">
      <c r="A24" t="s">
        <v>8</v>
      </c>
      <c r="B24">
        <v>2007</v>
      </c>
      <c r="C24" t="str">
        <f>_xlfn.CONCAT(Table2[[#This Row],[STATE]],"-",Table2[[#This Row],[YEAR]])</f>
        <v>Assam-2007</v>
      </c>
      <c r="D24">
        <v>3022</v>
      </c>
      <c r="E24">
        <v>56</v>
      </c>
    </row>
    <row r="25" spans="1:5" x14ac:dyDescent="0.3">
      <c r="A25" t="s">
        <v>8</v>
      </c>
      <c r="B25">
        <v>2008</v>
      </c>
      <c r="C25" t="str">
        <f>_xlfn.CONCAT(Table2[[#This Row],[STATE]],"-",Table2[[#This Row],[YEAR]])</f>
        <v>Assam-2008</v>
      </c>
      <c r="D25">
        <v>2907</v>
      </c>
      <c r="E25">
        <v>64</v>
      </c>
    </row>
    <row r="26" spans="1:5" x14ac:dyDescent="0.3">
      <c r="A26" t="s">
        <v>8</v>
      </c>
      <c r="B26">
        <v>2009</v>
      </c>
      <c r="C26" t="str">
        <f>_xlfn.CONCAT(Table2[[#This Row],[STATE]],"-",Table2[[#This Row],[YEAR]])</f>
        <v>Assam-2009</v>
      </c>
      <c r="D26">
        <v>2397</v>
      </c>
      <c r="E26">
        <v>189</v>
      </c>
    </row>
    <row r="27" spans="1:5" x14ac:dyDescent="0.3">
      <c r="A27" t="s">
        <v>8</v>
      </c>
      <c r="B27">
        <v>2010</v>
      </c>
      <c r="C27" t="str">
        <f>_xlfn.CONCAT(Table2[[#This Row],[STATE]],"-",Table2[[#This Row],[YEAR]])</f>
        <v>Assam-2010</v>
      </c>
      <c r="D27">
        <v>1941</v>
      </c>
      <c r="E27">
        <v>9</v>
      </c>
    </row>
    <row r="28" spans="1:5" x14ac:dyDescent="0.3">
      <c r="A28" t="s">
        <v>8</v>
      </c>
      <c r="B28">
        <v>2011</v>
      </c>
      <c r="C28" t="str">
        <f>_xlfn.CONCAT(Table2[[#This Row],[STATE]],"-",Table2[[#This Row],[YEAR]])</f>
        <v>Assam-2011</v>
      </c>
      <c r="D28">
        <v>1802</v>
      </c>
      <c r="E28">
        <v>31</v>
      </c>
    </row>
    <row r="29" spans="1:5" x14ac:dyDescent="0.3">
      <c r="A29" t="s">
        <v>8</v>
      </c>
      <c r="B29">
        <v>2012</v>
      </c>
      <c r="C29" t="str">
        <f>_xlfn.CONCAT(Table2[[#This Row],[STATE]],"-",Table2[[#This Row],[YEAR]])</f>
        <v>Assam-2012</v>
      </c>
      <c r="D29">
        <v>2152</v>
      </c>
      <c r="E29">
        <v>126</v>
      </c>
    </row>
    <row r="30" spans="1:5" x14ac:dyDescent="0.3">
      <c r="A30" t="s">
        <v>9</v>
      </c>
      <c r="B30">
        <v>2001</v>
      </c>
      <c r="C30" t="str">
        <f>_xlfn.CONCAT(Table2[[#This Row],[STATE]],"-",Table2[[#This Row],[YEAR]])</f>
        <v>Bihar-2001</v>
      </c>
      <c r="D30">
        <v>19469</v>
      </c>
      <c r="E30">
        <v>1204</v>
      </c>
    </row>
    <row r="31" spans="1:5" x14ac:dyDescent="0.3">
      <c r="A31" t="s">
        <v>9</v>
      </c>
      <c r="B31">
        <v>2002</v>
      </c>
      <c r="C31" t="str">
        <f>_xlfn.CONCAT(Table2[[#This Row],[STATE]],"-",Table2[[#This Row],[YEAR]])</f>
        <v>Bihar-2002</v>
      </c>
      <c r="D31">
        <v>12078</v>
      </c>
      <c r="E31">
        <v>259</v>
      </c>
    </row>
    <row r="32" spans="1:5" x14ac:dyDescent="0.3">
      <c r="A32" t="s">
        <v>9</v>
      </c>
      <c r="B32">
        <v>2003</v>
      </c>
      <c r="C32" t="str">
        <f>_xlfn.CONCAT(Table2[[#This Row],[STATE]],"-",Table2[[#This Row],[YEAR]])</f>
        <v>Bihar-2003</v>
      </c>
      <c r="D32">
        <v>663</v>
      </c>
      <c r="E32">
        <v>257</v>
      </c>
    </row>
    <row r="33" spans="1:5" x14ac:dyDescent="0.3">
      <c r="A33" t="s">
        <v>9</v>
      </c>
      <c r="B33">
        <v>2004</v>
      </c>
      <c r="C33" t="str">
        <f>_xlfn.CONCAT(Table2[[#This Row],[STATE]],"-",Table2[[#This Row],[YEAR]])</f>
        <v>Bihar-2004</v>
      </c>
      <c r="D33">
        <v>8089</v>
      </c>
      <c r="E33">
        <v>2254</v>
      </c>
    </row>
    <row r="34" spans="1:5" x14ac:dyDescent="0.3">
      <c r="A34" t="s">
        <v>9</v>
      </c>
      <c r="B34">
        <v>2005</v>
      </c>
      <c r="C34" t="str">
        <f>_xlfn.CONCAT(Table2[[#This Row],[STATE]],"-",Table2[[#This Row],[YEAR]])</f>
        <v>Bihar-2005</v>
      </c>
      <c r="D34">
        <v>10184</v>
      </c>
      <c r="E34">
        <v>319</v>
      </c>
    </row>
    <row r="35" spans="1:5" x14ac:dyDescent="0.3">
      <c r="A35" t="s">
        <v>9</v>
      </c>
      <c r="B35">
        <v>2006</v>
      </c>
      <c r="C35" t="str">
        <f>_xlfn.CONCAT(Table2[[#This Row],[STATE]],"-",Table2[[#This Row],[YEAR]])</f>
        <v>Bihar-2006</v>
      </c>
      <c r="D35">
        <v>11833</v>
      </c>
      <c r="E35">
        <v>238</v>
      </c>
    </row>
    <row r="36" spans="1:5" x14ac:dyDescent="0.3">
      <c r="A36" t="s">
        <v>9</v>
      </c>
      <c r="B36">
        <v>2007</v>
      </c>
      <c r="C36" t="str">
        <f>_xlfn.CONCAT(Table2[[#This Row],[STATE]],"-",Table2[[#This Row],[YEAR]])</f>
        <v>Bihar-2007</v>
      </c>
      <c r="D36">
        <v>13148</v>
      </c>
      <c r="E36">
        <v>217</v>
      </c>
    </row>
    <row r="37" spans="1:5" x14ac:dyDescent="0.3">
      <c r="A37" t="s">
        <v>9</v>
      </c>
      <c r="B37">
        <v>2008</v>
      </c>
      <c r="C37" t="str">
        <f>_xlfn.CONCAT(Table2[[#This Row],[STATE]],"-",Table2[[#This Row],[YEAR]])</f>
        <v>Bihar-2008</v>
      </c>
      <c r="D37">
        <v>14918</v>
      </c>
      <c r="E37">
        <v>193</v>
      </c>
    </row>
    <row r="38" spans="1:5" x14ac:dyDescent="0.3">
      <c r="A38" t="s">
        <v>9</v>
      </c>
      <c r="B38">
        <v>2009</v>
      </c>
      <c r="C38" t="str">
        <f>_xlfn.CONCAT(Table2[[#This Row],[STATE]],"-",Table2[[#This Row],[YEAR]])</f>
        <v>Bihar-2009</v>
      </c>
      <c r="D38">
        <v>12136</v>
      </c>
      <c r="E38">
        <v>72</v>
      </c>
    </row>
    <row r="39" spans="1:5" x14ac:dyDescent="0.3">
      <c r="A39" t="s">
        <v>9</v>
      </c>
      <c r="B39">
        <v>2010</v>
      </c>
      <c r="C39" t="str">
        <f>_xlfn.CONCAT(Table2[[#This Row],[STATE]],"-",Table2[[#This Row],[YEAR]])</f>
        <v>Bihar-2010</v>
      </c>
      <c r="D39">
        <v>12658</v>
      </c>
      <c r="E39">
        <v>57</v>
      </c>
    </row>
    <row r="40" spans="1:5" x14ac:dyDescent="0.3">
      <c r="A40" t="s">
        <v>9</v>
      </c>
      <c r="B40">
        <v>2011</v>
      </c>
      <c r="C40" t="str">
        <f>_xlfn.CONCAT(Table2[[#This Row],[STATE]],"-",Table2[[#This Row],[YEAR]])</f>
        <v>Bihar-2011</v>
      </c>
      <c r="D40">
        <v>8165</v>
      </c>
      <c r="E40">
        <v>232</v>
      </c>
    </row>
    <row r="41" spans="1:5" x14ac:dyDescent="0.3">
      <c r="A41" t="s">
        <v>9</v>
      </c>
      <c r="B41">
        <v>2012</v>
      </c>
      <c r="C41" t="str">
        <f>_xlfn.CONCAT(Table2[[#This Row],[STATE]],"-",Table2[[#This Row],[YEAR]])</f>
        <v>Bihar-2012</v>
      </c>
      <c r="D41">
        <v>8013</v>
      </c>
      <c r="E41">
        <v>69</v>
      </c>
    </row>
    <row r="42" spans="1:5" x14ac:dyDescent="0.3">
      <c r="A42" t="s">
        <v>10</v>
      </c>
      <c r="B42">
        <v>2012</v>
      </c>
      <c r="C42" t="str">
        <f>_xlfn.CONCAT(Table2[[#This Row],[STATE]],"-",Table2[[#This Row],[YEAR]])</f>
        <v>Chhattisgarh-2012</v>
      </c>
      <c r="D42">
        <v>3559</v>
      </c>
      <c r="E42">
        <v>62</v>
      </c>
    </row>
    <row r="43" spans="1:5" x14ac:dyDescent="0.3">
      <c r="A43" t="s">
        <v>10</v>
      </c>
      <c r="B43">
        <v>2001</v>
      </c>
      <c r="C43" t="str">
        <f>_xlfn.CONCAT(Table2[[#This Row],[STATE]],"-",Table2[[#This Row],[YEAR]])</f>
        <v>Chhattisgarh-2001</v>
      </c>
      <c r="D43">
        <v>5327</v>
      </c>
      <c r="E43">
        <v>1</v>
      </c>
    </row>
    <row r="44" spans="1:5" x14ac:dyDescent="0.3">
      <c r="A44" t="s">
        <v>10</v>
      </c>
      <c r="B44">
        <v>2002</v>
      </c>
      <c r="C44" t="str">
        <f>_xlfn.CONCAT(Table2[[#This Row],[STATE]],"-",Table2[[#This Row],[YEAR]])</f>
        <v>Chhattisgarh-2002</v>
      </c>
      <c r="D44">
        <v>5794</v>
      </c>
      <c r="E44">
        <v>0</v>
      </c>
    </row>
    <row r="45" spans="1:5" x14ac:dyDescent="0.3">
      <c r="A45" t="s">
        <v>10</v>
      </c>
      <c r="B45">
        <v>2003</v>
      </c>
      <c r="C45" t="str">
        <f>_xlfn.CONCAT(Table2[[#This Row],[STATE]],"-",Table2[[#This Row],[YEAR]])</f>
        <v>Chhattisgarh-2003</v>
      </c>
      <c r="D45">
        <v>10965</v>
      </c>
      <c r="E45">
        <v>153</v>
      </c>
    </row>
    <row r="46" spans="1:5" x14ac:dyDescent="0.3">
      <c r="A46" t="s">
        <v>10</v>
      </c>
      <c r="B46">
        <v>2004</v>
      </c>
      <c r="C46" t="str">
        <f>_xlfn.CONCAT(Table2[[#This Row],[STATE]],"-",Table2[[#This Row],[YEAR]])</f>
        <v>Chhattisgarh-2004</v>
      </c>
      <c r="D46">
        <v>6078</v>
      </c>
      <c r="E46">
        <v>9</v>
      </c>
    </row>
    <row r="47" spans="1:5" x14ac:dyDescent="0.3">
      <c r="A47" t="s">
        <v>10</v>
      </c>
      <c r="B47">
        <v>2005</v>
      </c>
      <c r="C47" t="str">
        <f>_xlfn.CONCAT(Table2[[#This Row],[STATE]],"-",Table2[[#This Row],[YEAR]])</f>
        <v>Chhattisgarh-2005</v>
      </c>
      <c r="D47">
        <v>2450</v>
      </c>
      <c r="E47">
        <v>6</v>
      </c>
    </row>
    <row r="48" spans="1:5" x14ac:dyDescent="0.3">
      <c r="A48" t="s">
        <v>10</v>
      </c>
      <c r="B48">
        <v>2006</v>
      </c>
      <c r="C48" t="str">
        <f>_xlfn.CONCAT(Table2[[#This Row],[STATE]],"-",Table2[[#This Row],[YEAR]])</f>
        <v>Chhattisgarh-2006</v>
      </c>
      <c r="D48">
        <v>2946</v>
      </c>
      <c r="E48">
        <v>0</v>
      </c>
    </row>
    <row r="49" spans="1:5" x14ac:dyDescent="0.3">
      <c r="A49" t="s">
        <v>10</v>
      </c>
      <c r="B49">
        <v>2007</v>
      </c>
      <c r="C49" t="str">
        <f>_xlfn.CONCAT(Table2[[#This Row],[STATE]],"-",Table2[[#This Row],[YEAR]])</f>
        <v>Chhattisgarh-2007</v>
      </c>
      <c r="D49">
        <v>3467</v>
      </c>
      <c r="E49">
        <v>0</v>
      </c>
    </row>
    <row r="50" spans="1:5" x14ac:dyDescent="0.3">
      <c r="A50" t="s">
        <v>10</v>
      </c>
      <c r="B50">
        <v>2008</v>
      </c>
      <c r="C50" t="str">
        <f>_xlfn.CONCAT(Table2[[#This Row],[STATE]],"-",Table2[[#This Row],[YEAR]])</f>
        <v>Chhattisgarh-2008</v>
      </c>
      <c r="D50">
        <v>3118</v>
      </c>
      <c r="E50">
        <v>0</v>
      </c>
    </row>
    <row r="51" spans="1:5" x14ac:dyDescent="0.3">
      <c r="A51" t="s">
        <v>10</v>
      </c>
      <c r="B51">
        <v>2009</v>
      </c>
      <c r="C51" t="str">
        <f>_xlfn.CONCAT(Table2[[#This Row],[STATE]],"-",Table2[[#This Row],[YEAR]])</f>
        <v>Chhattisgarh-2009</v>
      </c>
      <c r="D51">
        <v>3784</v>
      </c>
      <c r="E51">
        <v>0</v>
      </c>
    </row>
    <row r="52" spans="1:5" x14ac:dyDescent="0.3">
      <c r="A52" t="s">
        <v>10</v>
      </c>
      <c r="B52">
        <v>2010</v>
      </c>
      <c r="C52" t="str">
        <f>_xlfn.CONCAT(Table2[[#This Row],[STATE]],"-",Table2[[#This Row],[YEAR]])</f>
        <v>Chhattisgarh-2010</v>
      </c>
      <c r="D52">
        <v>3733</v>
      </c>
      <c r="E52">
        <v>417</v>
      </c>
    </row>
    <row r="53" spans="1:5" x14ac:dyDescent="0.3">
      <c r="A53" t="s">
        <v>10</v>
      </c>
      <c r="B53">
        <v>2011</v>
      </c>
      <c r="C53" t="str">
        <f>_xlfn.CONCAT(Table2[[#This Row],[STATE]],"-",Table2[[#This Row],[YEAR]])</f>
        <v>Chhattisgarh-2011</v>
      </c>
      <c r="D53">
        <v>4274</v>
      </c>
      <c r="E53">
        <v>41</v>
      </c>
    </row>
    <row r="54" spans="1:5" x14ac:dyDescent="0.3">
      <c r="A54" t="s">
        <v>11</v>
      </c>
      <c r="B54">
        <v>2001</v>
      </c>
      <c r="C54" t="str">
        <f>_xlfn.CONCAT(Table2[[#This Row],[STATE]],"-",Table2[[#This Row],[YEAR]])</f>
        <v>Goa-2001</v>
      </c>
      <c r="D54">
        <v>156</v>
      </c>
      <c r="E54">
        <v>7</v>
      </c>
    </row>
    <row r="55" spans="1:5" x14ac:dyDescent="0.3">
      <c r="A55" t="s">
        <v>11</v>
      </c>
      <c r="B55">
        <v>2002</v>
      </c>
      <c r="C55" t="str">
        <f>_xlfn.CONCAT(Table2[[#This Row],[STATE]],"-",Table2[[#This Row],[YEAR]])</f>
        <v>Goa-2002</v>
      </c>
      <c r="D55">
        <v>161</v>
      </c>
      <c r="E55">
        <v>2</v>
      </c>
    </row>
    <row r="56" spans="1:5" x14ac:dyDescent="0.3">
      <c r="A56" t="s">
        <v>11</v>
      </c>
      <c r="B56">
        <v>2003</v>
      </c>
      <c r="C56" t="str">
        <f>_xlfn.CONCAT(Table2[[#This Row],[STATE]],"-",Table2[[#This Row],[YEAR]])</f>
        <v>Goa-2003</v>
      </c>
      <c r="D56">
        <v>100</v>
      </c>
      <c r="E56">
        <v>4</v>
      </c>
    </row>
    <row r="57" spans="1:5" x14ac:dyDescent="0.3">
      <c r="A57" t="s">
        <v>11</v>
      </c>
      <c r="B57">
        <v>2004</v>
      </c>
      <c r="C57" t="str">
        <f>_xlfn.CONCAT(Table2[[#This Row],[STATE]],"-",Table2[[#This Row],[YEAR]])</f>
        <v>Goa-2004</v>
      </c>
      <c r="D57">
        <v>160</v>
      </c>
      <c r="E57">
        <v>0</v>
      </c>
    </row>
    <row r="58" spans="1:5" x14ac:dyDescent="0.3">
      <c r="A58" t="s">
        <v>11</v>
      </c>
      <c r="B58">
        <v>2005</v>
      </c>
      <c r="C58" t="str">
        <f>_xlfn.CONCAT(Table2[[#This Row],[STATE]],"-",Table2[[#This Row],[YEAR]])</f>
        <v>Goa-2005</v>
      </c>
      <c r="D58">
        <v>89</v>
      </c>
      <c r="E58">
        <v>0</v>
      </c>
    </row>
    <row r="59" spans="1:5" x14ac:dyDescent="0.3">
      <c r="A59" t="s">
        <v>11</v>
      </c>
      <c r="B59">
        <v>2006</v>
      </c>
      <c r="C59" t="str">
        <f>_xlfn.CONCAT(Table2[[#This Row],[STATE]],"-",Table2[[#This Row],[YEAR]])</f>
        <v>Goa-2006</v>
      </c>
      <c r="D59">
        <v>103</v>
      </c>
      <c r="E59">
        <v>0</v>
      </c>
    </row>
    <row r="60" spans="1:5" x14ac:dyDescent="0.3">
      <c r="A60" t="s">
        <v>11</v>
      </c>
      <c r="B60">
        <v>2007</v>
      </c>
      <c r="C60" t="str">
        <f>_xlfn.CONCAT(Table2[[#This Row],[STATE]],"-",Table2[[#This Row],[YEAR]])</f>
        <v>Goa-2007</v>
      </c>
      <c r="D60">
        <v>80</v>
      </c>
      <c r="E60">
        <v>0</v>
      </c>
    </row>
    <row r="61" spans="1:5" x14ac:dyDescent="0.3">
      <c r="A61" t="s">
        <v>11</v>
      </c>
      <c r="B61">
        <v>2008</v>
      </c>
      <c r="C61" t="str">
        <f>_xlfn.CONCAT(Table2[[#This Row],[STATE]],"-",Table2[[#This Row],[YEAR]])</f>
        <v>Goa-2008</v>
      </c>
      <c r="D61">
        <v>85</v>
      </c>
      <c r="E61">
        <v>0</v>
      </c>
    </row>
    <row r="62" spans="1:5" x14ac:dyDescent="0.3">
      <c r="A62" t="s">
        <v>11</v>
      </c>
      <c r="B62">
        <v>2009</v>
      </c>
      <c r="C62" t="str">
        <f>_xlfn.CONCAT(Table2[[#This Row],[STATE]],"-",Table2[[#This Row],[YEAR]])</f>
        <v>Goa-2009</v>
      </c>
      <c r="D62">
        <v>103</v>
      </c>
      <c r="E62">
        <v>0</v>
      </c>
    </row>
    <row r="63" spans="1:5" x14ac:dyDescent="0.3">
      <c r="A63" t="s">
        <v>11</v>
      </c>
      <c r="B63">
        <v>2010</v>
      </c>
      <c r="C63" t="str">
        <f>_xlfn.CONCAT(Table2[[#This Row],[STATE]],"-",Table2[[#This Row],[YEAR]])</f>
        <v>Goa-2010</v>
      </c>
      <c r="D63">
        <v>128</v>
      </c>
      <c r="E63">
        <v>4</v>
      </c>
    </row>
    <row r="64" spans="1:5" x14ac:dyDescent="0.3">
      <c r="A64" t="s">
        <v>11</v>
      </c>
      <c r="B64">
        <v>2011</v>
      </c>
      <c r="C64" t="str">
        <f>_xlfn.CONCAT(Table2[[#This Row],[STATE]],"-",Table2[[#This Row],[YEAR]])</f>
        <v>Goa-2011</v>
      </c>
      <c r="D64">
        <v>138</v>
      </c>
      <c r="E64">
        <v>3</v>
      </c>
    </row>
    <row r="65" spans="1:5" x14ac:dyDescent="0.3">
      <c r="A65" t="s">
        <v>11</v>
      </c>
      <c r="B65">
        <v>2012</v>
      </c>
      <c r="C65" t="str">
        <f>_xlfn.CONCAT(Table2[[#This Row],[STATE]],"-",Table2[[#This Row],[YEAR]])</f>
        <v>Goa-2012</v>
      </c>
      <c r="D65">
        <v>135</v>
      </c>
      <c r="E65">
        <v>4</v>
      </c>
    </row>
    <row r="66" spans="1:5" x14ac:dyDescent="0.3">
      <c r="A66" t="s">
        <v>12</v>
      </c>
      <c r="B66">
        <v>2001</v>
      </c>
      <c r="C66" t="str">
        <f>_xlfn.CONCAT(Table2[[#This Row],[STATE]],"-",Table2[[#This Row],[YEAR]])</f>
        <v>Gujarat-2001</v>
      </c>
      <c r="D66">
        <v>5068</v>
      </c>
      <c r="E66">
        <v>24</v>
      </c>
    </row>
    <row r="67" spans="1:5" x14ac:dyDescent="0.3">
      <c r="A67" t="s">
        <v>12</v>
      </c>
      <c r="B67">
        <v>2002</v>
      </c>
      <c r="C67" t="str">
        <f>_xlfn.CONCAT(Table2[[#This Row],[STATE]],"-",Table2[[#This Row],[YEAR]])</f>
        <v>Gujarat-2002</v>
      </c>
      <c r="D67">
        <v>5834</v>
      </c>
      <c r="E67">
        <v>4</v>
      </c>
    </row>
    <row r="68" spans="1:5" x14ac:dyDescent="0.3">
      <c r="A68" t="s">
        <v>12</v>
      </c>
      <c r="B68">
        <v>2003</v>
      </c>
      <c r="C68" t="str">
        <f>_xlfn.CONCAT(Table2[[#This Row],[STATE]],"-",Table2[[#This Row],[YEAR]])</f>
        <v>Gujarat-2003</v>
      </c>
      <c r="D68">
        <v>8014</v>
      </c>
      <c r="E68">
        <v>2</v>
      </c>
    </row>
    <row r="69" spans="1:5" x14ac:dyDescent="0.3">
      <c r="A69" t="s">
        <v>12</v>
      </c>
      <c r="B69">
        <v>2004</v>
      </c>
      <c r="C69" t="str">
        <f>_xlfn.CONCAT(Table2[[#This Row],[STATE]],"-",Table2[[#This Row],[YEAR]])</f>
        <v>Gujarat-2004</v>
      </c>
      <c r="D69">
        <v>10700</v>
      </c>
      <c r="E69">
        <v>12</v>
      </c>
    </row>
    <row r="70" spans="1:5" x14ac:dyDescent="0.3">
      <c r="A70" t="s">
        <v>12</v>
      </c>
      <c r="B70">
        <v>2005</v>
      </c>
      <c r="C70" t="str">
        <f>_xlfn.CONCAT(Table2[[#This Row],[STATE]],"-",Table2[[#This Row],[YEAR]])</f>
        <v>Gujarat-2005</v>
      </c>
      <c r="D70">
        <v>8440</v>
      </c>
      <c r="E70">
        <v>15</v>
      </c>
    </row>
    <row r="71" spans="1:5" x14ac:dyDescent="0.3">
      <c r="A71" t="s">
        <v>12</v>
      </c>
      <c r="B71">
        <v>2006</v>
      </c>
      <c r="C71" t="str">
        <f>_xlfn.CONCAT(Table2[[#This Row],[STATE]],"-",Table2[[#This Row],[YEAR]])</f>
        <v>Gujarat-2006</v>
      </c>
      <c r="D71">
        <v>13474</v>
      </c>
      <c r="E71">
        <v>12</v>
      </c>
    </row>
    <row r="72" spans="1:5" x14ac:dyDescent="0.3">
      <c r="A72" t="s">
        <v>12</v>
      </c>
      <c r="B72">
        <v>2007</v>
      </c>
      <c r="C72" t="str">
        <f>_xlfn.CONCAT(Table2[[#This Row],[STATE]],"-",Table2[[#This Row],[YEAR]])</f>
        <v>Gujarat-2007</v>
      </c>
      <c r="D72">
        <v>10577</v>
      </c>
      <c r="E72">
        <v>27</v>
      </c>
    </row>
    <row r="73" spans="1:5" x14ac:dyDescent="0.3">
      <c r="A73" t="s">
        <v>12</v>
      </c>
      <c r="B73">
        <v>2008</v>
      </c>
      <c r="C73" t="str">
        <f>_xlfn.CONCAT(Table2[[#This Row],[STATE]],"-",Table2[[#This Row],[YEAR]])</f>
        <v>Gujarat-2008</v>
      </c>
      <c r="D73">
        <v>5562</v>
      </c>
      <c r="E73">
        <v>13</v>
      </c>
    </row>
    <row r="74" spans="1:5" x14ac:dyDescent="0.3">
      <c r="A74" t="s">
        <v>12</v>
      </c>
      <c r="B74">
        <v>2009</v>
      </c>
      <c r="C74" t="str">
        <f>_xlfn.CONCAT(Table2[[#This Row],[STATE]],"-",Table2[[#This Row],[YEAR]])</f>
        <v>Gujarat-2009</v>
      </c>
      <c r="D74">
        <v>6878</v>
      </c>
      <c r="E74">
        <v>6</v>
      </c>
    </row>
    <row r="75" spans="1:5" x14ac:dyDescent="0.3">
      <c r="A75" t="s">
        <v>12</v>
      </c>
      <c r="B75">
        <v>2010</v>
      </c>
      <c r="C75" t="str">
        <f>_xlfn.CONCAT(Table2[[#This Row],[STATE]],"-",Table2[[#This Row],[YEAR]])</f>
        <v>Gujarat-2010</v>
      </c>
      <c r="D75">
        <v>7348</v>
      </c>
      <c r="E75">
        <v>0</v>
      </c>
    </row>
    <row r="76" spans="1:5" x14ac:dyDescent="0.3">
      <c r="A76" t="s">
        <v>12</v>
      </c>
      <c r="B76">
        <v>2011</v>
      </c>
      <c r="C76" t="str">
        <f>_xlfn.CONCAT(Table2[[#This Row],[STATE]],"-",Table2[[#This Row],[YEAR]])</f>
        <v>Gujarat-2011</v>
      </c>
      <c r="D76">
        <v>7842</v>
      </c>
      <c r="E76">
        <v>0</v>
      </c>
    </row>
    <row r="77" spans="1:5" x14ac:dyDescent="0.3">
      <c r="A77" t="s">
        <v>12</v>
      </c>
      <c r="B77">
        <v>2012</v>
      </c>
      <c r="C77" t="str">
        <f>_xlfn.CONCAT(Table2[[#This Row],[STATE]],"-",Table2[[#This Row],[YEAR]])</f>
        <v>Gujarat-2012</v>
      </c>
      <c r="D77">
        <v>6885</v>
      </c>
      <c r="E77">
        <v>0</v>
      </c>
    </row>
    <row r="78" spans="1:5" x14ac:dyDescent="0.3">
      <c r="A78" t="s">
        <v>13</v>
      </c>
      <c r="B78">
        <v>2001</v>
      </c>
      <c r="C78" t="str">
        <f>_xlfn.CONCAT(Table2[[#This Row],[STATE]],"-",Table2[[#This Row],[YEAR]])</f>
        <v>Haryana-2001</v>
      </c>
      <c r="D78">
        <v>3380</v>
      </c>
      <c r="E78">
        <v>46</v>
      </c>
    </row>
    <row r="79" spans="1:5" x14ac:dyDescent="0.3">
      <c r="A79" t="s">
        <v>13</v>
      </c>
      <c r="B79">
        <v>2002</v>
      </c>
      <c r="C79" t="str">
        <f>_xlfn.CONCAT(Table2[[#This Row],[STATE]],"-",Table2[[#This Row],[YEAR]])</f>
        <v>Haryana-2002</v>
      </c>
      <c r="D79">
        <v>3341</v>
      </c>
      <c r="E79">
        <v>0</v>
      </c>
    </row>
    <row r="80" spans="1:5" x14ac:dyDescent="0.3">
      <c r="A80" t="s">
        <v>13</v>
      </c>
      <c r="B80">
        <v>2003</v>
      </c>
      <c r="C80" t="str">
        <f>_xlfn.CONCAT(Table2[[#This Row],[STATE]],"-",Table2[[#This Row],[YEAR]])</f>
        <v>Haryana-2003</v>
      </c>
      <c r="D80">
        <v>5589</v>
      </c>
      <c r="E80">
        <v>73</v>
      </c>
    </row>
    <row r="81" spans="1:5" x14ac:dyDescent="0.3">
      <c r="A81" t="s">
        <v>13</v>
      </c>
      <c r="B81">
        <v>2004</v>
      </c>
      <c r="C81" t="str">
        <f>_xlfn.CONCAT(Table2[[#This Row],[STATE]],"-",Table2[[#This Row],[YEAR]])</f>
        <v>Haryana-2004</v>
      </c>
      <c r="D81">
        <v>4810</v>
      </c>
      <c r="E81">
        <v>67</v>
      </c>
    </row>
    <row r="82" spans="1:5" x14ac:dyDescent="0.3">
      <c r="A82" t="s">
        <v>13</v>
      </c>
      <c r="B82">
        <v>2005</v>
      </c>
      <c r="C82" t="str">
        <f>_xlfn.CONCAT(Table2[[#This Row],[STATE]],"-",Table2[[#This Row],[YEAR]])</f>
        <v>Haryana-2005</v>
      </c>
      <c r="D82">
        <v>4911</v>
      </c>
      <c r="E82">
        <v>75</v>
      </c>
    </row>
    <row r="83" spans="1:5" x14ac:dyDescent="0.3">
      <c r="A83" t="s">
        <v>13</v>
      </c>
      <c r="B83">
        <v>2006</v>
      </c>
      <c r="C83" t="str">
        <f>_xlfn.CONCAT(Table2[[#This Row],[STATE]],"-",Table2[[#This Row],[YEAR]])</f>
        <v>Haryana-2006</v>
      </c>
      <c r="D83">
        <v>2269</v>
      </c>
      <c r="E83">
        <v>67</v>
      </c>
    </row>
    <row r="84" spans="1:5" x14ac:dyDescent="0.3">
      <c r="A84" t="s">
        <v>13</v>
      </c>
      <c r="B84">
        <v>2007</v>
      </c>
      <c r="C84" t="str">
        <f>_xlfn.CONCAT(Table2[[#This Row],[STATE]],"-",Table2[[#This Row],[YEAR]])</f>
        <v>Haryana-2007</v>
      </c>
      <c r="D84">
        <v>23300</v>
      </c>
      <c r="E84">
        <v>99</v>
      </c>
    </row>
    <row r="85" spans="1:5" x14ac:dyDescent="0.3">
      <c r="A85" t="s">
        <v>13</v>
      </c>
      <c r="B85">
        <v>2008</v>
      </c>
      <c r="C85" t="str">
        <f>_xlfn.CONCAT(Table2[[#This Row],[STATE]],"-",Table2[[#This Row],[YEAR]])</f>
        <v>Haryana-2008</v>
      </c>
      <c r="D85">
        <v>5844</v>
      </c>
      <c r="E85">
        <v>75</v>
      </c>
    </row>
    <row r="86" spans="1:5" x14ac:dyDescent="0.3">
      <c r="A86" t="s">
        <v>13</v>
      </c>
      <c r="B86">
        <v>2009</v>
      </c>
      <c r="C86" t="str">
        <f>_xlfn.CONCAT(Table2[[#This Row],[STATE]],"-",Table2[[#This Row],[YEAR]])</f>
        <v>Haryana-2009</v>
      </c>
      <c r="D86">
        <v>4284</v>
      </c>
      <c r="E86">
        <v>83</v>
      </c>
    </row>
    <row r="87" spans="1:5" x14ac:dyDescent="0.3">
      <c r="A87" t="s">
        <v>13</v>
      </c>
      <c r="B87">
        <v>2010</v>
      </c>
      <c r="C87" t="str">
        <f>_xlfn.CONCAT(Table2[[#This Row],[STATE]],"-",Table2[[#This Row],[YEAR]])</f>
        <v>Haryana-2010</v>
      </c>
      <c r="D87">
        <v>4893</v>
      </c>
      <c r="E87">
        <v>42</v>
      </c>
    </row>
    <row r="88" spans="1:5" x14ac:dyDescent="0.3">
      <c r="A88" t="s">
        <v>13</v>
      </c>
      <c r="B88">
        <v>2011</v>
      </c>
      <c r="C88" t="str">
        <f>_xlfn.CONCAT(Table2[[#This Row],[STATE]],"-",Table2[[#This Row],[YEAR]])</f>
        <v>Haryana-2011</v>
      </c>
      <c r="D88">
        <v>4752</v>
      </c>
      <c r="E88">
        <v>267</v>
      </c>
    </row>
    <row r="89" spans="1:5" x14ac:dyDescent="0.3">
      <c r="A89" t="s">
        <v>13</v>
      </c>
      <c r="B89">
        <v>2012</v>
      </c>
      <c r="C89" t="str">
        <f>_xlfn.CONCAT(Table2[[#This Row],[STATE]],"-",Table2[[#This Row],[YEAR]])</f>
        <v>Haryana-2012</v>
      </c>
      <c r="D89">
        <v>4383</v>
      </c>
      <c r="E89">
        <v>102</v>
      </c>
    </row>
    <row r="90" spans="1:5" x14ac:dyDescent="0.3">
      <c r="A90" t="s">
        <v>14</v>
      </c>
      <c r="B90">
        <v>2001</v>
      </c>
      <c r="C90" t="str">
        <f>_xlfn.CONCAT(Table2[[#This Row],[STATE]],"-",Table2[[#This Row],[YEAR]])</f>
        <v>Himachal Pradesh-2001</v>
      </c>
      <c r="D90">
        <v>400</v>
      </c>
      <c r="E90">
        <v>0</v>
      </c>
    </row>
    <row r="91" spans="1:5" x14ac:dyDescent="0.3">
      <c r="A91" t="s">
        <v>14</v>
      </c>
      <c r="B91">
        <v>2002</v>
      </c>
      <c r="C91" t="str">
        <f>_xlfn.CONCAT(Table2[[#This Row],[STATE]],"-",Table2[[#This Row],[YEAR]])</f>
        <v>Himachal Pradesh-2002</v>
      </c>
      <c r="D91">
        <v>286</v>
      </c>
      <c r="E91">
        <v>8</v>
      </c>
    </row>
    <row r="92" spans="1:5" x14ac:dyDescent="0.3">
      <c r="A92" t="s">
        <v>14</v>
      </c>
      <c r="B92">
        <v>2003</v>
      </c>
      <c r="C92" t="str">
        <f>_xlfn.CONCAT(Table2[[#This Row],[STATE]],"-",Table2[[#This Row],[YEAR]])</f>
        <v>Himachal Pradesh-2003</v>
      </c>
      <c r="D92">
        <v>134</v>
      </c>
      <c r="E92">
        <v>3</v>
      </c>
    </row>
    <row r="93" spans="1:5" x14ac:dyDescent="0.3">
      <c r="A93" t="s">
        <v>14</v>
      </c>
      <c r="B93">
        <v>2004</v>
      </c>
      <c r="C93" t="str">
        <f>_xlfn.CONCAT(Table2[[#This Row],[STATE]],"-",Table2[[#This Row],[YEAR]])</f>
        <v>Himachal Pradesh-2004</v>
      </c>
      <c r="D93">
        <v>197</v>
      </c>
      <c r="E93">
        <v>1</v>
      </c>
    </row>
    <row r="94" spans="1:5" x14ac:dyDescent="0.3">
      <c r="A94" t="s">
        <v>14</v>
      </c>
      <c r="B94">
        <v>2005</v>
      </c>
      <c r="C94" t="str">
        <f>_xlfn.CONCAT(Table2[[#This Row],[STATE]],"-",Table2[[#This Row],[YEAR]])</f>
        <v>Himachal Pradesh-2005</v>
      </c>
      <c r="D94">
        <v>0</v>
      </c>
      <c r="E94">
        <v>0</v>
      </c>
    </row>
    <row r="95" spans="1:5" x14ac:dyDescent="0.3">
      <c r="A95" t="s">
        <v>14</v>
      </c>
      <c r="B95">
        <v>2006</v>
      </c>
      <c r="C95" t="str">
        <f>_xlfn.CONCAT(Table2[[#This Row],[STATE]],"-",Table2[[#This Row],[YEAR]])</f>
        <v>Himachal Pradesh-2006</v>
      </c>
      <c r="D95">
        <v>208</v>
      </c>
      <c r="E95">
        <v>3</v>
      </c>
    </row>
    <row r="96" spans="1:5" x14ac:dyDescent="0.3">
      <c r="A96" t="s">
        <v>14</v>
      </c>
      <c r="B96">
        <v>2007</v>
      </c>
      <c r="C96" t="str">
        <f>_xlfn.CONCAT(Table2[[#This Row],[STATE]],"-",Table2[[#This Row],[YEAR]])</f>
        <v>Himachal Pradesh-2007</v>
      </c>
      <c r="D96">
        <v>691</v>
      </c>
      <c r="E96">
        <v>18</v>
      </c>
    </row>
    <row r="97" spans="1:5" x14ac:dyDescent="0.3">
      <c r="A97" t="s">
        <v>14</v>
      </c>
      <c r="B97">
        <v>2008</v>
      </c>
      <c r="C97" t="str">
        <f>_xlfn.CONCAT(Table2[[#This Row],[STATE]],"-",Table2[[#This Row],[YEAR]])</f>
        <v>Himachal Pradesh-2008</v>
      </c>
      <c r="D97">
        <v>555</v>
      </c>
      <c r="E97">
        <v>3</v>
      </c>
    </row>
    <row r="98" spans="1:5" x14ac:dyDescent="0.3">
      <c r="A98" t="s">
        <v>14</v>
      </c>
      <c r="B98">
        <v>2009</v>
      </c>
      <c r="C98" t="str">
        <f>_xlfn.CONCAT(Table2[[#This Row],[STATE]],"-",Table2[[#This Row],[YEAR]])</f>
        <v>Himachal Pradesh-2009</v>
      </c>
      <c r="D98">
        <v>406</v>
      </c>
      <c r="E98">
        <v>1</v>
      </c>
    </row>
    <row r="99" spans="1:5" x14ac:dyDescent="0.3">
      <c r="A99" t="s">
        <v>14</v>
      </c>
      <c r="B99">
        <v>2010</v>
      </c>
      <c r="C99" t="str">
        <f>_xlfn.CONCAT(Table2[[#This Row],[STATE]],"-",Table2[[#This Row],[YEAR]])</f>
        <v>Himachal Pradesh-2010</v>
      </c>
      <c r="D99">
        <v>473</v>
      </c>
      <c r="E99">
        <v>0</v>
      </c>
    </row>
    <row r="100" spans="1:5" x14ac:dyDescent="0.3">
      <c r="A100" t="s">
        <v>14</v>
      </c>
      <c r="B100">
        <v>2011</v>
      </c>
      <c r="C100" t="str">
        <f>_xlfn.CONCAT(Table2[[#This Row],[STATE]],"-",Table2[[#This Row],[YEAR]])</f>
        <v>Himachal Pradesh-2011</v>
      </c>
      <c r="D100">
        <v>454</v>
      </c>
      <c r="E100">
        <v>0</v>
      </c>
    </row>
    <row r="101" spans="1:5" x14ac:dyDescent="0.3">
      <c r="A101" t="s">
        <v>14</v>
      </c>
      <c r="B101">
        <v>2012</v>
      </c>
      <c r="C101" t="str">
        <f>_xlfn.CONCAT(Table2[[#This Row],[STATE]],"-",Table2[[#This Row],[YEAR]])</f>
        <v>Himachal Pradesh-2012</v>
      </c>
      <c r="D101">
        <v>615</v>
      </c>
      <c r="E101">
        <v>0</v>
      </c>
    </row>
    <row r="102" spans="1:5" x14ac:dyDescent="0.3">
      <c r="A102" t="s">
        <v>15</v>
      </c>
      <c r="B102">
        <v>2001</v>
      </c>
      <c r="C102" t="str">
        <f>_xlfn.CONCAT(Table2[[#This Row],[STATE]],"-",Table2[[#This Row],[YEAR]])</f>
        <v>Jammu &amp; Kashmir-2001</v>
      </c>
      <c r="D102">
        <v>216</v>
      </c>
      <c r="E102">
        <v>2</v>
      </c>
    </row>
    <row r="103" spans="1:5" x14ac:dyDescent="0.3">
      <c r="A103" t="s">
        <v>15</v>
      </c>
      <c r="B103">
        <v>2002</v>
      </c>
      <c r="C103" t="str">
        <f>_xlfn.CONCAT(Table2[[#This Row],[STATE]],"-",Table2[[#This Row],[YEAR]])</f>
        <v>Jammu &amp; Kashmir-2002</v>
      </c>
      <c r="D103">
        <v>197</v>
      </c>
      <c r="E103">
        <v>2</v>
      </c>
    </row>
    <row r="104" spans="1:5" x14ac:dyDescent="0.3">
      <c r="A104" t="s">
        <v>15</v>
      </c>
      <c r="B104">
        <v>2003</v>
      </c>
      <c r="C104" t="str">
        <f>_xlfn.CONCAT(Table2[[#This Row],[STATE]],"-",Table2[[#This Row],[YEAR]])</f>
        <v>Jammu &amp; Kashmir-2003</v>
      </c>
      <c r="D104">
        <v>212</v>
      </c>
      <c r="E104">
        <v>0</v>
      </c>
    </row>
    <row r="105" spans="1:5" x14ac:dyDescent="0.3">
      <c r="A105" t="s">
        <v>15</v>
      </c>
      <c r="B105">
        <v>2004</v>
      </c>
      <c r="C105" t="str">
        <f>_xlfn.CONCAT(Table2[[#This Row],[STATE]],"-",Table2[[#This Row],[YEAR]])</f>
        <v>Jammu &amp; Kashmir-2004</v>
      </c>
      <c r="D105">
        <v>363</v>
      </c>
      <c r="E105">
        <v>2</v>
      </c>
    </row>
    <row r="106" spans="1:5" x14ac:dyDescent="0.3">
      <c r="A106" t="s">
        <v>15</v>
      </c>
      <c r="B106">
        <v>2005</v>
      </c>
      <c r="C106" t="str">
        <f>_xlfn.CONCAT(Table2[[#This Row],[STATE]],"-",Table2[[#This Row],[YEAR]])</f>
        <v>Jammu &amp; Kashmir-2005</v>
      </c>
      <c r="D106">
        <v>352</v>
      </c>
      <c r="E106">
        <v>2</v>
      </c>
    </row>
    <row r="107" spans="1:5" x14ac:dyDescent="0.3">
      <c r="A107" t="s">
        <v>15</v>
      </c>
      <c r="B107">
        <v>2006</v>
      </c>
      <c r="C107" t="str">
        <f>_xlfn.CONCAT(Table2[[#This Row],[STATE]],"-",Table2[[#This Row],[YEAR]])</f>
        <v>Jammu &amp; Kashmir-2006</v>
      </c>
      <c r="D107">
        <v>496</v>
      </c>
      <c r="E107">
        <v>1</v>
      </c>
    </row>
    <row r="108" spans="1:5" x14ac:dyDescent="0.3">
      <c r="A108" t="s">
        <v>15</v>
      </c>
      <c r="B108">
        <v>2007</v>
      </c>
      <c r="C108" t="str">
        <f>_xlfn.CONCAT(Table2[[#This Row],[STATE]],"-",Table2[[#This Row],[YEAR]])</f>
        <v>Jammu &amp; Kashmir-2007</v>
      </c>
      <c r="D108">
        <v>0</v>
      </c>
      <c r="E108">
        <v>0</v>
      </c>
    </row>
    <row r="109" spans="1:5" x14ac:dyDescent="0.3">
      <c r="A109" t="s">
        <v>15</v>
      </c>
      <c r="B109">
        <v>2008</v>
      </c>
      <c r="C109" t="str">
        <f>_xlfn.CONCAT(Table2[[#This Row],[STATE]],"-",Table2[[#This Row],[YEAR]])</f>
        <v>Jammu &amp; Kashmir-2008</v>
      </c>
      <c r="D109">
        <v>324</v>
      </c>
      <c r="E109">
        <v>0</v>
      </c>
    </row>
    <row r="110" spans="1:5" x14ac:dyDescent="0.3">
      <c r="A110" t="s">
        <v>15</v>
      </c>
      <c r="B110">
        <v>2009</v>
      </c>
      <c r="C110" t="str">
        <f>_xlfn.CONCAT(Table2[[#This Row],[STATE]],"-",Table2[[#This Row],[YEAR]])</f>
        <v>Jammu &amp; Kashmir-2009</v>
      </c>
      <c r="D110">
        <v>160</v>
      </c>
      <c r="E110">
        <v>0</v>
      </c>
    </row>
    <row r="111" spans="1:5" x14ac:dyDescent="0.3">
      <c r="A111" t="s">
        <v>15</v>
      </c>
      <c r="B111">
        <v>2010</v>
      </c>
      <c r="C111" t="str">
        <f>_xlfn.CONCAT(Table2[[#This Row],[STATE]],"-",Table2[[#This Row],[YEAR]])</f>
        <v>Jammu &amp; Kashmir-2010</v>
      </c>
      <c r="D111">
        <v>232</v>
      </c>
      <c r="E111">
        <v>4</v>
      </c>
    </row>
    <row r="112" spans="1:5" x14ac:dyDescent="0.3">
      <c r="A112" t="s">
        <v>15</v>
      </c>
      <c r="B112">
        <v>2011</v>
      </c>
      <c r="C112" t="str">
        <f>_xlfn.CONCAT(Table2[[#This Row],[STATE]],"-",Table2[[#This Row],[YEAR]])</f>
        <v>Jammu &amp; Kashmir-2011</v>
      </c>
      <c r="D112">
        <v>245</v>
      </c>
      <c r="E112">
        <v>2</v>
      </c>
    </row>
    <row r="113" spans="1:5" x14ac:dyDescent="0.3">
      <c r="A113" t="s">
        <v>15</v>
      </c>
      <c r="B113">
        <v>2012</v>
      </c>
      <c r="C113" t="str">
        <f>_xlfn.CONCAT(Table2[[#This Row],[STATE]],"-",Table2[[#This Row],[YEAR]])</f>
        <v>Jammu &amp; Kashmir-2012</v>
      </c>
      <c r="D113">
        <v>451</v>
      </c>
      <c r="E113">
        <v>1</v>
      </c>
    </row>
    <row r="114" spans="1:5" x14ac:dyDescent="0.3">
      <c r="A114" t="s">
        <v>16</v>
      </c>
      <c r="B114">
        <v>2001</v>
      </c>
      <c r="C114" t="str">
        <f>_xlfn.CONCAT(Table2[[#This Row],[STATE]],"-",Table2[[#This Row],[YEAR]])</f>
        <v>Jharkhand-2001</v>
      </c>
      <c r="D114">
        <v>4693</v>
      </c>
      <c r="E114">
        <v>138</v>
      </c>
    </row>
    <row r="115" spans="1:5" x14ac:dyDescent="0.3">
      <c r="A115" t="s">
        <v>16</v>
      </c>
      <c r="B115">
        <v>2002</v>
      </c>
      <c r="C115" t="str">
        <f>_xlfn.CONCAT(Table2[[#This Row],[STATE]],"-",Table2[[#This Row],[YEAR]])</f>
        <v>Jharkhand-2002</v>
      </c>
      <c r="D115">
        <v>4419</v>
      </c>
      <c r="E115">
        <v>583</v>
      </c>
    </row>
    <row r="116" spans="1:5" x14ac:dyDescent="0.3">
      <c r="A116" t="s">
        <v>16</v>
      </c>
      <c r="B116">
        <v>2003</v>
      </c>
      <c r="C116" t="str">
        <f>_xlfn.CONCAT(Table2[[#This Row],[STATE]],"-",Table2[[#This Row],[YEAR]])</f>
        <v>Jharkhand-2003</v>
      </c>
      <c r="D116">
        <v>11168</v>
      </c>
      <c r="E116">
        <v>271</v>
      </c>
    </row>
    <row r="117" spans="1:5" x14ac:dyDescent="0.3">
      <c r="A117" t="s">
        <v>16</v>
      </c>
      <c r="B117">
        <v>2004</v>
      </c>
      <c r="C117" t="str">
        <f>_xlfn.CONCAT(Table2[[#This Row],[STATE]],"-",Table2[[#This Row],[YEAR]])</f>
        <v>Jharkhand-2004</v>
      </c>
      <c r="D117">
        <v>12097</v>
      </c>
      <c r="E117">
        <v>149</v>
      </c>
    </row>
    <row r="118" spans="1:5" x14ac:dyDescent="0.3">
      <c r="A118" t="s">
        <v>16</v>
      </c>
      <c r="B118">
        <v>2005</v>
      </c>
      <c r="C118" t="str">
        <f>_xlfn.CONCAT(Table2[[#This Row],[STATE]],"-",Table2[[#This Row],[YEAR]])</f>
        <v>Jharkhand-2005</v>
      </c>
      <c r="D118">
        <v>7183</v>
      </c>
      <c r="E118">
        <v>140</v>
      </c>
    </row>
    <row r="119" spans="1:5" x14ac:dyDescent="0.3">
      <c r="A119" t="s">
        <v>16</v>
      </c>
      <c r="B119">
        <v>2006</v>
      </c>
      <c r="C119" t="str">
        <f>_xlfn.CONCAT(Table2[[#This Row],[STATE]],"-",Table2[[#This Row],[YEAR]])</f>
        <v>Jharkhand-2006</v>
      </c>
      <c r="D119">
        <v>8304</v>
      </c>
      <c r="E119">
        <v>168</v>
      </c>
    </row>
    <row r="120" spans="1:5" x14ac:dyDescent="0.3">
      <c r="A120" t="s">
        <v>16</v>
      </c>
      <c r="B120">
        <v>2007</v>
      </c>
      <c r="C120" t="str">
        <f>_xlfn.CONCAT(Table2[[#This Row],[STATE]],"-",Table2[[#This Row],[YEAR]])</f>
        <v>Jharkhand-2007</v>
      </c>
      <c r="D120">
        <v>6183</v>
      </c>
      <c r="E120">
        <v>172</v>
      </c>
    </row>
    <row r="121" spans="1:5" x14ac:dyDescent="0.3">
      <c r="A121" t="s">
        <v>16</v>
      </c>
      <c r="B121">
        <v>2008</v>
      </c>
      <c r="C121" t="str">
        <f>_xlfn.CONCAT(Table2[[#This Row],[STATE]],"-",Table2[[#This Row],[YEAR]])</f>
        <v>Jharkhand-2008</v>
      </c>
      <c r="D121">
        <v>6628</v>
      </c>
      <c r="E121">
        <v>309</v>
      </c>
    </row>
    <row r="122" spans="1:5" x14ac:dyDescent="0.3">
      <c r="A122" t="s">
        <v>16</v>
      </c>
      <c r="B122">
        <v>2009</v>
      </c>
      <c r="C122" t="str">
        <f>_xlfn.CONCAT(Table2[[#This Row],[STATE]],"-",Table2[[#This Row],[YEAR]])</f>
        <v>Jharkhand-2009</v>
      </c>
      <c r="D122">
        <v>5059</v>
      </c>
      <c r="E122">
        <v>149</v>
      </c>
    </row>
    <row r="123" spans="1:5" x14ac:dyDescent="0.3">
      <c r="A123" t="s">
        <v>16</v>
      </c>
      <c r="B123">
        <v>2010</v>
      </c>
      <c r="C123" t="str">
        <f>_xlfn.CONCAT(Table2[[#This Row],[STATE]],"-",Table2[[#This Row],[YEAR]])</f>
        <v>Jharkhand-2010</v>
      </c>
      <c r="D123">
        <v>3836</v>
      </c>
      <c r="E123">
        <v>112</v>
      </c>
    </row>
    <row r="124" spans="1:5" x14ac:dyDescent="0.3">
      <c r="A124" t="s">
        <v>16</v>
      </c>
      <c r="B124">
        <v>2011</v>
      </c>
      <c r="C124" t="str">
        <f>_xlfn.CONCAT(Table2[[#This Row],[STATE]],"-",Table2[[#This Row],[YEAR]])</f>
        <v>Jharkhand-2011</v>
      </c>
      <c r="D124">
        <v>3723</v>
      </c>
      <c r="E124">
        <v>195</v>
      </c>
    </row>
    <row r="125" spans="1:5" x14ac:dyDescent="0.3">
      <c r="A125" t="s">
        <v>16</v>
      </c>
      <c r="B125">
        <v>2012</v>
      </c>
      <c r="C125" t="str">
        <f>_xlfn.CONCAT(Table2[[#This Row],[STATE]],"-",Table2[[#This Row],[YEAR]])</f>
        <v>Jharkhand-2012</v>
      </c>
      <c r="D125">
        <v>3518</v>
      </c>
      <c r="E125">
        <v>733</v>
      </c>
    </row>
    <row r="126" spans="1:5" x14ac:dyDescent="0.3">
      <c r="A126" t="s">
        <v>17</v>
      </c>
      <c r="B126">
        <v>2001</v>
      </c>
      <c r="C126" t="str">
        <f>_xlfn.CONCAT(Table2[[#This Row],[STATE]],"-",Table2[[#This Row],[YEAR]])</f>
        <v>Karnataka-2001</v>
      </c>
      <c r="D126">
        <v>532</v>
      </c>
      <c r="E126">
        <v>4</v>
      </c>
    </row>
    <row r="127" spans="1:5" x14ac:dyDescent="0.3">
      <c r="A127" t="s">
        <v>17</v>
      </c>
      <c r="B127">
        <v>2002</v>
      </c>
      <c r="C127" t="str">
        <f>_xlfn.CONCAT(Table2[[#This Row],[STATE]],"-",Table2[[#This Row],[YEAR]])</f>
        <v>Karnataka-2002</v>
      </c>
      <c r="D127">
        <v>6732</v>
      </c>
      <c r="E127">
        <v>3</v>
      </c>
    </row>
    <row r="128" spans="1:5" x14ac:dyDescent="0.3">
      <c r="A128" t="s">
        <v>17</v>
      </c>
      <c r="B128">
        <v>2003</v>
      </c>
      <c r="C128" t="str">
        <f>_xlfn.CONCAT(Table2[[#This Row],[STATE]],"-",Table2[[#This Row],[YEAR]])</f>
        <v>Karnataka-2003</v>
      </c>
      <c r="D128">
        <v>7129</v>
      </c>
      <c r="E128">
        <v>3</v>
      </c>
    </row>
    <row r="129" spans="1:5" x14ac:dyDescent="0.3">
      <c r="A129" t="s">
        <v>17</v>
      </c>
      <c r="B129">
        <v>2004</v>
      </c>
      <c r="C129" t="str">
        <f>_xlfn.CONCAT(Table2[[#This Row],[STATE]],"-",Table2[[#This Row],[YEAR]])</f>
        <v>Karnataka-2004</v>
      </c>
      <c r="D129">
        <v>7248</v>
      </c>
      <c r="E129">
        <v>0</v>
      </c>
    </row>
    <row r="130" spans="1:5" x14ac:dyDescent="0.3">
      <c r="A130" t="s">
        <v>17</v>
      </c>
      <c r="B130">
        <v>2005</v>
      </c>
      <c r="C130" t="str">
        <f>_xlfn.CONCAT(Table2[[#This Row],[STATE]],"-",Table2[[#This Row],[YEAR]])</f>
        <v>Karnataka-2005</v>
      </c>
      <c r="D130">
        <v>7791</v>
      </c>
      <c r="E130">
        <v>1</v>
      </c>
    </row>
    <row r="131" spans="1:5" x14ac:dyDescent="0.3">
      <c r="A131" t="s">
        <v>17</v>
      </c>
      <c r="B131">
        <v>2006</v>
      </c>
      <c r="C131" t="str">
        <f>_xlfn.CONCAT(Table2[[#This Row],[STATE]],"-",Table2[[#This Row],[YEAR]])</f>
        <v>Karnataka-2006</v>
      </c>
      <c r="D131">
        <v>7633</v>
      </c>
      <c r="E131">
        <v>3</v>
      </c>
    </row>
    <row r="132" spans="1:5" x14ac:dyDescent="0.3">
      <c r="A132" t="s">
        <v>17</v>
      </c>
      <c r="B132">
        <v>2007</v>
      </c>
      <c r="C132" t="str">
        <f>_xlfn.CONCAT(Table2[[#This Row],[STATE]],"-",Table2[[#This Row],[YEAR]])</f>
        <v>Karnataka-2007</v>
      </c>
      <c r="D132">
        <v>37046</v>
      </c>
      <c r="E132">
        <v>4</v>
      </c>
    </row>
    <row r="133" spans="1:5" x14ac:dyDescent="0.3">
      <c r="A133" t="s">
        <v>17</v>
      </c>
      <c r="B133">
        <v>2008</v>
      </c>
      <c r="C133" t="str">
        <f>_xlfn.CONCAT(Table2[[#This Row],[STATE]],"-",Table2[[#This Row],[YEAR]])</f>
        <v>Karnataka-2008</v>
      </c>
      <c r="D133">
        <v>7414</v>
      </c>
      <c r="E133">
        <v>3</v>
      </c>
    </row>
    <row r="134" spans="1:5" x14ac:dyDescent="0.3">
      <c r="A134" t="s">
        <v>17</v>
      </c>
      <c r="B134">
        <v>2009</v>
      </c>
      <c r="C134" t="str">
        <f>_xlfn.CONCAT(Table2[[#This Row],[STATE]],"-",Table2[[#This Row],[YEAR]])</f>
        <v>Karnataka-2009</v>
      </c>
      <c r="D134">
        <v>13414</v>
      </c>
      <c r="E134">
        <v>3</v>
      </c>
    </row>
    <row r="135" spans="1:5" x14ac:dyDescent="0.3">
      <c r="A135" t="s">
        <v>17</v>
      </c>
      <c r="B135">
        <v>2010</v>
      </c>
      <c r="C135" t="str">
        <f>_xlfn.CONCAT(Table2[[#This Row],[STATE]],"-",Table2[[#This Row],[YEAR]])</f>
        <v>Karnataka-2010</v>
      </c>
      <c r="D135">
        <v>31473</v>
      </c>
      <c r="E135">
        <v>4</v>
      </c>
    </row>
    <row r="136" spans="1:5" x14ac:dyDescent="0.3">
      <c r="A136" t="s">
        <v>17</v>
      </c>
      <c r="B136">
        <v>2011</v>
      </c>
      <c r="C136" t="str">
        <f>_xlfn.CONCAT(Table2[[#This Row],[STATE]],"-",Table2[[#This Row],[YEAR]])</f>
        <v>Karnataka-2011</v>
      </c>
      <c r="D136">
        <v>27303</v>
      </c>
      <c r="E136">
        <v>4</v>
      </c>
    </row>
    <row r="137" spans="1:5" x14ac:dyDescent="0.3">
      <c r="A137" t="s">
        <v>17</v>
      </c>
      <c r="B137">
        <v>2012</v>
      </c>
      <c r="C137" t="str">
        <f>_xlfn.CONCAT(Table2[[#This Row],[STATE]],"-",Table2[[#This Row],[YEAR]])</f>
        <v>Karnataka-2012</v>
      </c>
      <c r="D137">
        <v>31173</v>
      </c>
      <c r="E137">
        <v>19</v>
      </c>
    </row>
    <row r="138" spans="1:5" x14ac:dyDescent="0.3">
      <c r="A138" t="s">
        <v>18</v>
      </c>
      <c r="B138">
        <v>2001</v>
      </c>
      <c r="C138" t="str">
        <f>_xlfn.CONCAT(Table2[[#This Row],[STATE]],"-",Table2[[#This Row],[YEAR]])</f>
        <v>Kerala-2001</v>
      </c>
      <c r="D138">
        <v>2856</v>
      </c>
      <c r="E138">
        <v>731</v>
      </c>
    </row>
    <row r="139" spans="1:5" x14ac:dyDescent="0.3">
      <c r="A139" t="s">
        <v>18</v>
      </c>
      <c r="B139">
        <v>2002</v>
      </c>
      <c r="C139" t="str">
        <f>_xlfn.CONCAT(Table2[[#This Row],[STATE]],"-",Table2[[#This Row],[YEAR]])</f>
        <v>Kerala-2002</v>
      </c>
      <c r="D139">
        <v>2760</v>
      </c>
      <c r="E139">
        <v>612</v>
      </c>
    </row>
    <row r="140" spans="1:5" x14ac:dyDescent="0.3">
      <c r="A140" t="s">
        <v>18</v>
      </c>
      <c r="B140">
        <v>2003</v>
      </c>
      <c r="C140" t="str">
        <f>_xlfn.CONCAT(Table2[[#This Row],[STATE]],"-",Table2[[#This Row],[YEAR]])</f>
        <v>Kerala-2003</v>
      </c>
      <c r="D140">
        <v>2853</v>
      </c>
      <c r="E140">
        <v>721</v>
      </c>
    </row>
    <row r="141" spans="1:5" x14ac:dyDescent="0.3">
      <c r="A141" t="s">
        <v>18</v>
      </c>
      <c r="B141">
        <v>2004</v>
      </c>
      <c r="C141" t="str">
        <f>_xlfn.CONCAT(Table2[[#This Row],[STATE]],"-",Table2[[#This Row],[YEAR]])</f>
        <v>Kerala-2004</v>
      </c>
      <c r="D141">
        <v>2788</v>
      </c>
      <c r="E141">
        <v>748</v>
      </c>
    </row>
    <row r="142" spans="1:5" x14ac:dyDescent="0.3">
      <c r="A142" t="s">
        <v>18</v>
      </c>
      <c r="B142">
        <v>2005</v>
      </c>
      <c r="C142" t="str">
        <f>_xlfn.CONCAT(Table2[[#This Row],[STATE]],"-",Table2[[#This Row],[YEAR]])</f>
        <v>Kerala-2005</v>
      </c>
      <c r="D142">
        <v>2806</v>
      </c>
      <c r="E142">
        <v>718</v>
      </c>
    </row>
    <row r="143" spans="1:5" x14ac:dyDescent="0.3">
      <c r="A143" t="s">
        <v>18</v>
      </c>
      <c r="B143">
        <v>2006</v>
      </c>
      <c r="C143" t="str">
        <f>_xlfn.CONCAT(Table2[[#This Row],[STATE]],"-",Table2[[#This Row],[YEAR]])</f>
        <v>Kerala-2006</v>
      </c>
      <c r="D143">
        <v>4655</v>
      </c>
      <c r="E143">
        <v>1047</v>
      </c>
    </row>
    <row r="144" spans="1:5" x14ac:dyDescent="0.3">
      <c r="A144" t="s">
        <v>18</v>
      </c>
      <c r="B144">
        <v>2007</v>
      </c>
      <c r="C144" t="str">
        <f>_xlfn.CONCAT(Table2[[#This Row],[STATE]],"-",Table2[[#This Row],[YEAR]])</f>
        <v>Kerala-2007</v>
      </c>
      <c r="D144">
        <v>4369</v>
      </c>
      <c r="E144">
        <v>1152</v>
      </c>
    </row>
    <row r="145" spans="1:5" x14ac:dyDescent="0.3">
      <c r="A145" t="s">
        <v>18</v>
      </c>
      <c r="B145">
        <v>2008</v>
      </c>
      <c r="C145" t="str">
        <f>_xlfn.CONCAT(Table2[[#This Row],[STATE]],"-",Table2[[#This Row],[YEAR]])</f>
        <v>Kerala-2008</v>
      </c>
      <c r="D145">
        <v>4952</v>
      </c>
      <c r="E145">
        <v>975</v>
      </c>
    </row>
    <row r="146" spans="1:5" x14ac:dyDescent="0.3">
      <c r="A146" t="s">
        <v>18</v>
      </c>
      <c r="B146">
        <v>2009</v>
      </c>
      <c r="C146" t="str">
        <f>_xlfn.CONCAT(Table2[[#This Row],[STATE]],"-",Table2[[#This Row],[YEAR]])</f>
        <v>Kerala-2009</v>
      </c>
      <c r="D146">
        <v>5833</v>
      </c>
      <c r="E146">
        <v>761</v>
      </c>
    </row>
    <row r="147" spans="1:5" x14ac:dyDescent="0.3">
      <c r="A147" t="s">
        <v>18</v>
      </c>
      <c r="B147">
        <v>2010</v>
      </c>
      <c r="C147" t="str">
        <f>_xlfn.CONCAT(Table2[[#This Row],[STATE]],"-",Table2[[#This Row],[YEAR]])</f>
        <v>Kerala-2010</v>
      </c>
      <c r="D147">
        <v>9452</v>
      </c>
      <c r="E147">
        <v>487</v>
      </c>
    </row>
    <row r="148" spans="1:5" x14ac:dyDescent="0.3">
      <c r="A148" t="s">
        <v>18</v>
      </c>
      <c r="B148">
        <v>2011</v>
      </c>
      <c r="C148" t="str">
        <f>_xlfn.CONCAT(Table2[[#This Row],[STATE]],"-",Table2[[#This Row],[YEAR]])</f>
        <v>Kerala-2011</v>
      </c>
      <c r="D148">
        <v>6890</v>
      </c>
      <c r="E148">
        <v>767</v>
      </c>
    </row>
    <row r="149" spans="1:5" x14ac:dyDescent="0.3">
      <c r="A149" t="s">
        <v>18</v>
      </c>
      <c r="B149">
        <v>2012</v>
      </c>
      <c r="C149" t="str">
        <f>_xlfn.CONCAT(Table2[[#This Row],[STATE]],"-",Table2[[#This Row],[YEAR]])</f>
        <v>Kerala-2012</v>
      </c>
      <c r="D149">
        <v>7912</v>
      </c>
      <c r="E149">
        <v>862</v>
      </c>
    </row>
    <row r="150" spans="1:5" x14ac:dyDescent="0.3">
      <c r="A150" t="s">
        <v>19</v>
      </c>
      <c r="B150">
        <v>2001</v>
      </c>
      <c r="C150" t="str">
        <f>_xlfn.CONCAT(Table2[[#This Row],[STATE]],"-",Table2[[#This Row],[YEAR]])</f>
        <v>Madhya Pradesh-2001</v>
      </c>
      <c r="D150">
        <v>17941</v>
      </c>
      <c r="E150">
        <v>40</v>
      </c>
    </row>
    <row r="151" spans="1:5" x14ac:dyDescent="0.3">
      <c r="A151" t="s">
        <v>19</v>
      </c>
      <c r="B151">
        <v>2002</v>
      </c>
      <c r="C151" t="str">
        <f>_xlfn.CONCAT(Table2[[#This Row],[STATE]],"-",Table2[[#This Row],[YEAR]])</f>
        <v>Madhya Pradesh-2002</v>
      </c>
      <c r="D151">
        <v>16325</v>
      </c>
      <c r="E151">
        <v>632</v>
      </c>
    </row>
    <row r="152" spans="1:5" x14ac:dyDescent="0.3">
      <c r="A152" t="s">
        <v>19</v>
      </c>
      <c r="B152">
        <v>2003</v>
      </c>
      <c r="C152" t="str">
        <f>_xlfn.CONCAT(Table2[[#This Row],[STATE]],"-",Table2[[#This Row],[YEAR]])</f>
        <v>Madhya Pradesh-2003</v>
      </c>
      <c r="D152">
        <v>17804</v>
      </c>
      <c r="E152">
        <v>634</v>
      </c>
    </row>
    <row r="153" spans="1:5" x14ac:dyDescent="0.3">
      <c r="A153" t="s">
        <v>19</v>
      </c>
      <c r="B153">
        <v>2004</v>
      </c>
      <c r="C153" t="str">
        <f>_xlfn.CONCAT(Table2[[#This Row],[STATE]],"-",Table2[[#This Row],[YEAR]])</f>
        <v>Madhya Pradesh-2004</v>
      </c>
      <c r="D153">
        <v>20461</v>
      </c>
      <c r="E153">
        <v>678</v>
      </c>
    </row>
    <row r="154" spans="1:5" x14ac:dyDescent="0.3">
      <c r="A154" t="s">
        <v>19</v>
      </c>
      <c r="B154">
        <v>2005</v>
      </c>
      <c r="C154" t="str">
        <f>_xlfn.CONCAT(Table2[[#This Row],[STATE]],"-",Table2[[#This Row],[YEAR]])</f>
        <v>Madhya Pradesh-2005</v>
      </c>
      <c r="D154">
        <v>21285</v>
      </c>
      <c r="E154">
        <v>186</v>
      </c>
    </row>
    <row r="155" spans="1:5" x14ac:dyDescent="0.3">
      <c r="A155" t="s">
        <v>19</v>
      </c>
      <c r="B155">
        <v>2006</v>
      </c>
      <c r="C155" t="str">
        <f>_xlfn.CONCAT(Table2[[#This Row],[STATE]],"-",Table2[[#This Row],[YEAR]])</f>
        <v>Madhya Pradesh-2006</v>
      </c>
      <c r="D155">
        <v>23087</v>
      </c>
      <c r="E155">
        <v>162</v>
      </c>
    </row>
    <row r="156" spans="1:5" x14ac:dyDescent="0.3">
      <c r="A156" t="s">
        <v>19</v>
      </c>
      <c r="B156">
        <v>2007</v>
      </c>
      <c r="C156" t="str">
        <f>_xlfn.CONCAT(Table2[[#This Row],[STATE]],"-",Table2[[#This Row],[YEAR]])</f>
        <v>Madhya Pradesh-2007</v>
      </c>
      <c r="D156">
        <v>21450</v>
      </c>
      <c r="E156">
        <v>139</v>
      </c>
    </row>
    <row r="157" spans="1:5" x14ac:dyDescent="0.3">
      <c r="A157" t="s">
        <v>19</v>
      </c>
      <c r="B157">
        <v>2008</v>
      </c>
      <c r="C157" t="str">
        <f>_xlfn.CONCAT(Table2[[#This Row],[STATE]],"-",Table2[[#This Row],[YEAR]])</f>
        <v>Madhya Pradesh-2008</v>
      </c>
      <c r="D157">
        <v>19217</v>
      </c>
      <c r="E157">
        <v>278</v>
      </c>
    </row>
    <row r="158" spans="1:5" x14ac:dyDescent="0.3">
      <c r="A158" t="s">
        <v>19</v>
      </c>
      <c r="B158">
        <v>2009</v>
      </c>
      <c r="C158" t="str">
        <f>_xlfn.CONCAT(Table2[[#This Row],[STATE]],"-",Table2[[#This Row],[YEAR]])</f>
        <v>Madhya Pradesh-2009</v>
      </c>
      <c r="D158">
        <v>14991</v>
      </c>
      <c r="E158">
        <v>175</v>
      </c>
    </row>
    <row r="159" spans="1:5" x14ac:dyDescent="0.3">
      <c r="A159" t="s">
        <v>19</v>
      </c>
      <c r="B159">
        <v>2010</v>
      </c>
      <c r="C159" t="str">
        <f>_xlfn.CONCAT(Table2[[#This Row],[STATE]],"-",Table2[[#This Row],[YEAR]])</f>
        <v>Madhya Pradesh-2010</v>
      </c>
      <c r="D159">
        <v>15984</v>
      </c>
      <c r="E159">
        <v>126</v>
      </c>
    </row>
    <row r="160" spans="1:5" x14ac:dyDescent="0.3">
      <c r="A160" t="s">
        <v>19</v>
      </c>
      <c r="B160">
        <v>2011</v>
      </c>
      <c r="C160" t="str">
        <f>_xlfn.CONCAT(Table2[[#This Row],[STATE]],"-",Table2[[#This Row],[YEAR]])</f>
        <v>Madhya Pradesh-2011</v>
      </c>
      <c r="D160">
        <v>12838</v>
      </c>
      <c r="E160">
        <v>126</v>
      </c>
    </row>
    <row r="161" spans="1:5" x14ac:dyDescent="0.3">
      <c r="A161" t="s">
        <v>19</v>
      </c>
      <c r="B161">
        <v>2012</v>
      </c>
      <c r="C161" t="str">
        <f>_xlfn.CONCAT(Table2[[#This Row],[STATE]],"-",Table2[[#This Row],[YEAR]])</f>
        <v>Madhya Pradesh-2012</v>
      </c>
      <c r="D161">
        <v>14402</v>
      </c>
      <c r="E161">
        <v>128</v>
      </c>
    </row>
    <row r="162" spans="1:5" x14ac:dyDescent="0.3">
      <c r="A162" t="s">
        <v>20</v>
      </c>
      <c r="B162">
        <v>2001</v>
      </c>
      <c r="C162" t="str">
        <f>_xlfn.CONCAT(Table2[[#This Row],[STATE]],"-",Table2[[#This Row],[YEAR]])</f>
        <v>Maharashtra-2001</v>
      </c>
      <c r="D162">
        <v>32851</v>
      </c>
      <c r="E162">
        <v>246</v>
      </c>
    </row>
    <row r="163" spans="1:5" x14ac:dyDescent="0.3">
      <c r="A163" t="s">
        <v>20</v>
      </c>
      <c r="B163">
        <v>2002</v>
      </c>
      <c r="C163" t="str">
        <f>_xlfn.CONCAT(Table2[[#This Row],[STATE]],"-",Table2[[#This Row],[YEAR]])</f>
        <v>Maharashtra-2002</v>
      </c>
      <c r="D163">
        <v>37396</v>
      </c>
      <c r="E163">
        <v>251</v>
      </c>
    </row>
    <row r="164" spans="1:5" x14ac:dyDescent="0.3">
      <c r="A164" t="s">
        <v>20</v>
      </c>
      <c r="B164">
        <v>2003</v>
      </c>
      <c r="C164" t="str">
        <f>_xlfn.CONCAT(Table2[[#This Row],[STATE]],"-",Table2[[#This Row],[YEAR]])</f>
        <v>Maharashtra-2003</v>
      </c>
      <c r="D164">
        <v>30384</v>
      </c>
      <c r="E164">
        <v>172</v>
      </c>
    </row>
    <row r="165" spans="1:5" x14ac:dyDescent="0.3">
      <c r="A165" t="s">
        <v>20</v>
      </c>
      <c r="B165">
        <v>2004</v>
      </c>
      <c r="C165" t="str">
        <f>_xlfn.CONCAT(Table2[[#This Row],[STATE]],"-",Table2[[#This Row],[YEAR]])</f>
        <v>Maharashtra-2004</v>
      </c>
      <c r="D165">
        <v>31777</v>
      </c>
      <c r="E165">
        <v>57</v>
      </c>
    </row>
    <row r="166" spans="1:5" x14ac:dyDescent="0.3">
      <c r="A166" t="s">
        <v>20</v>
      </c>
      <c r="B166">
        <v>2005</v>
      </c>
      <c r="C166" t="str">
        <f>_xlfn.CONCAT(Table2[[#This Row],[STATE]],"-",Table2[[#This Row],[YEAR]])</f>
        <v>Maharashtra-2005</v>
      </c>
      <c r="D166">
        <v>31284</v>
      </c>
      <c r="E166">
        <v>68</v>
      </c>
    </row>
    <row r="167" spans="1:5" x14ac:dyDescent="0.3">
      <c r="A167" t="s">
        <v>20</v>
      </c>
      <c r="B167">
        <v>2006</v>
      </c>
      <c r="C167" t="str">
        <f>_xlfn.CONCAT(Table2[[#This Row],[STATE]],"-",Table2[[#This Row],[YEAR]])</f>
        <v>Maharashtra-2006</v>
      </c>
      <c r="D167">
        <v>32230</v>
      </c>
      <c r="E167">
        <v>32</v>
      </c>
    </row>
    <row r="168" spans="1:5" x14ac:dyDescent="0.3">
      <c r="A168" t="s">
        <v>20</v>
      </c>
      <c r="B168">
        <v>2007</v>
      </c>
      <c r="C168" t="str">
        <f>_xlfn.CONCAT(Table2[[#This Row],[STATE]],"-",Table2[[#This Row],[YEAR]])</f>
        <v>Maharashtra-2007</v>
      </c>
      <c r="D168">
        <v>29471</v>
      </c>
      <c r="E168">
        <v>8</v>
      </c>
    </row>
    <row r="169" spans="1:5" x14ac:dyDescent="0.3">
      <c r="A169" t="s">
        <v>20</v>
      </c>
      <c r="B169">
        <v>2008</v>
      </c>
      <c r="C169" t="str">
        <f>_xlfn.CONCAT(Table2[[#This Row],[STATE]],"-",Table2[[#This Row],[YEAR]])</f>
        <v>Maharashtra-2008</v>
      </c>
      <c r="D169">
        <v>24572</v>
      </c>
      <c r="E169">
        <v>4</v>
      </c>
    </row>
    <row r="170" spans="1:5" x14ac:dyDescent="0.3">
      <c r="A170" t="s">
        <v>20</v>
      </c>
      <c r="B170">
        <v>2009</v>
      </c>
      <c r="C170" t="str">
        <f>_xlfn.CONCAT(Table2[[#This Row],[STATE]],"-",Table2[[#This Row],[YEAR]])</f>
        <v>Maharashtra-2009</v>
      </c>
      <c r="D170">
        <v>22555</v>
      </c>
      <c r="E170">
        <v>55</v>
      </c>
    </row>
    <row r="171" spans="1:5" x14ac:dyDescent="0.3">
      <c r="A171" t="s">
        <v>20</v>
      </c>
      <c r="B171">
        <v>2010</v>
      </c>
      <c r="C171" t="str">
        <f>_xlfn.CONCAT(Table2[[#This Row],[STATE]],"-",Table2[[#This Row],[YEAR]])</f>
        <v>Maharashtra-2010</v>
      </c>
      <c r="D171">
        <v>26289</v>
      </c>
      <c r="E171">
        <v>20</v>
      </c>
    </row>
    <row r="172" spans="1:5" x14ac:dyDescent="0.3">
      <c r="A172" t="s">
        <v>20</v>
      </c>
      <c r="B172">
        <v>2011</v>
      </c>
      <c r="C172" t="str">
        <f>_xlfn.CONCAT(Table2[[#This Row],[STATE]],"-",Table2[[#This Row],[YEAR]])</f>
        <v>Maharashtra-2011</v>
      </c>
      <c r="D172">
        <v>20823</v>
      </c>
      <c r="E172">
        <v>18</v>
      </c>
    </row>
    <row r="173" spans="1:5" x14ac:dyDescent="0.3">
      <c r="A173" t="s">
        <v>20</v>
      </c>
      <c r="B173">
        <v>2012</v>
      </c>
      <c r="C173" t="str">
        <f>_xlfn.CONCAT(Table2[[#This Row],[STATE]],"-",Table2[[#This Row],[YEAR]])</f>
        <v>Maharashtra-2012</v>
      </c>
      <c r="D173">
        <v>21355</v>
      </c>
      <c r="E173">
        <v>0</v>
      </c>
    </row>
    <row r="174" spans="1:5" x14ac:dyDescent="0.3">
      <c r="A174" t="s">
        <v>21</v>
      </c>
      <c r="B174">
        <v>2001</v>
      </c>
      <c r="C174" t="str">
        <f>_xlfn.CONCAT(Table2[[#This Row],[STATE]],"-",Table2[[#This Row],[YEAR]])</f>
        <v>Manipur-2001</v>
      </c>
      <c r="D174">
        <v>5</v>
      </c>
      <c r="E174">
        <v>0</v>
      </c>
    </row>
    <row r="175" spans="1:5" x14ac:dyDescent="0.3">
      <c r="A175" t="s">
        <v>21</v>
      </c>
      <c r="B175">
        <v>2002</v>
      </c>
      <c r="C175" t="str">
        <f>_xlfn.CONCAT(Table2[[#This Row],[STATE]],"-",Table2[[#This Row],[YEAR]])</f>
        <v>Manipur-2002</v>
      </c>
      <c r="D175">
        <v>21</v>
      </c>
      <c r="E175">
        <v>0</v>
      </c>
    </row>
    <row r="176" spans="1:5" x14ac:dyDescent="0.3">
      <c r="A176" t="s">
        <v>21</v>
      </c>
      <c r="B176">
        <v>2003</v>
      </c>
      <c r="C176" t="str">
        <f>_xlfn.CONCAT(Table2[[#This Row],[STATE]],"-",Table2[[#This Row],[YEAR]])</f>
        <v>Manipur-2003</v>
      </c>
      <c r="D176">
        <v>9</v>
      </c>
      <c r="E176">
        <v>0</v>
      </c>
    </row>
    <row r="177" spans="1:5" x14ac:dyDescent="0.3">
      <c r="A177" t="s">
        <v>21</v>
      </c>
      <c r="B177">
        <v>2004</v>
      </c>
      <c r="C177" t="str">
        <f>_xlfn.CONCAT(Table2[[#This Row],[STATE]],"-",Table2[[#This Row],[YEAR]])</f>
        <v>Manipur-2004</v>
      </c>
      <c r="D177">
        <v>28</v>
      </c>
      <c r="E177">
        <v>0</v>
      </c>
    </row>
    <row r="178" spans="1:5" x14ac:dyDescent="0.3">
      <c r="A178" t="s">
        <v>21</v>
      </c>
      <c r="B178">
        <v>2005</v>
      </c>
      <c r="C178" t="str">
        <f>_xlfn.CONCAT(Table2[[#This Row],[STATE]],"-",Table2[[#This Row],[YEAR]])</f>
        <v>Manipur-2005</v>
      </c>
      <c r="D178">
        <v>7</v>
      </c>
      <c r="E178">
        <v>0</v>
      </c>
    </row>
    <row r="179" spans="1:5" x14ac:dyDescent="0.3">
      <c r="A179" t="s">
        <v>21</v>
      </c>
      <c r="B179">
        <v>2006</v>
      </c>
      <c r="C179" t="str">
        <f>_xlfn.CONCAT(Table2[[#This Row],[STATE]],"-",Table2[[#This Row],[YEAR]])</f>
        <v>Manipur-2006</v>
      </c>
      <c r="D179">
        <v>12</v>
      </c>
      <c r="E179">
        <v>0</v>
      </c>
    </row>
    <row r="180" spans="1:5" x14ac:dyDescent="0.3">
      <c r="A180" t="s">
        <v>21</v>
      </c>
      <c r="B180">
        <v>2007</v>
      </c>
      <c r="C180" t="str">
        <f>_xlfn.CONCAT(Table2[[#This Row],[STATE]],"-",Table2[[#This Row],[YEAR]])</f>
        <v>Manipur-2007</v>
      </c>
      <c r="D180">
        <v>30</v>
      </c>
      <c r="E180">
        <v>0</v>
      </c>
    </row>
    <row r="181" spans="1:5" x14ac:dyDescent="0.3">
      <c r="A181" t="s">
        <v>21</v>
      </c>
      <c r="B181">
        <v>2008</v>
      </c>
      <c r="C181" t="str">
        <f>_xlfn.CONCAT(Table2[[#This Row],[STATE]],"-",Table2[[#This Row],[YEAR]])</f>
        <v>Manipur-2008</v>
      </c>
      <c r="D181">
        <v>20</v>
      </c>
      <c r="E181">
        <v>0</v>
      </c>
    </row>
    <row r="182" spans="1:5" x14ac:dyDescent="0.3">
      <c r="A182" t="s">
        <v>21</v>
      </c>
      <c r="B182">
        <v>2009</v>
      </c>
      <c r="C182" t="str">
        <f>_xlfn.CONCAT(Table2[[#This Row],[STATE]],"-",Table2[[#This Row],[YEAR]])</f>
        <v>Manipur-2009</v>
      </c>
      <c r="D182">
        <v>46</v>
      </c>
      <c r="E182">
        <v>0</v>
      </c>
    </row>
    <row r="183" spans="1:5" x14ac:dyDescent="0.3">
      <c r="A183" t="s">
        <v>21</v>
      </c>
      <c r="B183">
        <v>2010</v>
      </c>
      <c r="C183" t="str">
        <f>_xlfn.CONCAT(Table2[[#This Row],[STATE]],"-",Table2[[#This Row],[YEAR]])</f>
        <v>Manipur-2010</v>
      </c>
      <c r="D183">
        <v>45</v>
      </c>
      <c r="E183">
        <v>0</v>
      </c>
    </row>
    <row r="184" spans="1:5" x14ac:dyDescent="0.3">
      <c r="A184" t="s">
        <v>21</v>
      </c>
      <c r="B184">
        <v>2011</v>
      </c>
      <c r="C184" t="str">
        <f>_xlfn.CONCAT(Table2[[#This Row],[STATE]],"-",Table2[[#This Row],[YEAR]])</f>
        <v>Manipur-2011</v>
      </c>
      <c r="D184">
        <v>30</v>
      </c>
      <c r="E184">
        <v>0</v>
      </c>
    </row>
    <row r="185" spans="1:5" x14ac:dyDescent="0.3">
      <c r="A185" t="s">
        <v>21</v>
      </c>
      <c r="B185">
        <v>2012</v>
      </c>
      <c r="C185" t="str">
        <f>_xlfn.CONCAT(Table2[[#This Row],[STATE]],"-",Table2[[#This Row],[YEAR]])</f>
        <v>Manipur-2012</v>
      </c>
      <c r="D185">
        <v>98</v>
      </c>
      <c r="E185">
        <v>0</v>
      </c>
    </row>
    <row r="186" spans="1:5" x14ac:dyDescent="0.3">
      <c r="A186" t="s">
        <v>22</v>
      </c>
      <c r="B186">
        <v>2001</v>
      </c>
      <c r="C186" t="str">
        <f>_xlfn.CONCAT(Table2[[#This Row],[STATE]],"-",Table2[[#This Row],[YEAR]])</f>
        <v>Meghalaya-2001</v>
      </c>
      <c r="D186">
        <v>62</v>
      </c>
      <c r="E186">
        <v>15</v>
      </c>
    </row>
    <row r="187" spans="1:5" x14ac:dyDescent="0.3">
      <c r="A187" t="s">
        <v>22</v>
      </c>
      <c r="B187">
        <v>2002</v>
      </c>
      <c r="C187" t="str">
        <f>_xlfn.CONCAT(Table2[[#This Row],[STATE]],"-",Table2[[#This Row],[YEAR]])</f>
        <v>Meghalaya-2002</v>
      </c>
      <c r="D187">
        <v>98</v>
      </c>
      <c r="E187">
        <v>7</v>
      </c>
    </row>
    <row r="188" spans="1:5" x14ac:dyDescent="0.3">
      <c r="A188" t="s">
        <v>22</v>
      </c>
      <c r="B188">
        <v>2003</v>
      </c>
      <c r="C188" t="str">
        <f>_xlfn.CONCAT(Table2[[#This Row],[STATE]],"-",Table2[[#This Row],[YEAR]])</f>
        <v>Meghalaya-2003</v>
      </c>
      <c r="D188">
        <v>83</v>
      </c>
      <c r="E188">
        <v>63</v>
      </c>
    </row>
    <row r="189" spans="1:5" x14ac:dyDescent="0.3">
      <c r="A189" t="s">
        <v>22</v>
      </c>
      <c r="B189">
        <v>2004</v>
      </c>
      <c r="C189" t="str">
        <f>_xlfn.CONCAT(Table2[[#This Row],[STATE]],"-",Table2[[#This Row],[YEAR]])</f>
        <v>Meghalaya-2004</v>
      </c>
      <c r="D189">
        <v>73</v>
      </c>
      <c r="E189">
        <v>47</v>
      </c>
    </row>
    <row r="190" spans="1:5" x14ac:dyDescent="0.3">
      <c r="A190" t="s">
        <v>22</v>
      </c>
      <c r="B190">
        <v>2005</v>
      </c>
      <c r="C190" t="str">
        <f>_xlfn.CONCAT(Table2[[#This Row],[STATE]],"-",Table2[[#This Row],[YEAR]])</f>
        <v>Meghalaya-2005</v>
      </c>
      <c r="D190">
        <v>59</v>
      </c>
      <c r="E190">
        <v>0</v>
      </c>
    </row>
    <row r="191" spans="1:5" x14ac:dyDescent="0.3">
      <c r="A191" t="s">
        <v>22</v>
      </c>
      <c r="B191">
        <v>2006</v>
      </c>
      <c r="C191" t="str">
        <f>_xlfn.CONCAT(Table2[[#This Row],[STATE]],"-",Table2[[#This Row],[YEAR]])</f>
        <v>Meghalaya-2006</v>
      </c>
      <c r="D191">
        <v>136</v>
      </c>
      <c r="E191">
        <v>24</v>
      </c>
    </row>
    <row r="192" spans="1:5" x14ac:dyDescent="0.3">
      <c r="A192" t="s">
        <v>22</v>
      </c>
      <c r="B192">
        <v>2007</v>
      </c>
      <c r="C192" t="str">
        <f>_xlfn.CONCAT(Table2[[#This Row],[STATE]],"-",Table2[[#This Row],[YEAR]])</f>
        <v>Meghalaya-2007</v>
      </c>
      <c r="D192">
        <v>53</v>
      </c>
      <c r="E192">
        <v>30</v>
      </c>
    </row>
    <row r="193" spans="1:5" x14ac:dyDescent="0.3">
      <c r="A193" t="s">
        <v>22</v>
      </c>
      <c r="B193">
        <v>2008</v>
      </c>
      <c r="C193" t="str">
        <f>_xlfn.CONCAT(Table2[[#This Row],[STATE]],"-",Table2[[#This Row],[YEAR]])</f>
        <v>Meghalaya-2008</v>
      </c>
      <c r="D193">
        <v>98</v>
      </c>
      <c r="E193">
        <v>25</v>
      </c>
    </row>
    <row r="194" spans="1:5" x14ac:dyDescent="0.3">
      <c r="A194" t="s">
        <v>22</v>
      </c>
      <c r="B194">
        <v>2009</v>
      </c>
      <c r="C194" t="str">
        <f>_xlfn.CONCAT(Table2[[#This Row],[STATE]],"-",Table2[[#This Row],[YEAR]])</f>
        <v>Meghalaya-2009</v>
      </c>
      <c r="D194">
        <v>115</v>
      </c>
      <c r="E194">
        <v>28</v>
      </c>
    </row>
    <row r="195" spans="1:5" x14ac:dyDescent="0.3">
      <c r="A195" t="s">
        <v>22</v>
      </c>
      <c r="B195">
        <v>2010</v>
      </c>
      <c r="C195" t="str">
        <f>_xlfn.CONCAT(Table2[[#This Row],[STATE]],"-",Table2[[#This Row],[YEAR]])</f>
        <v>Meghalaya-2010</v>
      </c>
      <c r="D195">
        <v>37</v>
      </c>
      <c r="E195">
        <v>2</v>
      </c>
    </row>
    <row r="196" spans="1:5" x14ac:dyDescent="0.3">
      <c r="A196" t="s">
        <v>22</v>
      </c>
      <c r="B196">
        <v>2011</v>
      </c>
      <c r="C196" t="str">
        <f>_xlfn.CONCAT(Table2[[#This Row],[STATE]],"-",Table2[[#This Row],[YEAR]])</f>
        <v>Meghalaya-2011</v>
      </c>
      <c r="D196">
        <v>17</v>
      </c>
      <c r="E196">
        <v>3</v>
      </c>
    </row>
    <row r="197" spans="1:5" x14ac:dyDescent="0.3">
      <c r="A197" t="s">
        <v>22</v>
      </c>
      <c r="B197">
        <v>2012</v>
      </c>
      <c r="C197" t="str">
        <f>_xlfn.CONCAT(Table2[[#This Row],[STATE]],"-",Table2[[#This Row],[YEAR]])</f>
        <v>Meghalaya-2012</v>
      </c>
      <c r="D197">
        <v>56</v>
      </c>
      <c r="E197">
        <v>0</v>
      </c>
    </row>
    <row r="198" spans="1:5" x14ac:dyDescent="0.3">
      <c r="A198" t="s">
        <v>23</v>
      </c>
      <c r="B198">
        <v>2001</v>
      </c>
      <c r="C198" t="str">
        <f>_xlfn.CONCAT(Table2[[#This Row],[STATE]],"-",Table2[[#This Row],[YEAR]])</f>
        <v>Mizoram-2001</v>
      </c>
      <c r="D198">
        <v>1844</v>
      </c>
      <c r="E198">
        <v>460</v>
      </c>
    </row>
    <row r="199" spans="1:5" x14ac:dyDescent="0.3">
      <c r="A199" t="s">
        <v>23</v>
      </c>
      <c r="B199">
        <v>2002</v>
      </c>
      <c r="C199" t="str">
        <f>_xlfn.CONCAT(Table2[[#This Row],[STATE]],"-",Table2[[#This Row],[YEAR]])</f>
        <v>Mizoram-2002</v>
      </c>
      <c r="D199">
        <v>102</v>
      </c>
      <c r="E199">
        <v>25</v>
      </c>
    </row>
    <row r="200" spans="1:5" x14ac:dyDescent="0.3">
      <c r="A200" t="s">
        <v>23</v>
      </c>
      <c r="B200">
        <v>2003</v>
      </c>
      <c r="C200" t="str">
        <f>_xlfn.CONCAT(Table2[[#This Row],[STATE]],"-",Table2[[#This Row],[YEAR]])</f>
        <v>Mizoram-2003</v>
      </c>
      <c r="D200">
        <v>4003</v>
      </c>
      <c r="E200">
        <v>1275</v>
      </c>
    </row>
    <row r="201" spans="1:5" x14ac:dyDescent="0.3">
      <c r="A201" t="s">
        <v>23</v>
      </c>
      <c r="B201">
        <v>2004</v>
      </c>
      <c r="C201" t="str">
        <f>_xlfn.CONCAT(Table2[[#This Row],[STATE]],"-",Table2[[#This Row],[YEAR]])</f>
        <v>Mizoram-2004</v>
      </c>
      <c r="D201">
        <v>4208</v>
      </c>
      <c r="E201">
        <v>981</v>
      </c>
    </row>
    <row r="202" spans="1:5" x14ac:dyDescent="0.3">
      <c r="A202" t="s">
        <v>23</v>
      </c>
      <c r="B202">
        <v>2005</v>
      </c>
      <c r="C202" t="str">
        <f>_xlfn.CONCAT(Table2[[#This Row],[STATE]],"-",Table2[[#This Row],[YEAR]])</f>
        <v>Mizoram-2005</v>
      </c>
      <c r="D202">
        <v>3205</v>
      </c>
      <c r="E202">
        <v>840</v>
      </c>
    </row>
    <row r="203" spans="1:5" x14ac:dyDescent="0.3">
      <c r="A203" t="s">
        <v>23</v>
      </c>
      <c r="B203">
        <v>2006</v>
      </c>
      <c r="C203" t="str">
        <f>_xlfn.CONCAT(Table2[[#This Row],[STATE]],"-",Table2[[#This Row],[YEAR]])</f>
        <v>Mizoram-2006</v>
      </c>
      <c r="D203">
        <v>2556</v>
      </c>
      <c r="E203">
        <v>673</v>
      </c>
    </row>
    <row r="204" spans="1:5" x14ac:dyDescent="0.3">
      <c r="A204" t="s">
        <v>23</v>
      </c>
      <c r="B204">
        <v>2007</v>
      </c>
      <c r="C204" t="str">
        <f>_xlfn.CONCAT(Table2[[#This Row],[STATE]],"-",Table2[[#This Row],[YEAR]])</f>
        <v>Mizoram-2007</v>
      </c>
      <c r="D204">
        <v>2127</v>
      </c>
      <c r="E204">
        <v>396</v>
      </c>
    </row>
    <row r="205" spans="1:5" x14ac:dyDescent="0.3">
      <c r="A205" t="s">
        <v>23</v>
      </c>
      <c r="B205">
        <v>2008</v>
      </c>
      <c r="C205" t="str">
        <f>_xlfn.CONCAT(Table2[[#This Row],[STATE]],"-",Table2[[#This Row],[YEAR]])</f>
        <v>Mizoram-2008</v>
      </c>
      <c r="D205">
        <v>2799</v>
      </c>
      <c r="E205">
        <v>546</v>
      </c>
    </row>
    <row r="206" spans="1:5" x14ac:dyDescent="0.3">
      <c r="A206" t="s">
        <v>23</v>
      </c>
      <c r="B206">
        <v>2009</v>
      </c>
      <c r="C206" t="str">
        <f>_xlfn.CONCAT(Table2[[#This Row],[STATE]],"-",Table2[[#This Row],[YEAR]])</f>
        <v>Mizoram-2009</v>
      </c>
      <c r="D206">
        <v>2805</v>
      </c>
      <c r="E206">
        <v>321</v>
      </c>
    </row>
    <row r="207" spans="1:5" x14ac:dyDescent="0.3">
      <c r="A207" t="s">
        <v>23</v>
      </c>
      <c r="B207">
        <v>2010</v>
      </c>
      <c r="C207" t="str">
        <f>_xlfn.CONCAT(Table2[[#This Row],[STATE]],"-",Table2[[#This Row],[YEAR]])</f>
        <v>Mizoram-2010</v>
      </c>
      <c r="D207">
        <v>2278</v>
      </c>
      <c r="E207">
        <v>169</v>
      </c>
    </row>
    <row r="208" spans="1:5" x14ac:dyDescent="0.3">
      <c r="A208" t="s">
        <v>23</v>
      </c>
      <c r="B208">
        <v>2011</v>
      </c>
      <c r="C208" t="str">
        <f>_xlfn.CONCAT(Table2[[#This Row],[STATE]],"-",Table2[[#This Row],[YEAR]])</f>
        <v>Mizoram-2011</v>
      </c>
      <c r="D208">
        <v>1884</v>
      </c>
      <c r="E208">
        <v>155</v>
      </c>
    </row>
    <row r="209" spans="1:5" x14ac:dyDescent="0.3">
      <c r="A209" t="s">
        <v>23</v>
      </c>
      <c r="B209">
        <v>2012</v>
      </c>
      <c r="C209" t="str">
        <f>_xlfn.CONCAT(Table2[[#This Row],[STATE]],"-",Table2[[#This Row],[YEAR]])</f>
        <v>Mizoram-2012</v>
      </c>
      <c r="D209">
        <v>2122</v>
      </c>
      <c r="E209">
        <v>218</v>
      </c>
    </row>
    <row r="210" spans="1:5" x14ac:dyDescent="0.3">
      <c r="A210" t="s">
        <v>24</v>
      </c>
      <c r="B210">
        <v>2001</v>
      </c>
      <c r="C210" t="str">
        <f>_xlfn.CONCAT(Table2[[#This Row],[STATE]],"-",Table2[[#This Row],[YEAR]])</f>
        <v>Nagaland-2001</v>
      </c>
      <c r="D210">
        <v>8</v>
      </c>
      <c r="E210">
        <v>1</v>
      </c>
    </row>
    <row r="211" spans="1:5" x14ac:dyDescent="0.3">
      <c r="A211" t="s">
        <v>24</v>
      </c>
      <c r="B211">
        <v>2002</v>
      </c>
      <c r="C211" t="str">
        <f>_xlfn.CONCAT(Table2[[#This Row],[STATE]],"-",Table2[[#This Row],[YEAR]])</f>
        <v>Nagaland-2002</v>
      </c>
      <c r="D211">
        <v>17</v>
      </c>
      <c r="E211">
        <v>0</v>
      </c>
    </row>
    <row r="212" spans="1:5" x14ac:dyDescent="0.3">
      <c r="A212" t="s">
        <v>24</v>
      </c>
      <c r="B212">
        <v>2003</v>
      </c>
      <c r="C212" t="str">
        <f>_xlfn.CONCAT(Table2[[#This Row],[STATE]],"-",Table2[[#This Row],[YEAR]])</f>
        <v>Nagaland-2003</v>
      </c>
      <c r="D212">
        <v>15</v>
      </c>
      <c r="E212">
        <v>0</v>
      </c>
    </row>
    <row r="213" spans="1:5" x14ac:dyDescent="0.3">
      <c r="A213" t="s">
        <v>24</v>
      </c>
      <c r="B213">
        <v>2004</v>
      </c>
      <c r="C213" t="str">
        <f>_xlfn.CONCAT(Table2[[#This Row],[STATE]],"-",Table2[[#This Row],[YEAR]])</f>
        <v>Nagaland-2004</v>
      </c>
      <c r="D213">
        <v>73</v>
      </c>
      <c r="E213">
        <v>0</v>
      </c>
    </row>
    <row r="214" spans="1:5" x14ac:dyDescent="0.3">
      <c r="A214" t="s">
        <v>24</v>
      </c>
      <c r="B214">
        <v>2005</v>
      </c>
      <c r="C214" t="str">
        <f>_xlfn.CONCAT(Table2[[#This Row],[STATE]],"-",Table2[[#This Row],[YEAR]])</f>
        <v>Nagaland-2005</v>
      </c>
      <c r="D214">
        <v>44</v>
      </c>
      <c r="E214">
        <v>0</v>
      </c>
    </row>
    <row r="215" spans="1:5" x14ac:dyDescent="0.3">
      <c r="A215" t="s">
        <v>24</v>
      </c>
      <c r="B215">
        <v>2006</v>
      </c>
      <c r="C215" t="str">
        <f>_xlfn.CONCAT(Table2[[#This Row],[STATE]],"-",Table2[[#This Row],[YEAR]])</f>
        <v>Nagaland-2006</v>
      </c>
      <c r="D215">
        <v>12</v>
      </c>
      <c r="E215">
        <v>0</v>
      </c>
    </row>
    <row r="216" spans="1:5" x14ac:dyDescent="0.3">
      <c r="A216" t="s">
        <v>24</v>
      </c>
      <c r="B216">
        <v>2007</v>
      </c>
      <c r="C216" t="str">
        <f>_xlfn.CONCAT(Table2[[#This Row],[STATE]],"-",Table2[[#This Row],[YEAR]])</f>
        <v>Nagaland-2007</v>
      </c>
      <c r="D216">
        <v>32</v>
      </c>
      <c r="E216">
        <v>23</v>
      </c>
    </row>
    <row r="217" spans="1:5" x14ac:dyDescent="0.3">
      <c r="A217" t="s">
        <v>24</v>
      </c>
      <c r="B217">
        <v>2008</v>
      </c>
      <c r="C217" t="str">
        <f>_xlfn.CONCAT(Table2[[#This Row],[STATE]],"-",Table2[[#This Row],[YEAR]])</f>
        <v>Nagaland-2008</v>
      </c>
      <c r="D217">
        <v>51</v>
      </c>
      <c r="E217">
        <v>13</v>
      </c>
    </row>
    <row r="218" spans="1:5" x14ac:dyDescent="0.3">
      <c r="A218" t="s">
        <v>24</v>
      </c>
      <c r="B218">
        <v>2009</v>
      </c>
      <c r="C218" t="str">
        <f>_xlfn.CONCAT(Table2[[#This Row],[STATE]],"-",Table2[[#This Row],[YEAR]])</f>
        <v>Nagaland-2009</v>
      </c>
      <c r="D218">
        <v>72</v>
      </c>
      <c r="E218">
        <v>18</v>
      </c>
    </row>
    <row r="219" spans="1:5" x14ac:dyDescent="0.3">
      <c r="A219" t="s">
        <v>24</v>
      </c>
      <c r="B219">
        <v>2010</v>
      </c>
      <c r="C219" t="str">
        <f>_xlfn.CONCAT(Table2[[#This Row],[STATE]],"-",Table2[[#This Row],[YEAR]])</f>
        <v>Nagaland-2010</v>
      </c>
      <c r="D219">
        <v>21</v>
      </c>
      <c r="E219">
        <v>13</v>
      </c>
    </row>
    <row r="220" spans="1:5" x14ac:dyDescent="0.3">
      <c r="A220" t="s">
        <v>24</v>
      </c>
      <c r="B220">
        <v>2011</v>
      </c>
      <c r="C220" t="str">
        <f>_xlfn.CONCAT(Table2[[#This Row],[STATE]],"-",Table2[[#This Row],[YEAR]])</f>
        <v>Nagaland-2011</v>
      </c>
      <c r="D220">
        <v>118</v>
      </c>
      <c r="E220">
        <v>13</v>
      </c>
    </row>
    <row r="221" spans="1:5" x14ac:dyDescent="0.3">
      <c r="A221" t="s">
        <v>24</v>
      </c>
      <c r="B221">
        <v>2012</v>
      </c>
      <c r="C221" t="str">
        <f>_xlfn.CONCAT(Table2[[#This Row],[STATE]],"-",Table2[[#This Row],[YEAR]])</f>
        <v>Nagaland-2012</v>
      </c>
      <c r="D221">
        <v>152</v>
      </c>
      <c r="E221">
        <v>20</v>
      </c>
    </row>
    <row r="222" spans="1:5" x14ac:dyDescent="0.3">
      <c r="A222" t="s">
        <v>25</v>
      </c>
      <c r="B222">
        <v>2001</v>
      </c>
      <c r="C222" t="str">
        <f>_xlfn.CONCAT(Table2[[#This Row],[STATE]],"-",Table2[[#This Row],[YEAR]])</f>
        <v>Orissa-2001</v>
      </c>
      <c r="D222">
        <v>3014</v>
      </c>
      <c r="E222">
        <v>70</v>
      </c>
    </row>
    <row r="223" spans="1:5" x14ac:dyDescent="0.3">
      <c r="A223" t="s">
        <v>25</v>
      </c>
      <c r="B223">
        <v>2002</v>
      </c>
      <c r="C223" t="str">
        <f>_xlfn.CONCAT(Table2[[#This Row],[STATE]],"-",Table2[[#This Row],[YEAR]])</f>
        <v>Orissa-2002</v>
      </c>
      <c r="D223">
        <v>3400</v>
      </c>
      <c r="E223">
        <v>35</v>
      </c>
    </row>
    <row r="224" spans="1:5" x14ac:dyDescent="0.3">
      <c r="A224" t="s">
        <v>25</v>
      </c>
      <c r="B224">
        <v>2003</v>
      </c>
      <c r="C224" t="str">
        <f>_xlfn.CONCAT(Table2[[#This Row],[STATE]],"-",Table2[[#This Row],[YEAR]])</f>
        <v>Orissa-2003</v>
      </c>
      <c r="D224">
        <v>2811</v>
      </c>
      <c r="E224">
        <v>43</v>
      </c>
    </row>
    <row r="225" spans="1:5" x14ac:dyDescent="0.3">
      <c r="A225" t="s">
        <v>25</v>
      </c>
      <c r="B225">
        <v>2004</v>
      </c>
      <c r="C225" t="str">
        <f>_xlfn.CONCAT(Table2[[#This Row],[STATE]],"-",Table2[[#This Row],[YEAR]])</f>
        <v>Orissa-2004</v>
      </c>
      <c r="D225">
        <v>3539</v>
      </c>
      <c r="E225">
        <v>33</v>
      </c>
    </row>
    <row r="226" spans="1:5" x14ac:dyDescent="0.3">
      <c r="A226" t="s">
        <v>25</v>
      </c>
      <c r="B226">
        <v>2005</v>
      </c>
      <c r="C226" t="str">
        <f>_xlfn.CONCAT(Table2[[#This Row],[STATE]],"-",Table2[[#This Row],[YEAR]])</f>
        <v>Orissa-2005</v>
      </c>
      <c r="D226">
        <v>3634</v>
      </c>
      <c r="E226">
        <v>45</v>
      </c>
    </row>
    <row r="227" spans="1:5" x14ac:dyDescent="0.3">
      <c r="A227" t="s">
        <v>25</v>
      </c>
      <c r="B227">
        <v>2006</v>
      </c>
      <c r="C227" t="str">
        <f>_xlfn.CONCAT(Table2[[#This Row],[STATE]],"-",Table2[[#This Row],[YEAR]])</f>
        <v>Orissa-2006</v>
      </c>
      <c r="D227">
        <v>1948</v>
      </c>
      <c r="E227">
        <v>12</v>
      </c>
    </row>
    <row r="228" spans="1:5" x14ac:dyDescent="0.3">
      <c r="A228" t="s">
        <v>25</v>
      </c>
      <c r="B228">
        <v>2007</v>
      </c>
      <c r="C228" t="str">
        <f>_xlfn.CONCAT(Table2[[#This Row],[STATE]],"-",Table2[[#This Row],[YEAR]])</f>
        <v>Orissa-2007</v>
      </c>
      <c r="D228">
        <v>2223</v>
      </c>
      <c r="E228">
        <v>15</v>
      </c>
    </row>
    <row r="229" spans="1:5" x14ac:dyDescent="0.3">
      <c r="A229" t="s">
        <v>25</v>
      </c>
      <c r="B229">
        <v>2008</v>
      </c>
      <c r="C229" t="str">
        <f>_xlfn.CONCAT(Table2[[#This Row],[STATE]],"-",Table2[[#This Row],[YEAR]])</f>
        <v>Orissa-2008</v>
      </c>
      <c r="D229">
        <v>2088</v>
      </c>
      <c r="E229">
        <v>31</v>
      </c>
    </row>
    <row r="230" spans="1:5" x14ac:dyDescent="0.3">
      <c r="A230" t="s">
        <v>25</v>
      </c>
      <c r="B230">
        <v>2009</v>
      </c>
      <c r="C230" t="str">
        <f>_xlfn.CONCAT(Table2[[#This Row],[STATE]],"-",Table2[[#This Row],[YEAR]])</f>
        <v>Orissa-2009</v>
      </c>
      <c r="D230">
        <v>2690</v>
      </c>
      <c r="E230">
        <v>23</v>
      </c>
    </row>
    <row r="231" spans="1:5" x14ac:dyDescent="0.3">
      <c r="A231" t="s">
        <v>25</v>
      </c>
      <c r="B231">
        <v>2010</v>
      </c>
      <c r="C231" t="str">
        <f>_xlfn.CONCAT(Table2[[#This Row],[STATE]],"-",Table2[[#This Row],[YEAR]])</f>
        <v>Orissa-2010</v>
      </c>
      <c r="D231">
        <v>2412</v>
      </c>
      <c r="E231">
        <v>19</v>
      </c>
    </row>
    <row r="232" spans="1:5" x14ac:dyDescent="0.3">
      <c r="A232" t="s">
        <v>25</v>
      </c>
      <c r="B232">
        <v>2011</v>
      </c>
      <c r="C232" t="str">
        <f>_xlfn.CONCAT(Table2[[#This Row],[STATE]],"-",Table2[[#This Row],[YEAR]])</f>
        <v>Orissa-2011</v>
      </c>
      <c r="D232">
        <v>1928</v>
      </c>
      <c r="E232">
        <v>17</v>
      </c>
    </row>
    <row r="233" spans="1:5" x14ac:dyDescent="0.3">
      <c r="A233" t="s">
        <v>25</v>
      </c>
      <c r="B233">
        <v>2012</v>
      </c>
      <c r="C233" t="str">
        <f>_xlfn.CONCAT(Table2[[#This Row],[STATE]],"-",Table2[[#This Row],[YEAR]])</f>
        <v>Orissa-2012</v>
      </c>
      <c r="D233">
        <v>2146</v>
      </c>
      <c r="E233">
        <v>170</v>
      </c>
    </row>
    <row r="234" spans="1:5" x14ac:dyDescent="0.3">
      <c r="A234" t="s">
        <v>26</v>
      </c>
      <c r="B234">
        <v>2001</v>
      </c>
      <c r="C234" t="str">
        <f>_xlfn.CONCAT(Table2[[#This Row],[STATE]],"-",Table2[[#This Row],[YEAR]])</f>
        <v>Punjab-2001</v>
      </c>
      <c r="D234">
        <v>575</v>
      </c>
      <c r="E234">
        <v>118</v>
      </c>
    </row>
    <row r="235" spans="1:5" x14ac:dyDescent="0.3">
      <c r="A235" t="s">
        <v>26</v>
      </c>
      <c r="B235">
        <v>2002</v>
      </c>
      <c r="C235" t="str">
        <f>_xlfn.CONCAT(Table2[[#This Row],[STATE]],"-",Table2[[#This Row],[YEAR]])</f>
        <v>Punjab-2002</v>
      </c>
      <c r="D235">
        <v>3203</v>
      </c>
      <c r="E235">
        <v>336</v>
      </c>
    </row>
    <row r="236" spans="1:5" x14ac:dyDescent="0.3">
      <c r="A236" t="s">
        <v>26</v>
      </c>
      <c r="B236">
        <v>2003</v>
      </c>
      <c r="C236" t="str">
        <f>_xlfn.CONCAT(Table2[[#This Row],[STATE]],"-",Table2[[#This Row],[YEAR]])</f>
        <v>Punjab-2003</v>
      </c>
      <c r="D236">
        <v>5092</v>
      </c>
      <c r="E236">
        <v>195</v>
      </c>
    </row>
    <row r="237" spans="1:5" x14ac:dyDescent="0.3">
      <c r="A237" t="s">
        <v>26</v>
      </c>
      <c r="B237">
        <v>2004</v>
      </c>
      <c r="C237" t="str">
        <f>_xlfn.CONCAT(Table2[[#This Row],[STATE]],"-",Table2[[#This Row],[YEAR]])</f>
        <v>Punjab-2004</v>
      </c>
      <c r="D237">
        <v>5275</v>
      </c>
      <c r="E237">
        <v>206</v>
      </c>
    </row>
    <row r="238" spans="1:5" x14ac:dyDescent="0.3">
      <c r="A238" t="s">
        <v>26</v>
      </c>
      <c r="B238">
        <v>2005</v>
      </c>
      <c r="C238" t="str">
        <f>_xlfn.CONCAT(Table2[[#This Row],[STATE]],"-",Table2[[#This Row],[YEAR]])</f>
        <v>Punjab-2005</v>
      </c>
      <c r="D238">
        <v>4850</v>
      </c>
      <c r="E238">
        <v>218</v>
      </c>
    </row>
    <row r="239" spans="1:5" x14ac:dyDescent="0.3">
      <c r="A239" t="s">
        <v>26</v>
      </c>
      <c r="B239">
        <v>2006</v>
      </c>
      <c r="C239" t="str">
        <f>_xlfn.CONCAT(Table2[[#This Row],[STATE]],"-",Table2[[#This Row],[YEAR]])</f>
        <v>Punjab-2006</v>
      </c>
      <c r="D239">
        <v>4798</v>
      </c>
      <c r="E239">
        <v>238</v>
      </c>
    </row>
    <row r="240" spans="1:5" x14ac:dyDescent="0.3">
      <c r="A240" t="s">
        <v>26</v>
      </c>
      <c r="B240">
        <v>2007</v>
      </c>
      <c r="C240" t="str">
        <f>_xlfn.CONCAT(Table2[[#This Row],[STATE]],"-",Table2[[#This Row],[YEAR]])</f>
        <v>Punjab-2007</v>
      </c>
      <c r="D240">
        <v>4691</v>
      </c>
      <c r="E240">
        <v>193</v>
      </c>
    </row>
    <row r="241" spans="1:5" x14ac:dyDescent="0.3">
      <c r="A241" t="s">
        <v>26</v>
      </c>
      <c r="B241">
        <v>2008</v>
      </c>
      <c r="C241" t="str">
        <f>_xlfn.CONCAT(Table2[[#This Row],[STATE]],"-",Table2[[#This Row],[YEAR]])</f>
        <v>Punjab-2008</v>
      </c>
      <c r="D241">
        <v>4566</v>
      </c>
      <c r="E241">
        <v>176</v>
      </c>
    </row>
    <row r="242" spans="1:5" x14ac:dyDescent="0.3">
      <c r="A242" t="s">
        <v>26</v>
      </c>
      <c r="B242">
        <v>2009</v>
      </c>
      <c r="C242" t="str">
        <f>_xlfn.CONCAT(Table2[[#This Row],[STATE]],"-",Table2[[#This Row],[YEAR]])</f>
        <v>Punjab-2009</v>
      </c>
      <c r="D242">
        <v>6320</v>
      </c>
      <c r="E242">
        <v>183</v>
      </c>
    </row>
    <row r="243" spans="1:5" x14ac:dyDescent="0.3">
      <c r="A243" t="s">
        <v>26</v>
      </c>
      <c r="B243">
        <v>2010</v>
      </c>
      <c r="C243" t="str">
        <f>_xlfn.CONCAT(Table2[[#This Row],[STATE]],"-",Table2[[#This Row],[YEAR]])</f>
        <v>Punjab-2010</v>
      </c>
      <c r="D243">
        <v>6266</v>
      </c>
      <c r="E243">
        <v>90</v>
      </c>
    </row>
    <row r="244" spans="1:5" x14ac:dyDescent="0.3">
      <c r="A244" t="s">
        <v>26</v>
      </c>
      <c r="B244">
        <v>2011</v>
      </c>
      <c r="C244" t="str">
        <f>_xlfn.CONCAT(Table2[[#This Row],[STATE]],"-",Table2[[#This Row],[YEAR]])</f>
        <v>Punjab-2011</v>
      </c>
      <c r="D244">
        <v>7524</v>
      </c>
      <c r="E244">
        <v>187</v>
      </c>
    </row>
    <row r="245" spans="1:5" x14ac:dyDescent="0.3">
      <c r="A245" t="s">
        <v>26</v>
      </c>
      <c r="B245">
        <v>2012</v>
      </c>
      <c r="C245" t="str">
        <f>_xlfn.CONCAT(Table2[[#This Row],[STATE]],"-",Table2[[#This Row],[YEAR]])</f>
        <v>Punjab-2012</v>
      </c>
      <c r="D245">
        <v>8713</v>
      </c>
      <c r="E245">
        <v>421</v>
      </c>
    </row>
    <row r="246" spans="1:5" x14ac:dyDescent="0.3">
      <c r="A246" t="s">
        <v>27</v>
      </c>
      <c r="B246">
        <v>2001</v>
      </c>
      <c r="C246" t="str">
        <f>_xlfn.CONCAT(Table2[[#This Row],[STATE]],"-",Table2[[#This Row],[YEAR]])</f>
        <v>Rajasthan-2001</v>
      </c>
      <c r="D246">
        <v>10895</v>
      </c>
      <c r="E246">
        <v>489</v>
      </c>
    </row>
    <row r="247" spans="1:5" x14ac:dyDescent="0.3">
      <c r="A247" t="s">
        <v>27</v>
      </c>
      <c r="B247">
        <v>2002</v>
      </c>
      <c r="C247" t="str">
        <f>_xlfn.CONCAT(Table2[[#This Row],[STATE]],"-",Table2[[#This Row],[YEAR]])</f>
        <v>Rajasthan-2002</v>
      </c>
      <c r="D247">
        <v>12405</v>
      </c>
      <c r="E247">
        <v>186</v>
      </c>
    </row>
    <row r="248" spans="1:5" x14ac:dyDescent="0.3">
      <c r="A248" t="s">
        <v>27</v>
      </c>
      <c r="B248">
        <v>2003</v>
      </c>
      <c r="C248" t="str">
        <f>_xlfn.CONCAT(Table2[[#This Row],[STATE]],"-",Table2[[#This Row],[YEAR]])</f>
        <v>Rajasthan-2003</v>
      </c>
      <c r="D248">
        <v>13314</v>
      </c>
      <c r="E248">
        <v>176</v>
      </c>
    </row>
    <row r="249" spans="1:5" x14ac:dyDescent="0.3">
      <c r="A249" t="s">
        <v>27</v>
      </c>
      <c r="B249">
        <v>2004</v>
      </c>
      <c r="C249" t="str">
        <f>_xlfn.CONCAT(Table2[[#This Row],[STATE]],"-",Table2[[#This Row],[YEAR]])</f>
        <v>Rajasthan-2004</v>
      </c>
      <c r="D249">
        <v>10782</v>
      </c>
      <c r="E249">
        <v>192</v>
      </c>
    </row>
    <row r="250" spans="1:5" x14ac:dyDescent="0.3">
      <c r="A250" t="s">
        <v>27</v>
      </c>
      <c r="B250">
        <v>2005</v>
      </c>
      <c r="C250" t="str">
        <f>_xlfn.CONCAT(Table2[[#This Row],[STATE]],"-",Table2[[#This Row],[YEAR]])</f>
        <v>Rajasthan-2005</v>
      </c>
      <c r="D250">
        <v>10288</v>
      </c>
      <c r="E250">
        <v>206</v>
      </c>
    </row>
    <row r="251" spans="1:5" x14ac:dyDescent="0.3">
      <c r="A251" t="s">
        <v>27</v>
      </c>
      <c r="B251">
        <v>2006</v>
      </c>
      <c r="C251" t="str">
        <f>_xlfn.CONCAT(Table2[[#This Row],[STATE]],"-",Table2[[#This Row],[YEAR]])</f>
        <v>Rajasthan-2006</v>
      </c>
      <c r="D251">
        <v>11476</v>
      </c>
      <c r="E251">
        <v>181</v>
      </c>
    </row>
    <row r="252" spans="1:5" x14ac:dyDescent="0.3">
      <c r="A252" t="s">
        <v>27</v>
      </c>
      <c r="B252">
        <v>2007</v>
      </c>
      <c r="C252" t="str">
        <f>_xlfn.CONCAT(Table2[[#This Row],[STATE]],"-",Table2[[#This Row],[YEAR]])</f>
        <v>Rajasthan-2007</v>
      </c>
      <c r="D252">
        <v>11365</v>
      </c>
      <c r="E252">
        <v>237</v>
      </c>
    </row>
    <row r="253" spans="1:5" x14ac:dyDescent="0.3">
      <c r="A253" t="s">
        <v>27</v>
      </c>
      <c r="B253">
        <v>2008</v>
      </c>
      <c r="C253" t="str">
        <f>_xlfn.CONCAT(Table2[[#This Row],[STATE]],"-",Table2[[#This Row],[YEAR]])</f>
        <v>Rajasthan-2008</v>
      </c>
      <c r="D253">
        <v>9906</v>
      </c>
      <c r="E253">
        <v>240</v>
      </c>
    </row>
    <row r="254" spans="1:5" x14ac:dyDescent="0.3">
      <c r="A254" t="s">
        <v>27</v>
      </c>
      <c r="B254">
        <v>2009</v>
      </c>
      <c r="C254" t="str">
        <f>_xlfn.CONCAT(Table2[[#This Row],[STATE]],"-",Table2[[#This Row],[YEAR]])</f>
        <v>Rajasthan-2009</v>
      </c>
      <c r="D254">
        <v>8889</v>
      </c>
      <c r="E254">
        <v>312</v>
      </c>
    </row>
    <row r="255" spans="1:5" x14ac:dyDescent="0.3">
      <c r="A255" t="s">
        <v>27</v>
      </c>
      <c r="B255">
        <v>2010</v>
      </c>
      <c r="C255" t="str">
        <f>_xlfn.CONCAT(Table2[[#This Row],[STATE]],"-",Table2[[#This Row],[YEAR]])</f>
        <v>Rajasthan-2010</v>
      </c>
      <c r="D255">
        <v>7687</v>
      </c>
      <c r="E255">
        <v>149</v>
      </c>
    </row>
    <row r="256" spans="1:5" x14ac:dyDescent="0.3">
      <c r="A256" t="s">
        <v>27</v>
      </c>
      <c r="B256">
        <v>2011</v>
      </c>
      <c r="C256" t="str">
        <f>_xlfn.CONCAT(Table2[[#This Row],[STATE]],"-",Table2[[#This Row],[YEAR]])</f>
        <v>Rajasthan-2011</v>
      </c>
      <c r="D256">
        <v>9326</v>
      </c>
      <c r="E256">
        <v>360</v>
      </c>
    </row>
    <row r="257" spans="1:5" x14ac:dyDescent="0.3">
      <c r="A257" t="s">
        <v>27</v>
      </c>
      <c r="B257">
        <v>2012</v>
      </c>
      <c r="C257" t="str">
        <f>_xlfn.CONCAT(Table2[[#This Row],[STATE]],"-",Table2[[#This Row],[YEAR]])</f>
        <v>Rajasthan-2012</v>
      </c>
      <c r="D257">
        <v>6083</v>
      </c>
      <c r="E257">
        <v>261</v>
      </c>
    </row>
    <row r="258" spans="1:5" x14ac:dyDescent="0.3">
      <c r="A258" t="s">
        <v>28</v>
      </c>
      <c r="B258">
        <v>2001</v>
      </c>
      <c r="C258" t="str">
        <f>_xlfn.CONCAT(Table2[[#This Row],[STATE]],"-",Table2[[#This Row],[YEAR]])</f>
        <v>Sikkim-2001</v>
      </c>
      <c r="D258">
        <v>77</v>
      </c>
      <c r="E258">
        <v>6</v>
      </c>
    </row>
    <row r="259" spans="1:5" x14ac:dyDescent="0.3">
      <c r="A259" t="s">
        <v>28</v>
      </c>
      <c r="B259">
        <v>2002</v>
      </c>
      <c r="C259" t="str">
        <f>_xlfn.CONCAT(Table2[[#This Row],[STATE]],"-",Table2[[#This Row],[YEAR]])</f>
        <v>Sikkim-2002</v>
      </c>
      <c r="D259">
        <v>240</v>
      </c>
      <c r="E259">
        <v>5</v>
      </c>
    </row>
    <row r="260" spans="1:5" x14ac:dyDescent="0.3">
      <c r="A260" t="s">
        <v>28</v>
      </c>
      <c r="B260">
        <v>2003</v>
      </c>
      <c r="C260" t="str">
        <f>_xlfn.CONCAT(Table2[[#This Row],[STATE]],"-",Table2[[#This Row],[YEAR]])</f>
        <v>Sikkim-2003</v>
      </c>
      <c r="D260">
        <v>29</v>
      </c>
      <c r="E260">
        <v>17</v>
      </c>
    </row>
    <row r="261" spans="1:5" x14ac:dyDescent="0.3">
      <c r="A261" t="s">
        <v>28</v>
      </c>
      <c r="B261">
        <v>2004</v>
      </c>
      <c r="C261" t="str">
        <f>_xlfn.CONCAT(Table2[[#This Row],[STATE]],"-",Table2[[#This Row],[YEAR]])</f>
        <v>Sikkim-2004</v>
      </c>
      <c r="D261">
        <v>43</v>
      </c>
      <c r="E261">
        <v>12</v>
      </c>
    </row>
    <row r="262" spans="1:5" x14ac:dyDescent="0.3">
      <c r="A262" t="s">
        <v>28</v>
      </c>
      <c r="B262">
        <v>2005</v>
      </c>
      <c r="C262" t="str">
        <f>_xlfn.CONCAT(Table2[[#This Row],[STATE]],"-",Table2[[#This Row],[YEAR]])</f>
        <v>Sikkim-2005</v>
      </c>
      <c r="D262">
        <v>40</v>
      </c>
      <c r="E262">
        <v>10</v>
      </c>
    </row>
    <row r="263" spans="1:5" x14ac:dyDescent="0.3">
      <c r="A263" t="s">
        <v>28</v>
      </c>
      <c r="B263">
        <v>2006</v>
      </c>
      <c r="C263" t="str">
        <f>_xlfn.CONCAT(Table2[[#This Row],[STATE]],"-",Table2[[#This Row],[YEAR]])</f>
        <v>Sikkim-2006</v>
      </c>
      <c r="D263">
        <v>96</v>
      </c>
      <c r="E263">
        <v>4</v>
      </c>
    </row>
    <row r="264" spans="1:5" x14ac:dyDescent="0.3">
      <c r="A264" t="s">
        <v>28</v>
      </c>
      <c r="B264">
        <v>2007</v>
      </c>
      <c r="C264" t="str">
        <f>_xlfn.CONCAT(Table2[[#This Row],[STATE]],"-",Table2[[#This Row],[YEAR]])</f>
        <v>Sikkim-2007</v>
      </c>
      <c r="D264">
        <v>86</v>
      </c>
      <c r="E264">
        <v>6</v>
      </c>
    </row>
    <row r="265" spans="1:5" x14ac:dyDescent="0.3">
      <c r="A265" t="s">
        <v>28</v>
      </c>
      <c r="B265">
        <v>2008</v>
      </c>
      <c r="C265" t="str">
        <f>_xlfn.CONCAT(Table2[[#This Row],[STATE]],"-",Table2[[#This Row],[YEAR]])</f>
        <v>Sikkim-2008</v>
      </c>
      <c r="D265">
        <v>40</v>
      </c>
      <c r="E265">
        <v>4</v>
      </c>
    </row>
    <row r="266" spans="1:5" x14ac:dyDescent="0.3">
      <c r="A266" t="s">
        <v>28</v>
      </c>
      <c r="B266">
        <v>2009</v>
      </c>
      <c r="C266" t="str">
        <f>_xlfn.CONCAT(Table2[[#This Row],[STATE]],"-",Table2[[#This Row],[YEAR]])</f>
        <v>Sikkim-2009</v>
      </c>
      <c r="D266">
        <v>143</v>
      </c>
      <c r="E266">
        <v>14</v>
      </c>
    </row>
    <row r="267" spans="1:5" x14ac:dyDescent="0.3">
      <c r="A267" t="s">
        <v>28</v>
      </c>
      <c r="B267">
        <v>2010</v>
      </c>
      <c r="C267" t="str">
        <f>_xlfn.CONCAT(Table2[[#This Row],[STATE]],"-",Table2[[#This Row],[YEAR]])</f>
        <v>Sikkim-2010</v>
      </c>
      <c r="D267">
        <v>126</v>
      </c>
      <c r="E267">
        <v>18</v>
      </c>
    </row>
    <row r="268" spans="1:5" x14ac:dyDescent="0.3">
      <c r="A268" t="s">
        <v>28</v>
      </c>
      <c r="B268">
        <v>2011</v>
      </c>
      <c r="C268" t="str">
        <f>_xlfn.CONCAT(Table2[[#This Row],[STATE]],"-",Table2[[#This Row],[YEAR]])</f>
        <v>Sikkim-2011</v>
      </c>
      <c r="D268">
        <v>58</v>
      </c>
      <c r="E268">
        <v>5</v>
      </c>
    </row>
    <row r="269" spans="1:5" x14ac:dyDescent="0.3">
      <c r="A269" t="s">
        <v>28</v>
      </c>
      <c r="B269">
        <v>2012</v>
      </c>
      <c r="C269" t="str">
        <f>_xlfn.CONCAT(Table2[[#This Row],[STATE]],"-",Table2[[#This Row],[YEAR]])</f>
        <v>Sikkim-2012</v>
      </c>
      <c r="D269">
        <v>98</v>
      </c>
      <c r="E269">
        <v>17</v>
      </c>
    </row>
    <row r="270" spans="1:5" x14ac:dyDescent="0.3">
      <c r="A270" t="s">
        <v>29</v>
      </c>
      <c r="B270">
        <v>2001</v>
      </c>
      <c r="C270" t="str">
        <f>_xlfn.CONCAT(Table2[[#This Row],[STATE]],"-",Table2[[#This Row],[YEAR]])</f>
        <v>Tamilnadu-2001</v>
      </c>
      <c r="D270">
        <v>5232</v>
      </c>
      <c r="E270">
        <v>1348</v>
      </c>
    </row>
    <row r="271" spans="1:5" x14ac:dyDescent="0.3">
      <c r="A271" t="s">
        <v>29</v>
      </c>
      <c r="B271">
        <v>2002</v>
      </c>
      <c r="C271" t="str">
        <f>_xlfn.CONCAT(Table2[[#This Row],[STATE]],"-",Table2[[#This Row],[YEAR]])</f>
        <v>Tamilnadu-2002</v>
      </c>
      <c r="D271">
        <v>9362</v>
      </c>
      <c r="E271">
        <v>4371</v>
      </c>
    </row>
    <row r="272" spans="1:5" x14ac:dyDescent="0.3">
      <c r="A272" t="s">
        <v>29</v>
      </c>
      <c r="B272">
        <v>2003</v>
      </c>
      <c r="C272" t="str">
        <f>_xlfn.CONCAT(Table2[[#This Row],[STATE]],"-",Table2[[#This Row],[YEAR]])</f>
        <v>Tamilnadu-2003</v>
      </c>
      <c r="D272">
        <v>10361</v>
      </c>
      <c r="E272">
        <v>5371</v>
      </c>
    </row>
    <row r="273" spans="1:5" x14ac:dyDescent="0.3">
      <c r="A273" t="s">
        <v>29</v>
      </c>
      <c r="B273">
        <v>2004</v>
      </c>
      <c r="C273" t="str">
        <f>_xlfn.CONCAT(Table2[[#This Row],[STATE]],"-",Table2[[#This Row],[YEAR]])</f>
        <v>Tamilnadu-2004</v>
      </c>
      <c r="D273">
        <v>10415</v>
      </c>
      <c r="E273">
        <v>5375</v>
      </c>
    </row>
    <row r="274" spans="1:5" x14ac:dyDescent="0.3">
      <c r="A274" t="s">
        <v>29</v>
      </c>
      <c r="B274">
        <v>2005</v>
      </c>
      <c r="C274" t="str">
        <f>_xlfn.CONCAT(Table2[[#This Row],[STATE]],"-",Table2[[#This Row],[YEAR]])</f>
        <v>Tamilnadu-2005</v>
      </c>
      <c r="D274">
        <v>9583</v>
      </c>
      <c r="E274">
        <v>1845</v>
      </c>
    </row>
    <row r="275" spans="1:5" x14ac:dyDescent="0.3">
      <c r="A275" t="s">
        <v>29</v>
      </c>
      <c r="B275">
        <v>2006</v>
      </c>
      <c r="C275" t="str">
        <f>_xlfn.CONCAT(Table2[[#This Row],[STATE]],"-",Table2[[#This Row],[YEAR]])</f>
        <v>Tamilnadu-2006</v>
      </c>
      <c r="D275">
        <v>9475</v>
      </c>
      <c r="E275">
        <v>1764</v>
      </c>
    </row>
    <row r="276" spans="1:5" x14ac:dyDescent="0.3">
      <c r="A276" t="s">
        <v>29</v>
      </c>
      <c r="B276">
        <v>2007</v>
      </c>
      <c r="C276" t="str">
        <f>_xlfn.CONCAT(Table2[[#This Row],[STATE]],"-",Table2[[#This Row],[YEAR]])</f>
        <v>Tamilnadu-2007</v>
      </c>
      <c r="D276">
        <v>4955</v>
      </c>
      <c r="E276">
        <v>1426</v>
      </c>
    </row>
    <row r="277" spans="1:5" x14ac:dyDescent="0.3">
      <c r="A277" t="s">
        <v>29</v>
      </c>
      <c r="B277">
        <v>2008</v>
      </c>
      <c r="C277" t="str">
        <f>_xlfn.CONCAT(Table2[[#This Row],[STATE]],"-",Table2[[#This Row],[YEAR]])</f>
        <v>Tamilnadu-2008</v>
      </c>
      <c r="D277">
        <v>7450</v>
      </c>
      <c r="E277">
        <v>454</v>
      </c>
    </row>
    <row r="278" spans="1:5" x14ac:dyDescent="0.3">
      <c r="A278" t="s">
        <v>29</v>
      </c>
      <c r="B278">
        <v>2009</v>
      </c>
      <c r="C278" t="str">
        <f>_xlfn.CONCAT(Table2[[#This Row],[STATE]],"-",Table2[[#This Row],[YEAR]])</f>
        <v>Tamilnadu-2009</v>
      </c>
      <c r="D278">
        <v>4828</v>
      </c>
      <c r="E278">
        <v>427</v>
      </c>
    </row>
    <row r="279" spans="1:5" x14ac:dyDescent="0.3">
      <c r="A279" t="s">
        <v>29</v>
      </c>
      <c r="B279">
        <v>2010</v>
      </c>
      <c r="C279" t="str">
        <f>_xlfn.CONCAT(Table2[[#This Row],[STATE]],"-",Table2[[#This Row],[YEAR]])</f>
        <v>Tamilnadu-2010</v>
      </c>
      <c r="D279">
        <v>4958</v>
      </c>
      <c r="E279">
        <v>288</v>
      </c>
    </row>
    <row r="280" spans="1:5" x14ac:dyDescent="0.3">
      <c r="A280" t="s">
        <v>29</v>
      </c>
      <c r="B280">
        <v>2011</v>
      </c>
      <c r="C280" t="str">
        <f>_xlfn.CONCAT(Table2[[#This Row],[STATE]],"-",Table2[[#This Row],[YEAR]])</f>
        <v>Tamilnadu-2011</v>
      </c>
      <c r="D280">
        <v>4112</v>
      </c>
      <c r="E280">
        <v>72</v>
      </c>
    </row>
    <row r="281" spans="1:5" x14ac:dyDescent="0.3">
      <c r="A281" t="s">
        <v>29</v>
      </c>
      <c r="B281">
        <v>2012</v>
      </c>
      <c r="C281" t="str">
        <f>_xlfn.CONCAT(Table2[[#This Row],[STATE]],"-",Table2[[#This Row],[YEAR]])</f>
        <v>Tamilnadu-2012</v>
      </c>
      <c r="D281">
        <v>3046</v>
      </c>
      <c r="E281">
        <v>127</v>
      </c>
    </row>
    <row r="282" spans="1:5" x14ac:dyDescent="0.3">
      <c r="A282" t="s">
        <v>30</v>
      </c>
      <c r="B282">
        <v>2001</v>
      </c>
      <c r="C282" t="str">
        <f>_xlfn.CONCAT(Table2[[#This Row],[STATE]],"-",Table2[[#This Row],[YEAR]])</f>
        <v>Tripura-2001</v>
      </c>
      <c r="D282">
        <v>295</v>
      </c>
      <c r="E282">
        <v>7</v>
      </c>
    </row>
    <row r="283" spans="1:5" x14ac:dyDescent="0.3">
      <c r="A283" t="s">
        <v>30</v>
      </c>
      <c r="B283">
        <v>2002</v>
      </c>
      <c r="C283" t="str">
        <f>_xlfn.CONCAT(Table2[[#This Row],[STATE]],"-",Table2[[#This Row],[YEAR]])</f>
        <v>Tripura-2002</v>
      </c>
      <c r="D283">
        <v>591</v>
      </c>
      <c r="E283">
        <v>0</v>
      </c>
    </row>
    <row r="284" spans="1:5" x14ac:dyDescent="0.3">
      <c r="A284" t="s">
        <v>30</v>
      </c>
      <c r="B284">
        <v>2003</v>
      </c>
      <c r="C284" t="str">
        <f>_xlfn.CONCAT(Table2[[#This Row],[STATE]],"-",Table2[[#This Row],[YEAR]])</f>
        <v>Tripura-2003</v>
      </c>
      <c r="D284">
        <v>84</v>
      </c>
      <c r="E284">
        <v>0</v>
      </c>
    </row>
    <row r="285" spans="1:5" x14ac:dyDescent="0.3">
      <c r="A285" t="s">
        <v>30</v>
      </c>
      <c r="B285">
        <v>2004</v>
      </c>
      <c r="C285" t="str">
        <f>_xlfn.CONCAT(Table2[[#This Row],[STATE]],"-",Table2[[#This Row],[YEAR]])</f>
        <v>Tripura-2004</v>
      </c>
      <c r="D285">
        <v>203</v>
      </c>
      <c r="E285">
        <v>46</v>
      </c>
    </row>
    <row r="286" spans="1:5" x14ac:dyDescent="0.3">
      <c r="A286" t="s">
        <v>30</v>
      </c>
      <c r="B286">
        <v>2005</v>
      </c>
      <c r="C286" t="str">
        <f>_xlfn.CONCAT(Table2[[#This Row],[STATE]],"-",Table2[[#This Row],[YEAR]])</f>
        <v>Tripura-2005</v>
      </c>
      <c r="D286">
        <v>554</v>
      </c>
      <c r="E286">
        <v>28</v>
      </c>
    </row>
    <row r="287" spans="1:5" x14ac:dyDescent="0.3">
      <c r="A287" t="s">
        <v>30</v>
      </c>
      <c r="B287">
        <v>2006</v>
      </c>
      <c r="C287" t="str">
        <f>_xlfn.CONCAT(Table2[[#This Row],[STATE]],"-",Table2[[#This Row],[YEAR]])</f>
        <v>Tripura-2006</v>
      </c>
      <c r="D287">
        <v>926</v>
      </c>
      <c r="E287">
        <v>16</v>
      </c>
    </row>
    <row r="288" spans="1:5" x14ac:dyDescent="0.3">
      <c r="A288" t="s">
        <v>30</v>
      </c>
      <c r="B288">
        <v>2007</v>
      </c>
      <c r="C288" t="str">
        <f>_xlfn.CONCAT(Table2[[#This Row],[STATE]],"-",Table2[[#This Row],[YEAR]])</f>
        <v>Tripura-2007</v>
      </c>
      <c r="D288">
        <v>1163</v>
      </c>
      <c r="E288">
        <v>7</v>
      </c>
    </row>
    <row r="289" spans="1:5" x14ac:dyDescent="0.3">
      <c r="A289" t="s">
        <v>30</v>
      </c>
      <c r="B289">
        <v>2008</v>
      </c>
      <c r="C289" t="str">
        <f>_xlfn.CONCAT(Table2[[#This Row],[STATE]],"-",Table2[[#This Row],[YEAR]])</f>
        <v>Tripura-2008</v>
      </c>
      <c r="D289">
        <v>312</v>
      </c>
      <c r="E289">
        <v>49</v>
      </c>
    </row>
    <row r="290" spans="1:5" x14ac:dyDescent="0.3">
      <c r="A290" t="s">
        <v>30</v>
      </c>
      <c r="B290">
        <v>2009</v>
      </c>
      <c r="C290" t="str">
        <f>_xlfn.CONCAT(Table2[[#This Row],[STATE]],"-",Table2[[#This Row],[YEAR]])</f>
        <v>Tripura-2009</v>
      </c>
      <c r="D290">
        <v>1395</v>
      </c>
      <c r="E290">
        <v>47</v>
      </c>
    </row>
    <row r="291" spans="1:5" x14ac:dyDescent="0.3">
      <c r="A291" t="s">
        <v>30</v>
      </c>
      <c r="B291">
        <v>2010</v>
      </c>
      <c r="C291" t="str">
        <f>_xlfn.CONCAT(Table2[[#This Row],[STATE]],"-",Table2[[#This Row],[YEAR]])</f>
        <v>Tripura-2010</v>
      </c>
      <c r="D291">
        <v>1245</v>
      </c>
      <c r="E291">
        <v>15</v>
      </c>
    </row>
    <row r="292" spans="1:5" x14ac:dyDescent="0.3">
      <c r="A292" t="s">
        <v>30</v>
      </c>
      <c r="B292">
        <v>2011</v>
      </c>
      <c r="C292" t="str">
        <f>_xlfn.CONCAT(Table2[[#This Row],[STATE]],"-",Table2[[#This Row],[YEAR]])</f>
        <v>Tripura-2011</v>
      </c>
      <c r="D292">
        <v>1311</v>
      </c>
      <c r="E292">
        <v>18</v>
      </c>
    </row>
    <row r="293" spans="1:5" x14ac:dyDescent="0.3">
      <c r="A293" t="s">
        <v>30</v>
      </c>
      <c r="B293">
        <v>2012</v>
      </c>
      <c r="C293" t="str">
        <f>_xlfn.CONCAT(Table2[[#This Row],[STATE]],"-",Table2[[#This Row],[YEAR]])</f>
        <v>Tripura-2012</v>
      </c>
      <c r="D293">
        <v>1359</v>
      </c>
      <c r="E293">
        <v>22</v>
      </c>
    </row>
    <row r="294" spans="1:5" x14ac:dyDescent="0.3">
      <c r="A294" t="s">
        <v>31</v>
      </c>
      <c r="B294">
        <v>2001</v>
      </c>
      <c r="C294" t="str">
        <f>_xlfn.CONCAT(Table2[[#This Row],[STATE]],"-",Table2[[#This Row],[YEAR]])</f>
        <v>Uttar Pradesh-2001</v>
      </c>
      <c r="D294">
        <v>20458</v>
      </c>
      <c r="E294">
        <v>722</v>
      </c>
    </row>
    <row r="295" spans="1:5" x14ac:dyDescent="0.3">
      <c r="A295" t="s">
        <v>31</v>
      </c>
      <c r="B295">
        <v>2002</v>
      </c>
      <c r="C295" t="str">
        <f>_xlfn.CONCAT(Table2[[#This Row],[STATE]],"-",Table2[[#This Row],[YEAR]])</f>
        <v>Uttar Pradesh-2002</v>
      </c>
      <c r="D295">
        <v>44180</v>
      </c>
      <c r="E295">
        <v>2648</v>
      </c>
    </row>
    <row r="296" spans="1:5" x14ac:dyDescent="0.3">
      <c r="A296" t="s">
        <v>31</v>
      </c>
      <c r="B296">
        <v>2003</v>
      </c>
      <c r="C296" t="str">
        <f>_xlfn.CONCAT(Table2[[#This Row],[STATE]],"-",Table2[[#This Row],[YEAR]])</f>
        <v>Uttar Pradesh-2003</v>
      </c>
      <c r="D296">
        <v>38215</v>
      </c>
      <c r="E296">
        <v>4182</v>
      </c>
    </row>
    <row r="297" spans="1:5" x14ac:dyDescent="0.3">
      <c r="A297" t="s">
        <v>31</v>
      </c>
      <c r="B297">
        <v>2004</v>
      </c>
      <c r="C297" t="str">
        <f>_xlfn.CONCAT(Table2[[#This Row],[STATE]],"-",Table2[[#This Row],[YEAR]])</f>
        <v>Uttar Pradesh-2004</v>
      </c>
      <c r="D297">
        <v>8787</v>
      </c>
      <c r="E297">
        <v>183</v>
      </c>
    </row>
    <row r="298" spans="1:5" x14ac:dyDescent="0.3">
      <c r="A298" t="s">
        <v>31</v>
      </c>
      <c r="B298">
        <v>2005</v>
      </c>
      <c r="C298" t="str">
        <f>_xlfn.CONCAT(Table2[[#This Row],[STATE]],"-",Table2[[#This Row],[YEAR]])</f>
        <v>Uttar Pradesh-2005</v>
      </c>
      <c r="D298">
        <v>42541</v>
      </c>
      <c r="E298">
        <v>2213</v>
      </c>
    </row>
    <row r="299" spans="1:5" x14ac:dyDescent="0.3">
      <c r="A299" t="s">
        <v>31</v>
      </c>
      <c r="B299">
        <v>2006</v>
      </c>
      <c r="C299" t="str">
        <f>_xlfn.CONCAT(Table2[[#This Row],[STATE]],"-",Table2[[#This Row],[YEAR]])</f>
        <v>Uttar Pradesh-2006</v>
      </c>
      <c r="D299">
        <v>54865</v>
      </c>
      <c r="E299">
        <v>2008</v>
      </c>
    </row>
    <row r="300" spans="1:5" x14ac:dyDescent="0.3">
      <c r="A300" t="s">
        <v>31</v>
      </c>
      <c r="B300">
        <v>2007</v>
      </c>
      <c r="C300" t="str">
        <f>_xlfn.CONCAT(Table2[[#This Row],[STATE]],"-",Table2[[#This Row],[YEAR]])</f>
        <v>Uttar Pradesh-2007</v>
      </c>
      <c r="D300">
        <v>58832</v>
      </c>
      <c r="E300">
        <v>5023</v>
      </c>
    </row>
    <row r="301" spans="1:5" x14ac:dyDescent="0.3">
      <c r="A301" t="s">
        <v>31</v>
      </c>
      <c r="B301">
        <v>2008</v>
      </c>
      <c r="C301" t="str">
        <f>_xlfn.CONCAT(Table2[[#This Row],[STATE]],"-",Table2[[#This Row],[YEAR]])</f>
        <v>Uttar Pradesh-2008</v>
      </c>
      <c r="D301">
        <v>64450</v>
      </c>
      <c r="E301">
        <v>3433</v>
      </c>
    </row>
    <row r="302" spans="1:5" x14ac:dyDescent="0.3">
      <c r="A302" t="s">
        <v>31</v>
      </c>
      <c r="B302">
        <v>2009</v>
      </c>
      <c r="C302" t="str">
        <f>_xlfn.CONCAT(Table2[[#This Row],[STATE]],"-",Table2[[#This Row],[YEAR]])</f>
        <v>Uttar Pradesh-2009</v>
      </c>
      <c r="D302">
        <v>61076</v>
      </c>
      <c r="E302">
        <v>3678</v>
      </c>
    </row>
    <row r="303" spans="1:5" x14ac:dyDescent="0.3">
      <c r="A303" t="s">
        <v>31</v>
      </c>
      <c r="B303">
        <v>2010</v>
      </c>
      <c r="C303" t="str">
        <f>_xlfn.CONCAT(Table2[[#This Row],[STATE]],"-",Table2[[#This Row],[YEAR]])</f>
        <v>Uttar Pradesh-2010</v>
      </c>
      <c r="D303">
        <v>62338</v>
      </c>
      <c r="E303">
        <v>3628</v>
      </c>
    </row>
    <row r="304" spans="1:5" x14ac:dyDescent="0.3">
      <c r="A304" t="s">
        <v>31</v>
      </c>
      <c r="B304">
        <v>2011</v>
      </c>
      <c r="C304" t="str">
        <f>_xlfn.CONCAT(Table2[[#This Row],[STATE]],"-",Table2[[#This Row],[YEAR]])</f>
        <v>Uttar Pradesh-2011</v>
      </c>
      <c r="D304">
        <v>61291</v>
      </c>
      <c r="E304">
        <v>3603</v>
      </c>
    </row>
    <row r="305" spans="1:5" x14ac:dyDescent="0.3">
      <c r="A305" t="s">
        <v>31</v>
      </c>
      <c r="B305">
        <v>2012</v>
      </c>
      <c r="C305" t="str">
        <f>_xlfn.CONCAT(Table2[[#This Row],[STATE]],"-",Table2[[#This Row],[YEAR]])</f>
        <v>Uttar Pradesh-2012</v>
      </c>
      <c r="D305">
        <v>60909</v>
      </c>
      <c r="E305">
        <v>4245</v>
      </c>
    </row>
    <row r="306" spans="1:5" x14ac:dyDescent="0.3">
      <c r="A306" t="s">
        <v>32</v>
      </c>
      <c r="B306">
        <v>2001</v>
      </c>
      <c r="C306" t="str">
        <f>_xlfn.CONCAT(Table2[[#This Row],[STATE]],"-",Table2[[#This Row],[YEAR]])</f>
        <v>Uttaranchal-2001</v>
      </c>
      <c r="D306">
        <v>836</v>
      </c>
      <c r="E306">
        <v>7</v>
      </c>
    </row>
    <row r="307" spans="1:5" x14ac:dyDescent="0.3">
      <c r="A307" t="s">
        <v>32</v>
      </c>
      <c r="B307">
        <v>2002</v>
      </c>
      <c r="C307" t="str">
        <f>_xlfn.CONCAT(Table2[[#This Row],[STATE]],"-",Table2[[#This Row],[YEAR]])</f>
        <v>Uttaranchal-2002</v>
      </c>
      <c r="D307">
        <v>913</v>
      </c>
      <c r="E307">
        <v>19</v>
      </c>
    </row>
    <row r="308" spans="1:5" x14ac:dyDescent="0.3">
      <c r="A308" t="s">
        <v>32</v>
      </c>
      <c r="B308">
        <v>2003</v>
      </c>
      <c r="C308" t="str">
        <f>_xlfn.CONCAT(Table2[[#This Row],[STATE]],"-",Table2[[#This Row],[YEAR]])</f>
        <v>Uttaranchal-2003</v>
      </c>
      <c r="D308">
        <v>882</v>
      </c>
      <c r="E308">
        <v>0</v>
      </c>
    </row>
    <row r="309" spans="1:5" x14ac:dyDescent="0.3">
      <c r="A309" t="s">
        <v>32</v>
      </c>
      <c r="B309">
        <v>2004</v>
      </c>
      <c r="C309" t="str">
        <f>_xlfn.CONCAT(Table2[[#This Row],[STATE]],"-",Table2[[#This Row],[YEAR]])</f>
        <v>Uttaranchal-2004</v>
      </c>
      <c r="D309">
        <v>916</v>
      </c>
      <c r="E309">
        <v>0</v>
      </c>
    </row>
    <row r="310" spans="1:5" x14ac:dyDescent="0.3">
      <c r="A310" t="s">
        <v>32</v>
      </c>
      <c r="B310">
        <v>2005</v>
      </c>
      <c r="C310" t="str">
        <f>_xlfn.CONCAT(Table2[[#This Row],[STATE]],"-",Table2[[#This Row],[YEAR]])</f>
        <v>Uttaranchal-2005</v>
      </c>
      <c r="D310">
        <v>1144</v>
      </c>
      <c r="E310">
        <v>46</v>
      </c>
    </row>
    <row r="311" spans="1:5" x14ac:dyDescent="0.3">
      <c r="A311" t="s">
        <v>32</v>
      </c>
      <c r="B311">
        <v>2006</v>
      </c>
      <c r="C311" t="str">
        <f>_xlfn.CONCAT(Table2[[#This Row],[STATE]],"-",Table2[[#This Row],[YEAR]])</f>
        <v>Uttaranchal-2006</v>
      </c>
      <c r="D311">
        <v>986</v>
      </c>
      <c r="E311">
        <v>18</v>
      </c>
    </row>
    <row r="312" spans="1:5" x14ac:dyDescent="0.3">
      <c r="A312" t="s">
        <v>32</v>
      </c>
      <c r="B312">
        <v>2007</v>
      </c>
      <c r="C312" t="str">
        <f>_xlfn.CONCAT(Table2[[#This Row],[STATE]],"-",Table2[[#This Row],[YEAR]])</f>
        <v>Uttaranchal-2007</v>
      </c>
      <c r="D312">
        <v>787</v>
      </c>
      <c r="E312">
        <v>86</v>
      </c>
    </row>
    <row r="313" spans="1:5" x14ac:dyDescent="0.3">
      <c r="A313" t="s">
        <v>32</v>
      </c>
      <c r="B313">
        <v>2008</v>
      </c>
      <c r="C313" t="str">
        <f>_xlfn.CONCAT(Table2[[#This Row],[STATE]],"-",Table2[[#This Row],[YEAR]])</f>
        <v>Uttaranchal-2008</v>
      </c>
      <c r="D313">
        <v>1067</v>
      </c>
      <c r="E313">
        <v>81</v>
      </c>
    </row>
    <row r="314" spans="1:5" x14ac:dyDescent="0.3">
      <c r="A314" t="s">
        <v>32</v>
      </c>
      <c r="B314">
        <v>2009</v>
      </c>
      <c r="C314" t="str">
        <f>_xlfn.CONCAT(Table2[[#This Row],[STATE]],"-",Table2[[#This Row],[YEAR]])</f>
        <v>Uttaranchal-2009</v>
      </c>
      <c r="D314">
        <v>1253</v>
      </c>
      <c r="E314">
        <v>6</v>
      </c>
    </row>
    <row r="315" spans="1:5" x14ac:dyDescent="0.3">
      <c r="A315" t="s">
        <v>32</v>
      </c>
      <c r="B315">
        <v>2010</v>
      </c>
      <c r="C315" t="str">
        <f>_xlfn.CONCAT(Table2[[#This Row],[STATE]],"-",Table2[[#This Row],[YEAR]])</f>
        <v>Uttaranchal-2010</v>
      </c>
      <c r="D315">
        <v>1465</v>
      </c>
      <c r="E315">
        <v>5</v>
      </c>
    </row>
    <row r="316" spans="1:5" x14ac:dyDescent="0.3">
      <c r="A316" t="s">
        <v>32</v>
      </c>
      <c r="B316">
        <v>2011</v>
      </c>
      <c r="C316" t="str">
        <f>_xlfn.CONCAT(Table2[[#This Row],[STATE]],"-",Table2[[#This Row],[YEAR]])</f>
        <v>Uttaranchal-2011</v>
      </c>
      <c r="D316">
        <v>1500</v>
      </c>
      <c r="E316">
        <v>4</v>
      </c>
    </row>
    <row r="317" spans="1:5" x14ac:dyDescent="0.3">
      <c r="A317" t="s">
        <v>32</v>
      </c>
      <c r="B317">
        <v>2012</v>
      </c>
      <c r="C317" t="str">
        <f>_xlfn.CONCAT(Table2[[#This Row],[STATE]],"-",Table2[[#This Row],[YEAR]])</f>
        <v>Uttaranchal-2012</v>
      </c>
      <c r="D317">
        <v>1644</v>
      </c>
      <c r="E317">
        <v>2</v>
      </c>
    </row>
    <row r="318" spans="1:5" x14ac:dyDescent="0.3">
      <c r="A318" t="s">
        <v>33</v>
      </c>
      <c r="B318">
        <v>2001</v>
      </c>
      <c r="C318" t="str">
        <f>_xlfn.CONCAT(Table2[[#This Row],[STATE]],"-",Table2[[#This Row],[YEAR]])</f>
        <v>West Bengal-2001</v>
      </c>
      <c r="D318">
        <v>30165</v>
      </c>
      <c r="E318">
        <v>1811</v>
      </c>
    </row>
    <row r="319" spans="1:5" x14ac:dyDescent="0.3">
      <c r="A319" t="s">
        <v>33</v>
      </c>
      <c r="B319">
        <v>2002</v>
      </c>
      <c r="C319" t="str">
        <f>_xlfn.CONCAT(Table2[[#This Row],[STATE]],"-",Table2[[#This Row],[YEAR]])</f>
        <v>West Bengal-2002</v>
      </c>
      <c r="D319">
        <v>24614</v>
      </c>
      <c r="E319">
        <v>1253</v>
      </c>
    </row>
    <row r="320" spans="1:5" x14ac:dyDescent="0.3">
      <c r="A320" t="s">
        <v>33</v>
      </c>
      <c r="B320">
        <v>2003</v>
      </c>
      <c r="C320" t="str">
        <f>_xlfn.CONCAT(Table2[[#This Row],[STATE]],"-",Table2[[#This Row],[YEAR]])</f>
        <v>West Bengal-2003</v>
      </c>
      <c r="D320">
        <v>29625</v>
      </c>
      <c r="E320">
        <v>1712</v>
      </c>
    </row>
    <row r="321" spans="1:5" x14ac:dyDescent="0.3">
      <c r="A321" t="s">
        <v>33</v>
      </c>
      <c r="B321">
        <v>2004</v>
      </c>
      <c r="C321" t="str">
        <f>_xlfn.CONCAT(Table2[[#This Row],[STATE]],"-",Table2[[#This Row],[YEAR]])</f>
        <v>West Bengal-2004</v>
      </c>
      <c r="D321">
        <v>29115</v>
      </c>
      <c r="E321">
        <v>1803</v>
      </c>
    </row>
    <row r="322" spans="1:5" x14ac:dyDescent="0.3">
      <c r="A322" t="s">
        <v>33</v>
      </c>
      <c r="B322">
        <v>2005</v>
      </c>
      <c r="C322" t="str">
        <f>_xlfn.CONCAT(Table2[[#This Row],[STATE]],"-",Table2[[#This Row],[YEAR]])</f>
        <v>West Bengal-2005</v>
      </c>
      <c r="D322">
        <v>3412</v>
      </c>
      <c r="E322">
        <v>1867</v>
      </c>
    </row>
    <row r="323" spans="1:5" x14ac:dyDescent="0.3">
      <c r="A323" t="s">
        <v>33</v>
      </c>
      <c r="B323">
        <v>2006</v>
      </c>
      <c r="C323" t="str">
        <f>_xlfn.CONCAT(Table2[[#This Row],[STATE]],"-",Table2[[#This Row],[YEAR]])</f>
        <v>West Bengal-2006</v>
      </c>
      <c r="D323">
        <v>31395</v>
      </c>
      <c r="E323">
        <v>1657</v>
      </c>
    </row>
    <row r="324" spans="1:5" x14ac:dyDescent="0.3">
      <c r="A324" t="s">
        <v>33</v>
      </c>
      <c r="B324">
        <v>2007</v>
      </c>
      <c r="C324" t="str">
        <f>_xlfn.CONCAT(Table2[[#This Row],[STATE]],"-",Table2[[#This Row],[YEAR]])</f>
        <v>West Bengal-2007</v>
      </c>
      <c r="D324">
        <v>31300</v>
      </c>
      <c r="E324">
        <v>1700</v>
      </c>
    </row>
    <row r="325" spans="1:5" x14ac:dyDescent="0.3">
      <c r="A325" t="s">
        <v>33</v>
      </c>
      <c r="B325">
        <v>2008</v>
      </c>
      <c r="C325" t="str">
        <f>_xlfn.CONCAT(Table2[[#This Row],[STATE]],"-",Table2[[#This Row],[YEAR]])</f>
        <v>West Bengal-2008</v>
      </c>
      <c r="D325">
        <v>31700</v>
      </c>
      <c r="E325">
        <v>1950</v>
      </c>
    </row>
    <row r="326" spans="1:5" x14ac:dyDescent="0.3">
      <c r="A326" t="s">
        <v>33</v>
      </c>
      <c r="B326">
        <v>2009</v>
      </c>
      <c r="C326" t="str">
        <f>_xlfn.CONCAT(Table2[[#This Row],[STATE]],"-",Table2[[#This Row],[YEAR]])</f>
        <v>West Bengal-2009</v>
      </c>
      <c r="D326">
        <v>10890</v>
      </c>
      <c r="E326">
        <v>2100</v>
      </c>
    </row>
    <row r="327" spans="1:5" x14ac:dyDescent="0.3">
      <c r="A327" t="s">
        <v>33</v>
      </c>
      <c r="B327">
        <v>2010</v>
      </c>
      <c r="C327" t="str">
        <f>_xlfn.CONCAT(Table2[[#This Row],[STATE]],"-",Table2[[#This Row],[YEAR]])</f>
        <v>West Bengal-2010</v>
      </c>
      <c r="D327">
        <v>12150</v>
      </c>
      <c r="E327">
        <v>1940</v>
      </c>
    </row>
    <row r="328" spans="1:5" x14ac:dyDescent="0.3">
      <c r="A328" t="s">
        <v>33</v>
      </c>
      <c r="B328">
        <v>2011</v>
      </c>
      <c r="C328" t="str">
        <f>_xlfn.CONCAT(Table2[[#This Row],[STATE]],"-",Table2[[#This Row],[YEAR]])</f>
        <v>West Bengal-2011</v>
      </c>
      <c r="D328">
        <v>10259</v>
      </c>
      <c r="E328">
        <v>1470</v>
      </c>
    </row>
    <row r="329" spans="1:5" x14ac:dyDescent="0.3">
      <c r="A329" t="s">
        <v>33</v>
      </c>
      <c r="B329">
        <v>2012</v>
      </c>
      <c r="C329" t="str">
        <f>_xlfn.CONCAT(Table2[[#This Row],[STATE]],"-",Table2[[#This Row],[YEAR]])</f>
        <v>West Bengal-2012</v>
      </c>
      <c r="D329">
        <v>8650</v>
      </c>
      <c r="E329">
        <v>1207</v>
      </c>
    </row>
    <row r="330" spans="1:5" x14ac:dyDescent="0.3">
      <c r="A330" t="s">
        <v>34</v>
      </c>
      <c r="B330">
        <v>2001</v>
      </c>
      <c r="C330" t="str">
        <f>_xlfn.CONCAT(Table2[[#This Row],[STATE]],"-",Table2[[#This Row],[YEAR]])</f>
        <v>A &amp; N Islands-2001</v>
      </c>
      <c r="D330">
        <v>383</v>
      </c>
      <c r="E330">
        <v>19</v>
      </c>
    </row>
    <row r="331" spans="1:5" x14ac:dyDescent="0.3">
      <c r="A331" t="s">
        <v>34</v>
      </c>
      <c r="B331">
        <v>2002</v>
      </c>
      <c r="C331" t="str">
        <f>_xlfn.CONCAT(Table2[[#This Row],[STATE]],"-",Table2[[#This Row],[YEAR]])</f>
        <v>A &amp; N Islands-2002</v>
      </c>
      <c r="D331">
        <v>0</v>
      </c>
      <c r="E331">
        <v>19</v>
      </c>
    </row>
    <row r="332" spans="1:5" x14ac:dyDescent="0.3">
      <c r="A332" t="s">
        <v>34</v>
      </c>
      <c r="B332">
        <v>2003</v>
      </c>
      <c r="C332" t="str">
        <f>_xlfn.CONCAT(Table2[[#This Row],[STATE]],"-",Table2[[#This Row],[YEAR]])</f>
        <v>A &amp; N Islands-2003</v>
      </c>
      <c r="D332">
        <v>397</v>
      </c>
      <c r="E332">
        <v>17</v>
      </c>
    </row>
    <row r="333" spans="1:5" x14ac:dyDescent="0.3">
      <c r="A333" t="s">
        <v>34</v>
      </c>
      <c r="B333">
        <v>2004</v>
      </c>
      <c r="C333" t="str">
        <f>_xlfn.CONCAT(Table2[[#This Row],[STATE]],"-",Table2[[#This Row],[YEAR]])</f>
        <v>A &amp; N Islands-2004</v>
      </c>
      <c r="D333">
        <v>418</v>
      </c>
      <c r="E333">
        <v>15</v>
      </c>
    </row>
    <row r="334" spans="1:5" x14ac:dyDescent="0.3">
      <c r="A334" t="s">
        <v>34</v>
      </c>
      <c r="B334">
        <v>2005</v>
      </c>
      <c r="C334" t="str">
        <f>_xlfn.CONCAT(Table2[[#This Row],[STATE]],"-",Table2[[#This Row],[YEAR]])</f>
        <v>A &amp; N Islands-2005</v>
      </c>
      <c r="D334">
        <v>390</v>
      </c>
      <c r="E334">
        <v>43</v>
      </c>
    </row>
    <row r="335" spans="1:5" x14ac:dyDescent="0.3">
      <c r="A335" t="s">
        <v>34</v>
      </c>
      <c r="B335">
        <v>2006</v>
      </c>
      <c r="C335" t="str">
        <f>_xlfn.CONCAT(Table2[[#This Row],[STATE]],"-",Table2[[#This Row],[YEAR]])</f>
        <v>A &amp; N Islands-2006</v>
      </c>
      <c r="D335">
        <v>390</v>
      </c>
      <c r="E335">
        <v>43</v>
      </c>
    </row>
    <row r="336" spans="1:5" x14ac:dyDescent="0.3">
      <c r="A336" t="s">
        <v>34</v>
      </c>
      <c r="B336">
        <v>2007</v>
      </c>
      <c r="C336" t="str">
        <f>_xlfn.CONCAT(Table2[[#This Row],[STATE]],"-",Table2[[#This Row],[YEAR]])</f>
        <v>A &amp; N Islands-2007</v>
      </c>
      <c r="D336">
        <v>562</v>
      </c>
      <c r="E336">
        <v>28</v>
      </c>
    </row>
    <row r="337" spans="1:5" x14ac:dyDescent="0.3">
      <c r="A337" t="s">
        <v>34</v>
      </c>
      <c r="B337">
        <v>2008</v>
      </c>
      <c r="C337" t="str">
        <f>_xlfn.CONCAT(Table2[[#This Row],[STATE]],"-",Table2[[#This Row],[YEAR]])</f>
        <v>A &amp; N Islands-2008</v>
      </c>
      <c r="D337">
        <v>574</v>
      </c>
      <c r="E337">
        <v>23</v>
      </c>
    </row>
    <row r="338" spans="1:5" x14ac:dyDescent="0.3">
      <c r="A338" t="s">
        <v>34</v>
      </c>
      <c r="B338">
        <v>2009</v>
      </c>
      <c r="C338" t="str">
        <f>_xlfn.CONCAT(Table2[[#This Row],[STATE]],"-",Table2[[#This Row],[YEAR]])</f>
        <v>A &amp; N Islands-2009</v>
      </c>
      <c r="D338">
        <v>340</v>
      </c>
      <c r="E338">
        <v>32</v>
      </c>
    </row>
    <row r="339" spans="1:5" x14ac:dyDescent="0.3">
      <c r="A339" t="s">
        <v>34</v>
      </c>
      <c r="B339">
        <v>2010</v>
      </c>
      <c r="C339" t="str">
        <f>_xlfn.CONCAT(Table2[[#This Row],[STATE]],"-",Table2[[#This Row],[YEAR]])</f>
        <v>A &amp; N Islands-2010</v>
      </c>
      <c r="D339">
        <v>318</v>
      </c>
      <c r="E339">
        <v>47</v>
      </c>
    </row>
    <row r="340" spans="1:5" x14ac:dyDescent="0.3">
      <c r="A340" t="s">
        <v>34</v>
      </c>
      <c r="B340">
        <v>2011</v>
      </c>
      <c r="C340" t="str">
        <f>_xlfn.CONCAT(Table2[[#This Row],[STATE]],"-",Table2[[#This Row],[YEAR]])</f>
        <v>A &amp; N Islands-2011</v>
      </c>
      <c r="D340">
        <v>350</v>
      </c>
      <c r="E340">
        <v>15</v>
      </c>
    </row>
    <row r="341" spans="1:5" x14ac:dyDescent="0.3">
      <c r="A341" t="s">
        <v>34</v>
      </c>
      <c r="B341">
        <v>2012</v>
      </c>
      <c r="C341" t="str">
        <f>_xlfn.CONCAT(Table2[[#This Row],[STATE]],"-",Table2[[#This Row],[YEAR]])</f>
        <v>A &amp; N Islands-2012</v>
      </c>
      <c r="D341">
        <v>1398</v>
      </c>
      <c r="E341">
        <v>25</v>
      </c>
    </row>
    <row r="342" spans="1:5" x14ac:dyDescent="0.3">
      <c r="A342" t="s">
        <v>35</v>
      </c>
      <c r="B342">
        <v>2001</v>
      </c>
      <c r="C342" t="str">
        <f>_xlfn.CONCAT(Table2[[#This Row],[STATE]],"-",Table2[[#This Row],[YEAR]])</f>
        <v>Chandigarh-2001</v>
      </c>
      <c r="D342">
        <v>137</v>
      </c>
      <c r="E342">
        <v>12</v>
      </c>
    </row>
    <row r="343" spans="1:5" x14ac:dyDescent="0.3">
      <c r="A343" t="s">
        <v>35</v>
      </c>
      <c r="B343">
        <v>2002</v>
      </c>
      <c r="C343" t="str">
        <f>_xlfn.CONCAT(Table2[[#This Row],[STATE]],"-",Table2[[#This Row],[YEAR]])</f>
        <v>Chandigarh-2002</v>
      </c>
      <c r="D343">
        <v>204</v>
      </c>
      <c r="E343">
        <v>8</v>
      </c>
    </row>
    <row r="344" spans="1:5" x14ac:dyDescent="0.3">
      <c r="A344" t="s">
        <v>35</v>
      </c>
      <c r="B344">
        <v>2003</v>
      </c>
      <c r="C344" t="str">
        <f>_xlfn.CONCAT(Table2[[#This Row],[STATE]],"-",Table2[[#This Row],[YEAR]])</f>
        <v>Chandigarh-2003</v>
      </c>
      <c r="D344">
        <v>211</v>
      </c>
      <c r="E344">
        <v>15</v>
      </c>
    </row>
    <row r="345" spans="1:5" x14ac:dyDescent="0.3">
      <c r="A345" t="s">
        <v>35</v>
      </c>
      <c r="B345">
        <v>2004</v>
      </c>
      <c r="C345" t="str">
        <f>_xlfn.CONCAT(Table2[[#This Row],[STATE]],"-",Table2[[#This Row],[YEAR]])</f>
        <v>Chandigarh-2004</v>
      </c>
      <c r="D345">
        <v>168</v>
      </c>
      <c r="E345">
        <v>7</v>
      </c>
    </row>
    <row r="346" spans="1:5" x14ac:dyDescent="0.3">
      <c r="A346" t="s">
        <v>35</v>
      </c>
      <c r="B346">
        <v>2005</v>
      </c>
      <c r="C346" t="str">
        <f>_xlfn.CONCAT(Table2[[#This Row],[STATE]],"-",Table2[[#This Row],[YEAR]])</f>
        <v>Chandigarh-2005</v>
      </c>
      <c r="D346">
        <v>157</v>
      </c>
      <c r="E346">
        <v>66</v>
      </c>
    </row>
    <row r="347" spans="1:5" x14ac:dyDescent="0.3">
      <c r="A347" t="s">
        <v>35</v>
      </c>
      <c r="B347">
        <v>2006</v>
      </c>
      <c r="C347" t="str">
        <f>_xlfn.CONCAT(Table2[[#This Row],[STATE]],"-",Table2[[#This Row],[YEAR]])</f>
        <v>Chandigarh-2006</v>
      </c>
      <c r="D347">
        <v>232</v>
      </c>
      <c r="E347">
        <v>49</v>
      </c>
    </row>
    <row r="348" spans="1:5" x14ac:dyDescent="0.3">
      <c r="A348" t="s">
        <v>35</v>
      </c>
      <c r="B348">
        <v>2007</v>
      </c>
      <c r="C348" t="str">
        <f>_xlfn.CONCAT(Table2[[#This Row],[STATE]],"-",Table2[[#This Row],[YEAR]])</f>
        <v>Chandigarh-2007</v>
      </c>
      <c r="D348">
        <v>267</v>
      </c>
      <c r="E348">
        <v>8</v>
      </c>
    </row>
    <row r="349" spans="1:5" x14ac:dyDescent="0.3">
      <c r="A349" t="s">
        <v>35</v>
      </c>
      <c r="B349">
        <v>2008</v>
      </c>
      <c r="C349" t="str">
        <f>_xlfn.CONCAT(Table2[[#This Row],[STATE]],"-",Table2[[#This Row],[YEAR]])</f>
        <v>Chandigarh-2008</v>
      </c>
      <c r="D349">
        <v>226</v>
      </c>
      <c r="E349">
        <v>6</v>
      </c>
    </row>
    <row r="350" spans="1:5" x14ac:dyDescent="0.3">
      <c r="A350" t="s">
        <v>35</v>
      </c>
      <c r="B350">
        <v>2009</v>
      </c>
      <c r="C350" t="str">
        <f>_xlfn.CONCAT(Table2[[#This Row],[STATE]],"-",Table2[[#This Row],[YEAR]])</f>
        <v>Chandigarh-2009</v>
      </c>
      <c r="D350">
        <v>260</v>
      </c>
      <c r="E350">
        <v>11</v>
      </c>
    </row>
    <row r="351" spans="1:5" x14ac:dyDescent="0.3">
      <c r="A351" t="s">
        <v>35</v>
      </c>
      <c r="B351">
        <v>2010</v>
      </c>
      <c r="C351" t="str">
        <f>_xlfn.CONCAT(Table2[[#This Row],[STATE]],"-",Table2[[#This Row],[YEAR]])</f>
        <v>Chandigarh-2010</v>
      </c>
      <c r="D351">
        <v>199</v>
      </c>
      <c r="E351">
        <v>7</v>
      </c>
    </row>
    <row r="352" spans="1:5" x14ac:dyDescent="0.3">
      <c r="A352" t="s">
        <v>35</v>
      </c>
      <c r="B352">
        <v>2011</v>
      </c>
      <c r="C352" t="str">
        <f>_xlfn.CONCAT(Table2[[#This Row],[STATE]],"-",Table2[[#This Row],[YEAR]])</f>
        <v>Chandigarh-2011</v>
      </c>
      <c r="D352">
        <v>204</v>
      </c>
      <c r="E352">
        <v>12</v>
      </c>
    </row>
    <row r="353" spans="1:5" x14ac:dyDescent="0.3">
      <c r="A353" t="s">
        <v>35</v>
      </c>
      <c r="B353">
        <v>2012</v>
      </c>
      <c r="C353" t="str">
        <f>_xlfn.CONCAT(Table2[[#This Row],[STATE]],"-",Table2[[#This Row],[YEAR]])</f>
        <v>Chandigarh-2012</v>
      </c>
      <c r="D353">
        <v>280</v>
      </c>
      <c r="E353">
        <v>26</v>
      </c>
    </row>
    <row r="354" spans="1:5" x14ac:dyDescent="0.3">
      <c r="A354" t="s">
        <v>36</v>
      </c>
      <c r="B354">
        <v>2001</v>
      </c>
      <c r="C354" t="str">
        <f>_xlfn.CONCAT(Table2[[#This Row],[STATE]],"-",Table2[[#This Row],[YEAR]])</f>
        <v>D &amp; N Haveli-2001</v>
      </c>
      <c r="D354">
        <v>0</v>
      </c>
      <c r="E354">
        <v>0</v>
      </c>
    </row>
    <row r="355" spans="1:5" x14ac:dyDescent="0.3">
      <c r="A355" t="s">
        <v>36</v>
      </c>
      <c r="B355">
        <v>2002</v>
      </c>
      <c r="C355" t="str">
        <f>_xlfn.CONCAT(Table2[[#This Row],[STATE]],"-",Table2[[#This Row],[YEAR]])</f>
        <v>D &amp; N Haveli-2002</v>
      </c>
      <c r="D355">
        <v>0</v>
      </c>
      <c r="E355">
        <v>0</v>
      </c>
    </row>
    <row r="356" spans="1:5" x14ac:dyDescent="0.3">
      <c r="A356" t="s">
        <v>36</v>
      </c>
      <c r="B356">
        <v>2003</v>
      </c>
      <c r="C356" t="str">
        <f>_xlfn.CONCAT(Table2[[#This Row],[STATE]],"-",Table2[[#This Row],[YEAR]])</f>
        <v>D &amp; N Haveli-2003</v>
      </c>
      <c r="D356">
        <v>0</v>
      </c>
      <c r="E356">
        <v>0</v>
      </c>
    </row>
    <row r="357" spans="1:5" x14ac:dyDescent="0.3">
      <c r="A357" t="s">
        <v>36</v>
      </c>
      <c r="B357">
        <v>2004</v>
      </c>
      <c r="C357" t="str">
        <f>_xlfn.CONCAT(Table2[[#This Row],[STATE]],"-",Table2[[#This Row],[YEAR]])</f>
        <v>D &amp; N Haveli-2004</v>
      </c>
      <c r="D357">
        <v>0</v>
      </c>
      <c r="E357">
        <v>0</v>
      </c>
    </row>
    <row r="358" spans="1:5" x14ac:dyDescent="0.3">
      <c r="A358" t="s">
        <v>36</v>
      </c>
      <c r="B358">
        <v>2005</v>
      </c>
      <c r="C358" t="str">
        <f>_xlfn.CONCAT(Table2[[#This Row],[STATE]],"-",Table2[[#This Row],[YEAR]])</f>
        <v>D &amp; N Haveli-2005</v>
      </c>
      <c r="D358">
        <v>0</v>
      </c>
      <c r="E358">
        <v>0</v>
      </c>
    </row>
    <row r="359" spans="1:5" x14ac:dyDescent="0.3">
      <c r="A359" t="s">
        <v>36</v>
      </c>
      <c r="B359">
        <v>2006</v>
      </c>
      <c r="C359" t="str">
        <f>_xlfn.CONCAT(Table2[[#This Row],[STATE]],"-",Table2[[#This Row],[YEAR]])</f>
        <v>D &amp; N Haveli-2006</v>
      </c>
      <c r="D359">
        <v>0</v>
      </c>
      <c r="E359">
        <v>0</v>
      </c>
    </row>
    <row r="360" spans="1:5" x14ac:dyDescent="0.3">
      <c r="A360" t="s">
        <v>36</v>
      </c>
      <c r="B360">
        <v>2007</v>
      </c>
      <c r="C360" t="str">
        <f>_xlfn.CONCAT(Table2[[#This Row],[STATE]],"-",Table2[[#This Row],[YEAR]])</f>
        <v>D &amp; N Haveli-2007</v>
      </c>
      <c r="D360">
        <v>0</v>
      </c>
      <c r="E360">
        <v>0</v>
      </c>
    </row>
    <row r="361" spans="1:5" x14ac:dyDescent="0.3">
      <c r="A361" t="s">
        <v>36</v>
      </c>
      <c r="B361">
        <v>2008</v>
      </c>
      <c r="C361" t="str">
        <f>_xlfn.CONCAT(Table2[[#This Row],[STATE]],"-",Table2[[#This Row],[YEAR]])</f>
        <v>D &amp; N Haveli-2008</v>
      </c>
      <c r="D361">
        <v>11</v>
      </c>
      <c r="E361">
        <v>0</v>
      </c>
    </row>
    <row r="362" spans="1:5" x14ac:dyDescent="0.3">
      <c r="A362" t="s">
        <v>36</v>
      </c>
      <c r="B362">
        <v>2009</v>
      </c>
      <c r="C362" t="str">
        <f>_xlfn.CONCAT(Table2[[#This Row],[STATE]],"-",Table2[[#This Row],[YEAR]])</f>
        <v>D &amp; N Haveli-2009</v>
      </c>
      <c r="D362">
        <v>2</v>
      </c>
      <c r="E362">
        <v>0</v>
      </c>
    </row>
    <row r="363" spans="1:5" x14ac:dyDescent="0.3">
      <c r="A363" t="s">
        <v>36</v>
      </c>
      <c r="B363">
        <v>2010</v>
      </c>
      <c r="C363" t="str">
        <f>_xlfn.CONCAT(Table2[[#This Row],[STATE]],"-",Table2[[#This Row],[YEAR]])</f>
        <v>D &amp; N Haveli-2010</v>
      </c>
      <c r="D363">
        <v>5</v>
      </c>
      <c r="E363">
        <v>1</v>
      </c>
    </row>
    <row r="364" spans="1:5" x14ac:dyDescent="0.3">
      <c r="A364" t="s">
        <v>36</v>
      </c>
      <c r="B364">
        <v>2011</v>
      </c>
      <c r="C364" t="str">
        <f>_xlfn.CONCAT(Table2[[#This Row],[STATE]],"-",Table2[[#This Row],[YEAR]])</f>
        <v>D &amp; N Haveli-2011</v>
      </c>
      <c r="D364">
        <v>15</v>
      </c>
      <c r="E364">
        <v>0</v>
      </c>
    </row>
    <row r="365" spans="1:5" x14ac:dyDescent="0.3">
      <c r="A365" t="s">
        <v>36</v>
      </c>
      <c r="B365">
        <v>2012</v>
      </c>
      <c r="C365" t="str">
        <f>_xlfn.CONCAT(Table2[[#This Row],[STATE]],"-",Table2[[#This Row],[YEAR]])</f>
        <v>D &amp; N Haveli-2012</v>
      </c>
      <c r="D365">
        <v>13</v>
      </c>
      <c r="E365">
        <v>2</v>
      </c>
    </row>
    <row r="366" spans="1:5" x14ac:dyDescent="0.3">
      <c r="A366" t="s">
        <v>37</v>
      </c>
      <c r="B366">
        <v>2001</v>
      </c>
      <c r="C366" t="str">
        <f>_xlfn.CONCAT(Table2[[#This Row],[STATE]],"-",Table2[[#This Row],[YEAR]])</f>
        <v>Daman &amp; Diu-2001</v>
      </c>
      <c r="D366">
        <v>10</v>
      </c>
      <c r="E366">
        <v>0</v>
      </c>
    </row>
    <row r="367" spans="1:5" x14ac:dyDescent="0.3">
      <c r="A367" t="s">
        <v>37</v>
      </c>
      <c r="B367">
        <v>2002</v>
      </c>
      <c r="C367" t="str">
        <f>_xlfn.CONCAT(Table2[[#This Row],[STATE]],"-",Table2[[#This Row],[YEAR]])</f>
        <v>Daman &amp; Diu-2002</v>
      </c>
      <c r="D367">
        <v>8</v>
      </c>
      <c r="E367">
        <v>0</v>
      </c>
    </row>
    <row r="368" spans="1:5" x14ac:dyDescent="0.3">
      <c r="A368" t="s">
        <v>37</v>
      </c>
      <c r="B368">
        <v>2003</v>
      </c>
      <c r="C368" t="str">
        <f>_xlfn.CONCAT(Table2[[#This Row],[STATE]],"-",Table2[[#This Row],[YEAR]])</f>
        <v>Daman &amp; Diu-2003</v>
      </c>
      <c r="D368">
        <v>9</v>
      </c>
      <c r="E368">
        <v>0</v>
      </c>
    </row>
    <row r="369" spans="1:5" x14ac:dyDescent="0.3">
      <c r="A369" t="s">
        <v>37</v>
      </c>
      <c r="B369">
        <v>2004</v>
      </c>
      <c r="C369" t="str">
        <f>_xlfn.CONCAT(Table2[[#This Row],[STATE]],"-",Table2[[#This Row],[YEAR]])</f>
        <v>Daman &amp; Diu-2004</v>
      </c>
      <c r="D369">
        <v>2</v>
      </c>
      <c r="E369">
        <v>0</v>
      </c>
    </row>
    <row r="370" spans="1:5" x14ac:dyDescent="0.3">
      <c r="A370" t="s">
        <v>37</v>
      </c>
      <c r="B370">
        <v>2005</v>
      </c>
      <c r="C370" t="str">
        <f>_xlfn.CONCAT(Table2[[#This Row],[STATE]],"-",Table2[[#This Row],[YEAR]])</f>
        <v>Daman &amp; Diu-2005</v>
      </c>
      <c r="D370">
        <v>2</v>
      </c>
      <c r="E370">
        <v>0</v>
      </c>
    </row>
    <row r="371" spans="1:5" x14ac:dyDescent="0.3">
      <c r="A371" t="s">
        <v>37</v>
      </c>
      <c r="B371">
        <v>2006</v>
      </c>
      <c r="C371" t="str">
        <f>_xlfn.CONCAT(Table2[[#This Row],[STATE]],"-",Table2[[#This Row],[YEAR]])</f>
        <v>Daman &amp; Diu-2006</v>
      </c>
      <c r="D371">
        <v>1</v>
      </c>
      <c r="E371">
        <v>0</v>
      </c>
    </row>
    <row r="372" spans="1:5" x14ac:dyDescent="0.3">
      <c r="A372" t="s">
        <v>37</v>
      </c>
      <c r="B372">
        <v>2007</v>
      </c>
      <c r="C372" t="str">
        <f>_xlfn.CONCAT(Table2[[#This Row],[STATE]],"-",Table2[[#This Row],[YEAR]])</f>
        <v>Daman &amp; Diu-2007</v>
      </c>
      <c r="D372">
        <v>2</v>
      </c>
      <c r="E372">
        <v>0</v>
      </c>
    </row>
    <row r="373" spans="1:5" x14ac:dyDescent="0.3">
      <c r="A373" t="s">
        <v>37</v>
      </c>
      <c r="B373">
        <v>2008</v>
      </c>
      <c r="C373" t="str">
        <f>_xlfn.CONCAT(Table2[[#This Row],[STATE]],"-",Table2[[#This Row],[YEAR]])</f>
        <v>Daman &amp; Diu-2008</v>
      </c>
      <c r="D373">
        <v>0</v>
      </c>
      <c r="E373">
        <v>0</v>
      </c>
    </row>
    <row r="374" spans="1:5" x14ac:dyDescent="0.3">
      <c r="A374" t="s">
        <v>37</v>
      </c>
      <c r="B374">
        <v>2009</v>
      </c>
      <c r="C374" t="str">
        <f>_xlfn.CONCAT(Table2[[#This Row],[STATE]],"-",Table2[[#This Row],[YEAR]])</f>
        <v>Daman &amp; Diu-2009</v>
      </c>
      <c r="D374">
        <v>0</v>
      </c>
      <c r="E374">
        <v>0</v>
      </c>
    </row>
    <row r="375" spans="1:5" x14ac:dyDescent="0.3">
      <c r="A375" t="s">
        <v>37</v>
      </c>
      <c r="B375">
        <v>2010</v>
      </c>
      <c r="C375" t="str">
        <f>_xlfn.CONCAT(Table2[[#This Row],[STATE]],"-",Table2[[#This Row],[YEAR]])</f>
        <v>Daman &amp; Diu-2010</v>
      </c>
      <c r="D375">
        <v>0</v>
      </c>
      <c r="E375">
        <v>0</v>
      </c>
    </row>
    <row r="376" spans="1:5" x14ac:dyDescent="0.3">
      <c r="A376" t="s">
        <v>37</v>
      </c>
      <c r="B376">
        <v>2011</v>
      </c>
      <c r="C376" t="str">
        <f>_xlfn.CONCAT(Table2[[#This Row],[STATE]],"-",Table2[[#This Row],[YEAR]])</f>
        <v>Daman &amp; Diu-2011</v>
      </c>
      <c r="D376">
        <v>0</v>
      </c>
      <c r="E376">
        <v>0</v>
      </c>
    </row>
    <row r="377" spans="1:5" x14ac:dyDescent="0.3">
      <c r="A377" t="s">
        <v>37</v>
      </c>
      <c r="B377">
        <v>2012</v>
      </c>
      <c r="C377" t="str">
        <f>_xlfn.CONCAT(Table2[[#This Row],[STATE]],"-",Table2[[#This Row],[YEAR]])</f>
        <v>Daman &amp; Diu-2012</v>
      </c>
      <c r="D377">
        <v>2</v>
      </c>
      <c r="E377">
        <v>0</v>
      </c>
    </row>
    <row r="378" spans="1:5" x14ac:dyDescent="0.3">
      <c r="A378" t="s">
        <v>38</v>
      </c>
      <c r="B378">
        <v>2001</v>
      </c>
      <c r="C378" t="str">
        <f>_xlfn.CONCAT(Table2[[#This Row],[STATE]],"-",Table2[[#This Row],[YEAR]])</f>
        <v>Delhi-2001</v>
      </c>
      <c r="D378">
        <v>9115</v>
      </c>
      <c r="E378">
        <v>594</v>
      </c>
    </row>
    <row r="379" spans="1:5" x14ac:dyDescent="0.3">
      <c r="A379" t="s">
        <v>38</v>
      </c>
      <c r="B379">
        <v>2002</v>
      </c>
      <c r="C379" t="str">
        <f>_xlfn.CONCAT(Table2[[#This Row],[STATE]],"-",Table2[[#This Row],[YEAR]])</f>
        <v>Delhi-2002</v>
      </c>
      <c r="D379">
        <v>9607</v>
      </c>
      <c r="E379">
        <v>615</v>
      </c>
    </row>
    <row r="380" spans="1:5" x14ac:dyDescent="0.3">
      <c r="A380" t="s">
        <v>38</v>
      </c>
      <c r="B380">
        <v>2003</v>
      </c>
      <c r="C380" t="str">
        <f>_xlfn.CONCAT(Table2[[#This Row],[STATE]],"-",Table2[[#This Row],[YEAR]])</f>
        <v>Delhi-2003</v>
      </c>
      <c r="D380">
        <v>9939</v>
      </c>
      <c r="E380">
        <v>807</v>
      </c>
    </row>
    <row r="381" spans="1:5" x14ac:dyDescent="0.3">
      <c r="A381" t="s">
        <v>38</v>
      </c>
      <c r="B381">
        <v>2004</v>
      </c>
      <c r="C381" t="str">
        <f>_xlfn.CONCAT(Table2[[#This Row],[STATE]],"-",Table2[[#This Row],[YEAR]])</f>
        <v>Delhi-2004</v>
      </c>
      <c r="D381">
        <v>9234</v>
      </c>
      <c r="E381">
        <v>702</v>
      </c>
    </row>
    <row r="382" spans="1:5" x14ac:dyDescent="0.3">
      <c r="A382" t="s">
        <v>38</v>
      </c>
      <c r="B382">
        <v>2005</v>
      </c>
      <c r="C382" t="str">
        <f>_xlfn.CONCAT(Table2[[#This Row],[STATE]],"-",Table2[[#This Row],[YEAR]])</f>
        <v>Delhi-2005</v>
      </c>
      <c r="D382">
        <v>11532</v>
      </c>
      <c r="E382">
        <v>474</v>
      </c>
    </row>
    <row r="383" spans="1:5" x14ac:dyDescent="0.3">
      <c r="A383" t="s">
        <v>38</v>
      </c>
      <c r="B383">
        <v>2006</v>
      </c>
      <c r="C383" t="str">
        <f>_xlfn.CONCAT(Table2[[#This Row],[STATE]],"-",Table2[[#This Row],[YEAR]])</f>
        <v>Delhi-2006</v>
      </c>
      <c r="D383">
        <v>10432</v>
      </c>
      <c r="E383">
        <v>955</v>
      </c>
    </row>
    <row r="384" spans="1:5" x14ac:dyDescent="0.3">
      <c r="A384" t="s">
        <v>38</v>
      </c>
      <c r="B384">
        <v>2007</v>
      </c>
      <c r="C384" t="str">
        <f>_xlfn.CONCAT(Table2[[#This Row],[STATE]],"-",Table2[[#This Row],[YEAR]])</f>
        <v>Delhi-2007</v>
      </c>
      <c r="D384">
        <v>11531</v>
      </c>
      <c r="E384">
        <v>1529</v>
      </c>
    </row>
    <row r="385" spans="1:5" x14ac:dyDescent="0.3">
      <c r="A385" t="s">
        <v>38</v>
      </c>
      <c r="B385">
        <v>2008</v>
      </c>
      <c r="C385" t="str">
        <f>_xlfn.CONCAT(Table2[[#This Row],[STATE]],"-",Table2[[#This Row],[YEAR]])</f>
        <v>Delhi-2008</v>
      </c>
      <c r="D385">
        <v>6767</v>
      </c>
      <c r="E385">
        <v>1595</v>
      </c>
    </row>
    <row r="386" spans="1:5" x14ac:dyDescent="0.3">
      <c r="A386" t="s">
        <v>38</v>
      </c>
      <c r="B386">
        <v>2009</v>
      </c>
      <c r="C386" t="str">
        <f>_xlfn.CONCAT(Table2[[#This Row],[STATE]],"-",Table2[[#This Row],[YEAR]])</f>
        <v>Delhi-2009</v>
      </c>
      <c r="D386">
        <v>6774</v>
      </c>
      <c r="E386">
        <v>1491</v>
      </c>
    </row>
    <row r="387" spans="1:5" x14ac:dyDescent="0.3">
      <c r="A387" t="s">
        <v>38</v>
      </c>
      <c r="B387">
        <v>2010</v>
      </c>
      <c r="C387" t="str">
        <f>_xlfn.CONCAT(Table2[[#This Row],[STATE]],"-",Table2[[#This Row],[YEAR]])</f>
        <v>Delhi-2010</v>
      </c>
      <c r="D387">
        <v>8440</v>
      </c>
      <c r="E387">
        <v>1728</v>
      </c>
    </row>
    <row r="388" spans="1:5" x14ac:dyDescent="0.3">
      <c r="A388" t="s">
        <v>38</v>
      </c>
      <c r="B388">
        <v>2011</v>
      </c>
      <c r="C388" t="str">
        <f>_xlfn.CONCAT(Table2[[#This Row],[STATE]],"-",Table2[[#This Row],[YEAR]])</f>
        <v>Delhi-2011</v>
      </c>
      <c r="D388">
        <v>8367</v>
      </c>
      <c r="E388">
        <v>1335</v>
      </c>
    </row>
    <row r="389" spans="1:5" x14ac:dyDescent="0.3">
      <c r="A389" t="s">
        <v>38</v>
      </c>
      <c r="B389">
        <v>2012</v>
      </c>
      <c r="C389" t="str">
        <f>_xlfn.CONCAT(Table2[[#This Row],[STATE]],"-",Table2[[#This Row],[YEAR]])</f>
        <v>Delhi-2012</v>
      </c>
      <c r="D389">
        <v>8046</v>
      </c>
      <c r="E389">
        <v>1899</v>
      </c>
    </row>
    <row r="390" spans="1:5" x14ac:dyDescent="0.3">
      <c r="A390" t="s">
        <v>39</v>
      </c>
      <c r="B390">
        <v>2001</v>
      </c>
      <c r="C390" t="str">
        <f>_xlfn.CONCAT(Table2[[#This Row],[STATE]],"-",Table2[[#This Row],[YEAR]])</f>
        <v>Lakshadweep-2001</v>
      </c>
      <c r="D390">
        <v>0</v>
      </c>
      <c r="E390">
        <v>0</v>
      </c>
    </row>
    <row r="391" spans="1:5" x14ac:dyDescent="0.3">
      <c r="A391" t="s">
        <v>39</v>
      </c>
      <c r="B391">
        <v>2002</v>
      </c>
      <c r="C391" t="str">
        <f>_xlfn.CONCAT(Table2[[#This Row],[STATE]],"-",Table2[[#This Row],[YEAR]])</f>
        <v>Lakshadweep-2002</v>
      </c>
      <c r="D391">
        <v>2</v>
      </c>
      <c r="E391">
        <v>0</v>
      </c>
    </row>
    <row r="392" spans="1:5" x14ac:dyDescent="0.3">
      <c r="A392" t="s">
        <v>39</v>
      </c>
      <c r="B392">
        <v>2003</v>
      </c>
      <c r="C392" t="str">
        <f>_xlfn.CONCAT(Table2[[#This Row],[STATE]],"-",Table2[[#This Row],[YEAR]])</f>
        <v>Lakshadweep-2003</v>
      </c>
      <c r="D392">
        <v>0</v>
      </c>
      <c r="E392">
        <v>0</v>
      </c>
    </row>
    <row r="393" spans="1:5" x14ac:dyDescent="0.3">
      <c r="A393" t="s">
        <v>39</v>
      </c>
      <c r="B393">
        <v>2004</v>
      </c>
      <c r="C393" t="str">
        <f>_xlfn.CONCAT(Table2[[#This Row],[STATE]],"-",Table2[[#This Row],[YEAR]])</f>
        <v>Lakshadweep-2004</v>
      </c>
      <c r="D393">
        <v>0</v>
      </c>
      <c r="E393">
        <v>0</v>
      </c>
    </row>
    <row r="394" spans="1:5" x14ac:dyDescent="0.3">
      <c r="A394" t="s">
        <v>39</v>
      </c>
      <c r="B394">
        <v>2005</v>
      </c>
      <c r="C394" t="str">
        <f>_xlfn.CONCAT(Table2[[#This Row],[STATE]],"-",Table2[[#This Row],[YEAR]])</f>
        <v>Lakshadweep-2005</v>
      </c>
      <c r="D394">
        <v>0</v>
      </c>
      <c r="E394">
        <v>0</v>
      </c>
    </row>
    <row r="395" spans="1:5" x14ac:dyDescent="0.3">
      <c r="A395" t="s">
        <v>39</v>
      </c>
      <c r="B395">
        <v>2006</v>
      </c>
      <c r="C395" t="str">
        <f>_xlfn.CONCAT(Table2[[#This Row],[STATE]],"-",Table2[[#This Row],[YEAR]])</f>
        <v>Lakshadweep-2006</v>
      </c>
      <c r="D395">
        <v>0</v>
      </c>
      <c r="E395">
        <v>0</v>
      </c>
    </row>
    <row r="396" spans="1:5" x14ac:dyDescent="0.3">
      <c r="A396" t="s">
        <v>39</v>
      </c>
      <c r="B396">
        <v>2007</v>
      </c>
      <c r="C396" t="str">
        <f>_xlfn.CONCAT(Table2[[#This Row],[STATE]],"-",Table2[[#This Row],[YEAR]])</f>
        <v>Lakshadweep-2007</v>
      </c>
      <c r="D396">
        <v>0</v>
      </c>
      <c r="E396">
        <v>0</v>
      </c>
    </row>
    <row r="397" spans="1:5" x14ac:dyDescent="0.3">
      <c r="A397" t="s">
        <v>39</v>
      </c>
      <c r="B397">
        <v>2008</v>
      </c>
      <c r="C397" t="str">
        <f>_xlfn.CONCAT(Table2[[#This Row],[STATE]],"-",Table2[[#This Row],[YEAR]])</f>
        <v>Lakshadweep-2008</v>
      </c>
      <c r="D397">
        <v>0</v>
      </c>
      <c r="E397">
        <v>0</v>
      </c>
    </row>
    <row r="398" spans="1:5" x14ac:dyDescent="0.3">
      <c r="A398" t="s">
        <v>39</v>
      </c>
      <c r="B398">
        <v>2009</v>
      </c>
      <c r="C398" t="str">
        <f>_xlfn.CONCAT(Table2[[#This Row],[STATE]],"-",Table2[[#This Row],[YEAR]])</f>
        <v>Lakshadweep-2009</v>
      </c>
      <c r="D398">
        <v>1</v>
      </c>
      <c r="E398">
        <v>0</v>
      </c>
    </row>
    <row r="399" spans="1:5" x14ac:dyDescent="0.3">
      <c r="A399" t="s">
        <v>39</v>
      </c>
      <c r="B399">
        <v>2010</v>
      </c>
      <c r="C399" t="str">
        <f>_xlfn.CONCAT(Table2[[#This Row],[STATE]],"-",Table2[[#This Row],[YEAR]])</f>
        <v>Lakshadweep-2010</v>
      </c>
      <c r="D399">
        <v>0</v>
      </c>
      <c r="E399">
        <v>0</v>
      </c>
    </row>
    <row r="400" spans="1:5" x14ac:dyDescent="0.3">
      <c r="A400" t="s">
        <v>39</v>
      </c>
      <c r="B400">
        <v>2011</v>
      </c>
      <c r="C400" t="str">
        <f>_xlfn.CONCAT(Table2[[#This Row],[STATE]],"-",Table2[[#This Row],[YEAR]])</f>
        <v>Lakshadweep-2011</v>
      </c>
      <c r="D400">
        <v>0</v>
      </c>
      <c r="E400">
        <v>0</v>
      </c>
    </row>
    <row r="401" spans="1:5" x14ac:dyDescent="0.3">
      <c r="A401" t="s">
        <v>39</v>
      </c>
      <c r="B401">
        <v>2012</v>
      </c>
      <c r="C401" t="str">
        <f>_xlfn.CONCAT(Table2[[#This Row],[STATE]],"-",Table2[[#This Row],[YEAR]])</f>
        <v>Lakshadweep-2012</v>
      </c>
      <c r="D401">
        <v>0</v>
      </c>
      <c r="E401">
        <v>0</v>
      </c>
    </row>
    <row r="402" spans="1:5" x14ac:dyDescent="0.3">
      <c r="A402" t="s">
        <v>40</v>
      </c>
      <c r="B402">
        <v>2001</v>
      </c>
      <c r="C402" t="str">
        <f>_xlfn.CONCAT(Table2[[#This Row],[STATE]],"-",Table2[[#This Row],[YEAR]])</f>
        <v>Pondicherry-2001</v>
      </c>
      <c r="D402">
        <v>470</v>
      </c>
      <c r="E402">
        <v>54</v>
      </c>
    </row>
    <row r="403" spans="1:5" x14ac:dyDescent="0.3">
      <c r="A403" t="s">
        <v>40</v>
      </c>
      <c r="B403">
        <v>2002</v>
      </c>
      <c r="C403" t="str">
        <f>_xlfn.CONCAT(Table2[[#This Row],[STATE]],"-",Table2[[#This Row],[YEAR]])</f>
        <v>Pondicherry-2002</v>
      </c>
      <c r="D403">
        <v>585</v>
      </c>
      <c r="E403">
        <v>44</v>
      </c>
    </row>
    <row r="404" spans="1:5" x14ac:dyDescent="0.3">
      <c r="A404" t="s">
        <v>40</v>
      </c>
      <c r="B404">
        <v>2003</v>
      </c>
      <c r="C404" t="str">
        <f>_xlfn.CONCAT(Table2[[#This Row],[STATE]],"-",Table2[[#This Row],[YEAR]])</f>
        <v>Pondicherry-2003</v>
      </c>
      <c r="D404">
        <v>620</v>
      </c>
      <c r="E404">
        <v>58</v>
      </c>
    </row>
    <row r="405" spans="1:5" x14ac:dyDescent="0.3">
      <c r="A405" t="s">
        <v>40</v>
      </c>
      <c r="B405">
        <v>2004</v>
      </c>
      <c r="C405" t="str">
        <f>_xlfn.CONCAT(Table2[[#This Row],[STATE]],"-",Table2[[#This Row],[YEAR]])</f>
        <v>Pondicherry-2004</v>
      </c>
      <c r="D405">
        <v>483</v>
      </c>
      <c r="E405">
        <v>47</v>
      </c>
    </row>
    <row r="406" spans="1:5" x14ac:dyDescent="0.3">
      <c r="A406" t="s">
        <v>40</v>
      </c>
      <c r="B406">
        <v>2005</v>
      </c>
      <c r="C406" t="str">
        <f>_xlfn.CONCAT(Table2[[#This Row],[STATE]],"-",Table2[[#This Row],[YEAR]])</f>
        <v>Pondicherry-2005</v>
      </c>
      <c r="D406">
        <v>545</v>
      </c>
      <c r="E406">
        <v>58</v>
      </c>
    </row>
    <row r="407" spans="1:5" x14ac:dyDescent="0.3">
      <c r="A407" t="s">
        <v>40</v>
      </c>
      <c r="B407">
        <v>2006</v>
      </c>
      <c r="C407" t="str">
        <f>_xlfn.CONCAT(Table2[[#This Row],[STATE]],"-",Table2[[#This Row],[YEAR]])</f>
        <v>Pondicherry-2006</v>
      </c>
      <c r="D407">
        <v>337</v>
      </c>
      <c r="E407">
        <v>46</v>
      </c>
    </row>
    <row r="408" spans="1:5" x14ac:dyDescent="0.3">
      <c r="A408" t="s">
        <v>40</v>
      </c>
      <c r="B408">
        <v>2007</v>
      </c>
      <c r="C408" t="str">
        <f>_xlfn.CONCAT(Table2[[#This Row],[STATE]],"-",Table2[[#This Row],[YEAR]])</f>
        <v>Pondicherry-2007</v>
      </c>
      <c r="D408">
        <v>455</v>
      </c>
      <c r="E408">
        <v>38</v>
      </c>
    </row>
    <row r="409" spans="1:5" x14ac:dyDescent="0.3">
      <c r="A409" t="s">
        <v>40</v>
      </c>
      <c r="B409">
        <v>2008</v>
      </c>
      <c r="C409" t="str">
        <f>_xlfn.CONCAT(Table2[[#This Row],[STATE]],"-",Table2[[#This Row],[YEAR]])</f>
        <v>Pondicherry-2008</v>
      </c>
      <c r="D409">
        <v>412</v>
      </c>
      <c r="E409">
        <v>27</v>
      </c>
    </row>
    <row r="410" spans="1:5" x14ac:dyDescent="0.3">
      <c r="A410" t="s">
        <v>40</v>
      </c>
      <c r="B410">
        <v>2009</v>
      </c>
      <c r="C410" t="str">
        <f>_xlfn.CONCAT(Table2[[#This Row],[STATE]],"-",Table2[[#This Row],[YEAR]])</f>
        <v>Pondicherry-2009</v>
      </c>
      <c r="D410">
        <v>240</v>
      </c>
      <c r="E410">
        <v>35</v>
      </c>
    </row>
    <row r="411" spans="1:5" x14ac:dyDescent="0.3">
      <c r="A411" t="s">
        <v>40</v>
      </c>
      <c r="B411">
        <v>2010</v>
      </c>
      <c r="C411" t="str">
        <f>_xlfn.CONCAT(Table2[[#This Row],[STATE]],"-",Table2[[#This Row],[YEAR]])</f>
        <v>Pondicherry-2010</v>
      </c>
      <c r="D411">
        <v>431</v>
      </c>
      <c r="E411">
        <v>42</v>
      </c>
    </row>
    <row r="412" spans="1:5" x14ac:dyDescent="0.3">
      <c r="A412" t="s">
        <v>40</v>
      </c>
      <c r="B412">
        <v>2011</v>
      </c>
      <c r="C412" t="str">
        <f>_xlfn.CONCAT(Table2[[#This Row],[STATE]],"-",Table2[[#This Row],[YEAR]])</f>
        <v>Pondicherry-2011</v>
      </c>
      <c r="D412">
        <v>262</v>
      </c>
      <c r="E412">
        <v>86</v>
      </c>
    </row>
    <row r="413" spans="1:5" x14ac:dyDescent="0.3">
      <c r="A413" t="s">
        <v>40</v>
      </c>
      <c r="B413">
        <v>2012</v>
      </c>
      <c r="C413" t="str">
        <f>_xlfn.CONCAT(Table2[[#This Row],[STATE]],"-",Table2[[#This Row],[YEAR]])</f>
        <v>Pondicherry-2012</v>
      </c>
      <c r="D413">
        <v>252</v>
      </c>
      <c r="E413">
        <v>39</v>
      </c>
    </row>
    <row r="414" spans="1:5" x14ac:dyDescent="0.3">
      <c r="A414" t="s">
        <v>6</v>
      </c>
      <c r="B414">
        <v>2013</v>
      </c>
      <c r="C414" t="str">
        <f>_xlfn.CONCAT(Table2[[#This Row],[STATE]],"-",Table2[[#This Row],[YEAR]])</f>
        <v>Andhra Pradesh-2013</v>
      </c>
      <c r="D414">
        <v>12135</v>
      </c>
      <c r="E414">
        <v>1023</v>
      </c>
    </row>
    <row r="415" spans="1:5" x14ac:dyDescent="0.3">
      <c r="A415" t="s">
        <v>7</v>
      </c>
      <c r="B415">
        <v>2013</v>
      </c>
      <c r="C415" t="str">
        <f>_xlfn.CONCAT(Table2[[#This Row],[STATE]],"-",Table2[[#This Row],[YEAR]])</f>
        <v>Arunachal Pradesh-2013</v>
      </c>
      <c r="D415">
        <v>21</v>
      </c>
      <c r="E415">
        <v>0</v>
      </c>
    </row>
    <row r="416" spans="1:5" x14ac:dyDescent="0.3">
      <c r="A416" t="s">
        <v>8</v>
      </c>
      <c r="B416">
        <v>2013</v>
      </c>
      <c r="C416" t="str">
        <f>_xlfn.CONCAT(Table2[[#This Row],[STATE]],"-",Table2[[#This Row],[YEAR]])</f>
        <v>Assam-2013</v>
      </c>
      <c r="D416">
        <v>2090</v>
      </c>
      <c r="E416">
        <v>11</v>
      </c>
    </row>
    <row r="417" spans="1:5" x14ac:dyDescent="0.3">
      <c r="A417" t="s">
        <v>9</v>
      </c>
      <c r="B417">
        <v>2013</v>
      </c>
      <c r="C417" t="str">
        <f>_xlfn.CONCAT(Table2[[#This Row],[STATE]],"-",Table2[[#This Row],[YEAR]])</f>
        <v>Bihar-2013</v>
      </c>
      <c r="D417">
        <v>9264</v>
      </c>
      <c r="E417">
        <v>95</v>
      </c>
    </row>
    <row r="418" spans="1:5" x14ac:dyDescent="0.3">
      <c r="A418" t="s">
        <v>10</v>
      </c>
      <c r="B418">
        <v>2013</v>
      </c>
      <c r="C418" t="str">
        <f>_xlfn.CONCAT(Table2[[#This Row],[STATE]],"-",Table2[[#This Row],[YEAR]])</f>
        <v>Chhattisgarh-2013</v>
      </c>
      <c r="D418">
        <v>3950</v>
      </c>
      <c r="E418">
        <v>60</v>
      </c>
    </row>
    <row r="419" spans="1:5" x14ac:dyDescent="0.3">
      <c r="A419" t="s">
        <v>11</v>
      </c>
      <c r="B419">
        <v>2013</v>
      </c>
      <c r="C419" t="str">
        <f>_xlfn.CONCAT(Table2[[#This Row],[STATE]],"-",Table2[[#This Row],[YEAR]])</f>
        <v>Goa-2013</v>
      </c>
      <c r="D419">
        <v>116</v>
      </c>
      <c r="E419">
        <v>6</v>
      </c>
    </row>
    <row r="420" spans="1:5" x14ac:dyDescent="0.3">
      <c r="A420" t="s">
        <v>12</v>
      </c>
      <c r="B420">
        <v>2013</v>
      </c>
      <c r="C420" t="str">
        <f>_xlfn.CONCAT(Table2[[#This Row],[STATE]],"-",Table2[[#This Row],[YEAR]])</f>
        <v>Gujarat-2013</v>
      </c>
      <c r="D420">
        <v>7096</v>
      </c>
      <c r="E420">
        <v>3</v>
      </c>
    </row>
    <row r="421" spans="1:5" x14ac:dyDescent="0.3">
      <c r="A421" t="s">
        <v>13</v>
      </c>
      <c r="B421">
        <v>2013</v>
      </c>
      <c r="C421" t="str">
        <f>_xlfn.CONCAT(Table2[[#This Row],[STATE]],"-",Table2[[#This Row],[YEAR]])</f>
        <v>Haryana-2013</v>
      </c>
      <c r="D421">
        <v>4527</v>
      </c>
      <c r="E421">
        <v>58</v>
      </c>
    </row>
    <row r="422" spans="1:5" x14ac:dyDescent="0.3">
      <c r="A422" t="s">
        <v>14</v>
      </c>
      <c r="B422">
        <v>2013</v>
      </c>
      <c r="C422" t="str">
        <f>_xlfn.CONCAT(Table2[[#This Row],[STATE]],"-",Table2[[#This Row],[YEAR]])</f>
        <v>Himachal Pradesh-2013</v>
      </c>
      <c r="D422">
        <v>650</v>
      </c>
      <c r="E422">
        <v>4</v>
      </c>
    </row>
    <row r="423" spans="1:5" x14ac:dyDescent="0.3">
      <c r="A423" t="s">
        <v>83</v>
      </c>
      <c r="B423">
        <v>2013</v>
      </c>
      <c r="C423" t="str">
        <f>_xlfn.CONCAT(Table2[[#This Row],[STATE]],"-",Table2[[#This Row],[YEAR]])</f>
        <v>Jammu And Kashmir-2013</v>
      </c>
      <c r="D423">
        <v>431</v>
      </c>
      <c r="E423">
        <v>1</v>
      </c>
    </row>
    <row r="424" spans="1:5" x14ac:dyDescent="0.3">
      <c r="A424" t="s">
        <v>16</v>
      </c>
      <c r="B424">
        <v>2013</v>
      </c>
      <c r="C424" t="str">
        <f>_xlfn.CONCAT(Table2[[#This Row],[STATE]],"-",Table2[[#This Row],[YEAR]])</f>
        <v>Jharkhand-2013</v>
      </c>
      <c r="D424">
        <v>2863</v>
      </c>
      <c r="E424">
        <v>499</v>
      </c>
    </row>
    <row r="425" spans="1:5" x14ac:dyDescent="0.3">
      <c r="A425" t="s">
        <v>17</v>
      </c>
      <c r="B425">
        <v>2013</v>
      </c>
      <c r="C425" t="str">
        <f>_xlfn.CONCAT(Table2[[#This Row],[STATE]],"-",Table2[[#This Row],[YEAR]])</f>
        <v>Karnataka-2013</v>
      </c>
      <c r="D425">
        <v>31573</v>
      </c>
      <c r="E425">
        <v>13</v>
      </c>
    </row>
    <row r="426" spans="1:5" x14ac:dyDescent="0.3">
      <c r="A426" t="s">
        <v>18</v>
      </c>
      <c r="B426">
        <v>2013</v>
      </c>
      <c r="C426" t="str">
        <f>_xlfn.CONCAT(Table2[[#This Row],[STATE]],"-",Table2[[#This Row],[YEAR]])</f>
        <v>Kerala-2013</v>
      </c>
      <c r="D426">
        <v>6861</v>
      </c>
      <c r="E426">
        <v>220</v>
      </c>
    </row>
    <row r="427" spans="1:5" x14ac:dyDescent="0.3">
      <c r="A427" t="s">
        <v>19</v>
      </c>
      <c r="B427">
        <v>2013</v>
      </c>
      <c r="C427" t="str">
        <f>_xlfn.CONCAT(Table2[[#This Row],[STATE]],"-",Table2[[#This Row],[YEAR]])</f>
        <v>Madhya Pradesh-2013</v>
      </c>
      <c r="D427">
        <v>14602</v>
      </c>
      <c r="E427">
        <v>117</v>
      </c>
    </row>
    <row r="428" spans="1:5" x14ac:dyDescent="0.3">
      <c r="A428" t="s">
        <v>20</v>
      </c>
      <c r="B428">
        <v>2013</v>
      </c>
      <c r="C428" t="str">
        <f>_xlfn.CONCAT(Table2[[#This Row],[STATE]],"-",Table2[[#This Row],[YEAR]])</f>
        <v>Maharashtra-2013</v>
      </c>
      <c r="D428">
        <v>21270</v>
      </c>
      <c r="E428">
        <v>0</v>
      </c>
    </row>
    <row r="429" spans="1:5" x14ac:dyDescent="0.3">
      <c r="A429" t="s">
        <v>21</v>
      </c>
      <c r="B429">
        <v>2013</v>
      </c>
      <c r="C429" t="str">
        <f>_xlfn.CONCAT(Table2[[#This Row],[STATE]],"-",Table2[[#This Row],[YEAR]])</f>
        <v>Manipur-2013</v>
      </c>
      <c r="D429">
        <v>52</v>
      </c>
      <c r="E429">
        <v>0</v>
      </c>
    </row>
    <row r="430" spans="1:5" x14ac:dyDescent="0.3">
      <c r="A430" t="s">
        <v>22</v>
      </c>
      <c r="B430">
        <v>2013</v>
      </c>
      <c r="C430" t="str">
        <f>_xlfn.CONCAT(Table2[[#This Row],[STATE]],"-",Table2[[#This Row],[YEAR]])</f>
        <v>Meghalaya-2013</v>
      </c>
      <c r="D430">
        <v>87</v>
      </c>
      <c r="E430">
        <v>3</v>
      </c>
    </row>
    <row r="431" spans="1:5" x14ac:dyDescent="0.3">
      <c r="A431" t="s">
        <v>23</v>
      </c>
      <c r="B431">
        <v>2013</v>
      </c>
      <c r="C431" t="str">
        <f>_xlfn.CONCAT(Table2[[#This Row],[STATE]],"-",Table2[[#This Row],[YEAR]])</f>
        <v>Mizoram-2013</v>
      </c>
      <c r="D431">
        <v>2540</v>
      </c>
      <c r="E431">
        <v>491</v>
      </c>
    </row>
    <row r="432" spans="1:5" x14ac:dyDescent="0.3">
      <c r="A432" t="s">
        <v>24</v>
      </c>
      <c r="B432">
        <v>2013</v>
      </c>
      <c r="C432" t="str">
        <f>_xlfn.CONCAT(Table2[[#This Row],[STATE]],"-",Table2[[#This Row],[YEAR]])</f>
        <v>Nagaland-2013</v>
      </c>
      <c r="D432">
        <v>119</v>
      </c>
      <c r="E432">
        <v>5</v>
      </c>
    </row>
    <row r="433" spans="1:5" x14ac:dyDescent="0.3">
      <c r="A433" t="s">
        <v>63</v>
      </c>
      <c r="B433">
        <v>2013</v>
      </c>
      <c r="C433" t="str">
        <f>_xlfn.CONCAT(Table2[[#This Row],[STATE]],"-",Table2[[#This Row],[YEAR]])</f>
        <v>Odisha-2013</v>
      </c>
      <c r="D433">
        <v>2136</v>
      </c>
      <c r="E433">
        <v>64</v>
      </c>
    </row>
    <row r="434" spans="1:5" x14ac:dyDescent="0.3">
      <c r="A434" t="s">
        <v>26</v>
      </c>
      <c r="B434">
        <v>2013</v>
      </c>
      <c r="C434" t="str">
        <f>_xlfn.CONCAT(Table2[[#This Row],[STATE]],"-",Table2[[#This Row],[YEAR]])</f>
        <v>Punjab-2013</v>
      </c>
      <c r="D434">
        <v>7863</v>
      </c>
      <c r="E434">
        <v>340</v>
      </c>
    </row>
    <row r="435" spans="1:5" x14ac:dyDescent="0.3">
      <c r="A435" t="s">
        <v>27</v>
      </c>
      <c r="B435">
        <v>2013</v>
      </c>
      <c r="C435" t="str">
        <f>_xlfn.CONCAT(Table2[[#This Row],[STATE]],"-",Table2[[#This Row],[YEAR]])</f>
        <v>Rajasthan-2013</v>
      </c>
      <c r="D435">
        <v>5995</v>
      </c>
      <c r="E435">
        <v>297</v>
      </c>
    </row>
    <row r="436" spans="1:5" x14ac:dyDescent="0.3">
      <c r="A436" t="s">
        <v>28</v>
      </c>
      <c r="B436">
        <v>2013</v>
      </c>
      <c r="C436" t="str">
        <f>_xlfn.CONCAT(Table2[[#This Row],[STATE]],"-",Table2[[#This Row],[YEAR]])</f>
        <v>Sikkim-2013</v>
      </c>
      <c r="D436">
        <v>125</v>
      </c>
      <c r="E436">
        <v>5</v>
      </c>
    </row>
    <row r="437" spans="1:5" x14ac:dyDescent="0.3">
      <c r="A437" t="s">
        <v>42</v>
      </c>
      <c r="B437">
        <v>2013</v>
      </c>
      <c r="C437" t="str">
        <f>_xlfn.CONCAT(Table2[[#This Row],[STATE]],"-",Table2[[#This Row],[YEAR]])</f>
        <v>Tamil Nadu-2013</v>
      </c>
      <c r="D437">
        <v>3905</v>
      </c>
      <c r="E437">
        <v>29</v>
      </c>
    </row>
    <row r="438" spans="1:5" x14ac:dyDescent="0.3">
      <c r="A438" t="s">
        <v>30</v>
      </c>
      <c r="B438">
        <v>2013</v>
      </c>
      <c r="C438" t="str">
        <f>_xlfn.CONCAT(Table2[[#This Row],[STATE]],"-",Table2[[#This Row],[YEAR]])</f>
        <v>Tripura-2013</v>
      </c>
      <c r="D438">
        <v>1485</v>
      </c>
      <c r="E438">
        <v>28</v>
      </c>
    </row>
    <row r="439" spans="1:5" x14ac:dyDescent="0.3">
      <c r="A439" t="s">
        <v>31</v>
      </c>
      <c r="B439">
        <v>2013</v>
      </c>
      <c r="C439" t="str">
        <f>_xlfn.CONCAT(Table2[[#This Row],[STATE]],"-",Table2[[#This Row],[YEAR]])</f>
        <v>Uttar Pradesh-2013</v>
      </c>
      <c r="D439">
        <v>30159</v>
      </c>
      <c r="E439">
        <v>1081</v>
      </c>
    </row>
    <row r="440" spans="1:5" x14ac:dyDescent="0.3">
      <c r="A440" t="s">
        <v>65</v>
      </c>
      <c r="B440">
        <v>2013</v>
      </c>
      <c r="C440" t="str">
        <f>_xlfn.CONCAT(Table2[[#This Row],[STATE]],"-",Table2[[#This Row],[YEAR]])</f>
        <v>Uttarakhand-2013</v>
      </c>
      <c r="D440">
        <v>2176</v>
      </c>
      <c r="E440">
        <v>5</v>
      </c>
    </row>
    <row r="441" spans="1:5" x14ac:dyDescent="0.3">
      <c r="A441" t="s">
        <v>33</v>
      </c>
      <c r="B441">
        <v>2013</v>
      </c>
      <c r="C441" t="str">
        <f>_xlfn.CONCAT(Table2[[#This Row],[STATE]],"-",Table2[[#This Row],[YEAR]])</f>
        <v>West Bengal-2013</v>
      </c>
      <c r="D441">
        <v>9152</v>
      </c>
      <c r="E441">
        <v>982</v>
      </c>
    </row>
    <row r="442" spans="1:5" x14ac:dyDescent="0.3">
      <c r="A442" t="s">
        <v>84</v>
      </c>
      <c r="B442">
        <v>2013</v>
      </c>
      <c r="C442" t="str">
        <f>_xlfn.CONCAT(Table2[[#This Row],[STATE]],"-",Table2[[#This Row],[YEAR]])</f>
        <v>Andaman And Nicobar Islands-2013</v>
      </c>
      <c r="D442">
        <v>382</v>
      </c>
      <c r="E442">
        <v>31</v>
      </c>
    </row>
    <row r="443" spans="1:5" x14ac:dyDescent="0.3">
      <c r="A443" t="s">
        <v>35</v>
      </c>
      <c r="B443">
        <v>2013</v>
      </c>
      <c r="C443" t="str">
        <f>_xlfn.CONCAT(Table2[[#This Row],[STATE]],"-",Table2[[#This Row],[YEAR]])</f>
        <v>Chandigarh-2013</v>
      </c>
      <c r="D443">
        <v>329</v>
      </c>
      <c r="E443">
        <v>23</v>
      </c>
    </row>
    <row r="444" spans="1:5" x14ac:dyDescent="0.3">
      <c r="A444" t="s">
        <v>85</v>
      </c>
      <c r="B444">
        <v>2013</v>
      </c>
      <c r="C444" t="str">
        <f>_xlfn.CONCAT(Table2[[#This Row],[STATE]],"-",Table2[[#This Row],[YEAR]])</f>
        <v>Dadra And Nagar Haveli-2013</v>
      </c>
      <c r="D444">
        <v>0</v>
      </c>
      <c r="E444">
        <v>0</v>
      </c>
    </row>
    <row r="445" spans="1:5" x14ac:dyDescent="0.3">
      <c r="A445" t="s">
        <v>86</v>
      </c>
      <c r="B445">
        <v>2013</v>
      </c>
      <c r="C445" t="str">
        <f>_xlfn.CONCAT(Table2[[#This Row],[STATE]],"-",Table2[[#This Row],[YEAR]])</f>
        <v>Daman And Diu-2013</v>
      </c>
      <c r="D445">
        <v>9</v>
      </c>
      <c r="E445">
        <v>0</v>
      </c>
    </row>
    <row r="446" spans="1:5" x14ac:dyDescent="0.3">
      <c r="A446" t="s">
        <v>38</v>
      </c>
      <c r="B446">
        <v>2013</v>
      </c>
      <c r="C446" t="str">
        <f>_xlfn.CONCAT(Table2[[#This Row],[STATE]],"-",Table2[[#This Row],[YEAR]])</f>
        <v>Delhi-2013</v>
      </c>
      <c r="D446">
        <v>7015</v>
      </c>
      <c r="E446">
        <v>1103</v>
      </c>
    </row>
    <row r="447" spans="1:5" x14ac:dyDescent="0.3">
      <c r="A447" t="s">
        <v>39</v>
      </c>
      <c r="B447">
        <v>2013</v>
      </c>
      <c r="C447" t="str">
        <f>_xlfn.CONCAT(Table2[[#This Row],[STATE]],"-",Table2[[#This Row],[YEAR]])</f>
        <v>Lakshadweep-2013</v>
      </c>
      <c r="D447">
        <v>0</v>
      </c>
      <c r="E447">
        <v>0</v>
      </c>
    </row>
    <row r="448" spans="1:5" x14ac:dyDescent="0.3">
      <c r="A448" t="s">
        <v>64</v>
      </c>
      <c r="B448">
        <v>2013</v>
      </c>
      <c r="C448" t="str">
        <f>_xlfn.CONCAT(Table2[[#This Row],[STATE]],"-",Table2[[#This Row],[YEAR]])</f>
        <v>Puducherry-2013</v>
      </c>
      <c r="D448">
        <v>166</v>
      </c>
      <c r="E448">
        <v>39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AD80D-A0FD-46F0-B5E3-F6010C4B3A6A}">
  <dimension ref="A1:R2793"/>
  <sheetViews>
    <sheetView topLeftCell="J1" workbookViewId="0">
      <selection activeCell="R3" sqref="R3"/>
    </sheetView>
  </sheetViews>
  <sheetFormatPr defaultRowHeight="14.4" x14ac:dyDescent="0.3"/>
  <cols>
    <col min="1" max="1" width="12.77734375" customWidth="1"/>
    <col min="4" max="4" width="36.21875" customWidth="1"/>
    <col min="5" max="5" width="46.77734375" customWidth="1"/>
    <col min="6" max="6" width="21.44140625" customWidth="1"/>
    <col min="7" max="7" width="20.77734375" customWidth="1"/>
    <col min="8" max="8" width="31.44140625" customWidth="1"/>
    <col min="9" max="9" width="37.33203125" customWidth="1"/>
    <col min="10" max="10" width="17.21875" customWidth="1"/>
    <col min="11" max="11" width="17.88671875" customWidth="1"/>
    <col min="12" max="12" width="11.109375" customWidth="1"/>
    <col min="13" max="13" width="22.5546875" customWidth="1"/>
    <col min="14" max="14" width="14.21875" customWidth="1"/>
    <col min="15" max="15" width="26.6640625" customWidth="1"/>
    <col min="16" max="16" width="19.5546875" customWidth="1"/>
    <col min="17" max="17" width="2.6640625" customWidth="1"/>
  </cols>
  <sheetData>
    <row r="1" spans="1:18" x14ac:dyDescent="0.3">
      <c r="A1" t="s">
        <v>0</v>
      </c>
      <c r="B1" t="s">
        <v>43</v>
      </c>
      <c r="C1" t="s">
        <v>1362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</row>
    <row r="2" spans="1:18" x14ac:dyDescent="0.3">
      <c r="A2" t="s">
        <v>59</v>
      </c>
      <c r="B2">
        <v>2001</v>
      </c>
      <c r="C2" t="str">
        <f>_xlfn.CONCAT(Table13[[#This Row],[STATE]],"-",Table13[[#This Row],[Year]])</f>
        <v>Andaman &amp; Nicobar Islands-2001</v>
      </c>
      <c r="D2" t="s">
        <v>60</v>
      </c>
      <c r="E2" t="s">
        <v>61</v>
      </c>
      <c r="F2">
        <v>766</v>
      </c>
      <c r="G2">
        <v>7</v>
      </c>
      <c r="H2">
        <v>2</v>
      </c>
      <c r="I2">
        <v>0</v>
      </c>
      <c r="J2">
        <v>646</v>
      </c>
      <c r="K2">
        <v>0</v>
      </c>
      <c r="L2">
        <v>1</v>
      </c>
      <c r="M2">
        <v>84</v>
      </c>
      <c r="N2">
        <v>0</v>
      </c>
      <c r="O2">
        <v>6</v>
      </c>
      <c r="P2">
        <v>20</v>
      </c>
      <c r="Q2">
        <v>0</v>
      </c>
      <c r="R2">
        <f>SUM(Table13[[#This Row],[Rank_All_Ranks_Total]:[Rank_SSPSPAddlSPCommandant]])</f>
        <v>1532</v>
      </c>
    </row>
    <row r="3" spans="1:18" x14ac:dyDescent="0.3">
      <c r="A3" t="s">
        <v>6</v>
      </c>
      <c r="B3">
        <v>2001</v>
      </c>
      <c r="C3" t="str">
        <f>_xlfn.CONCAT(Table13[[#This Row],[STATE]],"-",Table13[[#This Row],[Year]])</f>
        <v>Andhra Pradesh-2001</v>
      </c>
      <c r="D3" t="s">
        <v>60</v>
      </c>
      <c r="E3" t="s">
        <v>61</v>
      </c>
      <c r="F3">
        <v>12510</v>
      </c>
      <c r="G3">
        <v>433</v>
      </c>
      <c r="H3">
        <v>56</v>
      </c>
      <c r="I3">
        <v>0</v>
      </c>
      <c r="J3">
        <v>8742</v>
      </c>
      <c r="K3">
        <v>0</v>
      </c>
      <c r="L3">
        <v>0</v>
      </c>
      <c r="M3">
        <v>2864</v>
      </c>
      <c r="N3">
        <v>0</v>
      </c>
      <c r="O3">
        <v>132</v>
      </c>
      <c r="P3">
        <v>270</v>
      </c>
      <c r="Q3">
        <v>13</v>
      </c>
      <c r="R3">
        <f>SUM(Table13[[#This Row],[Rank_All_Ranks_Total]:[Rank_SSPSPAddlSPCommandant]])</f>
        <v>25020</v>
      </c>
    </row>
    <row r="4" spans="1:18" x14ac:dyDescent="0.3">
      <c r="A4" t="s">
        <v>7</v>
      </c>
      <c r="B4">
        <v>2001</v>
      </c>
      <c r="C4" t="str">
        <f>_xlfn.CONCAT(Table13[[#This Row],[STATE]],"-",Table13[[#This Row],[Year]])</f>
        <v>Arunachal Pradesh-2001</v>
      </c>
      <c r="D4" t="s">
        <v>60</v>
      </c>
      <c r="E4" t="s">
        <v>61</v>
      </c>
      <c r="F4">
        <v>2232</v>
      </c>
      <c r="G4">
        <v>14</v>
      </c>
      <c r="H4">
        <v>15</v>
      </c>
      <c r="I4">
        <v>169</v>
      </c>
      <c r="J4">
        <v>1645</v>
      </c>
      <c r="K4">
        <v>0</v>
      </c>
      <c r="L4">
        <v>0</v>
      </c>
      <c r="M4">
        <v>322</v>
      </c>
      <c r="N4">
        <v>0</v>
      </c>
      <c r="O4">
        <v>19</v>
      </c>
      <c r="P4">
        <v>45</v>
      </c>
      <c r="Q4">
        <v>3</v>
      </c>
      <c r="R4">
        <f>SUM(Table13[[#This Row],[Rank_All_Ranks_Total]:[Rank_SSPSPAddlSPCommandant]])</f>
        <v>4464</v>
      </c>
    </row>
    <row r="5" spans="1:18" x14ac:dyDescent="0.3">
      <c r="A5" t="s">
        <v>8</v>
      </c>
      <c r="B5">
        <v>2001</v>
      </c>
      <c r="C5" t="str">
        <f>_xlfn.CONCAT(Table13[[#This Row],[STATE]],"-",Table13[[#This Row],[Year]])</f>
        <v>Assam-2001</v>
      </c>
      <c r="D5" t="s">
        <v>60</v>
      </c>
      <c r="E5" t="s">
        <v>61</v>
      </c>
      <c r="F5">
        <v>23963</v>
      </c>
      <c r="G5">
        <v>36</v>
      </c>
      <c r="H5">
        <v>135</v>
      </c>
      <c r="I5">
        <v>2347</v>
      </c>
      <c r="J5">
        <v>16591</v>
      </c>
      <c r="K5">
        <v>0</v>
      </c>
      <c r="L5">
        <v>0</v>
      </c>
      <c r="M5">
        <v>3868</v>
      </c>
      <c r="N5">
        <v>0</v>
      </c>
      <c r="O5">
        <v>235</v>
      </c>
      <c r="P5">
        <v>699</v>
      </c>
      <c r="Q5">
        <v>52</v>
      </c>
      <c r="R5">
        <f>SUM(Table13[[#This Row],[Rank_All_Ranks_Total]:[Rank_SSPSPAddlSPCommandant]])</f>
        <v>47926</v>
      </c>
    </row>
    <row r="6" spans="1:18" x14ac:dyDescent="0.3">
      <c r="A6" t="s">
        <v>9</v>
      </c>
      <c r="B6">
        <v>2001</v>
      </c>
      <c r="C6" t="str">
        <f>_xlfn.CONCAT(Table13[[#This Row],[STATE]],"-",Table13[[#This Row],[Year]])</f>
        <v>Bihar-2001</v>
      </c>
      <c r="D6" t="s">
        <v>60</v>
      </c>
      <c r="E6" t="s">
        <v>61</v>
      </c>
      <c r="F6">
        <v>373</v>
      </c>
      <c r="G6">
        <v>0</v>
      </c>
      <c r="H6">
        <v>0</v>
      </c>
      <c r="I6">
        <v>0</v>
      </c>
      <c r="J6">
        <v>326</v>
      </c>
      <c r="K6">
        <v>0</v>
      </c>
      <c r="L6">
        <v>0</v>
      </c>
      <c r="M6">
        <v>41</v>
      </c>
      <c r="N6">
        <v>0</v>
      </c>
      <c r="O6">
        <v>2</v>
      </c>
      <c r="P6">
        <v>4</v>
      </c>
      <c r="Q6">
        <v>0</v>
      </c>
      <c r="R6">
        <f>SUM(Table13[[#This Row],[Rank_All_Ranks_Total]:[Rank_SSPSPAddlSPCommandant]])</f>
        <v>746</v>
      </c>
    </row>
    <row r="7" spans="1:18" x14ac:dyDescent="0.3">
      <c r="A7" t="s">
        <v>35</v>
      </c>
      <c r="B7">
        <v>2001</v>
      </c>
      <c r="C7" t="str">
        <f>_xlfn.CONCAT(Table13[[#This Row],[STATE]],"-",Table13[[#This Row],[Year]])</f>
        <v>Chandigarh-2001</v>
      </c>
      <c r="D7" t="s">
        <v>60</v>
      </c>
      <c r="E7" t="s">
        <v>61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f>SUM(Table13[[#This Row],[Rank_All_Ranks_Total]:[Rank_SSPSPAddlSPCommandant]])</f>
        <v>0</v>
      </c>
    </row>
    <row r="8" spans="1:18" x14ac:dyDescent="0.3">
      <c r="A8" t="s">
        <v>10</v>
      </c>
      <c r="B8">
        <v>2001</v>
      </c>
      <c r="C8" t="str">
        <f>_xlfn.CONCAT(Table13[[#This Row],[STATE]],"-",Table13[[#This Row],[Year]])</f>
        <v>Chhattisgarh-2001</v>
      </c>
      <c r="D8" t="s">
        <v>60</v>
      </c>
      <c r="E8" t="s">
        <v>61</v>
      </c>
      <c r="F8">
        <v>1303</v>
      </c>
      <c r="G8">
        <v>0</v>
      </c>
      <c r="H8">
        <v>12</v>
      </c>
      <c r="I8">
        <v>0</v>
      </c>
      <c r="J8">
        <v>330</v>
      </c>
      <c r="K8">
        <v>0</v>
      </c>
      <c r="L8">
        <v>0</v>
      </c>
      <c r="M8">
        <v>888</v>
      </c>
      <c r="N8">
        <v>0</v>
      </c>
      <c r="O8">
        <v>3</v>
      </c>
      <c r="P8">
        <v>67</v>
      </c>
      <c r="Q8">
        <v>3</v>
      </c>
      <c r="R8">
        <f>SUM(Table13[[#This Row],[Rank_All_Ranks_Total]:[Rank_SSPSPAddlSPCommandant]])</f>
        <v>2606</v>
      </c>
    </row>
    <row r="9" spans="1:18" x14ac:dyDescent="0.3">
      <c r="A9" t="s">
        <v>62</v>
      </c>
      <c r="B9">
        <v>2001</v>
      </c>
      <c r="C9" t="str">
        <f>_xlfn.CONCAT(Table13[[#This Row],[STATE]],"-",Table13[[#This Row],[Year]])</f>
        <v>Dadra &amp; Nagar Haveli-2001</v>
      </c>
      <c r="D9" t="s">
        <v>60</v>
      </c>
      <c r="E9" t="s">
        <v>61</v>
      </c>
      <c r="F9">
        <v>94</v>
      </c>
      <c r="G9">
        <v>1</v>
      </c>
      <c r="H9">
        <v>0</v>
      </c>
      <c r="I9">
        <v>0</v>
      </c>
      <c r="J9">
        <v>75</v>
      </c>
      <c r="K9">
        <v>0</v>
      </c>
      <c r="L9">
        <v>0</v>
      </c>
      <c r="M9">
        <v>17</v>
      </c>
      <c r="N9">
        <v>0</v>
      </c>
      <c r="O9">
        <v>0</v>
      </c>
      <c r="P9">
        <v>1</v>
      </c>
      <c r="Q9">
        <v>0</v>
      </c>
      <c r="R9">
        <f>SUM(Table13[[#This Row],[Rank_All_Ranks_Total]:[Rank_SSPSPAddlSPCommandant]])</f>
        <v>188</v>
      </c>
    </row>
    <row r="10" spans="1:18" x14ac:dyDescent="0.3">
      <c r="A10" t="s">
        <v>37</v>
      </c>
      <c r="B10">
        <v>2001</v>
      </c>
      <c r="C10" t="str">
        <f>_xlfn.CONCAT(Table13[[#This Row],[STATE]],"-",Table13[[#This Row],[Year]])</f>
        <v>Daman &amp; Diu-2001</v>
      </c>
      <c r="D10" t="s">
        <v>60</v>
      </c>
      <c r="E10" t="s">
        <v>61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f>SUM(Table13[[#This Row],[Rank_All_Ranks_Total]:[Rank_SSPSPAddlSPCommandant]])</f>
        <v>0</v>
      </c>
    </row>
    <row r="11" spans="1:18" x14ac:dyDescent="0.3">
      <c r="A11" t="s">
        <v>38</v>
      </c>
      <c r="B11">
        <v>2001</v>
      </c>
      <c r="C11" t="str">
        <f>_xlfn.CONCAT(Table13[[#This Row],[STATE]],"-",Table13[[#This Row],[Year]])</f>
        <v>Delhi-2001</v>
      </c>
      <c r="D11" t="s">
        <v>60</v>
      </c>
      <c r="E11" t="s">
        <v>61</v>
      </c>
      <c r="F11">
        <v>10433</v>
      </c>
      <c r="G11">
        <v>169</v>
      </c>
      <c r="H11">
        <v>42</v>
      </c>
      <c r="I11">
        <v>0</v>
      </c>
      <c r="J11">
        <v>7911</v>
      </c>
      <c r="K11">
        <v>0</v>
      </c>
      <c r="L11">
        <v>1</v>
      </c>
      <c r="M11">
        <v>1952</v>
      </c>
      <c r="N11">
        <v>1</v>
      </c>
      <c r="O11">
        <v>79</v>
      </c>
      <c r="P11">
        <v>267</v>
      </c>
      <c r="Q11">
        <v>11</v>
      </c>
      <c r="R11">
        <f>SUM(Table13[[#This Row],[Rank_All_Ranks_Total]:[Rank_SSPSPAddlSPCommandant]])</f>
        <v>20866</v>
      </c>
    </row>
    <row r="12" spans="1:18" x14ac:dyDescent="0.3">
      <c r="A12" t="s">
        <v>11</v>
      </c>
      <c r="B12">
        <v>2001</v>
      </c>
      <c r="C12" t="str">
        <f>_xlfn.CONCAT(Table13[[#This Row],[STATE]],"-",Table13[[#This Row],[Year]])</f>
        <v>Goa-2001</v>
      </c>
      <c r="D12" t="s">
        <v>60</v>
      </c>
      <c r="E12" t="s">
        <v>61</v>
      </c>
      <c r="F12">
        <v>583</v>
      </c>
      <c r="G12">
        <v>24</v>
      </c>
      <c r="H12">
        <v>1</v>
      </c>
      <c r="I12">
        <v>0</v>
      </c>
      <c r="J12">
        <v>430</v>
      </c>
      <c r="K12">
        <v>0</v>
      </c>
      <c r="L12">
        <v>0</v>
      </c>
      <c r="M12">
        <v>111</v>
      </c>
      <c r="N12">
        <v>0</v>
      </c>
      <c r="O12">
        <v>5</v>
      </c>
      <c r="P12">
        <v>11</v>
      </c>
      <c r="Q12">
        <v>1</v>
      </c>
      <c r="R12">
        <f>SUM(Table13[[#This Row],[Rank_All_Ranks_Total]:[Rank_SSPSPAddlSPCommandant]])</f>
        <v>1166</v>
      </c>
    </row>
    <row r="13" spans="1:18" x14ac:dyDescent="0.3">
      <c r="A13" t="s">
        <v>12</v>
      </c>
      <c r="B13">
        <v>2001</v>
      </c>
      <c r="C13" t="str">
        <f>_xlfn.CONCAT(Table13[[#This Row],[STATE]],"-",Table13[[#This Row],[Year]])</f>
        <v>Gujarat-2001</v>
      </c>
      <c r="D13" t="s">
        <v>60</v>
      </c>
      <c r="E13" t="s">
        <v>61</v>
      </c>
      <c r="F13">
        <v>11591</v>
      </c>
      <c r="G13">
        <v>1020</v>
      </c>
      <c r="H13">
        <v>33</v>
      </c>
      <c r="I13">
        <v>0</v>
      </c>
      <c r="J13">
        <v>9138</v>
      </c>
      <c r="K13">
        <v>0</v>
      </c>
      <c r="L13">
        <v>0</v>
      </c>
      <c r="M13">
        <v>1028</v>
      </c>
      <c r="N13">
        <v>0</v>
      </c>
      <c r="O13">
        <v>96</v>
      </c>
      <c r="P13">
        <v>276</v>
      </c>
      <c r="Q13">
        <v>0</v>
      </c>
      <c r="R13">
        <f>SUM(Table13[[#This Row],[Rank_All_Ranks_Total]:[Rank_SSPSPAddlSPCommandant]])</f>
        <v>23182</v>
      </c>
    </row>
    <row r="14" spans="1:18" x14ac:dyDescent="0.3">
      <c r="A14" t="s">
        <v>13</v>
      </c>
      <c r="B14">
        <v>2001</v>
      </c>
      <c r="C14" t="str">
        <f>_xlfn.CONCAT(Table13[[#This Row],[STATE]],"-",Table13[[#This Row],[Year]])</f>
        <v>Haryana-2001</v>
      </c>
      <c r="D14" t="s">
        <v>60</v>
      </c>
      <c r="E14" t="s">
        <v>61</v>
      </c>
      <c r="F14">
        <v>4420</v>
      </c>
      <c r="G14">
        <v>124</v>
      </c>
      <c r="H14">
        <v>13</v>
      </c>
      <c r="I14">
        <v>0</v>
      </c>
      <c r="J14">
        <v>3743</v>
      </c>
      <c r="K14">
        <v>1</v>
      </c>
      <c r="L14">
        <v>1</v>
      </c>
      <c r="M14">
        <v>368</v>
      </c>
      <c r="N14">
        <v>1</v>
      </c>
      <c r="O14">
        <v>51</v>
      </c>
      <c r="P14">
        <v>113</v>
      </c>
      <c r="Q14">
        <v>5</v>
      </c>
      <c r="R14">
        <f>SUM(Table13[[#This Row],[Rank_All_Ranks_Total]:[Rank_SSPSPAddlSPCommandant]])</f>
        <v>8840</v>
      </c>
    </row>
    <row r="15" spans="1:18" x14ac:dyDescent="0.3">
      <c r="A15" t="s">
        <v>14</v>
      </c>
      <c r="B15">
        <v>2001</v>
      </c>
      <c r="C15" t="str">
        <f>_xlfn.CONCAT(Table13[[#This Row],[STATE]],"-",Table13[[#This Row],[Year]])</f>
        <v>Himachal Pradesh-2001</v>
      </c>
      <c r="D15" t="s">
        <v>60</v>
      </c>
      <c r="E15" t="s">
        <v>61</v>
      </c>
      <c r="F15">
        <v>3673</v>
      </c>
      <c r="G15">
        <v>44</v>
      </c>
      <c r="H15">
        <v>18</v>
      </c>
      <c r="I15">
        <v>1010</v>
      </c>
      <c r="J15">
        <v>1738</v>
      </c>
      <c r="K15">
        <v>0</v>
      </c>
      <c r="L15">
        <v>2</v>
      </c>
      <c r="M15">
        <v>689</v>
      </c>
      <c r="N15">
        <v>1</v>
      </c>
      <c r="O15">
        <v>35</v>
      </c>
      <c r="P15">
        <v>130</v>
      </c>
      <c r="Q15">
        <v>6</v>
      </c>
      <c r="R15">
        <f>SUM(Table13[[#This Row],[Rank_All_Ranks_Total]:[Rank_SSPSPAddlSPCommandant]])</f>
        <v>7346</v>
      </c>
    </row>
    <row r="16" spans="1:18" x14ac:dyDescent="0.3">
      <c r="A16" t="s">
        <v>15</v>
      </c>
      <c r="B16">
        <v>2001</v>
      </c>
      <c r="C16" t="str">
        <f>_xlfn.CONCAT(Table13[[#This Row],[STATE]],"-",Table13[[#This Row],[Year]])</f>
        <v>Jammu &amp; Kashmir-2001</v>
      </c>
      <c r="D16" t="s">
        <v>60</v>
      </c>
      <c r="E16" t="s">
        <v>61</v>
      </c>
      <c r="F16">
        <v>18759</v>
      </c>
      <c r="G16">
        <v>389</v>
      </c>
      <c r="H16">
        <v>146</v>
      </c>
      <c r="I16">
        <v>0</v>
      </c>
      <c r="J16">
        <v>14534</v>
      </c>
      <c r="K16">
        <v>1</v>
      </c>
      <c r="L16">
        <v>2</v>
      </c>
      <c r="M16">
        <v>3048</v>
      </c>
      <c r="N16">
        <v>1</v>
      </c>
      <c r="O16">
        <v>125</v>
      </c>
      <c r="P16">
        <v>458</v>
      </c>
      <c r="Q16">
        <v>55</v>
      </c>
      <c r="R16">
        <f>SUM(Table13[[#This Row],[Rank_All_Ranks_Total]:[Rank_SSPSPAddlSPCommandant]])</f>
        <v>37518</v>
      </c>
    </row>
    <row r="17" spans="1:18" x14ac:dyDescent="0.3">
      <c r="A17" t="s">
        <v>17</v>
      </c>
      <c r="B17">
        <v>2001</v>
      </c>
      <c r="C17" t="str">
        <f>_xlfn.CONCAT(Table13[[#This Row],[STATE]],"-",Table13[[#This Row],[Year]])</f>
        <v>Karnataka-2001</v>
      </c>
      <c r="D17" t="s">
        <v>60</v>
      </c>
      <c r="E17" t="s">
        <v>61</v>
      </c>
      <c r="F17">
        <v>1020</v>
      </c>
      <c r="G17">
        <v>36</v>
      </c>
      <c r="H17">
        <v>2</v>
      </c>
      <c r="I17">
        <v>0</v>
      </c>
      <c r="J17">
        <v>792</v>
      </c>
      <c r="K17">
        <v>0</v>
      </c>
      <c r="L17">
        <v>0</v>
      </c>
      <c r="M17">
        <v>165</v>
      </c>
      <c r="N17">
        <v>0</v>
      </c>
      <c r="O17">
        <v>5</v>
      </c>
      <c r="P17">
        <v>20</v>
      </c>
      <c r="Q17">
        <v>0</v>
      </c>
      <c r="R17">
        <f>SUM(Table13[[#This Row],[Rank_All_Ranks_Total]:[Rank_SSPSPAddlSPCommandant]])</f>
        <v>2040</v>
      </c>
    </row>
    <row r="18" spans="1:18" x14ac:dyDescent="0.3">
      <c r="A18" t="s">
        <v>18</v>
      </c>
      <c r="B18">
        <v>2001</v>
      </c>
      <c r="C18" t="str">
        <f>_xlfn.CONCAT(Table13[[#This Row],[STATE]],"-",Table13[[#This Row],[Year]])</f>
        <v>Kerala-2001</v>
      </c>
      <c r="D18" t="s">
        <v>60</v>
      </c>
      <c r="E18" t="s">
        <v>61</v>
      </c>
      <c r="F18">
        <v>7846</v>
      </c>
      <c r="G18">
        <v>91</v>
      </c>
      <c r="H18">
        <v>32</v>
      </c>
      <c r="I18">
        <v>0</v>
      </c>
      <c r="J18">
        <v>6128</v>
      </c>
      <c r="K18">
        <v>0</v>
      </c>
      <c r="L18">
        <v>0</v>
      </c>
      <c r="M18">
        <v>1303</v>
      </c>
      <c r="N18">
        <v>0</v>
      </c>
      <c r="O18">
        <v>62</v>
      </c>
      <c r="P18">
        <v>225</v>
      </c>
      <c r="Q18">
        <v>5</v>
      </c>
      <c r="R18">
        <f>SUM(Table13[[#This Row],[Rank_All_Ranks_Total]:[Rank_SSPSPAddlSPCommandant]])</f>
        <v>15692</v>
      </c>
    </row>
    <row r="19" spans="1:18" x14ac:dyDescent="0.3">
      <c r="A19" t="s">
        <v>39</v>
      </c>
      <c r="B19">
        <v>2001</v>
      </c>
      <c r="C19" t="str">
        <f>_xlfn.CONCAT(Table13[[#This Row],[STATE]],"-",Table13[[#This Row],[Year]])</f>
        <v>Lakshadweep-2001</v>
      </c>
      <c r="D19" t="s">
        <v>60</v>
      </c>
      <c r="E19" t="s">
        <v>61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f>SUM(Table13[[#This Row],[Rank_All_Ranks_Total]:[Rank_SSPSPAddlSPCommandant]])</f>
        <v>0</v>
      </c>
    </row>
    <row r="20" spans="1:18" x14ac:dyDescent="0.3">
      <c r="A20" t="s">
        <v>19</v>
      </c>
      <c r="B20">
        <v>2001</v>
      </c>
      <c r="C20" t="str">
        <f>_xlfn.CONCAT(Table13[[#This Row],[STATE]],"-",Table13[[#This Row],[Year]])</f>
        <v>Madhya Pradesh-2001</v>
      </c>
      <c r="D20" t="s">
        <v>60</v>
      </c>
      <c r="E20" t="s">
        <v>61</v>
      </c>
      <c r="F20">
        <v>28057</v>
      </c>
      <c r="G20">
        <v>1498</v>
      </c>
      <c r="H20">
        <v>109</v>
      </c>
      <c r="I20">
        <v>20342</v>
      </c>
      <c r="J20">
        <v>0</v>
      </c>
      <c r="K20">
        <v>1</v>
      </c>
      <c r="L20">
        <v>5</v>
      </c>
      <c r="M20">
        <v>4871</v>
      </c>
      <c r="N20">
        <v>3</v>
      </c>
      <c r="O20">
        <v>265</v>
      </c>
      <c r="P20">
        <v>910</v>
      </c>
      <c r="Q20">
        <v>53</v>
      </c>
      <c r="R20">
        <f>SUM(Table13[[#This Row],[Rank_All_Ranks_Total]:[Rank_SSPSPAddlSPCommandant]])</f>
        <v>56114</v>
      </c>
    </row>
    <row r="21" spans="1:18" x14ac:dyDescent="0.3">
      <c r="A21" t="s">
        <v>20</v>
      </c>
      <c r="B21">
        <v>2001</v>
      </c>
      <c r="C21" t="str">
        <f>_xlfn.CONCAT(Table13[[#This Row],[STATE]],"-",Table13[[#This Row],[Year]])</f>
        <v>Maharashtra-2001</v>
      </c>
      <c r="D21" t="s">
        <v>60</v>
      </c>
      <c r="E21" t="s">
        <v>61</v>
      </c>
      <c r="F21">
        <v>13385</v>
      </c>
      <c r="G21">
        <v>1116</v>
      </c>
      <c r="H21">
        <v>38</v>
      </c>
      <c r="I21">
        <v>2822</v>
      </c>
      <c r="J21">
        <v>6858</v>
      </c>
      <c r="K21">
        <v>0</v>
      </c>
      <c r="L21">
        <v>0</v>
      </c>
      <c r="M21">
        <v>2305</v>
      </c>
      <c r="N21">
        <v>0</v>
      </c>
      <c r="O21">
        <v>37</v>
      </c>
      <c r="P21">
        <v>207</v>
      </c>
      <c r="Q21">
        <v>2</v>
      </c>
      <c r="R21">
        <f>SUM(Table13[[#This Row],[Rank_All_Ranks_Total]:[Rank_SSPSPAddlSPCommandant]])</f>
        <v>26770</v>
      </c>
    </row>
    <row r="22" spans="1:18" x14ac:dyDescent="0.3">
      <c r="A22" t="s">
        <v>21</v>
      </c>
      <c r="B22">
        <v>2001</v>
      </c>
      <c r="C22" t="str">
        <f>_xlfn.CONCAT(Table13[[#This Row],[STATE]],"-",Table13[[#This Row],[Year]])</f>
        <v>Manipur-2001</v>
      </c>
      <c r="D22" t="s">
        <v>60</v>
      </c>
      <c r="E22" t="s">
        <v>61</v>
      </c>
      <c r="F22">
        <v>9472</v>
      </c>
      <c r="G22">
        <v>0</v>
      </c>
      <c r="H22">
        <v>60</v>
      </c>
      <c r="I22">
        <v>809</v>
      </c>
      <c r="J22">
        <v>7656</v>
      </c>
      <c r="K22">
        <v>0</v>
      </c>
      <c r="L22">
        <v>2</v>
      </c>
      <c r="M22">
        <v>597</v>
      </c>
      <c r="N22">
        <v>1</v>
      </c>
      <c r="O22">
        <v>93</v>
      </c>
      <c r="P22">
        <v>232</v>
      </c>
      <c r="Q22">
        <v>22</v>
      </c>
      <c r="R22">
        <f>SUM(Table13[[#This Row],[Rank_All_Ranks_Total]:[Rank_SSPSPAddlSPCommandant]])</f>
        <v>18944</v>
      </c>
    </row>
    <row r="23" spans="1:18" x14ac:dyDescent="0.3">
      <c r="A23" t="s">
        <v>22</v>
      </c>
      <c r="B23">
        <v>2001</v>
      </c>
      <c r="C23" t="str">
        <f>_xlfn.CONCAT(Table13[[#This Row],[STATE]],"-",Table13[[#This Row],[Year]])</f>
        <v>Meghalaya-2001</v>
      </c>
      <c r="D23" t="s">
        <v>60</v>
      </c>
      <c r="E23" t="s">
        <v>61</v>
      </c>
      <c r="F23">
        <v>2699</v>
      </c>
      <c r="G23">
        <v>0</v>
      </c>
      <c r="H23">
        <v>22</v>
      </c>
      <c r="I23">
        <v>200</v>
      </c>
      <c r="J23">
        <v>2090</v>
      </c>
      <c r="K23">
        <v>0</v>
      </c>
      <c r="L23">
        <v>0</v>
      </c>
      <c r="M23">
        <v>280</v>
      </c>
      <c r="N23">
        <v>0</v>
      </c>
      <c r="O23">
        <v>24</v>
      </c>
      <c r="P23">
        <v>75</v>
      </c>
      <c r="Q23">
        <v>8</v>
      </c>
      <c r="R23">
        <f>SUM(Table13[[#This Row],[Rank_All_Ranks_Total]:[Rank_SSPSPAddlSPCommandant]])</f>
        <v>5398</v>
      </c>
    </row>
    <row r="24" spans="1:18" x14ac:dyDescent="0.3">
      <c r="A24" t="s">
        <v>23</v>
      </c>
      <c r="B24">
        <v>2001</v>
      </c>
      <c r="C24" t="str">
        <f>_xlfn.CONCAT(Table13[[#This Row],[STATE]],"-",Table13[[#This Row],[Year]])</f>
        <v>Mizoram-2001</v>
      </c>
      <c r="D24" t="s">
        <v>60</v>
      </c>
      <c r="E24" t="s">
        <v>61</v>
      </c>
      <c r="F24">
        <v>3690</v>
      </c>
      <c r="G24">
        <v>0</v>
      </c>
      <c r="H24">
        <v>25</v>
      </c>
      <c r="I24">
        <v>464</v>
      </c>
      <c r="J24">
        <v>2575</v>
      </c>
      <c r="K24">
        <v>0</v>
      </c>
      <c r="L24">
        <v>0</v>
      </c>
      <c r="M24">
        <v>493</v>
      </c>
      <c r="N24">
        <v>0</v>
      </c>
      <c r="O24">
        <v>26</v>
      </c>
      <c r="P24">
        <v>95</v>
      </c>
      <c r="Q24">
        <v>12</v>
      </c>
      <c r="R24">
        <f>SUM(Table13[[#This Row],[Rank_All_Ranks_Total]:[Rank_SSPSPAddlSPCommandant]])</f>
        <v>7380</v>
      </c>
    </row>
    <row r="25" spans="1:18" x14ac:dyDescent="0.3">
      <c r="A25" t="s">
        <v>24</v>
      </c>
      <c r="B25">
        <v>2001</v>
      </c>
      <c r="C25" t="str">
        <f>_xlfn.CONCAT(Table13[[#This Row],[STATE]],"-",Table13[[#This Row],[Year]])</f>
        <v>Nagaland-2001</v>
      </c>
      <c r="D25" t="s">
        <v>60</v>
      </c>
      <c r="E25" t="s">
        <v>61</v>
      </c>
      <c r="F25">
        <v>6596</v>
      </c>
      <c r="G25">
        <v>0</v>
      </c>
      <c r="H25">
        <v>21</v>
      </c>
      <c r="I25">
        <v>722</v>
      </c>
      <c r="J25">
        <v>5042</v>
      </c>
      <c r="K25">
        <v>0</v>
      </c>
      <c r="L25">
        <v>0</v>
      </c>
      <c r="M25">
        <v>624</v>
      </c>
      <c r="N25">
        <v>0</v>
      </c>
      <c r="O25">
        <v>19</v>
      </c>
      <c r="P25">
        <v>152</v>
      </c>
      <c r="Q25">
        <v>16</v>
      </c>
      <c r="R25">
        <f>SUM(Table13[[#This Row],[Rank_All_Ranks_Total]:[Rank_SSPSPAddlSPCommandant]])</f>
        <v>13192</v>
      </c>
    </row>
    <row r="26" spans="1:18" x14ac:dyDescent="0.3">
      <c r="A26" t="s">
        <v>63</v>
      </c>
      <c r="B26">
        <v>2001</v>
      </c>
      <c r="C26" t="str">
        <f>_xlfn.CONCAT(Table13[[#This Row],[STATE]],"-",Table13[[#This Row],[Year]])</f>
        <v>Odisha-2001</v>
      </c>
      <c r="D26" t="s">
        <v>60</v>
      </c>
      <c r="E26" t="s">
        <v>61</v>
      </c>
      <c r="F26">
        <v>8285</v>
      </c>
      <c r="G26">
        <v>196</v>
      </c>
      <c r="H26">
        <v>56</v>
      </c>
      <c r="I26">
        <v>382</v>
      </c>
      <c r="J26">
        <v>6276</v>
      </c>
      <c r="K26">
        <v>0</v>
      </c>
      <c r="L26">
        <v>0</v>
      </c>
      <c r="M26">
        <v>1096</v>
      </c>
      <c r="N26">
        <v>0</v>
      </c>
      <c r="O26">
        <v>48</v>
      </c>
      <c r="P26">
        <v>213</v>
      </c>
      <c r="Q26">
        <v>18</v>
      </c>
      <c r="R26">
        <f>SUM(Table13[[#This Row],[Rank_All_Ranks_Total]:[Rank_SSPSPAddlSPCommandant]])</f>
        <v>16570</v>
      </c>
    </row>
    <row r="27" spans="1:18" x14ac:dyDescent="0.3">
      <c r="A27" t="s">
        <v>64</v>
      </c>
      <c r="B27">
        <v>2001</v>
      </c>
      <c r="C27" t="str">
        <f>_xlfn.CONCAT(Table13[[#This Row],[STATE]],"-",Table13[[#This Row],[Year]])</f>
        <v>Puducherry-2001</v>
      </c>
      <c r="D27" t="s">
        <v>60</v>
      </c>
      <c r="E27" t="s">
        <v>61</v>
      </c>
      <c r="F27">
        <v>683</v>
      </c>
      <c r="G27">
        <v>2</v>
      </c>
      <c r="H27">
        <v>1</v>
      </c>
      <c r="I27">
        <v>0</v>
      </c>
      <c r="J27">
        <v>565</v>
      </c>
      <c r="K27">
        <v>0</v>
      </c>
      <c r="L27">
        <v>0</v>
      </c>
      <c r="M27">
        <v>93</v>
      </c>
      <c r="N27">
        <v>0</v>
      </c>
      <c r="O27">
        <v>5</v>
      </c>
      <c r="P27">
        <v>17</v>
      </c>
      <c r="Q27">
        <v>0</v>
      </c>
      <c r="R27">
        <f>SUM(Table13[[#This Row],[Rank_All_Ranks_Total]:[Rank_SSPSPAddlSPCommandant]])</f>
        <v>1366</v>
      </c>
    </row>
    <row r="28" spans="1:18" x14ac:dyDescent="0.3">
      <c r="A28" t="s">
        <v>26</v>
      </c>
      <c r="B28">
        <v>2001</v>
      </c>
      <c r="C28" t="str">
        <f>_xlfn.CONCAT(Table13[[#This Row],[STATE]],"-",Table13[[#This Row],[Year]])</f>
        <v>Punjab-2001</v>
      </c>
      <c r="D28" t="s">
        <v>60</v>
      </c>
      <c r="E28" t="s">
        <v>61</v>
      </c>
      <c r="F28">
        <v>16527</v>
      </c>
      <c r="G28">
        <v>355</v>
      </c>
      <c r="H28">
        <v>92</v>
      </c>
      <c r="I28">
        <v>0</v>
      </c>
      <c r="J28">
        <v>13708</v>
      </c>
      <c r="K28">
        <v>1</v>
      </c>
      <c r="L28">
        <v>5</v>
      </c>
      <c r="M28">
        <v>1759</v>
      </c>
      <c r="N28">
        <v>3</v>
      </c>
      <c r="O28">
        <v>112</v>
      </c>
      <c r="P28">
        <v>471</v>
      </c>
      <c r="Q28">
        <v>21</v>
      </c>
      <c r="R28">
        <f>SUM(Table13[[#This Row],[Rank_All_Ranks_Total]:[Rank_SSPSPAddlSPCommandant]])</f>
        <v>33054</v>
      </c>
    </row>
    <row r="29" spans="1:18" x14ac:dyDescent="0.3">
      <c r="A29" t="s">
        <v>27</v>
      </c>
      <c r="B29">
        <v>2001</v>
      </c>
      <c r="C29" t="str">
        <f>_xlfn.CONCAT(Table13[[#This Row],[STATE]],"-",Table13[[#This Row],[Year]])</f>
        <v>Rajasthan-2001</v>
      </c>
      <c r="D29" t="s">
        <v>60</v>
      </c>
      <c r="E29" t="s">
        <v>61</v>
      </c>
      <c r="F29">
        <v>11582</v>
      </c>
      <c r="G29">
        <v>0</v>
      </c>
      <c r="H29">
        <v>46</v>
      </c>
      <c r="I29">
        <v>0</v>
      </c>
      <c r="J29">
        <v>9145</v>
      </c>
      <c r="K29">
        <v>1</v>
      </c>
      <c r="L29">
        <v>2</v>
      </c>
      <c r="M29">
        <v>2053</v>
      </c>
      <c r="N29">
        <v>1</v>
      </c>
      <c r="O29">
        <v>97</v>
      </c>
      <c r="P29">
        <v>223</v>
      </c>
      <c r="Q29">
        <v>14</v>
      </c>
      <c r="R29">
        <f>SUM(Table13[[#This Row],[Rank_All_Ranks_Total]:[Rank_SSPSPAddlSPCommandant]])</f>
        <v>23164</v>
      </c>
    </row>
    <row r="30" spans="1:18" x14ac:dyDescent="0.3">
      <c r="A30" t="s">
        <v>28</v>
      </c>
      <c r="B30">
        <v>2001</v>
      </c>
      <c r="C30" t="str">
        <f>_xlfn.CONCAT(Table13[[#This Row],[STATE]],"-",Table13[[#This Row],[Year]])</f>
        <v>Sikkim-2001</v>
      </c>
      <c r="D30" t="s">
        <v>60</v>
      </c>
      <c r="E30" t="s">
        <v>61</v>
      </c>
      <c r="F30">
        <v>1274</v>
      </c>
      <c r="G30">
        <v>0</v>
      </c>
      <c r="H30">
        <v>4</v>
      </c>
      <c r="I30">
        <v>1226</v>
      </c>
      <c r="J30">
        <v>0</v>
      </c>
      <c r="K30">
        <v>0</v>
      </c>
      <c r="L30">
        <v>0</v>
      </c>
      <c r="M30">
        <v>0</v>
      </c>
      <c r="N30">
        <v>1</v>
      </c>
      <c r="O30">
        <v>10</v>
      </c>
      <c r="P30">
        <v>31</v>
      </c>
      <c r="Q30">
        <v>2</v>
      </c>
      <c r="R30">
        <f>SUM(Table13[[#This Row],[Rank_All_Ranks_Total]:[Rank_SSPSPAddlSPCommandant]])</f>
        <v>2548</v>
      </c>
    </row>
    <row r="31" spans="1:18" x14ac:dyDescent="0.3">
      <c r="A31" t="s">
        <v>42</v>
      </c>
      <c r="B31">
        <v>2001</v>
      </c>
      <c r="C31" t="str">
        <f>_xlfn.CONCAT(Table13[[#This Row],[STATE]],"-",Table13[[#This Row],[Year]])</f>
        <v>Tamil Nadu-2001</v>
      </c>
      <c r="D31" t="s">
        <v>60</v>
      </c>
      <c r="E31" t="s">
        <v>61</v>
      </c>
      <c r="F31">
        <v>10728</v>
      </c>
      <c r="G31">
        <v>0</v>
      </c>
      <c r="H31">
        <v>37</v>
      </c>
      <c r="I31">
        <v>1375</v>
      </c>
      <c r="J31">
        <v>7489</v>
      </c>
      <c r="K31">
        <v>0</v>
      </c>
      <c r="L31">
        <v>2</v>
      </c>
      <c r="M31">
        <v>1324</v>
      </c>
      <c r="N31">
        <v>1</v>
      </c>
      <c r="O31">
        <v>95</v>
      </c>
      <c r="P31">
        <v>386</v>
      </c>
      <c r="Q31">
        <v>19</v>
      </c>
      <c r="R31">
        <f>SUM(Table13[[#This Row],[Rank_All_Ranks_Total]:[Rank_SSPSPAddlSPCommandant]])</f>
        <v>21456</v>
      </c>
    </row>
    <row r="32" spans="1:18" x14ac:dyDescent="0.3">
      <c r="A32" t="s">
        <v>30</v>
      </c>
      <c r="B32">
        <v>2001</v>
      </c>
      <c r="C32" t="str">
        <f>_xlfn.CONCAT(Table13[[#This Row],[STATE]],"-",Table13[[#This Row],[Year]])</f>
        <v>Tripura-2001</v>
      </c>
      <c r="D32" t="s">
        <v>60</v>
      </c>
      <c r="E32" t="s">
        <v>61</v>
      </c>
      <c r="F32">
        <v>6761</v>
      </c>
      <c r="G32">
        <v>0</v>
      </c>
      <c r="H32">
        <v>26</v>
      </c>
      <c r="I32">
        <v>803</v>
      </c>
      <c r="J32">
        <v>5235</v>
      </c>
      <c r="K32">
        <v>0</v>
      </c>
      <c r="L32">
        <v>0</v>
      </c>
      <c r="M32">
        <v>472</v>
      </c>
      <c r="N32">
        <v>1</v>
      </c>
      <c r="O32">
        <v>25</v>
      </c>
      <c r="P32">
        <v>189</v>
      </c>
      <c r="Q32">
        <v>10</v>
      </c>
      <c r="R32">
        <f>SUM(Table13[[#This Row],[Rank_All_Ranks_Total]:[Rank_SSPSPAddlSPCommandant]])</f>
        <v>13522</v>
      </c>
    </row>
    <row r="33" spans="1:18" x14ac:dyDescent="0.3">
      <c r="A33" t="s">
        <v>31</v>
      </c>
      <c r="B33">
        <v>2001</v>
      </c>
      <c r="C33" t="str">
        <f>_xlfn.CONCAT(Table13[[#This Row],[STATE]],"-",Table13[[#This Row],[Year]])</f>
        <v>Uttar Pradesh-2001</v>
      </c>
      <c r="D33" t="s">
        <v>60</v>
      </c>
      <c r="E33" t="s">
        <v>61</v>
      </c>
      <c r="F33">
        <v>33183</v>
      </c>
      <c r="G33">
        <v>0</v>
      </c>
      <c r="H33">
        <v>66</v>
      </c>
      <c r="I33">
        <v>0</v>
      </c>
      <c r="J33">
        <v>26420</v>
      </c>
      <c r="K33">
        <v>1</v>
      </c>
      <c r="L33">
        <v>7</v>
      </c>
      <c r="M33">
        <v>5617</v>
      </c>
      <c r="N33">
        <v>5</v>
      </c>
      <c r="O33">
        <v>247</v>
      </c>
      <c r="P33">
        <v>767</v>
      </c>
      <c r="Q33">
        <v>53</v>
      </c>
      <c r="R33">
        <f>SUM(Table13[[#This Row],[Rank_All_Ranks_Total]:[Rank_SSPSPAddlSPCommandant]])</f>
        <v>66366</v>
      </c>
    </row>
    <row r="34" spans="1:18" x14ac:dyDescent="0.3">
      <c r="A34" t="s">
        <v>65</v>
      </c>
      <c r="B34">
        <v>2001</v>
      </c>
      <c r="C34" t="str">
        <f>_xlfn.CONCAT(Table13[[#This Row],[STATE]],"-",Table13[[#This Row],[Year]])</f>
        <v>Uttarakhand-2001</v>
      </c>
      <c r="D34" t="s">
        <v>60</v>
      </c>
      <c r="E34" t="s">
        <v>61</v>
      </c>
      <c r="F34">
        <v>2666</v>
      </c>
      <c r="G34">
        <v>0</v>
      </c>
      <c r="H34">
        <v>0</v>
      </c>
      <c r="I34">
        <v>0</v>
      </c>
      <c r="J34">
        <v>2145</v>
      </c>
      <c r="K34">
        <v>0</v>
      </c>
      <c r="L34">
        <v>0</v>
      </c>
      <c r="M34">
        <v>443</v>
      </c>
      <c r="N34">
        <v>0</v>
      </c>
      <c r="O34">
        <v>21</v>
      </c>
      <c r="P34">
        <v>57</v>
      </c>
      <c r="Q34">
        <v>0</v>
      </c>
      <c r="R34">
        <f>SUM(Table13[[#This Row],[Rank_All_Ranks_Total]:[Rank_SSPSPAddlSPCommandant]])</f>
        <v>5332</v>
      </c>
    </row>
    <row r="35" spans="1:18" x14ac:dyDescent="0.3">
      <c r="A35" t="s">
        <v>33</v>
      </c>
      <c r="B35">
        <v>2001</v>
      </c>
      <c r="C35" t="str">
        <f>_xlfn.CONCAT(Table13[[#This Row],[STATE]],"-",Table13[[#This Row],[Year]])</f>
        <v>West Bengal-2001</v>
      </c>
      <c r="D35" t="s">
        <v>60</v>
      </c>
      <c r="E35" t="s">
        <v>61</v>
      </c>
      <c r="F35">
        <v>21887</v>
      </c>
      <c r="G35">
        <v>199</v>
      </c>
      <c r="H35">
        <v>85</v>
      </c>
      <c r="I35">
        <v>1983</v>
      </c>
      <c r="J35">
        <v>16733</v>
      </c>
      <c r="K35">
        <v>1</v>
      </c>
      <c r="L35">
        <v>4</v>
      </c>
      <c r="M35">
        <v>1841</v>
      </c>
      <c r="N35">
        <v>4</v>
      </c>
      <c r="O35">
        <v>214</v>
      </c>
      <c r="P35">
        <v>793</v>
      </c>
      <c r="Q35">
        <v>30</v>
      </c>
      <c r="R35">
        <f>SUM(Table13[[#This Row],[Rank_All_Ranks_Total]:[Rank_SSPSPAddlSPCommandant]])</f>
        <v>43774</v>
      </c>
    </row>
    <row r="36" spans="1:18" x14ac:dyDescent="0.3">
      <c r="A36" t="s">
        <v>59</v>
      </c>
      <c r="B36">
        <v>2002</v>
      </c>
      <c r="C36" t="str">
        <f>_xlfn.CONCAT(Table13[[#This Row],[STATE]],"-",Table13[[#This Row],[Year]])</f>
        <v>Andaman &amp; Nicobar Islands-2002</v>
      </c>
      <c r="D36" t="s">
        <v>60</v>
      </c>
      <c r="E36" t="s">
        <v>61</v>
      </c>
      <c r="F36">
        <v>738</v>
      </c>
      <c r="G36">
        <v>6</v>
      </c>
      <c r="H36">
        <v>2</v>
      </c>
      <c r="I36">
        <v>0</v>
      </c>
      <c r="J36">
        <v>642</v>
      </c>
      <c r="K36">
        <v>0</v>
      </c>
      <c r="L36">
        <v>1</v>
      </c>
      <c r="M36">
        <v>70</v>
      </c>
      <c r="N36">
        <v>0</v>
      </c>
      <c r="O36">
        <v>5</v>
      </c>
      <c r="P36">
        <v>12</v>
      </c>
      <c r="Q36">
        <v>0</v>
      </c>
      <c r="R36">
        <f>SUM(Table13[[#This Row],[Rank_All_Ranks_Total]:[Rank_SSPSPAddlSPCommandant]])</f>
        <v>1476</v>
      </c>
    </row>
    <row r="37" spans="1:18" x14ac:dyDescent="0.3">
      <c r="A37" t="s">
        <v>6</v>
      </c>
      <c r="B37">
        <v>2002</v>
      </c>
      <c r="C37" t="str">
        <f>_xlfn.CONCAT(Table13[[#This Row],[STATE]],"-",Table13[[#This Row],[Year]])</f>
        <v>Andhra Pradesh-2002</v>
      </c>
      <c r="D37" t="s">
        <v>60</v>
      </c>
      <c r="E37" t="s">
        <v>61</v>
      </c>
      <c r="F37">
        <v>28825</v>
      </c>
      <c r="G37">
        <v>835</v>
      </c>
      <c r="H37">
        <v>96</v>
      </c>
      <c r="I37">
        <v>0</v>
      </c>
      <c r="J37">
        <v>20374</v>
      </c>
      <c r="K37">
        <v>0</v>
      </c>
      <c r="L37">
        <v>0</v>
      </c>
      <c r="M37">
        <v>6524</v>
      </c>
      <c r="N37">
        <v>0</v>
      </c>
      <c r="O37">
        <v>266</v>
      </c>
      <c r="P37">
        <v>699</v>
      </c>
      <c r="Q37">
        <v>31</v>
      </c>
      <c r="R37">
        <f>SUM(Table13[[#This Row],[Rank_All_Ranks_Total]:[Rank_SSPSPAddlSPCommandant]])</f>
        <v>57650</v>
      </c>
    </row>
    <row r="38" spans="1:18" x14ac:dyDescent="0.3">
      <c r="A38" t="s">
        <v>7</v>
      </c>
      <c r="B38">
        <v>2002</v>
      </c>
      <c r="C38" t="str">
        <f>_xlfn.CONCAT(Table13[[#This Row],[STATE]],"-",Table13[[#This Row],[Year]])</f>
        <v>Arunachal Pradesh-2002</v>
      </c>
      <c r="D38" t="s">
        <v>60</v>
      </c>
      <c r="E38" t="s">
        <v>61</v>
      </c>
      <c r="F38">
        <v>2529</v>
      </c>
      <c r="G38">
        <v>14</v>
      </c>
      <c r="H38">
        <v>15</v>
      </c>
      <c r="I38">
        <v>169</v>
      </c>
      <c r="J38">
        <v>1942</v>
      </c>
      <c r="K38">
        <v>0</v>
      </c>
      <c r="L38">
        <v>0</v>
      </c>
      <c r="M38">
        <v>322</v>
      </c>
      <c r="N38">
        <v>0</v>
      </c>
      <c r="O38">
        <v>19</v>
      </c>
      <c r="P38">
        <v>45</v>
      </c>
      <c r="Q38">
        <v>3</v>
      </c>
      <c r="R38">
        <f>SUM(Table13[[#This Row],[Rank_All_Ranks_Total]:[Rank_SSPSPAddlSPCommandant]])</f>
        <v>5058</v>
      </c>
    </row>
    <row r="39" spans="1:18" x14ac:dyDescent="0.3">
      <c r="A39" t="s">
        <v>8</v>
      </c>
      <c r="B39">
        <v>2002</v>
      </c>
      <c r="C39" t="str">
        <f>_xlfn.CONCAT(Table13[[#This Row],[STATE]],"-",Table13[[#This Row],[Year]])</f>
        <v>Assam-2002</v>
      </c>
      <c r="D39" t="s">
        <v>60</v>
      </c>
      <c r="E39" t="s">
        <v>61</v>
      </c>
      <c r="F39">
        <v>23662</v>
      </c>
      <c r="G39">
        <v>36</v>
      </c>
      <c r="H39">
        <v>135</v>
      </c>
      <c r="I39">
        <v>2347</v>
      </c>
      <c r="J39">
        <v>16297</v>
      </c>
      <c r="K39">
        <v>0</v>
      </c>
      <c r="L39">
        <v>0</v>
      </c>
      <c r="M39">
        <v>3863</v>
      </c>
      <c r="N39">
        <v>0</v>
      </c>
      <c r="O39">
        <v>235</v>
      </c>
      <c r="P39">
        <v>699</v>
      </c>
      <c r="Q39">
        <v>50</v>
      </c>
      <c r="R39">
        <f>SUM(Table13[[#This Row],[Rank_All_Ranks_Total]:[Rank_SSPSPAddlSPCommandant]])</f>
        <v>47324</v>
      </c>
    </row>
    <row r="40" spans="1:18" x14ac:dyDescent="0.3">
      <c r="A40" t="s">
        <v>9</v>
      </c>
      <c r="B40">
        <v>2002</v>
      </c>
      <c r="C40" t="str">
        <f>_xlfn.CONCAT(Table13[[#This Row],[STATE]],"-",Table13[[#This Row],[Year]])</f>
        <v>Bihar-2002</v>
      </c>
      <c r="D40" t="s">
        <v>60</v>
      </c>
      <c r="E40" t="s">
        <v>61</v>
      </c>
      <c r="F40">
        <v>10147</v>
      </c>
      <c r="G40">
        <v>10</v>
      </c>
      <c r="H40">
        <v>30</v>
      </c>
      <c r="I40">
        <v>0</v>
      </c>
      <c r="J40">
        <v>7044</v>
      </c>
      <c r="K40">
        <v>1</v>
      </c>
      <c r="L40">
        <v>2</v>
      </c>
      <c r="M40">
        <v>2199</v>
      </c>
      <c r="N40">
        <v>1</v>
      </c>
      <c r="O40">
        <v>113</v>
      </c>
      <c r="P40">
        <v>733</v>
      </c>
      <c r="Q40">
        <v>14</v>
      </c>
      <c r="R40">
        <f>SUM(Table13[[#This Row],[Rank_All_Ranks_Total]:[Rank_SSPSPAddlSPCommandant]])</f>
        <v>20294</v>
      </c>
    </row>
    <row r="41" spans="1:18" x14ac:dyDescent="0.3">
      <c r="A41" t="s">
        <v>35</v>
      </c>
      <c r="B41">
        <v>2002</v>
      </c>
      <c r="C41" t="str">
        <f>_xlfn.CONCAT(Table13[[#This Row],[STATE]],"-",Table13[[#This Row],[Year]])</f>
        <v>Chandigarh-2002</v>
      </c>
      <c r="D41" t="s">
        <v>60</v>
      </c>
      <c r="E41" t="s">
        <v>61</v>
      </c>
      <c r="F41">
        <v>419</v>
      </c>
      <c r="G41">
        <v>0</v>
      </c>
      <c r="H41">
        <v>1</v>
      </c>
      <c r="I41">
        <v>0</v>
      </c>
      <c r="J41">
        <v>343</v>
      </c>
      <c r="K41">
        <v>0</v>
      </c>
      <c r="L41">
        <v>0</v>
      </c>
      <c r="M41">
        <v>61</v>
      </c>
      <c r="N41">
        <v>0</v>
      </c>
      <c r="O41">
        <v>4</v>
      </c>
      <c r="P41">
        <v>10</v>
      </c>
      <c r="Q41">
        <v>0</v>
      </c>
      <c r="R41">
        <f>SUM(Table13[[#This Row],[Rank_All_Ranks_Total]:[Rank_SSPSPAddlSPCommandant]])</f>
        <v>838</v>
      </c>
    </row>
    <row r="42" spans="1:18" x14ac:dyDescent="0.3">
      <c r="A42" t="s">
        <v>10</v>
      </c>
      <c r="B42">
        <v>2002</v>
      </c>
      <c r="C42" t="str">
        <f>_xlfn.CONCAT(Table13[[#This Row],[STATE]],"-",Table13[[#This Row],[Year]])</f>
        <v>Chhattisgarh-2002</v>
      </c>
      <c r="D42" t="s">
        <v>60</v>
      </c>
      <c r="E42" t="s">
        <v>61</v>
      </c>
      <c r="F42">
        <v>1303</v>
      </c>
      <c r="G42">
        <v>0</v>
      </c>
      <c r="H42">
        <v>12</v>
      </c>
      <c r="I42">
        <v>0</v>
      </c>
      <c r="J42">
        <v>330</v>
      </c>
      <c r="K42">
        <v>0</v>
      </c>
      <c r="L42">
        <v>0</v>
      </c>
      <c r="M42">
        <v>888</v>
      </c>
      <c r="N42">
        <v>0</v>
      </c>
      <c r="O42">
        <v>3</v>
      </c>
      <c r="P42">
        <v>67</v>
      </c>
      <c r="Q42">
        <v>3</v>
      </c>
      <c r="R42">
        <f>SUM(Table13[[#This Row],[Rank_All_Ranks_Total]:[Rank_SSPSPAddlSPCommandant]])</f>
        <v>2606</v>
      </c>
    </row>
    <row r="43" spans="1:18" x14ac:dyDescent="0.3">
      <c r="A43" t="s">
        <v>62</v>
      </c>
      <c r="B43">
        <v>2002</v>
      </c>
      <c r="C43" t="str">
        <f>_xlfn.CONCAT(Table13[[#This Row],[STATE]],"-",Table13[[#This Row],[Year]])</f>
        <v>Dadra &amp; Nagar Haveli-2002</v>
      </c>
      <c r="D43" t="s">
        <v>60</v>
      </c>
      <c r="E43" t="s">
        <v>61</v>
      </c>
      <c r="F43">
        <v>91</v>
      </c>
      <c r="G43">
        <v>1</v>
      </c>
      <c r="H43">
        <v>0</v>
      </c>
      <c r="I43">
        <v>0</v>
      </c>
      <c r="J43">
        <v>72</v>
      </c>
      <c r="K43">
        <v>0</v>
      </c>
      <c r="L43">
        <v>0</v>
      </c>
      <c r="M43">
        <v>17</v>
      </c>
      <c r="N43">
        <v>0</v>
      </c>
      <c r="O43">
        <v>0</v>
      </c>
      <c r="P43">
        <v>1</v>
      </c>
      <c r="Q43">
        <v>0</v>
      </c>
      <c r="R43">
        <f>SUM(Table13[[#This Row],[Rank_All_Ranks_Total]:[Rank_SSPSPAddlSPCommandant]])</f>
        <v>182</v>
      </c>
    </row>
    <row r="44" spans="1:18" x14ac:dyDescent="0.3">
      <c r="A44" t="s">
        <v>37</v>
      </c>
      <c r="B44">
        <v>2002</v>
      </c>
      <c r="C44" t="str">
        <f>_xlfn.CONCAT(Table13[[#This Row],[STATE]],"-",Table13[[#This Row],[Year]])</f>
        <v>Daman &amp; Diu-2002</v>
      </c>
      <c r="D44" t="s">
        <v>60</v>
      </c>
      <c r="E44" t="s">
        <v>61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f>SUM(Table13[[#This Row],[Rank_All_Ranks_Total]:[Rank_SSPSPAddlSPCommandant]])</f>
        <v>0</v>
      </c>
    </row>
    <row r="45" spans="1:18" x14ac:dyDescent="0.3">
      <c r="A45" t="s">
        <v>38</v>
      </c>
      <c r="B45">
        <v>2002</v>
      </c>
      <c r="C45" t="str">
        <f>_xlfn.CONCAT(Table13[[#This Row],[STATE]],"-",Table13[[#This Row],[Year]])</f>
        <v>Delhi-2002</v>
      </c>
      <c r="D45" t="s">
        <v>60</v>
      </c>
      <c r="E45" t="s">
        <v>61</v>
      </c>
      <c r="F45">
        <v>10196</v>
      </c>
      <c r="G45">
        <v>186</v>
      </c>
      <c r="H45">
        <v>37</v>
      </c>
      <c r="I45">
        <v>0</v>
      </c>
      <c r="J45">
        <v>7801</v>
      </c>
      <c r="K45">
        <v>0</v>
      </c>
      <c r="L45">
        <v>1</v>
      </c>
      <c r="M45">
        <v>1836</v>
      </c>
      <c r="N45">
        <v>1</v>
      </c>
      <c r="O45">
        <v>77</v>
      </c>
      <c r="P45">
        <v>252</v>
      </c>
      <c r="Q45">
        <v>5</v>
      </c>
      <c r="R45">
        <f>SUM(Table13[[#This Row],[Rank_All_Ranks_Total]:[Rank_SSPSPAddlSPCommandant]])</f>
        <v>20392</v>
      </c>
    </row>
    <row r="46" spans="1:18" x14ac:dyDescent="0.3">
      <c r="A46" t="s">
        <v>11</v>
      </c>
      <c r="B46">
        <v>2002</v>
      </c>
      <c r="C46" t="str">
        <f>_xlfn.CONCAT(Table13[[#This Row],[STATE]],"-",Table13[[#This Row],[Year]])</f>
        <v>Goa-2002</v>
      </c>
      <c r="D46" t="s">
        <v>60</v>
      </c>
      <c r="E46" t="s">
        <v>61</v>
      </c>
      <c r="F46">
        <v>830</v>
      </c>
      <c r="G46">
        <v>22</v>
      </c>
      <c r="H46">
        <v>4</v>
      </c>
      <c r="I46">
        <v>0</v>
      </c>
      <c r="J46">
        <v>657</v>
      </c>
      <c r="K46">
        <v>0</v>
      </c>
      <c r="L46">
        <v>0</v>
      </c>
      <c r="M46">
        <v>132</v>
      </c>
      <c r="N46">
        <v>0</v>
      </c>
      <c r="O46">
        <v>6</v>
      </c>
      <c r="P46">
        <v>8</v>
      </c>
      <c r="Q46">
        <v>1</v>
      </c>
      <c r="R46">
        <f>SUM(Table13[[#This Row],[Rank_All_Ranks_Total]:[Rank_SSPSPAddlSPCommandant]])</f>
        <v>1660</v>
      </c>
    </row>
    <row r="47" spans="1:18" x14ac:dyDescent="0.3">
      <c r="A47" t="s">
        <v>12</v>
      </c>
      <c r="B47">
        <v>2002</v>
      </c>
      <c r="C47" t="str">
        <f>_xlfn.CONCAT(Table13[[#This Row],[STATE]],"-",Table13[[#This Row],[Year]])</f>
        <v>Gujarat-2002</v>
      </c>
      <c r="D47" t="s">
        <v>60</v>
      </c>
      <c r="E47" t="s">
        <v>61</v>
      </c>
      <c r="F47">
        <v>11045</v>
      </c>
      <c r="G47">
        <v>1041</v>
      </c>
      <c r="H47">
        <v>29</v>
      </c>
      <c r="I47">
        <v>0</v>
      </c>
      <c r="J47">
        <v>8607</v>
      </c>
      <c r="K47">
        <v>0</v>
      </c>
      <c r="L47">
        <v>0</v>
      </c>
      <c r="M47">
        <v>1050</v>
      </c>
      <c r="N47">
        <v>0</v>
      </c>
      <c r="O47">
        <v>92</v>
      </c>
      <c r="P47">
        <v>226</v>
      </c>
      <c r="Q47">
        <v>0</v>
      </c>
      <c r="R47">
        <f>SUM(Table13[[#This Row],[Rank_All_Ranks_Total]:[Rank_SSPSPAddlSPCommandant]])</f>
        <v>22090</v>
      </c>
    </row>
    <row r="48" spans="1:18" x14ac:dyDescent="0.3">
      <c r="A48" t="s">
        <v>13</v>
      </c>
      <c r="B48">
        <v>2002</v>
      </c>
      <c r="C48" t="str">
        <f>_xlfn.CONCAT(Table13[[#This Row],[STATE]],"-",Table13[[#This Row],[Year]])</f>
        <v>Haryana-2002</v>
      </c>
      <c r="D48" t="s">
        <v>60</v>
      </c>
      <c r="E48" t="s">
        <v>61</v>
      </c>
      <c r="F48">
        <v>4173</v>
      </c>
      <c r="G48">
        <v>169</v>
      </c>
      <c r="H48">
        <v>13</v>
      </c>
      <c r="I48">
        <v>0</v>
      </c>
      <c r="J48">
        <v>3464</v>
      </c>
      <c r="K48">
        <v>0</v>
      </c>
      <c r="L48">
        <v>0</v>
      </c>
      <c r="M48">
        <v>344</v>
      </c>
      <c r="N48">
        <v>1</v>
      </c>
      <c r="O48">
        <v>45</v>
      </c>
      <c r="P48">
        <v>132</v>
      </c>
      <c r="Q48">
        <v>5</v>
      </c>
      <c r="R48">
        <f>SUM(Table13[[#This Row],[Rank_All_Ranks_Total]:[Rank_SSPSPAddlSPCommandant]])</f>
        <v>8346</v>
      </c>
    </row>
    <row r="49" spans="1:18" x14ac:dyDescent="0.3">
      <c r="A49" t="s">
        <v>14</v>
      </c>
      <c r="B49">
        <v>2002</v>
      </c>
      <c r="C49" t="str">
        <f>_xlfn.CONCAT(Table13[[#This Row],[STATE]],"-",Table13[[#This Row],[Year]])</f>
        <v>Himachal Pradesh-2002</v>
      </c>
      <c r="D49" t="s">
        <v>60</v>
      </c>
      <c r="E49" t="s">
        <v>61</v>
      </c>
      <c r="F49">
        <v>3823</v>
      </c>
      <c r="G49">
        <v>63</v>
      </c>
      <c r="H49">
        <v>22</v>
      </c>
      <c r="I49">
        <v>379</v>
      </c>
      <c r="J49">
        <v>2206</v>
      </c>
      <c r="K49">
        <v>0</v>
      </c>
      <c r="L49">
        <v>2</v>
      </c>
      <c r="M49">
        <v>944</v>
      </c>
      <c r="N49">
        <v>1</v>
      </c>
      <c r="O49">
        <v>43</v>
      </c>
      <c r="P49">
        <v>157</v>
      </c>
      <c r="Q49">
        <v>6</v>
      </c>
      <c r="R49">
        <f>SUM(Table13[[#This Row],[Rank_All_Ranks_Total]:[Rank_SSPSPAddlSPCommandant]])</f>
        <v>7646</v>
      </c>
    </row>
    <row r="50" spans="1:18" x14ac:dyDescent="0.3">
      <c r="A50" t="s">
        <v>15</v>
      </c>
      <c r="B50">
        <v>2002</v>
      </c>
      <c r="C50" t="str">
        <f>_xlfn.CONCAT(Table13[[#This Row],[STATE]],"-",Table13[[#This Row],[Year]])</f>
        <v>Jammu &amp; Kashmir-2002</v>
      </c>
      <c r="D50" t="s">
        <v>60</v>
      </c>
      <c r="E50" t="s">
        <v>61</v>
      </c>
      <c r="F50">
        <v>18759</v>
      </c>
      <c r="G50">
        <v>389</v>
      </c>
      <c r="H50">
        <v>146</v>
      </c>
      <c r="I50">
        <v>0</v>
      </c>
      <c r="J50">
        <v>14534</v>
      </c>
      <c r="K50">
        <v>1</v>
      </c>
      <c r="L50">
        <v>2</v>
      </c>
      <c r="M50">
        <v>3048</v>
      </c>
      <c r="N50">
        <v>1</v>
      </c>
      <c r="O50">
        <v>125</v>
      </c>
      <c r="P50">
        <v>458</v>
      </c>
      <c r="Q50">
        <v>55</v>
      </c>
      <c r="R50">
        <f>SUM(Table13[[#This Row],[Rank_All_Ranks_Total]:[Rank_SSPSPAddlSPCommandant]])</f>
        <v>37518</v>
      </c>
    </row>
    <row r="51" spans="1:18" x14ac:dyDescent="0.3">
      <c r="A51" t="s">
        <v>16</v>
      </c>
      <c r="B51">
        <v>2002</v>
      </c>
      <c r="C51" t="str">
        <f>_xlfn.CONCAT(Table13[[#This Row],[STATE]],"-",Table13[[#This Row],[Year]])</f>
        <v>Jharkhand-2002</v>
      </c>
      <c r="D51" t="s">
        <v>60</v>
      </c>
      <c r="E51" t="s">
        <v>61</v>
      </c>
      <c r="F51">
        <v>1563</v>
      </c>
      <c r="G51">
        <v>0</v>
      </c>
      <c r="H51">
        <v>0</v>
      </c>
      <c r="I51">
        <v>0</v>
      </c>
      <c r="J51">
        <v>0</v>
      </c>
      <c r="K51">
        <v>0</v>
      </c>
      <c r="L51">
        <v>1</v>
      </c>
      <c r="M51">
        <v>1149</v>
      </c>
      <c r="N51">
        <v>1</v>
      </c>
      <c r="O51">
        <v>62</v>
      </c>
      <c r="P51">
        <v>350</v>
      </c>
      <c r="Q51">
        <v>0</v>
      </c>
      <c r="R51">
        <f>SUM(Table13[[#This Row],[Rank_All_Ranks_Total]:[Rank_SSPSPAddlSPCommandant]])</f>
        <v>3126</v>
      </c>
    </row>
    <row r="52" spans="1:18" x14ac:dyDescent="0.3">
      <c r="A52" t="s">
        <v>17</v>
      </c>
      <c r="B52">
        <v>2002</v>
      </c>
      <c r="C52" t="str">
        <f>_xlfn.CONCAT(Table13[[#This Row],[STATE]],"-",Table13[[#This Row],[Year]])</f>
        <v>Karnataka-2002</v>
      </c>
      <c r="D52" t="s">
        <v>60</v>
      </c>
      <c r="E52" t="s">
        <v>61</v>
      </c>
      <c r="F52">
        <v>2462</v>
      </c>
      <c r="G52">
        <v>76</v>
      </c>
      <c r="H52">
        <v>4</v>
      </c>
      <c r="I52">
        <v>0</v>
      </c>
      <c r="J52">
        <v>1916</v>
      </c>
      <c r="K52">
        <v>0</v>
      </c>
      <c r="L52">
        <v>0</v>
      </c>
      <c r="M52">
        <v>411</v>
      </c>
      <c r="N52">
        <v>0</v>
      </c>
      <c r="O52">
        <v>12</v>
      </c>
      <c r="P52">
        <v>43</v>
      </c>
      <c r="Q52">
        <v>0</v>
      </c>
      <c r="R52">
        <f>SUM(Table13[[#This Row],[Rank_All_Ranks_Total]:[Rank_SSPSPAddlSPCommandant]])</f>
        <v>4924</v>
      </c>
    </row>
    <row r="53" spans="1:18" x14ac:dyDescent="0.3">
      <c r="A53" t="s">
        <v>18</v>
      </c>
      <c r="B53">
        <v>2002</v>
      </c>
      <c r="C53" t="str">
        <f>_xlfn.CONCAT(Table13[[#This Row],[STATE]],"-",Table13[[#This Row],[Year]])</f>
        <v>Kerala-2002</v>
      </c>
      <c r="D53" t="s">
        <v>60</v>
      </c>
      <c r="E53" t="s">
        <v>61</v>
      </c>
      <c r="F53">
        <v>7771</v>
      </c>
      <c r="G53">
        <v>91</v>
      </c>
      <c r="H53">
        <v>32</v>
      </c>
      <c r="I53">
        <v>0</v>
      </c>
      <c r="J53">
        <v>6053</v>
      </c>
      <c r="K53">
        <v>0</v>
      </c>
      <c r="L53">
        <v>0</v>
      </c>
      <c r="M53">
        <v>1303</v>
      </c>
      <c r="N53">
        <v>0</v>
      </c>
      <c r="O53">
        <v>62</v>
      </c>
      <c r="P53">
        <v>225</v>
      </c>
      <c r="Q53">
        <v>5</v>
      </c>
      <c r="R53">
        <f>SUM(Table13[[#This Row],[Rank_All_Ranks_Total]:[Rank_SSPSPAddlSPCommandant]])</f>
        <v>15542</v>
      </c>
    </row>
    <row r="54" spans="1:18" x14ac:dyDescent="0.3">
      <c r="A54" t="s">
        <v>39</v>
      </c>
      <c r="B54">
        <v>2002</v>
      </c>
      <c r="C54" t="str">
        <f>_xlfn.CONCAT(Table13[[#This Row],[STATE]],"-",Table13[[#This Row],[Year]])</f>
        <v>Lakshadweep-2002</v>
      </c>
      <c r="D54" t="s">
        <v>60</v>
      </c>
      <c r="E54" t="s">
        <v>61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f>SUM(Table13[[#This Row],[Rank_All_Ranks_Total]:[Rank_SSPSPAddlSPCommandant]])</f>
        <v>0</v>
      </c>
    </row>
    <row r="55" spans="1:18" x14ac:dyDescent="0.3">
      <c r="A55" t="s">
        <v>19</v>
      </c>
      <c r="B55">
        <v>2002</v>
      </c>
      <c r="C55" t="str">
        <f>_xlfn.CONCAT(Table13[[#This Row],[STATE]],"-",Table13[[#This Row],[Year]])</f>
        <v>Madhya Pradesh-2002</v>
      </c>
      <c r="D55" t="s">
        <v>60</v>
      </c>
      <c r="E55" t="s">
        <v>61</v>
      </c>
      <c r="F55">
        <v>16933</v>
      </c>
      <c r="G55">
        <v>857</v>
      </c>
      <c r="H55">
        <v>40</v>
      </c>
      <c r="I55">
        <v>0</v>
      </c>
      <c r="J55">
        <v>12599</v>
      </c>
      <c r="K55">
        <v>1</v>
      </c>
      <c r="L55">
        <v>7</v>
      </c>
      <c r="M55">
        <v>2841</v>
      </c>
      <c r="N55">
        <v>1</v>
      </c>
      <c r="O55">
        <v>140</v>
      </c>
      <c r="P55">
        <v>412</v>
      </c>
      <c r="Q55">
        <v>35</v>
      </c>
      <c r="R55">
        <f>SUM(Table13[[#This Row],[Rank_All_Ranks_Total]:[Rank_SSPSPAddlSPCommandant]])</f>
        <v>33866</v>
      </c>
    </row>
    <row r="56" spans="1:18" x14ac:dyDescent="0.3">
      <c r="A56" t="s">
        <v>20</v>
      </c>
      <c r="B56">
        <v>2002</v>
      </c>
      <c r="C56" t="str">
        <f>_xlfn.CONCAT(Table13[[#This Row],[STATE]],"-",Table13[[#This Row],[Year]])</f>
        <v>Maharashtra-2002</v>
      </c>
      <c r="D56" t="s">
        <v>60</v>
      </c>
      <c r="E56" t="s">
        <v>61</v>
      </c>
      <c r="F56">
        <v>13941</v>
      </c>
      <c r="G56">
        <v>1231</v>
      </c>
      <c r="H56">
        <v>38</v>
      </c>
      <c r="I56">
        <v>2950</v>
      </c>
      <c r="J56">
        <v>7062</v>
      </c>
      <c r="K56">
        <v>0</v>
      </c>
      <c r="L56">
        <v>0</v>
      </c>
      <c r="M56">
        <v>2457</v>
      </c>
      <c r="N56">
        <v>0</v>
      </c>
      <c r="O56">
        <v>70</v>
      </c>
      <c r="P56">
        <v>130</v>
      </c>
      <c r="Q56">
        <v>3</v>
      </c>
      <c r="R56">
        <f>SUM(Table13[[#This Row],[Rank_All_Ranks_Total]:[Rank_SSPSPAddlSPCommandant]])</f>
        <v>27882</v>
      </c>
    </row>
    <row r="57" spans="1:18" x14ac:dyDescent="0.3">
      <c r="A57" t="s">
        <v>21</v>
      </c>
      <c r="B57">
        <v>2002</v>
      </c>
      <c r="C57" t="str">
        <f>_xlfn.CONCAT(Table13[[#This Row],[STATE]],"-",Table13[[#This Row],[Year]])</f>
        <v>Manipur-2002</v>
      </c>
      <c r="D57" t="s">
        <v>60</v>
      </c>
      <c r="E57" t="s">
        <v>61</v>
      </c>
      <c r="F57">
        <v>9200</v>
      </c>
      <c r="G57">
        <v>0</v>
      </c>
      <c r="H57">
        <v>60</v>
      </c>
      <c r="I57">
        <v>782</v>
      </c>
      <c r="J57">
        <v>7470</v>
      </c>
      <c r="K57">
        <v>1</v>
      </c>
      <c r="L57">
        <v>1</v>
      </c>
      <c r="M57">
        <v>554</v>
      </c>
      <c r="N57">
        <v>1</v>
      </c>
      <c r="O57">
        <v>89</v>
      </c>
      <c r="P57">
        <v>222</v>
      </c>
      <c r="Q57">
        <v>20</v>
      </c>
      <c r="R57">
        <f>SUM(Table13[[#This Row],[Rank_All_Ranks_Total]:[Rank_SSPSPAddlSPCommandant]])</f>
        <v>18400</v>
      </c>
    </row>
    <row r="58" spans="1:18" x14ac:dyDescent="0.3">
      <c r="A58" t="s">
        <v>22</v>
      </c>
      <c r="B58">
        <v>2002</v>
      </c>
      <c r="C58" t="str">
        <f>_xlfn.CONCAT(Table13[[#This Row],[STATE]],"-",Table13[[#This Row],[Year]])</f>
        <v>Meghalaya-2002</v>
      </c>
      <c r="D58" t="s">
        <v>60</v>
      </c>
      <c r="E58" t="s">
        <v>61</v>
      </c>
      <c r="F58">
        <v>3400</v>
      </c>
      <c r="G58">
        <v>0</v>
      </c>
      <c r="H58">
        <v>22</v>
      </c>
      <c r="I58">
        <v>197</v>
      </c>
      <c r="J58">
        <v>2782</v>
      </c>
      <c r="K58">
        <v>0</v>
      </c>
      <c r="L58">
        <v>0</v>
      </c>
      <c r="M58">
        <v>301</v>
      </c>
      <c r="N58">
        <v>0</v>
      </c>
      <c r="O58">
        <v>26</v>
      </c>
      <c r="P58">
        <v>63</v>
      </c>
      <c r="Q58">
        <v>9</v>
      </c>
      <c r="R58">
        <f>SUM(Table13[[#This Row],[Rank_All_Ranks_Total]:[Rank_SSPSPAddlSPCommandant]])</f>
        <v>6800</v>
      </c>
    </row>
    <row r="59" spans="1:18" x14ac:dyDescent="0.3">
      <c r="A59" t="s">
        <v>23</v>
      </c>
      <c r="B59">
        <v>2002</v>
      </c>
      <c r="C59" t="str">
        <f>_xlfn.CONCAT(Table13[[#This Row],[STATE]],"-",Table13[[#This Row],[Year]])</f>
        <v>Mizoram-2002</v>
      </c>
      <c r="D59" t="s">
        <v>60</v>
      </c>
      <c r="E59" t="s">
        <v>61</v>
      </c>
      <c r="F59">
        <v>1766</v>
      </c>
      <c r="G59">
        <v>9</v>
      </c>
      <c r="H59">
        <v>10</v>
      </c>
      <c r="I59">
        <v>284</v>
      </c>
      <c r="J59">
        <v>1168</v>
      </c>
      <c r="K59">
        <v>0</v>
      </c>
      <c r="L59">
        <v>0</v>
      </c>
      <c r="M59">
        <v>212</v>
      </c>
      <c r="N59">
        <v>0</v>
      </c>
      <c r="O59">
        <v>22</v>
      </c>
      <c r="P59">
        <v>56</v>
      </c>
      <c r="Q59">
        <v>5</v>
      </c>
      <c r="R59">
        <f>SUM(Table13[[#This Row],[Rank_All_Ranks_Total]:[Rank_SSPSPAddlSPCommandant]])</f>
        <v>3532</v>
      </c>
    </row>
    <row r="60" spans="1:18" x14ac:dyDescent="0.3">
      <c r="A60" t="s">
        <v>24</v>
      </c>
      <c r="B60">
        <v>2002</v>
      </c>
      <c r="C60" t="str">
        <f>_xlfn.CONCAT(Table13[[#This Row],[STATE]],"-",Table13[[#This Row],[Year]])</f>
        <v>Nagaland-2002</v>
      </c>
      <c r="D60" t="s">
        <v>60</v>
      </c>
      <c r="E60" t="s">
        <v>61</v>
      </c>
      <c r="F60">
        <v>5973</v>
      </c>
      <c r="G60">
        <v>0</v>
      </c>
      <c r="H60">
        <v>19</v>
      </c>
      <c r="I60">
        <v>671</v>
      </c>
      <c r="J60">
        <v>4546</v>
      </c>
      <c r="K60">
        <v>0</v>
      </c>
      <c r="L60">
        <v>0</v>
      </c>
      <c r="M60">
        <v>569</v>
      </c>
      <c r="N60">
        <v>0</v>
      </c>
      <c r="O60">
        <v>17</v>
      </c>
      <c r="P60">
        <v>137</v>
      </c>
      <c r="Q60">
        <v>14</v>
      </c>
      <c r="R60">
        <f>SUM(Table13[[#This Row],[Rank_All_Ranks_Total]:[Rank_SSPSPAddlSPCommandant]])</f>
        <v>11946</v>
      </c>
    </row>
    <row r="61" spans="1:18" x14ac:dyDescent="0.3">
      <c r="A61" t="s">
        <v>63</v>
      </c>
      <c r="B61">
        <v>2002</v>
      </c>
      <c r="C61" t="str">
        <f>_xlfn.CONCAT(Table13[[#This Row],[STATE]],"-",Table13[[#This Row],[Year]])</f>
        <v>Odisha-2002</v>
      </c>
      <c r="D61" t="s">
        <v>60</v>
      </c>
      <c r="E61" t="s">
        <v>61</v>
      </c>
      <c r="F61">
        <v>8577</v>
      </c>
      <c r="G61">
        <v>196</v>
      </c>
      <c r="H61">
        <v>55</v>
      </c>
      <c r="I61">
        <v>354</v>
      </c>
      <c r="J61">
        <v>6425</v>
      </c>
      <c r="K61">
        <v>0</v>
      </c>
      <c r="L61">
        <v>0</v>
      </c>
      <c r="M61">
        <v>1294</v>
      </c>
      <c r="N61">
        <v>0</v>
      </c>
      <c r="O61">
        <v>40</v>
      </c>
      <c r="P61">
        <v>193</v>
      </c>
      <c r="Q61">
        <v>20</v>
      </c>
      <c r="R61">
        <f>SUM(Table13[[#This Row],[Rank_All_Ranks_Total]:[Rank_SSPSPAddlSPCommandant]])</f>
        <v>17154</v>
      </c>
    </row>
    <row r="62" spans="1:18" x14ac:dyDescent="0.3">
      <c r="A62" t="s">
        <v>64</v>
      </c>
      <c r="B62">
        <v>2002</v>
      </c>
      <c r="C62" t="str">
        <f>_xlfn.CONCAT(Table13[[#This Row],[STATE]],"-",Table13[[#This Row],[Year]])</f>
        <v>Puducherry-2002</v>
      </c>
      <c r="D62" t="s">
        <v>60</v>
      </c>
      <c r="E62" t="s">
        <v>61</v>
      </c>
      <c r="F62">
        <v>683</v>
      </c>
      <c r="G62">
        <v>2</v>
      </c>
      <c r="H62">
        <v>1</v>
      </c>
      <c r="I62">
        <v>0</v>
      </c>
      <c r="J62">
        <v>565</v>
      </c>
      <c r="K62">
        <v>0</v>
      </c>
      <c r="L62">
        <v>0</v>
      </c>
      <c r="M62">
        <v>93</v>
      </c>
      <c r="N62">
        <v>0</v>
      </c>
      <c r="O62">
        <v>5</v>
      </c>
      <c r="P62">
        <v>17</v>
      </c>
      <c r="Q62">
        <v>0</v>
      </c>
      <c r="R62">
        <f>SUM(Table13[[#This Row],[Rank_All_Ranks_Total]:[Rank_SSPSPAddlSPCommandant]])</f>
        <v>1366</v>
      </c>
    </row>
    <row r="63" spans="1:18" x14ac:dyDescent="0.3">
      <c r="A63" t="s">
        <v>26</v>
      </c>
      <c r="B63">
        <v>2002</v>
      </c>
      <c r="C63" t="str">
        <f>_xlfn.CONCAT(Table13[[#This Row],[STATE]],"-",Table13[[#This Row],[Year]])</f>
        <v>Punjab-2002</v>
      </c>
      <c r="D63" t="s">
        <v>60</v>
      </c>
      <c r="E63" t="s">
        <v>61</v>
      </c>
      <c r="F63">
        <v>16527</v>
      </c>
      <c r="G63">
        <v>355</v>
      </c>
      <c r="H63">
        <v>92</v>
      </c>
      <c r="I63">
        <v>0</v>
      </c>
      <c r="J63">
        <v>13708</v>
      </c>
      <c r="K63">
        <v>1</v>
      </c>
      <c r="L63">
        <v>5</v>
      </c>
      <c r="M63">
        <v>1759</v>
      </c>
      <c r="N63">
        <v>3</v>
      </c>
      <c r="O63">
        <v>112</v>
      </c>
      <c r="P63">
        <v>471</v>
      </c>
      <c r="Q63">
        <v>21</v>
      </c>
      <c r="R63">
        <f>SUM(Table13[[#This Row],[Rank_All_Ranks_Total]:[Rank_SSPSPAddlSPCommandant]])</f>
        <v>33054</v>
      </c>
    </row>
    <row r="64" spans="1:18" x14ac:dyDescent="0.3">
      <c r="A64" t="s">
        <v>27</v>
      </c>
      <c r="B64">
        <v>2002</v>
      </c>
      <c r="C64" t="str">
        <f>_xlfn.CONCAT(Table13[[#This Row],[STATE]],"-",Table13[[#This Row],[Year]])</f>
        <v>Rajasthan-2002</v>
      </c>
      <c r="D64" t="s">
        <v>60</v>
      </c>
      <c r="E64" t="s">
        <v>61</v>
      </c>
      <c r="F64">
        <v>11321</v>
      </c>
      <c r="G64">
        <v>0</v>
      </c>
      <c r="H64">
        <v>60</v>
      </c>
      <c r="I64">
        <v>0</v>
      </c>
      <c r="J64">
        <v>8989</v>
      </c>
      <c r="K64">
        <v>0</v>
      </c>
      <c r="L64">
        <v>2</v>
      </c>
      <c r="M64">
        <v>1938</v>
      </c>
      <c r="N64">
        <v>1</v>
      </c>
      <c r="O64">
        <v>80</v>
      </c>
      <c r="P64">
        <v>240</v>
      </c>
      <c r="Q64">
        <v>11</v>
      </c>
      <c r="R64">
        <f>SUM(Table13[[#This Row],[Rank_All_Ranks_Total]:[Rank_SSPSPAddlSPCommandant]])</f>
        <v>22642</v>
      </c>
    </row>
    <row r="65" spans="1:18" x14ac:dyDescent="0.3">
      <c r="A65" t="s">
        <v>28</v>
      </c>
      <c r="B65">
        <v>2002</v>
      </c>
      <c r="C65" t="str">
        <f>_xlfn.CONCAT(Table13[[#This Row],[STATE]],"-",Table13[[#This Row],[Year]])</f>
        <v>Sikkim-2002</v>
      </c>
      <c r="D65" t="s">
        <v>60</v>
      </c>
      <c r="E65" t="s">
        <v>61</v>
      </c>
      <c r="F65">
        <v>1460</v>
      </c>
      <c r="G65">
        <v>41</v>
      </c>
      <c r="H65">
        <v>10</v>
      </c>
      <c r="I65">
        <v>132</v>
      </c>
      <c r="J65">
        <v>1171</v>
      </c>
      <c r="K65">
        <v>0</v>
      </c>
      <c r="L65">
        <v>1</v>
      </c>
      <c r="M65">
        <v>64</v>
      </c>
      <c r="N65">
        <v>0</v>
      </c>
      <c r="O65">
        <v>10</v>
      </c>
      <c r="P65">
        <v>29</v>
      </c>
      <c r="Q65">
        <v>2</v>
      </c>
      <c r="R65">
        <f>SUM(Table13[[#This Row],[Rank_All_Ranks_Total]:[Rank_SSPSPAddlSPCommandant]])</f>
        <v>2920</v>
      </c>
    </row>
    <row r="66" spans="1:18" x14ac:dyDescent="0.3">
      <c r="A66" t="s">
        <v>42</v>
      </c>
      <c r="B66">
        <v>2002</v>
      </c>
      <c r="C66" t="str">
        <f>_xlfn.CONCAT(Table13[[#This Row],[STATE]],"-",Table13[[#This Row],[Year]])</f>
        <v>Tamil Nadu-2002</v>
      </c>
      <c r="D66" t="s">
        <v>60</v>
      </c>
      <c r="E66" t="s">
        <v>61</v>
      </c>
      <c r="F66">
        <v>10896</v>
      </c>
      <c r="G66">
        <v>0</v>
      </c>
      <c r="H66">
        <v>37</v>
      </c>
      <c r="I66">
        <v>1345</v>
      </c>
      <c r="J66">
        <v>7728</v>
      </c>
      <c r="K66">
        <v>0</v>
      </c>
      <c r="L66">
        <v>2</v>
      </c>
      <c r="M66">
        <v>1318</v>
      </c>
      <c r="N66">
        <v>1</v>
      </c>
      <c r="O66">
        <v>103</v>
      </c>
      <c r="P66">
        <v>345</v>
      </c>
      <c r="Q66">
        <v>17</v>
      </c>
      <c r="R66">
        <f>SUM(Table13[[#This Row],[Rank_All_Ranks_Total]:[Rank_SSPSPAddlSPCommandant]])</f>
        <v>21792</v>
      </c>
    </row>
    <row r="67" spans="1:18" x14ac:dyDescent="0.3">
      <c r="A67" t="s">
        <v>30</v>
      </c>
      <c r="B67">
        <v>2002</v>
      </c>
      <c r="C67" t="str">
        <f>_xlfn.CONCAT(Table13[[#This Row],[STATE]],"-",Table13[[#This Row],[Year]])</f>
        <v>Tripura-2002</v>
      </c>
      <c r="D67" t="s">
        <v>60</v>
      </c>
      <c r="E67" t="s">
        <v>61</v>
      </c>
      <c r="F67">
        <v>8213</v>
      </c>
      <c r="G67">
        <v>0</v>
      </c>
      <c r="H67">
        <v>38</v>
      </c>
      <c r="I67">
        <v>944</v>
      </c>
      <c r="J67">
        <v>6828</v>
      </c>
      <c r="K67">
        <v>0</v>
      </c>
      <c r="L67">
        <v>0</v>
      </c>
      <c r="M67">
        <v>165</v>
      </c>
      <c r="N67">
        <v>0</v>
      </c>
      <c r="O67">
        <v>20</v>
      </c>
      <c r="P67">
        <v>203</v>
      </c>
      <c r="Q67">
        <v>15</v>
      </c>
      <c r="R67">
        <f>SUM(Table13[[#This Row],[Rank_All_Ranks_Total]:[Rank_SSPSPAddlSPCommandant]])</f>
        <v>16426</v>
      </c>
    </row>
    <row r="68" spans="1:18" x14ac:dyDescent="0.3">
      <c r="A68" t="s">
        <v>31</v>
      </c>
      <c r="B68">
        <v>2002</v>
      </c>
      <c r="C68" t="str">
        <f>_xlfn.CONCAT(Table13[[#This Row],[STATE]],"-",Table13[[#This Row],[Year]])</f>
        <v>Uttar Pradesh-2002</v>
      </c>
      <c r="D68" t="s">
        <v>60</v>
      </c>
      <c r="E68" t="s">
        <v>61</v>
      </c>
      <c r="F68">
        <v>33187</v>
      </c>
      <c r="G68">
        <v>0</v>
      </c>
      <c r="H68">
        <v>70</v>
      </c>
      <c r="I68">
        <v>0</v>
      </c>
      <c r="J68">
        <v>26420</v>
      </c>
      <c r="K68">
        <v>1</v>
      </c>
      <c r="L68">
        <v>7</v>
      </c>
      <c r="M68">
        <v>5617</v>
      </c>
      <c r="N68">
        <v>5</v>
      </c>
      <c r="O68">
        <v>247</v>
      </c>
      <c r="P68">
        <v>767</v>
      </c>
      <c r="Q68">
        <v>53</v>
      </c>
      <c r="R68">
        <f>SUM(Table13[[#This Row],[Rank_All_Ranks_Total]:[Rank_SSPSPAddlSPCommandant]])</f>
        <v>66374</v>
      </c>
    </row>
    <row r="69" spans="1:18" x14ac:dyDescent="0.3">
      <c r="A69" t="s">
        <v>65</v>
      </c>
      <c r="B69">
        <v>2002</v>
      </c>
      <c r="C69" t="str">
        <f>_xlfn.CONCAT(Table13[[#This Row],[STATE]],"-",Table13[[#This Row],[Year]])</f>
        <v>Uttarakhand-2002</v>
      </c>
      <c r="D69" t="s">
        <v>60</v>
      </c>
      <c r="E69" t="s">
        <v>61</v>
      </c>
      <c r="F69">
        <v>2677</v>
      </c>
      <c r="G69">
        <v>0</v>
      </c>
      <c r="H69">
        <v>9</v>
      </c>
      <c r="I69">
        <v>569</v>
      </c>
      <c r="J69">
        <v>1526</v>
      </c>
      <c r="K69">
        <v>0</v>
      </c>
      <c r="L69">
        <v>0</v>
      </c>
      <c r="M69">
        <v>487</v>
      </c>
      <c r="N69">
        <v>0</v>
      </c>
      <c r="O69">
        <v>27</v>
      </c>
      <c r="P69">
        <v>57</v>
      </c>
      <c r="Q69">
        <v>2</v>
      </c>
      <c r="R69">
        <f>SUM(Table13[[#This Row],[Rank_All_Ranks_Total]:[Rank_SSPSPAddlSPCommandant]])</f>
        <v>5354</v>
      </c>
    </row>
    <row r="70" spans="1:18" x14ac:dyDescent="0.3">
      <c r="A70" t="s">
        <v>33</v>
      </c>
      <c r="B70">
        <v>2002</v>
      </c>
      <c r="C70" t="str">
        <f>_xlfn.CONCAT(Table13[[#This Row],[STATE]],"-",Table13[[#This Row],[Year]])</f>
        <v>West Bengal-2002</v>
      </c>
      <c r="D70" t="s">
        <v>60</v>
      </c>
      <c r="E70" t="s">
        <v>61</v>
      </c>
      <c r="F70">
        <v>20465</v>
      </c>
      <c r="G70">
        <v>207</v>
      </c>
      <c r="H70">
        <v>76</v>
      </c>
      <c r="I70">
        <v>1916</v>
      </c>
      <c r="J70">
        <v>15792</v>
      </c>
      <c r="K70">
        <v>1</v>
      </c>
      <c r="L70">
        <v>5</v>
      </c>
      <c r="M70">
        <v>1689</v>
      </c>
      <c r="N70">
        <v>2</v>
      </c>
      <c r="O70">
        <v>223</v>
      </c>
      <c r="P70">
        <v>531</v>
      </c>
      <c r="Q70">
        <v>23</v>
      </c>
      <c r="R70">
        <f>SUM(Table13[[#This Row],[Rank_All_Ranks_Total]:[Rank_SSPSPAddlSPCommandant]])</f>
        <v>40930</v>
      </c>
    </row>
    <row r="71" spans="1:18" x14ac:dyDescent="0.3">
      <c r="A71" t="s">
        <v>59</v>
      </c>
      <c r="B71">
        <v>2003</v>
      </c>
      <c r="C71" t="str">
        <f>_xlfn.CONCAT(Table13[[#This Row],[STATE]],"-",Table13[[#This Row],[Year]])</f>
        <v>Andaman &amp; Nicobar Islands-2003</v>
      </c>
      <c r="D71" t="s">
        <v>60</v>
      </c>
      <c r="E71" t="s">
        <v>61</v>
      </c>
      <c r="F71">
        <v>455</v>
      </c>
      <c r="G71">
        <v>3</v>
      </c>
      <c r="H71">
        <v>3</v>
      </c>
      <c r="I71">
        <v>0</v>
      </c>
      <c r="J71">
        <v>335</v>
      </c>
      <c r="K71">
        <v>0</v>
      </c>
      <c r="L71">
        <v>1</v>
      </c>
      <c r="M71">
        <v>88</v>
      </c>
      <c r="N71">
        <v>0</v>
      </c>
      <c r="O71">
        <v>7</v>
      </c>
      <c r="P71">
        <v>18</v>
      </c>
      <c r="Q71">
        <v>0</v>
      </c>
      <c r="R71">
        <f>SUM(Table13[[#This Row],[Rank_All_Ranks_Total]:[Rank_SSPSPAddlSPCommandant]])</f>
        <v>910</v>
      </c>
    </row>
    <row r="72" spans="1:18" x14ac:dyDescent="0.3">
      <c r="A72" t="s">
        <v>6</v>
      </c>
      <c r="B72">
        <v>2003</v>
      </c>
      <c r="C72" t="str">
        <f>_xlfn.CONCAT(Table13[[#This Row],[STATE]],"-",Table13[[#This Row],[Year]])</f>
        <v>Andhra Pradesh-2003</v>
      </c>
      <c r="D72" t="s">
        <v>60</v>
      </c>
      <c r="E72" t="s">
        <v>61</v>
      </c>
      <c r="F72">
        <v>12636</v>
      </c>
      <c r="G72">
        <v>413</v>
      </c>
      <c r="H72">
        <v>49</v>
      </c>
      <c r="I72">
        <v>0</v>
      </c>
      <c r="J72">
        <v>8661</v>
      </c>
      <c r="K72">
        <v>0</v>
      </c>
      <c r="L72">
        <v>0</v>
      </c>
      <c r="M72">
        <v>3054</v>
      </c>
      <c r="N72">
        <v>0</v>
      </c>
      <c r="O72">
        <v>123</v>
      </c>
      <c r="P72">
        <v>312</v>
      </c>
      <c r="Q72">
        <v>24</v>
      </c>
      <c r="R72">
        <f>SUM(Table13[[#This Row],[Rank_All_Ranks_Total]:[Rank_SSPSPAddlSPCommandant]])</f>
        <v>25272</v>
      </c>
    </row>
    <row r="73" spans="1:18" x14ac:dyDescent="0.3">
      <c r="A73" t="s">
        <v>7</v>
      </c>
      <c r="B73">
        <v>2003</v>
      </c>
      <c r="C73" t="str">
        <f>_xlfn.CONCAT(Table13[[#This Row],[STATE]],"-",Table13[[#This Row],[Year]])</f>
        <v>Arunachal Pradesh-2003</v>
      </c>
      <c r="D73" t="s">
        <v>60</v>
      </c>
      <c r="E73" t="s">
        <v>61</v>
      </c>
      <c r="F73">
        <v>2529</v>
      </c>
      <c r="G73">
        <v>14</v>
      </c>
      <c r="H73">
        <v>15</v>
      </c>
      <c r="I73">
        <v>169</v>
      </c>
      <c r="J73">
        <v>1942</v>
      </c>
      <c r="K73">
        <v>0</v>
      </c>
      <c r="L73">
        <v>0</v>
      </c>
      <c r="M73">
        <v>322</v>
      </c>
      <c r="N73">
        <v>0</v>
      </c>
      <c r="O73">
        <v>19</v>
      </c>
      <c r="P73">
        <v>45</v>
      </c>
      <c r="Q73">
        <v>3</v>
      </c>
      <c r="R73">
        <f>SUM(Table13[[#This Row],[Rank_All_Ranks_Total]:[Rank_SSPSPAddlSPCommandant]])</f>
        <v>5058</v>
      </c>
    </row>
    <row r="74" spans="1:18" x14ac:dyDescent="0.3">
      <c r="A74" t="s">
        <v>8</v>
      </c>
      <c r="B74">
        <v>2003</v>
      </c>
      <c r="C74" t="str">
        <f>_xlfn.CONCAT(Table13[[#This Row],[STATE]],"-",Table13[[#This Row],[Year]])</f>
        <v>Assam-2003</v>
      </c>
      <c r="D74" t="s">
        <v>60</v>
      </c>
      <c r="E74" t="s">
        <v>61</v>
      </c>
      <c r="F74">
        <v>23708</v>
      </c>
      <c r="G74">
        <v>30</v>
      </c>
      <c r="H74">
        <v>135</v>
      </c>
      <c r="I74">
        <v>2400</v>
      </c>
      <c r="J74">
        <v>16097</v>
      </c>
      <c r="K74">
        <v>0</v>
      </c>
      <c r="L74">
        <v>0</v>
      </c>
      <c r="M74">
        <v>4061</v>
      </c>
      <c r="N74">
        <v>0</v>
      </c>
      <c r="O74">
        <v>235</v>
      </c>
      <c r="P74">
        <v>700</v>
      </c>
      <c r="Q74">
        <v>50</v>
      </c>
      <c r="R74">
        <f>SUM(Table13[[#This Row],[Rank_All_Ranks_Total]:[Rank_SSPSPAddlSPCommandant]])</f>
        <v>47416</v>
      </c>
    </row>
    <row r="75" spans="1:18" x14ac:dyDescent="0.3">
      <c r="A75" t="s">
        <v>9</v>
      </c>
      <c r="B75">
        <v>2003</v>
      </c>
      <c r="C75" t="str">
        <f>_xlfn.CONCAT(Table13[[#This Row],[STATE]],"-",Table13[[#This Row],[Year]])</f>
        <v>Bihar-2003</v>
      </c>
      <c r="D75" t="s">
        <v>60</v>
      </c>
      <c r="E75" t="s">
        <v>61</v>
      </c>
      <c r="F75">
        <v>9802</v>
      </c>
      <c r="G75">
        <v>22</v>
      </c>
      <c r="H75">
        <v>92</v>
      </c>
      <c r="I75">
        <v>0</v>
      </c>
      <c r="J75">
        <v>6774</v>
      </c>
      <c r="K75">
        <v>1</v>
      </c>
      <c r="L75">
        <v>2</v>
      </c>
      <c r="M75">
        <v>2158</v>
      </c>
      <c r="N75">
        <v>1</v>
      </c>
      <c r="O75">
        <v>107</v>
      </c>
      <c r="P75">
        <v>630</v>
      </c>
      <c r="Q75">
        <v>15</v>
      </c>
      <c r="R75">
        <f>SUM(Table13[[#This Row],[Rank_All_Ranks_Total]:[Rank_SSPSPAddlSPCommandant]])</f>
        <v>19604</v>
      </c>
    </row>
    <row r="76" spans="1:18" x14ac:dyDescent="0.3">
      <c r="A76" t="s">
        <v>35</v>
      </c>
      <c r="B76">
        <v>2003</v>
      </c>
      <c r="C76" t="str">
        <f>_xlfn.CONCAT(Table13[[#This Row],[STATE]],"-",Table13[[#This Row],[Year]])</f>
        <v>Chandigarh-2003</v>
      </c>
      <c r="D76" t="s">
        <v>60</v>
      </c>
      <c r="E76" t="s">
        <v>61</v>
      </c>
      <c r="F76">
        <v>419</v>
      </c>
      <c r="G76">
        <v>0</v>
      </c>
      <c r="H76">
        <v>1</v>
      </c>
      <c r="I76">
        <v>0</v>
      </c>
      <c r="J76">
        <v>343</v>
      </c>
      <c r="K76">
        <v>0</v>
      </c>
      <c r="L76">
        <v>0</v>
      </c>
      <c r="M76">
        <v>61</v>
      </c>
      <c r="N76">
        <v>0</v>
      </c>
      <c r="O76">
        <v>4</v>
      </c>
      <c r="P76">
        <v>10</v>
      </c>
      <c r="Q76">
        <v>0</v>
      </c>
      <c r="R76">
        <f>SUM(Table13[[#This Row],[Rank_All_Ranks_Total]:[Rank_SSPSPAddlSPCommandant]])</f>
        <v>838</v>
      </c>
    </row>
    <row r="77" spans="1:18" x14ac:dyDescent="0.3">
      <c r="A77" t="s">
        <v>10</v>
      </c>
      <c r="B77">
        <v>2003</v>
      </c>
      <c r="C77" t="str">
        <f>_xlfn.CONCAT(Table13[[#This Row],[STATE]],"-",Table13[[#This Row],[Year]])</f>
        <v>Chhattisgarh-2003</v>
      </c>
      <c r="D77" t="s">
        <v>60</v>
      </c>
      <c r="E77" t="s">
        <v>61</v>
      </c>
      <c r="F77">
        <v>7757</v>
      </c>
      <c r="G77">
        <v>452</v>
      </c>
      <c r="H77">
        <v>22</v>
      </c>
      <c r="I77">
        <v>658</v>
      </c>
      <c r="J77">
        <v>4948</v>
      </c>
      <c r="K77">
        <v>0</v>
      </c>
      <c r="L77">
        <v>1</v>
      </c>
      <c r="M77">
        <v>1428</v>
      </c>
      <c r="N77">
        <v>1</v>
      </c>
      <c r="O77">
        <v>51</v>
      </c>
      <c r="P77">
        <v>180</v>
      </c>
      <c r="Q77">
        <v>16</v>
      </c>
      <c r="R77">
        <f>SUM(Table13[[#This Row],[Rank_All_Ranks_Total]:[Rank_SSPSPAddlSPCommandant]])</f>
        <v>15514</v>
      </c>
    </row>
    <row r="78" spans="1:18" x14ac:dyDescent="0.3">
      <c r="A78" t="s">
        <v>62</v>
      </c>
      <c r="B78">
        <v>2003</v>
      </c>
      <c r="C78" t="str">
        <f>_xlfn.CONCAT(Table13[[#This Row],[STATE]],"-",Table13[[#This Row],[Year]])</f>
        <v>Dadra &amp; Nagar Haveli-2003</v>
      </c>
      <c r="D78" t="s">
        <v>60</v>
      </c>
      <c r="E78" t="s">
        <v>61</v>
      </c>
      <c r="F78">
        <v>9</v>
      </c>
      <c r="G78">
        <v>0</v>
      </c>
      <c r="H78">
        <v>0</v>
      </c>
      <c r="I78">
        <v>0</v>
      </c>
      <c r="J78">
        <v>4</v>
      </c>
      <c r="K78">
        <v>0</v>
      </c>
      <c r="L78">
        <v>0</v>
      </c>
      <c r="M78">
        <v>3</v>
      </c>
      <c r="N78">
        <v>0</v>
      </c>
      <c r="O78">
        <v>0</v>
      </c>
      <c r="P78">
        <v>2</v>
      </c>
      <c r="Q78">
        <v>0</v>
      </c>
      <c r="R78">
        <f>SUM(Table13[[#This Row],[Rank_All_Ranks_Total]:[Rank_SSPSPAddlSPCommandant]])</f>
        <v>18</v>
      </c>
    </row>
    <row r="79" spans="1:18" x14ac:dyDescent="0.3">
      <c r="A79" t="s">
        <v>37</v>
      </c>
      <c r="B79">
        <v>2003</v>
      </c>
      <c r="C79" t="str">
        <f>_xlfn.CONCAT(Table13[[#This Row],[STATE]],"-",Table13[[#This Row],[Year]])</f>
        <v>Daman &amp; Diu-2003</v>
      </c>
      <c r="D79" t="s">
        <v>60</v>
      </c>
      <c r="E79" t="s">
        <v>61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f>SUM(Table13[[#This Row],[Rank_All_Ranks_Total]:[Rank_SSPSPAddlSPCommandant]])</f>
        <v>0</v>
      </c>
    </row>
    <row r="80" spans="1:18" x14ac:dyDescent="0.3">
      <c r="A80" t="s">
        <v>38</v>
      </c>
      <c r="B80">
        <v>2003</v>
      </c>
      <c r="C80" t="str">
        <f>_xlfn.CONCAT(Table13[[#This Row],[STATE]],"-",Table13[[#This Row],[Year]])</f>
        <v>Delhi-2003</v>
      </c>
      <c r="D80" t="s">
        <v>60</v>
      </c>
      <c r="E80" t="s">
        <v>61</v>
      </c>
      <c r="F80">
        <v>10019</v>
      </c>
      <c r="G80">
        <v>178</v>
      </c>
      <c r="H80">
        <v>33</v>
      </c>
      <c r="I80">
        <v>0</v>
      </c>
      <c r="J80">
        <v>7739</v>
      </c>
      <c r="K80">
        <v>0</v>
      </c>
      <c r="L80">
        <v>1</v>
      </c>
      <c r="M80">
        <v>1709</v>
      </c>
      <c r="N80">
        <v>1</v>
      </c>
      <c r="O80">
        <v>92</v>
      </c>
      <c r="P80">
        <v>260</v>
      </c>
      <c r="Q80">
        <v>6</v>
      </c>
      <c r="R80">
        <f>SUM(Table13[[#This Row],[Rank_All_Ranks_Total]:[Rank_SSPSPAddlSPCommandant]])</f>
        <v>20038</v>
      </c>
    </row>
    <row r="81" spans="1:18" x14ac:dyDescent="0.3">
      <c r="A81" t="s">
        <v>11</v>
      </c>
      <c r="B81">
        <v>2003</v>
      </c>
      <c r="C81" t="str">
        <f>_xlfn.CONCAT(Table13[[#This Row],[STATE]],"-",Table13[[#This Row],[Year]])</f>
        <v>Goa-2003</v>
      </c>
      <c r="D81" t="s">
        <v>60</v>
      </c>
      <c r="E81" t="s">
        <v>61</v>
      </c>
      <c r="F81">
        <v>684</v>
      </c>
      <c r="G81">
        <v>22</v>
      </c>
      <c r="H81">
        <v>3</v>
      </c>
      <c r="I81">
        <v>0</v>
      </c>
      <c r="J81">
        <v>536</v>
      </c>
      <c r="K81">
        <v>0</v>
      </c>
      <c r="L81">
        <v>0</v>
      </c>
      <c r="M81">
        <v>114</v>
      </c>
      <c r="N81">
        <v>0</v>
      </c>
      <c r="O81">
        <v>2</v>
      </c>
      <c r="P81">
        <v>6</v>
      </c>
      <c r="Q81">
        <v>1</v>
      </c>
      <c r="R81">
        <f>SUM(Table13[[#This Row],[Rank_All_Ranks_Total]:[Rank_SSPSPAddlSPCommandant]])</f>
        <v>1368</v>
      </c>
    </row>
    <row r="82" spans="1:18" x14ac:dyDescent="0.3">
      <c r="A82" t="s">
        <v>12</v>
      </c>
      <c r="B82">
        <v>2003</v>
      </c>
      <c r="C82" t="str">
        <f>_xlfn.CONCAT(Table13[[#This Row],[STATE]],"-",Table13[[#This Row],[Year]])</f>
        <v>Gujarat-2003</v>
      </c>
      <c r="D82" t="s">
        <v>60</v>
      </c>
      <c r="E82" t="s">
        <v>61</v>
      </c>
      <c r="F82">
        <v>10845</v>
      </c>
      <c r="G82">
        <v>1043</v>
      </c>
      <c r="H82">
        <v>41</v>
      </c>
      <c r="I82">
        <v>0</v>
      </c>
      <c r="J82">
        <v>8420</v>
      </c>
      <c r="K82">
        <v>0</v>
      </c>
      <c r="L82">
        <v>0</v>
      </c>
      <c r="M82">
        <v>1035</v>
      </c>
      <c r="N82">
        <v>0</v>
      </c>
      <c r="O82">
        <v>95</v>
      </c>
      <c r="P82">
        <v>211</v>
      </c>
      <c r="Q82">
        <v>0</v>
      </c>
      <c r="R82">
        <f>SUM(Table13[[#This Row],[Rank_All_Ranks_Total]:[Rank_SSPSPAddlSPCommandant]])</f>
        <v>21690</v>
      </c>
    </row>
    <row r="83" spans="1:18" x14ac:dyDescent="0.3">
      <c r="A83" t="s">
        <v>13</v>
      </c>
      <c r="B83">
        <v>2003</v>
      </c>
      <c r="C83" t="str">
        <f>_xlfn.CONCAT(Table13[[#This Row],[STATE]],"-",Table13[[#This Row],[Year]])</f>
        <v>Haryana-2003</v>
      </c>
      <c r="D83" t="s">
        <v>60</v>
      </c>
      <c r="E83" t="s">
        <v>61</v>
      </c>
      <c r="F83">
        <v>4350</v>
      </c>
      <c r="G83">
        <v>193</v>
      </c>
      <c r="H83">
        <v>15</v>
      </c>
      <c r="I83">
        <v>0</v>
      </c>
      <c r="J83">
        <v>3685</v>
      </c>
      <c r="K83">
        <v>1</v>
      </c>
      <c r="L83">
        <v>1</v>
      </c>
      <c r="M83">
        <v>286</v>
      </c>
      <c r="N83">
        <v>1</v>
      </c>
      <c r="O83">
        <v>45</v>
      </c>
      <c r="P83">
        <v>118</v>
      </c>
      <c r="Q83">
        <v>5</v>
      </c>
      <c r="R83">
        <f>SUM(Table13[[#This Row],[Rank_All_Ranks_Total]:[Rank_SSPSPAddlSPCommandant]])</f>
        <v>8700</v>
      </c>
    </row>
    <row r="84" spans="1:18" x14ac:dyDescent="0.3">
      <c r="A84" t="s">
        <v>14</v>
      </c>
      <c r="B84">
        <v>2003</v>
      </c>
      <c r="C84" t="str">
        <f>_xlfn.CONCAT(Table13[[#This Row],[STATE]],"-",Table13[[#This Row],[Year]])</f>
        <v>Himachal Pradesh-2003</v>
      </c>
      <c r="D84" t="s">
        <v>60</v>
      </c>
      <c r="E84" t="s">
        <v>61</v>
      </c>
      <c r="F84">
        <v>3754</v>
      </c>
      <c r="G84">
        <v>62</v>
      </c>
      <c r="H84">
        <v>36</v>
      </c>
      <c r="I84">
        <v>0</v>
      </c>
      <c r="J84">
        <v>2598</v>
      </c>
      <c r="K84">
        <v>1</v>
      </c>
      <c r="L84">
        <v>1</v>
      </c>
      <c r="M84">
        <v>848</v>
      </c>
      <c r="N84">
        <v>0</v>
      </c>
      <c r="O84">
        <v>40</v>
      </c>
      <c r="P84">
        <v>163</v>
      </c>
      <c r="Q84">
        <v>5</v>
      </c>
      <c r="R84">
        <f>SUM(Table13[[#This Row],[Rank_All_Ranks_Total]:[Rank_SSPSPAddlSPCommandant]])</f>
        <v>7508</v>
      </c>
    </row>
    <row r="85" spans="1:18" x14ac:dyDescent="0.3">
      <c r="A85" t="s">
        <v>15</v>
      </c>
      <c r="B85">
        <v>2003</v>
      </c>
      <c r="C85" t="str">
        <f>_xlfn.CONCAT(Table13[[#This Row],[STATE]],"-",Table13[[#This Row],[Year]])</f>
        <v>Jammu &amp; Kashmir-2003</v>
      </c>
      <c r="D85" t="s">
        <v>60</v>
      </c>
      <c r="E85" t="s">
        <v>61</v>
      </c>
      <c r="F85">
        <v>18759</v>
      </c>
      <c r="G85">
        <v>389</v>
      </c>
      <c r="H85">
        <v>146</v>
      </c>
      <c r="I85">
        <v>0</v>
      </c>
      <c r="J85">
        <v>14534</v>
      </c>
      <c r="K85">
        <v>1</v>
      </c>
      <c r="L85">
        <v>2</v>
      </c>
      <c r="M85">
        <v>3048</v>
      </c>
      <c r="N85">
        <v>1</v>
      </c>
      <c r="O85">
        <v>125</v>
      </c>
      <c r="P85">
        <v>458</v>
      </c>
      <c r="Q85">
        <v>55</v>
      </c>
      <c r="R85">
        <f>SUM(Table13[[#This Row],[Rank_All_Ranks_Total]:[Rank_SSPSPAddlSPCommandant]])</f>
        <v>37518</v>
      </c>
    </row>
    <row r="86" spans="1:18" x14ac:dyDescent="0.3">
      <c r="A86" t="s">
        <v>16</v>
      </c>
      <c r="B86">
        <v>2003</v>
      </c>
      <c r="C86" t="str">
        <f>_xlfn.CONCAT(Table13[[#This Row],[STATE]],"-",Table13[[#This Row],[Year]])</f>
        <v>Jharkhand-2003</v>
      </c>
      <c r="D86" t="s">
        <v>60</v>
      </c>
      <c r="E86" t="s">
        <v>61</v>
      </c>
      <c r="F86">
        <v>3333</v>
      </c>
      <c r="G86">
        <v>27</v>
      </c>
      <c r="H86">
        <v>0</v>
      </c>
      <c r="I86">
        <v>0</v>
      </c>
      <c r="J86">
        <v>3010</v>
      </c>
      <c r="K86">
        <v>0</v>
      </c>
      <c r="L86">
        <v>0</v>
      </c>
      <c r="M86">
        <v>225</v>
      </c>
      <c r="N86">
        <v>0</v>
      </c>
      <c r="O86">
        <v>8</v>
      </c>
      <c r="P86">
        <v>63</v>
      </c>
      <c r="Q86">
        <v>0</v>
      </c>
      <c r="R86">
        <f>SUM(Table13[[#This Row],[Rank_All_Ranks_Total]:[Rank_SSPSPAddlSPCommandant]])</f>
        <v>6666</v>
      </c>
    </row>
    <row r="87" spans="1:18" x14ac:dyDescent="0.3">
      <c r="A87" t="s">
        <v>17</v>
      </c>
      <c r="B87">
        <v>2003</v>
      </c>
      <c r="C87" t="str">
        <f>_xlfn.CONCAT(Table13[[#This Row],[STATE]],"-",Table13[[#This Row],[Year]])</f>
        <v>Karnataka-2003</v>
      </c>
      <c r="D87" t="s">
        <v>60</v>
      </c>
      <c r="E87" t="s">
        <v>61</v>
      </c>
      <c r="F87">
        <v>3157</v>
      </c>
      <c r="G87">
        <v>101</v>
      </c>
      <c r="H87">
        <v>4</v>
      </c>
      <c r="I87">
        <v>0</v>
      </c>
      <c r="J87">
        <v>2434</v>
      </c>
      <c r="K87">
        <v>0</v>
      </c>
      <c r="L87">
        <v>0</v>
      </c>
      <c r="M87">
        <v>546</v>
      </c>
      <c r="N87">
        <v>0</v>
      </c>
      <c r="O87">
        <v>15</v>
      </c>
      <c r="P87">
        <v>57</v>
      </c>
      <c r="Q87">
        <v>0</v>
      </c>
      <c r="R87">
        <f>SUM(Table13[[#This Row],[Rank_All_Ranks_Total]:[Rank_SSPSPAddlSPCommandant]])</f>
        <v>6314</v>
      </c>
    </row>
    <row r="88" spans="1:18" x14ac:dyDescent="0.3">
      <c r="A88" t="s">
        <v>18</v>
      </c>
      <c r="B88">
        <v>2003</v>
      </c>
      <c r="C88" t="str">
        <f>_xlfn.CONCAT(Table13[[#This Row],[STATE]],"-",Table13[[#This Row],[Year]])</f>
        <v>Kerala-2003</v>
      </c>
      <c r="D88" t="s">
        <v>60</v>
      </c>
      <c r="E88" t="s">
        <v>61</v>
      </c>
      <c r="F88">
        <v>8449</v>
      </c>
      <c r="G88">
        <v>91</v>
      </c>
      <c r="H88">
        <v>38</v>
      </c>
      <c r="I88">
        <v>0</v>
      </c>
      <c r="J88">
        <v>6818</v>
      </c>
      <c r="K88">
        <v>0</v>
      </c>
      <c r="L88">
        <v>0</v>
      </c>
      <c r="M88">
        <v>1212</v>
      </c>
      <c r="N88">
        <v>0</v>
      </c>
      <c r="O88">
        <v>30</v>
      </c>
      <c r="P88">
        <v>251</v>
      </c>
      <c r="Q88">
        <v>9</v>
      </c>
      <c r="R88">
        <f>SUM(Table13[[#This Row],[Rank_All_Ranks_Total]:[Rank_SSPSPAddlSPCommandant]])</f>
        <v>16898</v>
      </c>
    </row>
    <row r="89" spans="1:18" x14ac:dyDescent="0.3">
      <c r="A89" t="s">
        <v>39</v>
      </c>
      <c r="B89">
        <v>2003</v>
      </c>
      <c r="C89" t="str">
        <f>_xlfn.CONCAT(Table13[[#This Row],[STATE]],"-",Table13[[#This Row],[Year]])</f>
        <v>Lakshadweep-2003</v>
      </c>
      <c r="D89" t="s">
        <v>60</v>
      </c>
      <c r="E89" t="s">
        <v>61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f>SUM(Table13[[#This Row],[Rank_All_Ranks_Total]:[Rank_SSPSPAddlSPCommandant]])</f>
        <v>0</v>
      </c>
    </row>
    <row r="90" spans="1:18" x14ac:dyDescent="0.3">
      <c r="A90" t="s">
        <v>19</v>
      </c>
      <c r="B90">
        <v>2003</v>
      </c>
      <c r="C90" t="str">
        <f>_xlfn.CONCAT(Table13[[#This Row],[STATE]],"-",Table13[[#This Row],[Year]])</f>
        <v>Madhya Pradesh-2003</v>
      </c>
      <c r="D90" t="s">
        <v>60</v>
      </c>
      <c r="E90" t="s">
        <v>61</v>
      </c>
      <c r="F90">
        <v>16925</v>
      </c>
      <c r="G90">
        <v>857</v>
      </c>
      <c r="H90">
        <v>45</v>
      </c>
      <c r="I90">
        <v>0</v>
      </c>
      <c r="J90">
        <v>12599</v>
      </c>
      <c r="K90">
        <v>1</v>
      </c>
      <c r="L90">
        <v>4</v>
      </c>
      <c r="M90">
        <v>2841</v>
      </c>
      <c r="N90">
        <v>3</v>
      </c>
      <c r="O90">
        <v>140</v>
      </c>
      <c r="P90">
        <v>412</v>
      </c>
      <c r="Q90">
        <v>23</v>
      </c>
      <c r="R90">
        <f>SUM(Table13[[#This Row],[Rank_All_Ranks_Total]:[Rank_SSPSPAddlSPCommandant]])</f>
        <v>33850</v>
      </c>
    </row>
    <row r="91" spans="1:18" x14ac:dyDescent="0.3">
      <c r="A91" t="s">
        <v>20</v>
      </c>
      <c r="B91">
        <v>2003</v>
      </c>
      <c r="C91" t="str">
        <f>_xlfn.CONCAT(Table13[[#This Row],[STATE]],"-",Table13[[#This Row],[Year]])</f>
        <v>Maharashtra-2003</v>
      </c>
      <c r="D91" t="s">
        <v>60</v>
      </c>
      <c r="E91" t="s">
        <v>61</v>
      </c>
      <c r="F91">
        <v>14086</v>
      </c>
      <c r="G91">
        <v>1284</v>
      </c>
      <c r="H91">
        <v>23</v>
      </c>
      <c r="I91">
        <v>3039</v>
      </c>
      <c r="J91">
        <v>7212</v>
      </c>
      <c r="K91">
        <v>0</v>
      </c>
      <c r="L91">
        <v>3</v>
      </c>
      <c r="M91">
        <v>2297</v>
      </c>
      <c r="N91">
        <v>1</v>
      </c>
      <c r="O91">
        <v>85</v>
      </c>
      <c r="P91">
        <v>130</v>
      </c>
      <c r="Q91">
        <v>12</v>
      </c>
      <c r="R91">
        <f>SUM(Table13[[#This Row],[Rank_All_Ranks_Total]:[Rank_SSPSPAddlSPCommandant]])</f>
        <v>28172</v>
      </c>
    </row>
    <row r="92" spans="1:18" x14ac:dyDescent="0.3">
      <c r="A92" t="s">
        <v>21</v>
      </c>
      <c r="B92">
        <v>2003</v>
      </c>
      <c r="C92" t="str">
        <f>_xlfn.CONCAT(Table13[[#This Row],[STATE]],"-",Table13[[#This Row],[Year]])</f>
        <v>Manipur-2003</v>
      </c>
      <c r="D92" t="s">
        <v>60</v>
      </c>
      <c r="E92" t="s">
        <v>61</v>
      </c>
      <c r="F92">
        <v>8809</v>
      </c>
      <c r="G92">
        <v>0</v>
      </c>
      <c r="H92">
        <v>54</v>
      </c>
      <c r="I92">
        <v>560</v>
      </c>
      <c r="J92">
        <v>7278</v>
      </c>
      <c r="K92">
        <v>1</v>
      </c>
      <c r="L92">
        <v>2</v>
      </c>
      <c r="M92">
        <v>611</v>
      </c>
      <c r="N92">
        <v>1</v>
      </c>
      <c r="O92">
        <v>79</v>
      </c>
      <c r="P92">
        <v>202</v>
      </c>
      <c r="Q92">
        <v>21</v>
      </c>
      <c r="R92">
        <f>SUM(Table13[[#This Row],[Rank_All_Ranks_Total]:[Rank_SSPSPAddlSPCommandant]])</f>
        <v>17618</v>
      </c>
    </row>
    <row r="93" spans="1:18" x14ac:dyDescent="0.3">
      <c r="A93" t="s">
        <v>22</v>
      </c>
      <c r="B93">
        <v>2003</v>
      </c>
      <c r="C93" t="str">
        <f>_xlfn.CONCAT(Table13[[#This Row],[STATE]],"-",Table13[[#This Row],[Year]])</f>
        <v>Meghalaya-2003</v>
      </c>
      <c r="D93" t="s">
        <v>60</v>
      </c>
      <c r="E93" t="s">
        <v>61</v>
      </c>
      <c r="F93">
        <v>3409</v>
      </c>
      <c r="G93">
        <v>0</v>
      </c>
      <c r="H93">
        <v>13</v>
      </c>
      <c r="I93">
        <v>179</v>
      </c>
      <c r="J93">
        <v>2697</v>
      </c>
      <c r="K93">
        <v>0</v>
      </c>
      <c r="L93">
        <v>0</v>
      </c>
      <c r="M93">
        <v>403</v>
      </c>
      <c r="N93">
        <v>0</v>
      </c>
      <c r="O93">
        <v>24</v>
      </c>
      <c r="P93">
        <v>82</v>
      </c>
      <c r="Q93">
        <v>11</v>
      </c>
      <c r="R93">
        <f>SUM(Table13[[#This Row],[Rank_All_Ranks_Total]:[Rank_SSPSPAddlSPCommandant]])</f>
        <v>6818</v>
      </c>
    </row>
    <row r="94" spans="1:18" x14ac:dyDescent="0.3">
      <c r="A94" t="s">
        <v>23</v>
      </c>
      <c r="B94">
        <v>2003</v>
      </c>
      <c r="C94" t="str">
        <f>_xlfn.CONCAT(Table13[[#This Row],[STATE]],"-",Table13[[#This Row],[Year]])</f>
        <v>Mizoram-2003</v>
      </c>
      <c r="D94" t="s">
        <v>60</v>
      </c>
      <c r="E94" t="s">
        <v>61</v>
      </c>
      <c r="F94">
        <v>4145</v>
      </c>
      <c r="G94">
        <v>5</v>
      </c>
      <c r="H94">
        <v>25</v>
      </c>
      <c r="I94">
        <v>368</v>
      </c>
      <c r="J94">
        <v>2937</v>
      </c>
      <c r="K94">
        <v>0</v>
      </c>
      <c r="L94">
        <v>0</v>
      </c>
      <c r="M94">
        <v>645</v>
      </c>
      <c r="N94">
        <v>0</v>
      </c>
      <c r="O94">
        <v>41</v>
      </c>
      <c r="P94">
        <v>109</v>
      </c>
      <c r="Q94">
        <v>15</v>
      </c>
      <c r="R94">
        <f>SUM(Table13[[#This Row],[Rank_All_Ranks_Total]:[Rank_SSPSPAddlSPCommandant]])</f>
        <v>8290</v>
      </c>
    </row>
    <row r="95" spans="1:18" x14ac:dyDescent="0.3">
      <c r="A95" t="s">
        <v>24</v>
      </c>
      <c r="B95">
        <v>2003</v>
      </c>
      <c r="C95" t="str">
        <f>_xlfn.CONCAT(Table13[[#This Row],[STATE]],"-",Table13[[#This Row],[Year]])</f>
        <v>Nagaland-2003</v>
      </c>
      <c r="D95" t="s">
        <v>60</v>
      </c>
      <c r="E95" t="s">
        <v>61</v>
      </c>
      <c r="F95">
        <v>5985</v>
      </c>
      <c r="G95">
        <v>0</v>
      </c>
      <c r="H95">
        <v>19</v>
      </c>
      <c r="I95">
        <v>673</v>
      </c>
      <c r="J95">
        <v>4554</v>
      </c>
      <c r="K95">
        <v>0</v>
      </c>
      <c r="L95">
        <v>0</v>
      </c>
      <c r="M95">
        <v>570</v>
      </c>
      <c r="N95">
        <v>0</v>
      </c>
      <c r="O95">
        <v>17</v>
      </c>
      <c r="P95">
        <v>138</v>
      </c>
      <c r="Q95">
        <v>14</v>
      </c>
      <c r="R95">
        <f>SUM(Table13[[#This Row],[Rank_All_Ranks_Total]:[Rank_SSPSPAddlSPCommandant]])</f>
        <v>11970</v>
      </c>
    </row>
    <row r="96" spans="1:18" x14ac:dyDescent="0.3">
      <c r="A96" t="s">
        <v>63</v>
      </c>
      <c r="B96">
        <v>2003</v>
      </c>
      <c r="C96" t="str">
        <f>_xlfn.CONCAT(Table13[[#This Row],[STATE]],"-",Table13[[#This Row],[Year]])</f>
        <v>Odisha-2003</v>
      </c>
      <c r="D96" t="s">
        <v>60</v>
      </c>
      <c r="E96" t="s">
        <v>61</v>
      </c>
      <c r="F96">
        <v>8218</v>
      </c>
      <c r="G96">
        <v>172</v>
      </c>
      <c r="H96">
        <v>55</v>
      </c>
      <c r="I96">
        <v>307</v>
      </c>
      <c r="J96">
        <v>6270</v>
      </c>
      <c r="K96">
        <v>0</v>
      </c>
      <c r="L96">
        <v>0</v>
      </c>
      <c r="M96">
        <v>1175</v>
      </c>
      <c r="N96">
        <v>0</v>
      </c>
      <c r="O96">
        <v>49</v>
      </c>
      <c r="P96">
        <v>169</v>
      </c>
      <c r="Q96">
        <v>21</v>
      </c>
      <c r="R96">
        <f>SUM(Table13[[#This Row],[Rank_All_Ranks_Total]:[Rank_SSPSPAddlSPCommandant]])</f>
        <v>16436</v>
      </c>
    </row>
    <row r="97" spans="1:18" x14ac:dyDescent="0.3">
      <c r="A97" t="s">
        <v>64</v>
      </c>
      <c r="B97">
        <v>2003</v>
      </c>
      <c r="C97" t="str">
        <f>_xlfn.CONCAT(Table13[[#This Row],[STATE]],"-",Table13[[#This Row],[Year]])</f>
        <v>Puducherry-2003</v>
      </c>
      <c r="D97" t="s">
        <v>60</v>
      </c>
      <c r="E97" t="s">
        <v>61</v>
      </c>
      <c r="F97">
        <v>683</v>
      </c>
      <c r="G97">
        <v>2</v>
      </c>
      <c r="H97">
        <v>1</v>
      </c>
      <c r="I97">
        <v>0</v>
      </c>
      <c r="J97">
        <v>565</v>
      </c>
      <c r="K97">
        <v>0</v>
      </c>
      <c r="L97">
        <v>0</v>
      </c>
      <c r="M97">
        <v>93</v>
      </c>
      <c r="N97">
        <v>0</v>
      </c>
      <c r="O97">
        <v>5</v>
      </c>
      <c r="P97">
        <v>17</v>
      </c>
      <c r="Q97">
        <v>0</v>
      </c>
      <c r="R97">
        <f>SUM(Table13[[#This Row],[Rank_All_Ranks_Total]:[Rank_SSPSPAddlSPCommandant]])</f>
        <v>1366</v>
      </c>
    </row>
    <row r="98" spans="1:18" x14ac:dyDescent="0.3">
      <c r="A98" t="s">
        <v>26</v>
      </c>
      <c r="B98">
        <v>2003</v>
      </c>
      <c r="C98" t="str">
        <f>_xlfn.CONCAT(Table13[[#This Row],[STATE]],"-",Table13[[#This Row],[Year]])</f>
        <v>Punjab-2003</v>
      </c>
      <c r="D98" t="s">
        <v>60</v>
      </c>
      <c r="E98" t="s">
        <v>61</v>
      </c>
      <c r="F98">
        <v>16527</v>
      </c>
      <c r="G98">
        <v>355</v>
      </c>
      <c r="H98">
        <v>92</v>
      </c>
      <c r="I98">
        <v>0</v>
      </c>
      <c r="J98">
        <v>13708</v>
      </c>
      <c r="K98">
        <v>1</v>
      </c>
      <c r="L98">
        <v>5</v>
      </c>
      <c r="M98">
        <v>1759</v>
      </c>
      <c r="N98">
        <v>3</v>
      </c>
      <c r="O98">
        <v>112</v>
      </c>
      <c r="P98">
        <v>471</v>
      </c>
      <c r="Q98">
        <v>21</v>
      </c>
      <c r="R98">
        <f>SUM(Table13[[#This Row],[Rank_All_Ranks_Total]:[Rank_SSPSPAddlSPCommandant]])</f>
        <v>33054</v>
      </c>
    </row>
    <row r="99" spans="1:18" x14ac:dyDescent="0.3">
      <c r="A99" t="s">
        <v>27</v>
      </c>
      <c r="B99">
        <v>2003</v>
      </c>
      <c r="C99" t="str">
        <f>_xlfn.CONCAT(Table13[[#This Row],[STATE]],"-",Table13[[#This Row],[Year]])</f>
        <v>Rajasthan-2003</v>
      </c>
      <c r="D99" t="s">
        <v>60</v>
      </c>
      <c r="E99" t="s">
        <v>61</v>
      </c>
      <c r="F99">
        <v>11622</v>
      </c>
      <c r="G99">
        <v>0</v>
      </c>
      <c r="H99">
        <v>69</v>
      </c>
      <c r="I99">
        <v>0</v>
      </c>
      <c r="J99">
        <v>9151</v>
      </c>
      <c r="K99">
        <v>1</v>
      </c>
      <c r="L99">
        <v>2</v>
      </c>
      <c r="M99">
        <v>2055</v>
      </c>
      <c r="N99">
        <v>0</v>
      </c>
      <c r="O99">
        <v>71</v>
      </c>
      <c r="P99">
        <v>256</v>
      </c>
      <c r="Q99">
        <v>17</v>
      </c>
      <c r="R99">
        <f>SUM(Table13[[#This Row],[Rank_All_Ranks_Total]:[Rank_SSPSPAddlSPCommandant]])</f>
        <v>23244</v>
      </c>
    </row>
    <row r="100" spans="1:18" x14ac:dyDescent="0.3">
      <c r="A100" t="s">
        <v>28</v>
      </c>
      <c r="B100">
        <v>2003</v>
      </c>
      <c r="C100" t="str">
        <f>_xlfn.CONCAT(Table13[[#This Row],[STATE]],"-",Table13[[#This Row],[Year]])</f>
        <v>Sikkim-2003</v>
      </c>
      <c r="D100" t="s">
        <v>60</v>
      </c>
      <c r="E100" t="s">
        <v>61</v>
      </c>
      <c r="F100">
        <v>1460</v>
      </c>
      <c r="G100">
        <v>41</v>
      </c>
      <c r="H100">
        <v>10</v>
      </c>
      <c r="I100">
        <v>132</v>
      </c>
      <c r="J100">
        <v>1171</v>
      </c>
      <c r="K100">
        <v>0</v>
      </c>
      <c r="L100">
        <v>1</v>
      </c>
      <c r="M100">
        <v>64</v>
      </c>
      <c r="N100">
        <v>0</v>
      </c>
      <c r="O100">
        <v>10</v>
      </c>
      <c r="P100">
        <v>29</v>
      </c>
      <c r="Q100">
        <v>2</v>
      </c>
      <c r="R100">
        <f>SUM(Table13[[#This Row],[Rank_All_Ranks_Total]:[Rank_SSPSPAddlSPCommandant]])</f>
        <v>2920</v>
      </c>
    </row>
    <row r="101" spans="1:18" x14ac:dyDescent="0.3">
      <c r="A101" t="s">
        <v>42</v>
      </c>
      <c r="B101">
        <v>2003</v>
      </c>
      <c r="C101" t="str">
        <f>_xlfn.CONCAT(Table13[[#This Row],[STATE]],"-",Table13[[#This Row],[Year]])</f>
        <v>Tamil Nadu-2003</v>
      </c>
      <c r="D101" t="s">
        <v>60</v>
      </c>
      <c r="E101" t="s">
        <v>61</v>
      </c>
      <c r="F101">
        <v>11359</v>
      </c>
      <c r="G101">
        <v>0</v>
      </c>
      <c r="H101">
        <v>0</v>
      </c>
      <c r="I101">
        <v>1382</v>
      </c>
      <c r="J101">
        <v>8153</v>
      </c>
      <c r="K101">
        <v>0</v>
      </c>
      <c r="L101">
        <v>2</v>
      </c>
      <c r="M101">
        <v>1345</v>
      </c>
      <c r="N101">
        <v>1</v>
      </c>
      <c r="O101">
        <v>112</v>
      </c>
      <c r="P101">
        <v>343</v>
      </c>
      <c r="Q101">
        <v>21</v>
      </c>
      <c r="R101">
        <f>SUM(Table13[[#This Row],[Rank_All_Ranks_Total]:[Rank_SSPSPAddlSPCommandant]])</f>
        <v>22718</v>
      </c>
    </row>
    <row r="102" spans="1:18" x14ac:dyDescent="0.3">
      <c r="A102" t="s">
        <v>30</v>
      </c>
      <c r="B102">
        <v>2003</v>
      </c>
      <c r="C102" t="str">
        <f>_xlfn.CONCAT(Table13[[#This Row],[STATE]],"-",Table13[[#This Row],[Year]])</f>
        <v>Tripura-2003</v>
      </c>
      <c r="D102" t="s">
        <v>60</v>
      </c>
      <c r="E102" t="s">
        <v>61</v>
      </c>
      <c r="F102">
        <v>8213</v>
      </c>
      <c r="G102">
        <v>0</v>
      </c>
      <c r="H102">
        <v>38</v>
      </c>
      <c r="I102">
        <v>944</v>
      </c>
      <c r="J102">
        <v>6828</v>
      </c>
      <c r="K102">
        <v>0</v>
      </c>
      <c r="L102">
        <v>0</v>
      </c>
      <c r="M102">
        <v>165</v>
      </c>
      <c r="N102">
        <v>0</v>
      </c>
      <c r="O102">
        <v>20</v>
      </c>
      <c r="P102">
        <v>203</v>
      </c>
      <c r="Q102">
        <v>15</v>
      </c>
      <c r="R102">
        <f>SUM(Table13[[#This Row],[Rank_All_Ranks_Total]:[Rank_SSPSPAddlSPCommandant]])</f>
        <v>16426</v>
      </c>
    </row>
    <row r="103" spans="1:18" x14ac:dyDescent="0.3">
      <c r="A103" t="s">
        <v>31</v>
      </c>
      <c r="B103">
        <v>2003</v>
      </c>
      <c r="C103" t="str">
        <f>_xlfn.CONCAT(Table13[[#This Row],[STATE]],"-",Table13[[#This Row],[Year]])</f>
        <v>Uttar Pradesh-2003</v>
      </c>
      <c r="D103" t="s">
        <v>60</v>
      </c>
      <c r="E103" t="s">
        <v>61</v>
      </c>
      <c r="F103">
        <v>30313</v>
      </c>
      <c r="G103">
        <v>0</v>
      </c>
      <c r="H103">
        <v>69</v>
      </c>
      <c r="I103">
        <v>0</v>
      </c>
      <c r="J103">
        <v>23619</v>
      </c>
      <c r="K103">
        <v>1</v>
      </c>
      <c r="L103">
        <v>6</v>
      </c>
      <c r="M103">
        <v>5551</v>
      </c>
      <c r="N103">
        <v>5</v>
      </c>
      <c r="O103">
        <v>240</v>
      </c>
      <c r="P103">
        <v>767</v>
      </c>
      <c r="Q103">
        <v>55</v>
      </c>
      <c r="R103">
        <f>SUM(Table13[[#This Row],[Rank_All_Ranks_Total]:[Rank_SSPSPAddlSPCommandant]])</f>
        <v>60626</v>
      </c>
    </row>
    <row r="104" spans="1:18" x14ac:dyDescent="0.3">
      <c r="A104" t="s">
        <v>65</v>
      </c>
      <c r="B104">
        <v>2003</v>
      </c>
      <c r="C104" t="str">
        <f>_xlfn.CONCAT(Table13[[#This Row],[STATE]],"-",Table13[[#This Row],[Year]])</f>
        <v>Uttarakhand-2003</v>
      </c>
      <c r="D104" t="s">
        <v>60</v>
      </c>
      <c r="E104" t="s">
        <v>61</v>
      </c>
      <c r="F104">
        <v>2701</v>
      </c>
      <c r="G104">
        <v>0</v>
      </c>
      <c r="H104">
        <v>9</v>
      </c>
      <c r="I104">
        <v>570</v>
      </c>
      <c r="J104">
        <v>1518</v>
      </c>
      <c r="K104">
        <v>0</v>
      </c>
      <c r="L104">
        <v>1</v>
      </c>
      <c r="M104">
        <v>478</v>
      </c>
      <c r="N104">
        <v>0</v>
      </c>
      <c r="O104">
        <v>26</v>
      </c>
      <c r="P104">
        <v>98</v>
      </c>
      <c r="Q104">
        <v>1</v>
      </c>
      <c r="R104">
        <f>SUM(Table13[[#This Row],[Rank_All_Ranks_Total]:[Rank_SSPSPAddlSPCommandant]])</f>
        <v>5402</v>
      </c>
    </row>
    <row r="105" spans="1:18" x14ac:dyDescent="0.3">
      <c r="A105" t="s">
        <v>33</v>
      </c>
      <c r="B105">
        <v>2003</v>
      </c>
      <c r="C105" t="str">
        <f>_xlfn.CONCAT(Table13[[#This Row],[STATE]],"-",Table13[[#This Row],[Year]])</f>
        <v>West Bengal-2003</v>
      </c>
      <c r="D105" t="s">
        <v>60</v>
      </c>
      <c r="E105" t="s">
        <v>61</v>
      </c>
      <c r="F105">
        <v>20619</v>
      </c>
      <c r="G105">
        <v>216</v>
      </c>
      <c r="H105">
        <v>71</v>
      </c>
      <c r="I105">
        <v>1883</v>
      </c>
      <c r="J105">
        <v>15956</v>
      </c>
      <c r="K105">
        <v>1</v>
      </c>
      <c r="L105">
        <v>4</v>
      </c>
      <c r="M105">
        <v>1659</v>
      </c>
      <c r="N105">
        <v>2</v>
      </c>
      <c r="O105">
        <v>248</v>
      </c>
      <c r="P105">
        <v>562</v>
      </c>
      <c r="Q105">
        <v>17</v>
      </c>
      <c r="R105">
        <f>SUM(Table13[[#This Row],[Rank_All_Ranks_Total]:[Rank_SSPSPAddlSPCommandant]])</f>
        <v>41238</v>
      </c>
    </row>
    <row r="106" spans="1:18" x14ac:dyDescent="0.3">
      <c r="A106" t="s">
        <v>59</v>
      </c>
      <c r="B106">
        <v>2004</v>
      </c>
      <c r="C106" t="str">
        <f>_xlfn.CONCAT(Table13[[#This Row],[STATE]],"-",Table13[[#This Row],[Year]])</f>
        <v>Andaman &amp; Nicobar Islands-2004</v>
      </c>
      <c r="D106" t="s">
        <v>60</v>
      </c>
      <c r="E106" t="s">
        <v>61</v>
      </c>
      <c r="F106">
        <v>513</v>
      </c>
      <c r="G106">
        <v>9</v>
      </c>
      <c r="H106">
        <v>3</v>
      </c>
      <c r="I106">
        <v>0</v>
      </c>
      <c r="J106">
        <v>412</v>
      </c>
      <c r="K106">
        <v>0</v>
      </c>
      <c r="L106">
        <v>1</v>
      </c>
      <c r="M106">
        <v>69</v>
      </c>
      <c r="N106">
        <v>0</v>
      </c>
      <c r="O106">
        <v>7</v>
      </c>
      <c r="P106">
        <v>12</v>
      </c>
      <c r="Q106">
        <v>0</v>
      </c>
      <c r="R106">
        <f>SUM(Table13[[#This Row],[Rank_All_Ranks_Total]:[Rank_SSPSPAddlSPCommandant]])</f>
        <v>1026</v>
      </c>
    </row>
    <row r="107" spans="1:18" x14ac:dyDescent="0.3">
      <c r="A107" t="s">
        <v>6</v>
      </c>
      <c r="B107">
        <v>2004</v>
      </c>
      <c r="C107" t="str">
        <f>_xlfn.CONCAT(Table13[[#This Row],[STATE]],"-",Table13[[#This Row],[Year]])</f>
        <v>Andhra Pradesh-2004</v>
      </c>
      <c r="D107" t="s">
        <v>60</v>
      </c>
      <c r="E107" t="s">
        <v>61</v>
      </c>
      <c r="F107">
        <v>12443</v>
      </c>
      <c r="G107">
        <v>592</v>
      </c>
      <c r="H107">
        <v>45</v>
      </c>
      <c r="I107">
        <v>0</v>
      </c>
      <c r="J107">
        <v>8409</v>
      </c>
      <c r="K107">
        <v>0</v>
      </c>
      <c r="L107">
        <v>0</v>
      </c>
      <c r="M107">
        <v>3009</v>
      </c>
      <c r="N107">
        <v>0</v>
      </c>
      <c r="O107">
        <v>127</v>
      </c>
      <c r="P107">
        <v>240</v>
      </c>
      <c r="Q107">
        <v>21</v>
      </c>
      <c r="R107">
        <f>SUM(Table13[[#This Row],[Rank_All_Ranks_Total]:[Rank_SSPSPAddlSPCommandant]])</f>
        <v>24886</v>
      </c>
    </row>
    <row r="108" spans="1:18" x14ac:dyDescent="0.3">
      <c r="A108" t="s">
        <v>7</v>
      </c>
      <c r="B108">
        <v>2004</v>
      </c>
      <c r="C108" t="str">
        <f>_xlfn.CONCAT(Table13[[#This Row],[STATE]],"-",Table13[[#This Row],[Year]])</f>
        <v>Arunachal Pradesh-2004</v>
      </c>
      <c r="D108" t="s">
        <v>60</v>
      </c>
      <c r="E108" t="s">
        <v>61</v>
      </c>
      <c r="F108">
        <v>2529</v>
      </c>
      <c r="G108">
        <v>14</v>
      </c>
      <c r="H108">
        <v>15</v>
      </c>
      <c r="I108">
        <v>169</v>
      </c>
      <c r="J108">
        <v>1942</v>
      </c>
      <c r="K108">
        <v>0</v>
      </c>
      <c r="L108">
        <v>0</v>
      </c>
      <c r="M108">
        <v>322</v>
      </c>
      <c r="N108">
        <v>0</v>
      </c>
      <c r="O108">
        <v>19</v>
      </c>
      <c r="P108">
        <v>45</v>
      </c>
      <c r="Q108">
        <v>3</v>
      </c>
      <c r="R108">
        <f>SUM(Table13[[#This Row],[Rank_All_Ranks_Total]:[Rank_SSPSPAddlSPCommandant]])</f>
        <v>5058</v>
      </c>
    </row>
    <row r="109" spans="1:18" x14ac:dyDescent="0.3">
      <c r="A109" t="s">
        <v>8</v>
      </c>
      <c r="B109">
        <v>2004</v>
      </c>
      <c r="C109" t="str">
        <f>_xlfn.CONCAT(Table13[[#This Row],[STATE]],"-",Table13[[#This Row],[Year]])</f>
        <v>Assam-2004</v>
      </c>
      <c r="D109" t="s">
        <v>60</v>
      </c>
      <c r="E109" t="s">
        <v>61</v>
      </c>
      <c r="F109">
        <v>23708</v>
      </c>
      <c r="G109">
        <v>30</v>
      </c>
      <c r="H109">
        <v>135</v>
      </c>
      <c r="I109">
        <v>2400</v>
      </c>
      <c r="J109">
        <v>16097</v>
      </c>
      <c r="K109">
        <v>0</v>
      </c>
      <c r="L109">
        <v>0</v>
      </c>
      <c r="M109">
        <v>4061</v>
      </c>
      <c r="N109">
        <v>0</v>
      </c>
      <c r="O109">
        <v>235</v>
      </c>
      <c r="P109">
        <v>700</v>
      </c>
      <c r="Q109">
        <v>50</v>
      </c>
      <c r="R109">
        <f>SUM(Table13[[#This Row],[Rank_All_Ranks_Total]:[Rank_SSPSPAddlSPCommandant]])</f>
        <v>47416</v>
      </c>
    </row>
    <row r="110" spans="1:18" x14ac:dyDescent="0.3">
      <c r="A110" t="s">
        <v>9</v>
      </c>
      <c r="B110">
        <v>2004</v>
      </c>
      <c r="C110" t="str">
        <f>_xlfn.CONCAT(Table13[[#This Row],[STATE]],"-",Table13[[#This Row],[Year]])</f>
        <v>Bihar-2004</v>
      </c>
      <c r="D110" t="s">
        <v>60</v>
      </c>
      <c r="E110" t="s">
        <v>61</v>
      </c>
      <c r="F110">
        <v>9612</v>
      </c>
      <c r="G110">
        <v>15</v>
      </c>
      <c r="H110">
        <v>16</v>
      </c>
      <c r="I110">
        <v>0</v>
      </c>
      <c r="J110">
        <v>6721</v>
      </c>
      <c r="K110">
        <v>1</v>
      </c>
      <c r="L110">
        <v>0</v>
      </c>
      <c r="M110">
        <v>2152</v>
      </c>
      <c r="N110">
        <v>1</v>
      </c>
      <c r="O110">
        <v>98</v>
      </c>
      <c r="P110">
        <v>605</v>
      </c>
      <c r="Q110">
        <v>3</v>
      </c>
      <c r="R110">
        <f>SUM(Table13[[#This Row],[Rank_All_Ranks_Total]:[Rank_SSPSPAddlSPCommandant]])</f>
        <v>19224</v>
      </c>
    </row>
    <row r="111" spans="1:18" x14ac:dyDescent="0.3">
      <c r="A111" t="s">
        <v>35</v>
      </c>
      <c r="B111">
        <v>2004</v>
      </c>
      <c r="C111" t="str">
        <f>_xlfn.CONCAT(Table13[[#This Row],[STATE]],"-",Table13[[#This Row],[Year]])</f>
        <v>Chandigarh-2004</v>
      </c>
      <c r="D111" t="s">
        <v>60</v>
      </c>
      <c r="E111" t="s">
        <v>61</v>
      </c>
      <c r="F111">
        <v>419</v>
      </c>
      <c r="G111">
        <v>0</v>
      </c>
      <c r="H111">
        <v>1</v>
      </c>
      <c r="I111">
        <v>0</v>
      </c>
      <c r="J111">
        <v>343</v>
      </c>
      <c r="K111">
        <v>0</v>
      </c>
      <c r="L111">
        <v>0</v>
      </c>
      <c r="M111">
        <v>61</v>
      </c>
      <c r="N111">
        <v>0</v>
      </c>
      <c r="O111">
        <v>4</v>
      </c>
      <c r="P111">
        <v>10</v>
      </c>
      <c r="Q111">
        <v>0</v>
      </c>
      <c r="R111">
        <f>SUM(Table13[[#This Row],[Rank_All_Ranks_Total]:[Rank_SSPSPAddlSPCommandant]])</f>
        <v>838</v>
      </c>
    </row>
    <row r="112" spans="1:18" x14ac:dyDescent="0.3">
      <c r="A112" t="s">
        <v>10</v>
      </c>
      <c r="B112">
        <v>2004</v>
      </c>
      <c r="C112" t="str">
        <f>_xlfn.CONCAT(Table13[[#This Row],[STATE]],"-",Table13[[#This Row],[Year]])</f>
        <v>Chhattisgarh-2004</v>
      </c>
      <c r="D112" t="s">
        <v>60</v>
      </c>
      <c r="E112" t="s">
        <v>61</v>
      </c>
      <c r="F112">
        <v>8509</v>
      </c>
      <c r="G112">
        <v>453</v>
      </c>
      <c r="H112">
        <v>29</v>
      </c>
      <c r="I112">
        <v>5505</v>
      </c>
      <c r="J112">
        <v>721</v>
      </c>
      <c r="K112">
        <v>1</v>
      </c>
      <c r="L112">
        <v>0</v>
      </c>
      <c r="M112">
        <v>1548</v>
      </c>
      <c r="N112">
        <v>1</v>
      </c>
      <c r="O112">
        <v>38</v>
      </c>
      <c r="P112">
        <v>202</v>
      </c>
      <c r="Q112">
        <v>11</v>
      </c>
      <c r="R112">
        <f>SUM(Table13[[#This Row],[Rank_All_Ranks_Total]:[Rank_SSPSPAddlSPCommandant]])</f>
        <v>17018</v>
      </c>
    </row>
    <row r="113" spans="1:18" x14ac:dyDescent="0.3">
      <c r="A113" t="s">
        <v>62</v>
      </c>
      <c r="B113">
        <v>2004</v>
      </c>
      <c r="C113" t="str">
        <f>_xlfn.CONCAT(Table13[[#This Row],[STATE]],"-",Table13[[#This Row],[Year]])</f>
        <v>Dadra &amp; Nagar Haveli-2004</v>
      </c>
      <c r="D113" t="s">
        <v>60</v>
      </c>
      <c r="E113" t="s">
        <v>61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f>SUM(Table13[[#This Row],[Rank_All_Ranks_Total]:[Rank_SSPSPAddlSPCommandant]])</f>
        <v>0</v>
      </c>
    </row>
    <row r="114" spans="1:18" x14ac:dyDescent="0.3">
      <c r="A114" t="s">
        <v>37</v>
      </c>
      <c r="B114">
        <v>2004</v>
      </c>
      <c r="C114" t="str">
        <f>_xlfn.CONCAT(Table13[[#This Row],[STATE]],"-",Table13[[#This Row],[Year]])</f>
        <v>Daman &amp; Diu-2004</v>
      </c>
      <c r="D114" t="s">
        <v>60</v>
      </c>
      <c r="E114" t="s">
        <v>61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f>SUM(Table13[[#This Row],[Rank_All_Ranks_Total]:[Rank_SSPSPAddlSPCommandant]])</f>
        <v>0</v>
      </c>
    </row>
    <row r="115" spans="1:18" x14ac:dyDescent="0.3">
      <c r="A115" t="s">
        <v>38</v>
      </c>
      <c r="B115">
        <v>2004</v>
      </c>
      <c r="C115" t="str">
        <f>_xlfn.CONCAT(Table13[[#This Row],[STATE]],"-",Table13[[#This Row],[Year]])</f>
        <v>Delhi-2004</v>
      </c>
      <c r="D115" t="s">
        <v>60</v>
      </c>
      <c r="E115" t="s">
        <v>61</v>
      </c>
      <c r="F115">
        <v>10453</v>
      </c>
      <c r="G115">
        <v>178</v>
      </c>
      <c r="H115">
        <v>29</v>
      </c>
      <c r="I115">
        <v>0</v>
      </c>
      <c r="J115">
        <v>8076</v>
      </c>
      <c r="K115">
        <v>0</v>
      </c>
      <c r="L115">
        <v>1</v>
      </c>
      <c r="M115">
        <v>1717</v>
      </c>
      <c r="N115">
        <v>1</v>
      </c>
      <c r="O115">
        <v>96</v>
      </c>
      <c r="P115">
        <v>346</v>
      </c>
      <c r="Q115">
        <v>9</v>
      </c>
      <c r="R115">
        <f>SUM(Table13[[#This Row],[Rank_All_Ranks_Total]:[Rank_SSPSPAddlSPCommandant]])</f>
        <v>20906</v>
      </c>
    </row>
    <row r="116" spans="1:18" x14ac:dyDescent="0.3">
      <c r="A116" t="s">
        <v>11</v>
      </c>
      <c r="B116">
        <v>2004</v>
      </c>
      <c r="C116" t="str">
        <f>_xlfn.CONCAT(Table13[[#This Row],[STATE]],"-",Table13[[#This Row],[Year]])</f>
        <v>Goa-2004</v>
      </c>
      <c r="D116" t="s">
        <v>60</v>
      </c>
      <c r="E116" t="s">
        <v>61</v>
      </c>
      <c r="F116">
        <v>659</v>
      </c>
      <c r="G116">
        <v>21</v>
      </c>
      <c r="H116">
        <v>1</v>
      </c>
      <c r="I116">
        <v>0</v>
      </c>
      <c r="J116">
        <v>531</v>
      </c>
      <c r="K116">
        <v>0</v>
      </c>
      <c r="L116">
        <v>0</v>
      </c>
      <c r="M116">
        <v>100</v>
      </c>
      <c r="N116">
        <v>0</v>
      </c>
      <c r="O116">
        <v>2</v>
      </c>
      <c r="P116">
        <v>3</v>
      </c>
      <c r="Q116">
        <v>1</v>
      </c>
      <c r="R116">
        <f>SUM(Table13[[#This Row],[Rank_All_Ranks_Total]:[Rank_SSPSPAddlSPCommandant]])</f>
        <v>1318</v>
      </c>
    </row>
    <row r="117" spans="1:18" x14ac:dyDescent="0.3">
      <c r="A117" t="s">
        <v>12</v>
      </c>
      <c r="B117">
        <v>2004</v>
      </c>
      <c r="C117" t="str">
        <f>_xlfn.CONCAT(Table13[[#This Row],[STATE]],"-",Table13[[#This Row],[Year]])</f>
        <v>Gujarat-2004</v>
      </c>
      <c r="D117" t="s">
        <v>60</v>
      </c>
      <c r="E117" t="s">
        <v>61</v>
      </c>
      <c r="F117">
        <v>10845</v>
      </c>
      <c r="G117">
        <v>1043</v>
      </c>
      <c r="H117">
        <v>41</v>
      </c>
      <c r="I117">
        <v>0</v>
      </c>
      <c r="J117">
        <v>8420</v>
      </c>
      <c r="K117">
        <v>0</v>
      </c>
      <c r="L117">
        <v>0</v>
      </c>
      <c r="M117">
        <v>1035</v>
      </c>
      <c r="N117">
        <v>0</v>
      </c>
      <c r="O117">
        <v>95</v>
      </c>
      <c r="P117">
        <v>211</v>
      </c>
      <c r="Q117">
        <v>0</v>
      </c>
      <c r="R117">
        <f>SUM(Table13[[#This Row],[Rank_All_Ranks_Total]:[Rank_SSPSPAddlSPCommandant]])</f>
        <v>21690</v>
      </c>
    </row>
    <row r="118" spans="1:18" x14ac:dyDescent="0.3">
      <c r="A118" t="s">
        <v>13</v>
      </c>
      <c r="B118">
        <v>2004</v>
      </c>
      <c r="C118" t="str">
        <f>_xlfn.CONCAT(Table13[[#This Row],[STATE]],"-",Table13[[#This Row],[Year]])</f>
        <v>Haryana-2004</v>
      </c>
      <c r="D118" t="s">
        <v>60</v>
      </c>
      <c r="E118" t="s">
        <v>61</v>
      </c>
      <c r="F118">
        <v>3807</v>
      </c>
      <c r="G118">
        <v>207</v>
      </c>
      <c r="H118">
        <v>15</v>
      </c>
      <c r="I118">
        <v>0</v>
      </c>
      <c r="J118">
        <v>3205</v>
      </c>
      <c r="K118">
        <v>1</v>
      </c>
      <c r="L118">
        <v>1</v>
      </c>
      <c r="M118">
        <v>208</v>
      </c>
      <c r="N118">
        <v>1</v>
      </c>
      <c r="O118">
        <v>43</v>
      </c>
      <c r="P118">
        <v>121</v>
      </c>
      <c r="Q118">
        <v>5</v>
      </c>
      <c r="R118">
        <f>SUM(Table13[[#This Row],[Rank_All_Ranks_Total]:[Rank_SSPSPAddlSPCommandant]])</f>
        <v>7614</v>
      </c>
    </row>
    <row r="119" spans="1:18" x14ac:dyDescent="0.3">
      <c r="A119" t="s">
        <v>14</v>
      </c>
      <c r="B119">
        <v>2004</v>
      </c>
      <c r="C119" t="str">
        <f>_xlfn.CONCAT(Table13[[#This Row],[STATE]],"-",Table13[[#This Row],[Year]])</f>
        <v>Himachal Pradesh-2004</v>
      </c>
      <c r="D119" t="s">
        <v>60</v>
      </c>
      <c r="E119" t="s">
        <v>61</v>
      </c>
      <c r="F119">
        <v>3311</v>
      </c>
      <c r="G119">
        <v>72</v>
      </c>
      <c r="H119">
        <v>24</v>
      </c>
      <c r="I119">
        <v>0</v>
      </c>
      <c r="J119">
        <v>2113</v>
      </c>
      <c r="K119">
        <v>1</v>
      </c>
      <c r="L119">
        <v>2</v>
      </c>
      <c r="M119">
        <v>876</v>
      </c>
      <c r="N119">
        <v>0</v>
      </c>
      <c r="O119">
        <v>46</v>
      </c>
      <c r="P119">
        <v>169</v>
      </c>
      <c r="Q119">
        <v>8</v>
      </c>
      <c r="R119">
        <f>SUM(Table13[[#This Row],[Rank_All_Ranks_Total]:[Rank_SSPSPAddlSPCommandant]])</f>
        <v>6622</v>
      </c>
    </row>
    <row r="120" spans="1:18" x14ac:dyDescent="0.3">
      <c r="A120" t="s">
        <v>15</v>
      </c>
      <c r="B120">
        <v>2004</v>
      </c>
      <c r="C120" t="str">
        <f>_xlfn.CONCAT(Table13[[#This Row],[STATE]],"-",Table13[[#This Row],[Year]])</f>
        <v>Jammu &amp; Kashmir-2004</v>
      </c>
      <c r="D120" t="s">
        <v>60</v>
      </c>
      <c r="E120" t="s">
        <v>61</v>
      </c>
      <c r="F120">
        <v>18759</v>
      </c>
      <c r="G120">
        <v>389</v>
      </c>
      <c r="H120">
        <v>146</v>
      </c>
      <c r="I120">
        <v>0</v>
      </c>
      <c r="J120">
        <v>14534</v>
      </c>
      <c r="K120">
        <v>1</v>
      </c>
      <c r="L120">
        <v>2</v>
      </c>
      <c r="M120">
        <v>3048</v>
      </c>
      <c r="N120">
        <v>1</v>
      </c>
      <c r="O120">
        <v>125</v>
      </c>
      <c r="P120">
        <v>458</v>
      </c>
      <c r="Q120">
        <v>55</v>
      </c>
      <c r="R120">
        <f>SUM(Table13[[#This Row],[Rank_All_Ranks_Total]:[Rank_SSPSPAddlSPCommandant]])</f>
        <v>37518</v>
      </c>
    </row>
    <row r="121" spans="1:18" x14ac:dyDescent="0.3">
      <c r="A121" t="s">
        <v>16</v>
      </c>
      <c r="B121">
        <v>2004</v>
      </c>
      <c r="C121" t="str">
        <f>_xlfn.CONCAT(Table13[[#This Row],[STATE]],"-",Table13[[#This Row],[Year]])</f>
        <v>Jharkhand-2004</v>
      </c>
      <c r="D121" t="s">
        <v>60</v>
      </c>
      <c r="E121" t="s">
        <v>61</v>
      </c>
      <c r="F121">
        <v>3333</v>
      </c>
      <c r="G121">
        <v>27</v>
      </c>
      <c r="H121">
        <v>0</v>
      </c>
      <c r="I121">
        <v>0</v>
      </c>
      <c r="J121">
        <v>3010</v>
      </c>
      <c r="K121">
        <v>0</v>
      </c>
      <c r="L121">
        <v>0</v>
      </c>
      <c r="M121">
        <v>225</v>
      </c>
      <c r="N121">
        <v>0</v>
      </c>
      <c r="O121">
        <v>8</v>
      </c>
      <c r="P121">
        <v>63</v>
      </c>
      <c r="Q121">
        <v>0</v>
      </c>
      <c r="R121">
        <f>SUM(Table13[[#This Row],[Rank_All_Ranks_Total]:[Rank_SSPSPAddlSPCommandant]])</f>
        <v>6666</v>
      </c>
    </row>
    <row r="122" spans="1:18" x14ac:dyDescent="0.3">
      <c r="A122" t="s">
        <v>17</v>
      </c>
      <c r="B122">
        <v>2004</v>
      </c>
      <c r="C122" t="str">
        <f>_xlfn.CONCAT(Table13[[#This Row],[STATE]],"-",Table13[[#This Row],[Year]])</f>
        <v>Karnataka-2004</v>
      </c>
      <c r="D122" t="s">
        <v>60</v>
      </c>
      <c r="E122" t="s">
        <v>61</v>
      </c>
      <c r="F122">
        <v>3592</v>
      </c>
      <c r="G122">
        <v>105</v>
      </c>
      <c r="H122">
        <v>5</v>
      </c>
      <c r="I122">
        <v>0</v>
      </c>
      <c r="J122">
        <v>2776</v>
      </c>
      <c r="K122">
        <v>0</v>
      </c>
      <c r="L122">
        <v>0</v>
      </c>
      <c r="M122">
        <v>633</v>
      </c>
      <c r="N122">
        <v>0</v>
      </c>
      <c r="O122">
        <v>13</v>
      </c>
      <c r="P122">
        <v>60</v>
      </c>
      <c r="Q122">
        <v>0</v>
      </c>
      <c r="R122">
        <f>SUM(Table13[[#This Row],[Rank_All_Ranks_Total]:[Rank_SSPSPAddlSPCommandant]])</f>
        <v>7184</v>
      </c>
    </row>
    <row r="123" spans="1:18" x14ac:dyDescent="0.3">
      <c r="A123" t="s">
        <v>18</v>
      </c>
      <c r="B123">
        <v>2004</v>
      </c>
      <c r="C123" t="str">
        <f>_xlfn.CONCAT(Table13[[#This Row],[STATE]],"-",Table13[[#This Row],[Year]])</f>
        <v>Kerala-2004</v>
      </c>
      <c r="D123" t="s">
        <v>60</v>
      </c>
      <c r="E123" t="s">
        <v>61</v>
      </c>
      <c r="F123">
        <v>7865</v>
      </c>
      <c r="G123">
        <v>90</v>
      </c>
      <c r="H123">
        <v>38</v>
      </c>
      <c r="I123">
        <v>0</v>
      </c>
      <c r="J123">
        <v>6598</v>
      </c>
      <c r="K123">
        <v>0</v>
      </c>
      <c r="L123">
        <v>0</v>
      </c>
      <c r="M123">
        <v>909</v>
      </c>
      <c r="N123">
        <v>0</v>
      </c>
      <c r="O123">
        <v>27</v>
      </c>
      <c r="P123">
        <v>194</v>
      </c>
      <c r="Q123">
        <v>9</v>
      </c>
      <c r="R123">
        <f>SUM(Table13[[#This Row],[Rank_All_Ranks_Total]:[Rank_SSPSPAddlSPCommandant]])</f>
        <v>15730</v>
      </c>
    </row>
    <row r="124" spans="1:18" x14ac:dyDescent="0.3">
      <c r="A124" t="s">
        <v>39</v>
      </c>
      <c r="B124">
        <v>2004</v>
      </c>
      <c r="C124" t="str">
        <f>_xlfn.CONCAT(Table13[[#This Row],[STATE]],"-",Table13[[#This Row],[Year]])</f>
        <v>Lakshadweep-2004</v>
      </c>
      <c r="D124" t="s">
        <v>60</v>
      </c>
      <c r="E124" t="s">
        <v>61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f>SUM(Table13[[#This Row],[Rank_All_Ranks_Total]:[Rank_SSPSPAddlSPCommandant]])</f>
        <v>0</v>
      </c>
    </row>
    <row r="125" spans="1:18" x14ac:dyDescent="0.3">
      <c r="A125" t="s">
        <v>19</v>
      </c>
      <c r="B125">
        <v>2004</v>
      </c>
      <c r="C125" t="str">
        <f>_xlfn.CONCAT(Table13[[#This Row],[STATE]],"-",Table13[[#This Row],[Year]])</f>
        <v>Madhya Pradesh-2004</v>
      </c>
      <c r="D125" t="s">
        <v>60</v>
      </c>
      <c r="E125" t="s">
        <v>61</v>
      </c>
      <c r="F125">
        <v>20082</v>
      </c>
      <c r="G125">
        <v>1130</v>
      </c>
      <c r="H125">
        <v>0</v>
      </c>
      <c r="I125">
        <v>0</v>
      </c>
      <c r="J125">
        <v>14622</v>
      </c>
      <c r="K125">
        <v>0</v>
      </c>
      <c r="L125">
        <v>0</v>
      </c>
      <c r="M125">
        <v>3499</v>
      </c>
      <c r="N125">
        <v>0</v>
      </c>
      <c r="O125">
        <v>197</v>
      </c>
      <c r="P125">
        <v>634</v>
      </c>
      <c r="Q125">
        <v>0</v>
      </c>
      <c r="R125">
        <f>SUM(Table13[[#This Row],[Rank_All_Ranks_Total]:[Rank_SSPSPAddlSPCommandant]])</f>
        <v>40164</v>
      </c>
    </row>
    <row r="126" spans="1:18" x14ac:dyDescent="0.3">
      <c r="A126" t="s">
        <v>20</v>
      </c>
      <c r="B126">
        <v>2004</v>
      </c>
      <c r="C126" t="str">
        <f>_xlfn.CONCAT(Table13[[#This Row],[STATE]],"-",Table13[[#This Row],[Year]])</f>
        <v>Maharashtra-2004</v>
      </c>
      <c r="D126" t="s">
        <v>60</v>
      </c>
      <c r="E126" t="s">
        <v>61</v>
      </c>
      <c r="F126">
        <v>13570</v>
      </c>
      <c r="G126">
        <v>1241</v>
      </c>
      <c r="H126">
        <v>18</v>
      </c>
      <c r="I126">
        <v>2892</v>
      </c>
      <c r="J126">
        <v>6820</v>
      </c>
      <c r="K126">
        <v>0</v>
      </c>
      <c r="L126">
        <v>3</v>
      </c>
      <c r="M126">
        <v>2467</v>
      </c>
      <c r="N126">
        <v>1</v>
      </c>
      <c r="O126">
        <v>120</v>
      </c>
      <c r="P126">
        <v>0</v>
      </c>
      <c r="Q126">
        <v>8</v>
      </c>
      <c r="R126">
        <f>SUM(Table13[[#This Row],[Rank_All_Ranks_Total]:[Rank_SSPSPAddlSPCommandant]])</f>
        <v>27140</v>
      </c>
    </row>
    <row r="127" spans="1:18" x14ac:dyDescent="0.3">
      <c r="A127" t="s">
        <v>21</v>
      </c>
      <c r="B127">
        <v>2004</v>
      </c>
      <c r="C127" t="str">
        <f>_xlfn.CONCAT(Table13[[#This Row],[STATE]],"-",Table13[[#This Row],[Year]])</f>
        <v>Manipur-2004</v>
      </c>
      <c r="D127" t="s">
        <v>60</v>
      </c>
      <c r="E127" t="s">
        <v>61</v>
      </c>
      <c r="F127">
        <v>8566</v>
      </c>
      <c r="G127">
        <v>0</v>
      </c>
      <c r="H127">
        <v>49</v>
      </c>
      <c r="I127">
        <v>129</v>
      </c>
      <c r="J127">
        <v>7220</v>
      </c>
      <c r="K127">
        <v>1</v>
      </c>
      <c r="L127">
        <v>2</v>
      </c>
      <c r="M127">
        <v>864</v>
      </c>
      <c r="N127">
        <v>1</v>
      </c>
      <c r="O127">
        <v>76</v>
      </c>
      <c r="P127">
        <v>196</v>
      </c>
      <c r="Q127">
        <v>28</v>
      </c>
      <c r="R127">
        <f>SUM(Table13[[#This Row],[Rank_All_Ranks_Total]:[Rank_SSPSPAddlSPCommandant]])</f>
        <v>17132</v>
      </c>
    </row>
    <row r="128" spans="1:18" x14ac:dyDescent="0.3">
      <c r="A128" t="s">
        <v>22</v>
      </c>
      <c r="B128">
        <v>2004</v>
      </c>
      <c r="C128" t="str">
        <f>_xlfn.CONCAT(Table13[[#This Row],[STATE]],"-",Table13[[#This Row],[Year]])</f>
        <v>Meghalaya-2004</v>
      </c>
      <c r="D128" t="s">
        <v>60</v>
      </c>
      <c r="E128" t="s">
        <v>61</v>
      </c>
      <c r="F128">
        <v>3393</v>
      </c>
      <c r="G128">
        <v>0</v>
      </c>
      <c r="H128">
        <v>33</v>
      </c>
      <c r="I128">
        <v>148</v>
      </c>
      <c r="J128">
        <v>2607</v>
      </c>
      <c r="K128">
        <v>0</v>
      </c>
      <c r="L128">
        <v>0</v>
      </c>
      <c r="M128">
        <v>487</v>
      </c>
      <c r="N128">
        <v>0</v>
      </c>
      <c r="O128">
        <v>28</v>
      </c>
      <c r="P128">
        <v>78</v>
      </c>
      <c r="Q128">
        <v>12</v>
      </c>
      <c r="R128">
        <f>SUM(Table13[[#This Row],[Rank_All_Ranks_Total]:[Rank_SSPSPAddlSPCommandant]])</f>
        <v>6786</v>
      </c>
    </row>
    <row r="129" spans="1:18" x14ac:dyDescent="0.3">
      <c r="A129" t="s">
        <v>23</v>
      </c>
      <c r="B129">
        <v>2004</v>
      </c>
      <c r="C129" t="str">
        <f>_xlfn.CONCAT(Table13[[#This Row],[STATE]],"-",Table13[[#This Row],[Year]])</f>
        <v>Mizoram-2004</v>
      </c>
      <c r="D129" t="s">
        <v>60</v>
      </c>
      <c r="E129" t="s">
        <v>61</v>
      </c>
      <c r="F129">
        <v>4145</v>
      </c>
      <c r="G129">
        <v>5</v>
      </c>
      <c r="H129">
        <v>25</v>
      </c>
      <c r="I129">
        <v>368</v>
      </c>
      <c r="J129">
        <v>2937</v>
      </c>
      <c r="K129">
        <v>0</v>
      </c>
      <c r="L129">
        <v>0</v>
      </c>
      <c r="M129">
        <v>645</v>
      </c>
      <c r="N129">
        <v>0</v>
      </c>
      <c r="O129">
        <v>41</v>
      </c>
      <c r="P129">
        <v>109</v>
      </c>
      <c r="Q129">
        <v>15</v>
      </c>
      <c r="R129">
        <f>SUM(Table13[[#This Row],[Rank_All_Ranks_Total]:[Rank_SSPSPAddlSPCommandant]])</f>
        <v>8290</v>
      </c>
    </row>
    <row r="130" spans="1:18" x14ac:dyDescent="0.3">
      <c r="A130" t="s">
        <v>24</v>
      </c>
      <c r="B130">
        <v>2004</v>
      </c>
      <c r="C130" t="str">
        <f>_xlfn.CONCAT(Table13[[#This Row],[STATE]],"-",Table13[[#This Row],[Year]])</f>
        <v>Nagaland-2004</v>
      </c>
      <c r="D130" t="s">
        <v>60</v>
      </c>
      <c r="E130" t="s">
        <v>61</v>
      </c>
      <c r="F130">
        <v>6324</v>
      </c>
      <c r="G130">
        <v>0</v>
      </c>
      <c r="H130">
        <v>19</v>
      </c>
      <c r="I130">
        <v>747</v>
      </c>
      <c r="J130">
        <v>4812</v>
      </c>
      <c r="K130">
        <v>0</v>
      </c>
      <c r="L130">
        <v>0</v>
      </c>
      <c r="M130">
        <v>571</v>
      </c>
      <c r="N130">
        <v>0</v>
      </c>
      <c r="O130">
        <v>18</v>
      </c>
      <c r="P130">
        <v>143</v>
      </c>
      <c r="Q130">
        <v>14</v>
      </c>
      <c r="R130">
        <f>SUM(Table13[[#This Row],[Rank_All_Ranks_Total]:[Rank_SSPSPAddlSPCommandant]])</f>
        <v>12648</v>
      </c>
    </row>
    <row r="131" spans="1:18" x14ac:dyDescent="0.3">
      <c r="A131" t="s">
        <v>63</v>
      </c>
      <c r="B131">
        <v>2004</v>
      </c>
      <c r="C131" t="str">
        <f>_xlfn.CONCAT(Table13[[#This Row],[STATE]],"-",Table13[[#This Row],[Year]])</f>
        <v>Odisha-2004</v>
      </c>
      <c r="D131" t="s">
        <v>60</v>
      </c>
      <c r="E131" t="s">
        <v>61</v>
      </c>
      <c r="F131">
        <v>8306</v>
      </c>
      <c r="G131">
        <v>201</v>
      </c>
      <c r="H131">
        <v>64</v>
      </c>
      <c r="I131">
        <v>383</v>
      </c>
      <c r="J131">
        <v>6263</v>
      </c>
      <c r="K131">
        <v>0</v>
      </c>
      <c r="L131">
        <v>0</v>
      </c>
      <c r="M131">
        <v>1174</v>
      </c>
      <c r="N131">
        <v>0</v>
      </c>
      <c r="O131">
        <v>37</v>
      </c>
      <c r="P131">
        <v>162</v>
      </c>
      <c r="Q131">
        <v>22</v>
      </c>
      <c r="R131">
        <f>SUM(Table13[[#This Row],[Rank_All_Ranks_Total]:[Rank_SSPSPAddlSPCommandant]])</f>
        <v>16612</v>
      </c>
    </row>
    <row r="132" spans="1:18" x14ac:dyDescent="0.3">
      <c r="A132" t="s">
        <v>64</v>
      </c>
      <c r="B132">
        <v>2004</v>
      </c>
      <c r="C132" t="str">
        <f>_xlfn.CONCAT(Table13[[#This Row],[STATE]],"-",Table13[[#This Row],[Year]])</f>
        <v>Puducherry-2004</v>
      </c>
      <c r="D132" t="s">
        <v>60</v>
      </c>
      <c r="E132" t="s">
        <v>61</v>
      </c>
      <c r="F132">
        <v>683</v>
      </c>
      <c r="G132">
        <v>2</v>
      </c>
      <c r="H132">
        <v>1</v>
      </c>
      <c r="I132">
        <v>0</v>
      </c>
      <c r="J132">
        <v>565</v>
      </c>
      <c r="K132">
        <v>0</v>
      </c>
      <c r="L132">
        <v>0</v>
      </c>
      <c r="M132">
        <v>93</v>
      </c>
      <c r="N132">
        <v>0</v>
      </c>
      <c r="O132">
        <v>5</v>
      </c>
      <c r="P132">
        <v>17</v>
      </c>
      <c r="Q132">
        <v>0</v>
      </c>
      <c r="R132">
        <f>SUM(Table13[[#This Row],[Rank_All_Ranks_Total]:[Rank_SSPSPAddlSPCommandant]])</f>
        <v>1366</v>
      </c>
    </row>
    <row r="133" spans="1:18" x14ac:dyDescent="0.3">
      <c r="A133" t="s">
        <v>26</v>
      </c>
      <c r="B133">
        <v>2004</v>
      </c>
      <c r="C133" t="str">
        <f>_xlfn.CONCAT(Table13[[#This Row],[STATE]],"-",Table13[[#This Row],[Year]])</f>
        <v>Punjab-2004</v>
      </c>
      <c r="D133" t="s">
        <v>60</v>
      </c>
      <c r="E133" t="s">
        <v>61</v>
      </c>
      <c r="F133">
        <v>18838</v>
      </c>
      <c r="G133">
        <v>372</v>
      </c>
      <c r="H133">
        <v>128</v>
      </c>
      <c r="I133">
        <v>0</v>
      </c>
      <c r="J133">
        <v>14421</v>
      </c>
      <c r="K133">
        <v>1</v>
      </c>
      <c r="L133">
        <v>3</v>
      </c>
      <c r="M133">
        <v>3197</v>
      </c>
      <c r="N133">
        <v>3</v>
      </c>
      <c r="O133">
        <v>150</v>
      </c>
      <c r="P133">
        <v>497</v>
      </c>
      <c r="Q133">
        <v>66</v>
      </c>
      <c r="R133">
        <f>SUM(Table13[[#This Row],[Rank_All_Ranks_Total]:[Rank_SSPSPAddlSPCommandant]])</f>
        <v>37676</v>
      </c>
    </row>
    <row r="134" spans="1:18" x14ac:dyDescent="0.3">
      <c r="A134" t="s">
        <v>27</v>
      </c>
      <c r="B134">
        <v>2004</v>
      </c>
      <c r="C134" t="str">
        <f>_xlfn.CONCAT(Table13[[#This Row],[STATE]],"-",Table13[[#This Row],[Year]])</f>
        <v>Rajasthan-2004</v>
      </c>
      <c r="D134" t="s">
        <v>60</v>
      </c>
      <c r="E134" t="s">
        <v>61</v>
      </c>
      <c r="F134">
        <v>11488</v>
      </c>
      <c r="G134">
        <v>0</v>
      </c>
      <c r="H134">
        <v>69</v>
      </c>
      <c r="I134">
        <v>0</v>
      </c>
      <c r="J134">
        <v>9065</v>
      </c>
      <c r="K134">
        <v>1</v>
      </c>
      <c r="L134">
        <v>1</v>
      </c>
      <c r="M134">
        <v>2020</v>
      </c>
      <c r="N134">
        <v>1</v>
      </c>
      <c r="O134">
        <v>72</v>
      </c>
      <c r="P134">
        <v>245</v>
      </c>
      <c r="Q134">
        <v>14</v>
      </c>
      <c r="R134">
        <f>SUM(Table13[[#This Row],[Rank_All_Ranks_Total]:[Rank_SSPSPAddlSPCommandant]])</f>
        <v>22976</v>
      </c>
    </row>
    <row r="135" spans="1:18" x14ac:dyDescent="0.3">
      <c r="A135" t="s">
        <v>28</v>
      </c>
      <c r="B135">
        <v>2004</v>
      </c>
      <c r="C135" t="str">
        <f>_xlfn.CONCAT(Table13[[#This Row],[STATE]],"-",Table13[[#This Row],[Year]])</f>
        <v>Sikkim-2004</v>
      </c>
      <c r="D135" t="s">
        <v>60</v>
      </c>
      <c r="E135" t="s">
        <v>61</v>
      </c>
      <c r="F135">
        <v>1460</v>
      </c>
      <c r="G135">
        <v>41</v>
      </c>
      <c r="H135">
        <v>10</v>
      </c>
      <c r="I135">
        <v>132</v>
      </c>
      <c r="J135">
        <v>1171</v>
      </c>
      <c r="K135">
        <v>0</v>
      </c>
      <c r="L135">
        <v>1</v>
      </c>
      <c r="M135">
        <v>64</v>
      </c>
      <c r="N135">
        <v>0</v>
      </c>
      <c r="O135">
        <v>10</v>
      </c>
      <c r="P135">
        <v>29</v>
      </c>
      <c r="Q135">
        <v>2</v>
      </c>
      <c r="R135">
        <f>SUM(Table13[[#This Row],[Rank_All_Ranks_Total]:[Rank_SSPSPAddlSPCommandant]])</f>
        <v>2920</v>
      </c>
    </row>
    <row r="136" spans="1:18" x14ac:dyDescent="0.3">
      <c r="A136" t="s">
        <v>42</v>
      </c>
      <c r="B136">
        <v>2004</v>
      </c>
      <c r="C136" t="str">
        <f>_xlfn.CONCAT(Table13[[#This Row],[STATE]],"-",Table13[[#This Row],[Year]])</f>
        <v>Tamil Nadu-2004</v>
      </c>
      <c r="D136" t="s">
        <v>60</v>
      </c>
      <c r="E136" t="s">
        <v>61</v>
      </c>
      <c r="F136">
        <v>12167</v>
      </c>
      <c r="G136">
        <v>0</v>
      </c>
      <c r="H136">
        <v>45</v>
      </c>
      <c r="I136">
        <v>1294</v>
      </c>
      <c r="J136">
        <v>9035</v>
      </c>
      <c r="K136">
        <v>0</v>
      </c>
      <c r="L136">
        <v>2</v>
      </c>
      <c r="M136">
        <v>1295</v>
      </c>
      <c r="N136">
        <v>1</v>
      </c>
      <c r="O136">
        <v>109</v>
      </c>
      <c r="P136">
        <v>359</v>
      </c>
      <c r="Q136">
        <v>27</v>
      </c>
      <c r="R136">
        <f>SUM(Table13[[#This Row],[Rank_All_Ranks_Total]:[Rank_SSPSPAddlSPCommandant]])</f>
        <v>24334</v>
      </c>
    </row>
    <row r="137" spans="1:18" x14ac:dyDescent="0.3">
      <c r="A137" t="s">
        <v>30</v>
      </c>
      <c r="B137">
        <v>2004</v>
      </c>
      <c r="C137" t="str">
        <f>_xlfn.CONCAT(Table13[[#This Row],[STATE]],"-",Table13[[#This Row],[Year]])</f>
        <v>Tripura-2004</v>
      </c>
      <c r="D137" t="s">
        <v>60</v>
      </c>
      <c r="E137" t="s">
        <v>61</v>
      </c>
      <c r="F137">
        <v>8988</v>
      </c>
      <c r="G137">
        <v>0</v>
      </c>
      <c r="H137">
        <v>38</v>
      </c>
      <c r="I137">
        <v>1084</v>
      </c>
      <c r="J137">
        <v>6884</v>
      </c>
      <c r="K137">
        <v>0</v>
      </c>
      <c r="L137">
        <v>0</v>
      </c>
      <c r="M137">
        <v>651</v>
      </c>
      <c r="N137">
        <v>0</v>
      </c>
      <c r="O137">
        <v>61</v>
      </c>
      <c r="P137">
        <v>255</v>
      </c>
      <c r="Q137">
        <v>15</v>
      </c>
      <c r="R137">
        <f>SUM(Table13[[#This Row],[Rank_All_Ranks_Total]:[Rank_SSPSPAddlSPCommandant]])</f>
        <v>17976</v>
      </c>
    </row>
    <row r="138" spans="1:18" x14ac:dyDescent="0.3">
      <c r="A138" t="s">
        <v>31</v>
      </c>
      <c r="B138">
        <v>2004</v>
      </c>
      <c r="C138" t="str">
        <f>_xlfn.CONCAT(Table13[[#This Row],[STATE]],"-",Table13[[#This Row],[Year]])</f>
        <v>Uttar Pradesh-2004</v>
      </c>
      <c r="D138" t="s">
        <v>60</v>
      </c>
      <c r="E138" t="s">
        <v>61</v>
      </c>
      <c r="F138">
        <v>31149</v>
      </c>
      <c r="G138">
        <v>0</v>
      </c>
      <c r="H138">
        <v>59</v>
      </c>
      <c r="I138">
        <v>0</v>
      </c>
      <c r="J138">
        <v>24505</v>
      </c>
      <c r="K138">
        <v>1</v>
      </c>
      <c r="L138">
        <v>7</v>
      </c>
      <c r="M138">
        <v>5550</v>
      </c>
      <c r="N138">
        <v>5</v>
      </c>
      <c r="O138">
        <v>278</v>
      </c>
      <c r="P138">
        <v>702</v>
      </c>
      <c r="Q138">
        <v>42</v>
      </c>
      <c r="R138">
        <f>SUM(Table13[[#This Row],[Rank_All_Ranks_Total]:[Rank_SSPSPAddlSPCommandant]])</f>
        <v>62298</v>
      </c>
    </row>
    <row r="139" spans="1:18" x14ac:dyDescent="0.3">
      <c r="A139" t="s">
        <v>65</v>
      </c>
      <c r="B139">
        <v>2004</v>
      </c>
      <c r="C139" t="str">
        <f>_xlfn.CONCAT(Table13[[#This Row],[STATE]],"-",Table13[[#This Row],[Year]])</f>
        <v>Uttarakhand-2004</v>
      </c>
      <c r="D139" t="s">
        <v>60</v>
      </c>
      <c r="E139" t="s">
        <v>61</v>
      </c>
      <c r="F139">
        <v>2698</v>
      </c>
      <c r="G139">
        <v>0</v>
      </c>
      <c r="H139">
        <v>6</v>
      </c>
      <c r="I139">
        <v>0</v>
      </c>
      <c r="J139">
        <v>2090</v>
      </c>
      <c r="K139">
        <v>0</v>
      </c>
      <c r="L139">
        <v>0</v>
      </c>
      <c r="M139">
        <v>493</v>
      </c>
      <c r="N139">
        <v>0</v>
      </c>
      <c r="O139">
        <v>20</v>
      </c>
      <c r="P139">
        <v>86</v>
      </c>
      <c r="Q139">
        <v>3</v>
      </c>
      <c r="R139">
        <f>SUM(Table13[[#This Row],[Rank_All_Ranks_Total]:[Rank_SSPSPAddlSPCommandant]])</f>
        <v>5396</v>
      </c>
    </row>
    <row r="140" spans="1:18" x14ac:dyDescent="0.3">
      <c r="A140" t="s">
        <v>33</v>
      </c>
      <c r="B140">
        <v>2004</v>
      </c>
      <c r="C140" t="str">
        <f>_xlfn.CONCAT(Table13[[#This Row],[STATE]],"-",Table13[[#This Row],[Year]])</f>
        <v>West Bengal-2004</v>
      </c>
      <c r="D140" t="s">
        <v>60</v>
      </c>
      <c r="E140" t="s">
        <v>61</v>
      </c>
      <c r="F140">
        <v>22125</v>
      </c>
      <c r="G140">
        <v>209</v>
      </c>
      <c r="H140">
        <v>106</v>
      </c>
      <c r="I140">
        <v>1866</v>
      </c>
      <c r="J140">
        <v>17240</v>
      </c>
      <c r="K140">
        <v>1</v>
      </c>
      <c r="L140">
        <v>4</v>
      </c>
      <c r="M140">
        <v>1666</v>
      </c>
      <c r="N140">
        <v>2</v>
      </c>
      <c r="O140">
        <v>247</v>
      </c>
      <c r="P140">
        <v>766</v>
      </c>
      <c r="Q140">
        <v>18</v>
      </c>
      <c r="R140">
        <f>SUM(Table13[[#This Row],[Rank_All_Ranks_Total]:[Rank_SSPSPAddlSPCommandant]])</f>
        <v>44250</v>
      </c>
    </row>
    <row r="141" spans="1:18" x14ac:dyDescent="0.3">
      <c r="A141" t="s">
        <v>59</v>
      </c>
      <c r="B141">
        <v>2005</v>
      </c>
      <c r="C141" t="str">
        <f>_xlfn.CONCAT(Table13[[#This Row],[STATE]],"-",Table13[[#This Row],[Year]])</f>
        <v>Andaman &amp; Nicobar Islands-2005</v>
      </c>
      <c r="D141" t="s">
        <v>60</v>
      </c>
      <c r="E141" t="s">
        <v>61</v>
      </c>
      <c r="F141">
        <v>512</v>
      </c>
      <c r="G141">
        <v>9</v>
      </c>
      <c r="H141">
        <v>1</v>
      </c>
      <c r="I141">
        <v>0</v>
      </c>
      <c r="J141">
        <v>412</v>
      </c>
      <c r="K141">
        <v>0</v>
      </c>
      <c r="L141">
        <v>1</v>
      </c>
      <c r="M141">
        <v>69</v>
      </c>
      <c r="N141">
        <v>0</v>
      </c>
      <c r="O141">
        <v>7</v>
      </c>
      <c r="P141">
        <v>12</v>
      </c>
      <c r="Q141">
        <v>1</v>
      </c>
      <c r="R141">
        <f>SUM(Table13[[#This Row],[Rank_All_Ranks_Total]:[Rank_SSPSPAddlSPCommandant]])</f>
        <v>1024</v>
      </c>
    </row>
    <row r="142" spans="1:18" x14ac:dyDescent="0.3">
      <c r="A142" t="s">
        <v>6</v>
      </c>
      <c r="B142">
        <v>2005</v>
      </c>
      <c r="C142" t="str">
        <f>_xlfn.CONCAT(Table13[[#This Row],[STATE]],"-",Table13[[#This Row],[Year]])</f>
        <v>Andhra Pradesh-2005</v>
      </c>
      <c r="D142" t="s">
        <v>60</v>
      </c>
      <c r="E142" t="s">
        <v>61</v>
      </c>
      <c r="F142">
        <v>12874</v>
      </c>
      <c r="G142">
        <v>618</v>
      </c>
      <c r="H142">
        <v>49</v>
      </c>
      <c r="I142">
        <v>0</v>
      </c>
      <c r="J142">
        <v>8547</v>
      </c>
      <c r="K142">
        <v>0</v>
      </c>
      <c r="L142">
        <v>4</v>
      </c>
      <c r="M142">
        <v>3154</v>
      </c>
      <c r="N142">
        <v>1</v>
      </c>
      <c r="O142">
        <v>138</v>
      </c>
      <c r="P142">
        <v>334</v>
      </c>
      <c r="Q142">
        <v>29</v>
      </c>
      <c r="R142">
        <f>SUM(Table13[[#This Row],[Rank_All_Ranks_Total]:[Rank_SSPSPAddlSPCommandant]])</f>
        <v>25748</v>
      </c>
    </row>
    <row r="143" spans="1:18" x14ac:dyDescent="0.3">
      <c r="A143" t="s">
        <v>7</v>
      </c>
      <c r="B143">
        <v>2005</v>
      </c>
      <c r="C143" t="str">
        <f>_xlfn.CONCAT(Table13[[#This Row],[STATE]],"-",Table13[[#This Row],[Year]])</f>
        <v>Arunachal Pradesh-2005</v>
      </c>
      <c r="D143" t="s">
        <v>60</v>
      </c>
      <c r="E143" t="s">
        <v>61</v>
      </c>
      <c r="F143">
        <v>2529</v>
      </c>
      <c r="G143">
        <v>14</v>
      </c>
      <c r="H143">
        <v>15</v>
      </c>
      <c r="I143">
        <v>169</v>
      </c>
      <c r="J143">
        <v>1942</v>
      </c>
      <c r="K143">
        <v>0</v>
      </c>
      <c r="L143">
        <v>0</v>
      </c>
      <c r="M143">
        <v>322</v>
      </c>
      <c r="N143">
        <v>0</v>
      </c>
      <c r="O143">
        <v>19</v>
      </c>
      <c r="P143">
        <v>45</v>
      </c>
      <c r="Q143">
        <v>3</v>
      </c>
      <c r="R143">
        <f>SUM(Table13[[#This Row],[Rank_All_Ranks_Total]:[Rank_SSPSPAddlSPCommandant]])</f>
        <v>5058</v>
      </c>
    </row>
    <row r="144" spans="1:18" x14ac:dyDescent="0.3">
      <c r="A144" t="s">
        <v>8</v>
      </c>
      <c r="B144">
        <v>2005</v>
      </c>
      <c r="C144" t="str">
        <f>_xlfn.CONCAT(Table13[[#This Row],[STATE]],"-",Table13[[#This Row],[Year]])</f>
        <v>Assam-2005</v>
      </c>
      <c r="D144" t="s">
        <v>60</v>
      </c>
      <c r="E144" t="s">
        <v>61</v>
      </c>
      <c r="F144">
        <v>23708</v>
      </c>
      <c r="G144">
        <v>30</v>
      </c>
      <c r="H144">
        <v>135</v>
      </c>
      <c r="I144">
        <v>2400</v>
      </c>
      <c r="J144">
        <v>16097</v>
      </c>
      <c r="K144">
        <v>0</v>
      </c>
      <c r="L144">
        <v>0</v>
      </c>
      <c r="M144">
        <v>4061</v>
      </c>
      <c r="N144">
        <v>0</v>
      </c>
      <c r="O144">
        <v>235</v>
      </c>
      <c r="P144">
        <v>700</v>
      </c>
      <c r="Q144">
        <v>50</v>
      </c>
      <c r="R144">
        <f>SUM(Table13[[#This Row],[Rank_All_Ranks_Total]:[Rank_SSPSPAddlSPCommandant]])</f>
        <v>47416</v>
      </c>
    </row>
    <row r="145" spans="1:18" x14ac:dyDescent="0.3">
      <c r="A145" t="s">
        <v>9</v>
      </c>
      <c r="B145">
        <v>2005</v>
      </c>
      <c r="C145" t="str">
        <f>_xlfn.CONCAT(Table13[[#This Row],[STATE]],"-",Table13[[#This Row],[Year]])</f>
        <v>Bihar-2005</v>
      </c>
      <c r="D145" t="s">
        <v>60</v>
      </c>
      <c r="E145" t="s">
        <v>61</v>
      </c>
      <c r="F145">
        <v>8833</v>
      </c>
      <c r="G145">
        <v>11</v>
      </c>
      <c r="H145">
        <v>21</v>
      </c>
      <c r="I145">
        <v>0</v>
      </c>
      <c r="J145">
        <v>6037</v>
      </c>
      <c r="K145">
        <v>1</v>
      </c>
      <c r="L145">
        <v>2</v>
      </c>
      <c r="M145">
        <v>2103</v>
      </c>
      <c r="N145">
        <v>1</v>
      </c>
      <c r="O145">
        <v>87</v>
      </c>
      <c r="P145">
        <v>556</v>
      </c>
      <c r="Q145">
        <v>14</v>
      </c>
      <c r="R145">
        <f>SUM(Table13[[#This Row],[Rank_All_Ranks_Total]:[Rank_SSPSPAddlSPCommandant]])</f>
        <v>17666</v>
      </c>
    </row>
    <row r="146" spans="1:18" x14ac:dyDescent="0.3">
      <c r="A146" t="s">
        <v>35</v>
      </c>
      <c r="B146">
        <v>2005</v>
      </c>
      <c r="C146" t="str">
        <f>_xlfn.CONCAT(Table13[[#This Row],[STATE]],"-",Table13[[#This Row],[Year]])</f>
        <v>Chandigarh-2005</v>
      </c>
      <c r="D146" t="s">
        <v>60</v>
      </c>
      <c r="E146" t="s">
        <v>61</v>
      </c>
      <c r="F146">
        <v>419</v>
      </c>
      <c r="G146">
        <v>0</v>
      </c>
      <c r="H146">
        <v>1</v>
      </c>
      <c r="I146">
        <v>0</v>
      </c>
      <c r="J146">
        <v>343</v>
      </c>
      <c r="K146">
        <v>0</v>
      </c>
      <c r="L146">
        <v>0</v>
      </c>
      <c r="M146">
        <v>61</v>
      </c>
      <c r="N146">
        <v>0</v>
      </c>
      <c r="O146">
        <v>4</v>
      </c>
      <c r="P146">
        <v>10</v>
      </c>
      <c r="Q146">
        <v>0</v>
      </c>
      <c r="R146">
        <f>SUM(Table13[[#This Row],[Rank_All_Ranks_Total]:[Rank_SSPSPAddlSPCommandant]])</f>
        <v>838</v>
      </c>
    </row>
    <row r="147" spans="1:18" x14ac:dyDescent="0.3">
      <c r="A147" t="s">
        <v>10</v>
      </c>
      <c r="B147">
        <v>2005</v>
      </c>
      <c r="C147" t="str">
        <f>_xlfn.CONCAT(Table13[[#This Row],[STATE]],"-",Table13[[#This Row],[Year]])</f>
        <v>Chhattisgarh-2005</v>
      </c>
      <c r="D147" t="s">
        <v>60</v>
      </c>
      <c r="E147" t="s">
        <v>61</v>
      </c>
      <c r="F147">
        <v>9863</v>
      </c>
      <c r="G147">
        <v>438</v>
      </c>
      <c r="H147">
        <v>21</v>
      </c>
      <c r="I147">
        <v>770</v>
      </c>
      <c r="J147">
        <v>6732</v>
      </c>
      <c r="K147">
        <v>1</v>
      </c>
      <c r="L147">
        <v>1</v>
      </c>
      <c r="M147">
        <v>1610</v>
      </c>
      <c r="N147">
        <v>1</v>
      </c>
      <c r="O147">
        <v>59</v>
      </c>
      <c r="P147">
        <v>217</v>
      </c>
      <c r="Q147">
        <v>13</v>
      </c>
      <c r="R147">
        <f>SUM(Table13[[#This Row],[Rank_All_Ranks_Total]:[Rank_SSPSPAddlSPCommandant]])</f>
        <v>19726</v>
      </c>
    </row>
    <row r="148" spans="1:18" x14ac:dyDescent="0.3">
      <c r="A148" t="s">
        <v>62</v>
      </c>
      <c r="B148">
        <v>2005</v>
      </c>
      <c r="C148" t="str">
        <f>_xlfn.CONCAT(Table13[[#This Row],[STATE]],"-",Table13[[#This Row],[Year]])</f>
        <v>Dadra &amp; Nagar Haveli-2005</v>
      </c>
      <c r="D148" t="s">
        <v>60</v>
      </c>
      <c r="E148" t="s">
        <v>61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f>SUM(Table13[[#This Row],[Rank_All_Ranks_Total]:[Rank_SSPSPAddlSPCommandant]])</f>
        <v>0</v>
      </c>
    </row>
    <row r="149" spans="1:18" x14ac:dyDescent="0.3">
      <c r="A149" t="s">
        <v>37</v>
      </c>
      <c r="B149">
        <v>2005</v>
      </c>
      <c r="C149" t="str">
        <f>_xlfn.CONCAT(Table13[[#This Row],[STATE]],"-",Table13[[#This Row],[Year]])</f>
        <v>Daman &amp; Diu-2005</v>
      </c>
      <c r="D149" t="s">
        <v>60</v>
      </c>
      <c r="E149" t="s">
        <v>61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f>SUM(Table13[[#This Row],[Rank_All_Ranks_Total]:[Rank_SSPSPAddlSPCommandant]])</f>
        <v>0</v>
      </c>
    </row>
    <row r="150" spans="1:18" x14ac:dyDescent="0.3">
      <c r="A150" t="s">
        <v>38</v>
      </c>
      <c r="B150">
        <v>2005</v>
      </c>
      <c r="C150" t="str">
        <f>_xlfn.CONCAT(Table13[[#This Row],[STATE]],"-",Table13[[#This Row],[Year]])</f>
        <v>Delhi-2005</v>
      </c>
      <c r="D150" t="s">
        <v>60</v>
      </c>
      <c r="E150" t="s">
        <v>61</v>
      </c>
      <c r="F150">
        <v>10443</v>
      </c>
      <c r="G150">
        <v>200</v>
      </c>
      <c r="H150">
        <v>23</v>
      </c>
      <c r="I150">
        <v>0</v>
      </c>
      <c r="J150">
        <v>7995</v>
      </c>
      <c r="K150">
        <v>0</v>
      </c>
      <c r="L150">
        <v>1</v>
      </c>
      <c r="M150">
        <v>1821</v>
      </c>
      <c r="N150">
        <v>1</v>
      </c>
      <c r="O150">
        <v>81</v>
      </c>
      <c r="P150">
        <v>313</v>
      </c>
      <c r="Q150">
        <v>8</v>
      </c>
      <c r="R150">
        <f>SUM(Table13[[#This Row],[Rank_All_Ranks_Total]:[Rank_SSPSPAddlSPCommandant]])</f>
        <v>20886</v>
      </c>
    </row>
    <row r="151" spans="1:18" x14ac:dyDescent="0.3">
      <c r="A151" t="s">
        <v>11</v>
      </c>
      <c r="B151">
        <v>2005</v>
      </c>
      <c r="C151" t="str">
        <f>_xlfn.CONCAT(Table13[[#This Row],[STATE]],"-",Table13[[#This Row],[Year]])</f>
        <v>Goa-2005</v>
      </c>
      <c r="D151" t="s">
        <v>60</v>
      </c>
      <c r="E151" t="s">
        <v>61</v>
      </c>
      <c r="F151">
        <v>545</v>
      </c>
      <c r="G151">
        <v>17</v>
      </c>
      <c r="H151">
        <v>2</v>
      </c>
      <c r="I151">
        <v>0</v>
      </c>
      <c r="J151">
        <v>410</v>
      </c>
      <c r="K151">
        <v>0</v>
      </c>
      <c r="L151">
        <v>0</v>
      </c>
      <c r="M151">
        <v>105</v>
      </c>
      <c r="N151">
        <v>0</v>
      </c>
      <c r="O151">
        <v>5</v>
      </c>
      <c r="P151">
        <v>5</v>
      </c>
      <c r="Q151">
        <v>1</v>
      </c>
      <c r="R151">
        <f>SUM(Table13[[#This Row],[Rank_All_Ranks_Total]:[Rank_SSPSPAddlSPCommandant]])</f>
        <v>1090</v>
      </c>
    </row>
    <row r="152" spans="1:18" x14ac:dyDescent="0.3">
      <c r="A152" t="s">
        <v>12</v>
      </c>
      <c r="B152">
        <v>2005</v>
      </c>
      <c r="C152" t="str">
        <f>_xlfn.CONCAT(Table13[[#This Row],[STATE]],"-",Table13[[#This Row],[Year]])</f>
        <v>Gujarat-2005</v>
      </c>
      <c r="D152" t="s">
        <v>60</v>
      </c>
      <c r="E152" t="s">
        <v>61</v>
      </c>
      <c r="F152">
        <v>10845</v>
      </c>
      <c r="G152">
        <v>1043</v>
      </c>
      <c r="H152">
        <v>41</v>
      </c>
      <c r="I152">
        <v>0</v>
      </c>
      <c r="J152">
        <v>8420</v>
      </c>
      <c r="K152">
        <v>0</v>
      </c>
      <c r="L152">
        <v>0</v>
      </c>
      <c r="M152">
        <v>1035</v>
      </c>
      <c r="N152">
        <v>0</v>
      </c>
      <c r="O152">
        <v>95</v>
      </c>
      <c r="P152">
        <v>211</v>
      </c>
      <c r="Q152">
        <v>0</v>
      </c>
      <c r="R152">
        <f>SUM(Table13[[#This Row],[Rank_All_Ranks_Total]:[Rank_SSPSPAddlSPCommandant]])</f>
        <v>21690</v>
      </c>
    </row>
    <row r="153" spans="1:18" x14ac:dyDescent="0.3">
      <c r="A153" t="s">
        <v>13</v>
      </c>
      <c r="B153">
        <v>2005</v>
      </c>
      <c r="C153" t="str">
        <f>_xlfn.CONCAT(Table13[[#This Row],[STATE]],"-",Table13[[#This Row],[Year]])</f>
        <v>Haryana-2005</v>
      </c>
      <c r="D153" t="s">
        <v>60</v>
      </c>
      <c r="E153" t="s">
        <v>61</v>
      </c>
      <c r="F153">
        <v>5862</v>
      </c>
      <c r="G153">
        <v>269</v>
      </c>
      <c r="H153">
        <v>10</v>
      </c>
      <c r="I153">
        <v>0</v>
      </c>
      <c r="J153">
        <v>4929</v>
      </c>
      <c r="K153">
        <v>0</v>
      </c>
      <c r="L153">
        <v>0</v>
      </c>
      <c r="M153">
        <v>405</v>
      </c>
      <c r="N153">
        <v>1</v>
      </c>
      <c r="O153">
        <v>42</v>
      </c>
      <c r="P153">
        <v>198</v>
      </c>
      <c r="Q153">
        <v>8</v>
      </c>
      <c r="R153">
        <f>SUM(Table13[[#This Row],[Rank_All_Ranks_Total]:[Rank_SSPSPAddlSPCommandant]])</f>
        <v>11724</v>
      </c>
    </row>
    <row r="154" spans="1:18" x14ac:dyDescent="0.3">
      <c r="A154" t="s">
        <v>14</v>
      </c>
      <c r="B154">
        <v>2005</v>
      </c>
      <c r="C154" t="str">
        <f>_xlfn.CONCAT(Table13[[#This Row],[STATE]],"-",Table13[[#This Row],[Year]])</f>
        <v>Himachal Pradesh-2005</v>
      </c>
      <c r="D154" t="s">
        <v>60</v>
      </c>
      <c r="E154" t="s">
        <v>61</v>
      </c>
      <c r="F154">
        <v>3294</v>
      </c>
      <c r="G154">
        <v>73</v>
      </c>
      <c r="H154">
        <v>23</v>
      </c>
      <c r="I154">
        <v>0</v>
      </c>
      <c r="J154">
        <v>2073</v>
      </c>
      <c r="K154">
        <v>1</v>
      </c>
      <c r="L154">
        <v>2</v>
      </c>
      <c r="M154">
        <v>899</v>
      </c>
      <c r="N154">
        <v>1</v>
      </c>
      <c r="O154">
        <v>44</v>
      </c>
      <c r="P154">
        <v>166</v>
      </c>
      <c r="Q154">
        <v>12</v>
      </c>
      <c r="R154">
        <f>SUM(Table13[[#This Row],[Rank_All_Ranks_Total]:[Rank_SSPSPAddlSPCommandant]])</f>
        <v>6588</v>
      </c>
    </row>
    <row r="155" spans="1:18" x14ac:dyDescent="0.3">
      <c r="A155" t="s">
        <v>15</v>
      </c>
      <c r="B155">
        <v>2005</v>
      </c>
      <c r="C155" t="str">
        <f>_xlfn.CONCAT(Table13[[#This Row],[STATE]],"-",Table13[[#This Row],[Year]])</f>
        <v>Jammu &amp; Kashmir-2005</v>
      </c>
      <c r="D155" t="s">
        <v>60</v>
      </c>
      <c r="E155" t="s">
        <v>61</v>
      </c>
      <c r="F155">
        <v>18452</v>
      </c>
      <c r="G155">
        <v>451</v>
      </c>
      <c r="H155">
        <v>115</v>
      </c>
      <c r="I155">
        <v>3506</v>
      </c>
      <c r="J155">
        <v>10612</v>
      </c>
      <c r="K155">
        <v>1</v>
      </c>
      <c r="L155">
        <v>2</v>
      </c>
      <c r="M155">
        <v>3147</v>
      </c>
      <c r="N155">
        <v>1</v>
      </c>
      <c r="O155">
        <v>126</v>
      </c>
      <c r="P155">
        <v>465</v>
      </c>
      <c r="Q155">
        <v>26</v>
      </c>
      <c r="R155">
        <f>SUM(Table13[[#This Row],[Rank_All_Ranks_Total]:[Rank_SSPSPAddlSPCommandant]])</f>
        <v>36904</v>
      </c>
    </row>
    <row r="156" spans="1:18" x14ac:dyDescent="0.3">
      <c r="A156" t="s">
        <v>16</v>
      </c>
      <c r="B156">
        <v>2005</v>
      </c>
      <c r="C156" t="str">
        <f>_xlfn.CONCAT(Table13[[#This Row],[STATE]],"-",Table13[[#This Row],[Year]])</f>
        <v>Jharkhand-2005</v>
      </c>
      <c r="D156" t="s">
        <v>60</v>
      </c>
      <c r="E156" t="s">
        <v>61</v>
      </c>
      <c r="F156">
        <v>2412</v>
      </c>
      <c r="G156">
        <v>89</v>
      </c>
      <c r="H156">
        <v>0</v>
      </c>
      <c r="I156">
        <v>0</v>
      </c>
      <c r="J156">
        <v>1926</v>
      </c>
      <c r="K156">
        <v>0</v>
      </c>
      <c r="L156">
        <v>0</v>
      </c>
      <c r="M156">
        <v>273</v>
      </c>
      <c r="N156">
        <v>0</v>
      </c>
      <c r="O156">
        <v>10</v>
      </c>
      <c r="P156">
        <v>114</v>
      </c>
      <c r="Q156">
        <v>0</v>
      </c>
      <c r="R156">
        <f>SUM(Table13[[#This Row],[Rank_All_Ranks_Total]:[Rank_SSPSPAddlSPCommandant]])</f>
        <v>4824</v>
      </c>
    </row>
    <row r="157" spans="1:18" x14ac:dyDescent="0.3">
      <c r="A157" t="s">
        <v>17</v>
      </c>
      <c r="B157">
        <v>2005</v>
      </c>
      <c r="C157" t="str">
        <f>_xlfn.CONCAT(Table13[[#This Row],[STATE]],"-",Table13[[#This Row],[Year]])</f>
        <v>Karnataka-2005</v>
      </c>
      <c r="D157" t="s">
        <v>60</v>
      </c>
      <c r="E157" t="s">
        <v>61</v>
      </c>
      <c r="F157">
        <v>3772</v>
      </c>
      <c r="G157">
        <v>106</v>
      </c>
      <c r="H157">
        <v>6</v>
      </c>
      <c r="I157">
        <v>0</v>
      </c>
      <c r="J157">
        <v>2938</v>
      </c>
      <c r="K157">
        <v>0</v>
      </c>
      <c r="L157">
        <v>0</v>
      </c>
      <c r="M157">
        <v>650</v>
      </c>
      <c r="N157">
        <v>0</v>
      </c>
      <c r="O157">
        <v>13</v>
      </c>
      <c r="P157">
        <v>59</v>
      </c>
      <c r="Q157">
        <v>0</v>
      </c>
      <c r="R157">
        <f>SUM(Table13[[#This Row],[Rank_All_Ranks_Total]:[Rank_SSPSPAddlSPCommandant]])</f>
        <v>7544</v>
      </c>
    </row>
    <row r="158" spans="1:18" x14ac:dyDescent="0.3">
      <c r="A158" t="s">
        <v>18</v>
      </c>
      <c r="B158">
        <v>2005</v>
      </c>
      <c r="C158" t="str">
        <f>_xlfn.CONCAT(Table13[[#This Row],[STATE]],"-",Table13[[#This Row],[Year]])</f>
        <v>Kerala-2005</v>
      </c>
      <c r="D158" t="s">
        <v>60</v>
      </c>
      <c r="E158" t="s">
        <v>61</v>
      </c>
      <c r="F158">
        <v>7878</v>
      </c>
      <c r="G158">
        <v>95</v>
      </c>
      <c r="H158">
        <v>27</v>
      </c>
      <c r="I158">
        <v>0</v>
      </c>
      <c r="J158">
        <v>6598</v>
      </c>
      <c r="K158">
        <v>0</v>
      </c>
      <c r="L158">
        <v>0</v>
      </c>
      <c r="M158">
        <v>943</v>
      </c>
      <c r="N158">
        <v>0</v>
      </c>
      <c r="O158">
        <v>42</v>
      </c>
      <c r="P158">
        <v>165</v>
      </c>
      <c r="Q158">
        <v>8</v>
      </c>
      <c r="R158">
        <f>SUM(Table13[[#This Row],[Rank_All_Ranks_Total]:[Rank_SSPSPAddlSPCommandant]])</f>
        <v>15756</v>
      </c>
    </row>
    <row r="159" spans="1:18" x14ac:dyDescent="0.3">
      <c r="A159" t="s">
        <v>39</v>
      </c>
      <c r="B159">
        <v>2005</v>
      </c>
      <c r="C159" t="str">
        <f>_xlfn.CONCAT(Table13[[#This Row],[STATE]],"-",Table13[[#This Row],[Year]])</f>
        <v>Lakshadweep-2005</v>
      </c>
      <c r="D159" t="s">
        <v>60</v>
      </c>
      <c r="E159" t="s">
        <v>61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f>SUM(Table13[[#This Row],[Rank_All_Ranks_Total]:[Rank_SSPSPAddlSPCommandant]])</f>
        <v>0</v>
      </c>
    </row>
    <row r="160" spans="1:18" x14ac:dyDescent="0.3">
      <c r="A160" t="s">
        <v>19</v>
      </c>
      <c r="B160">
        <v>2005</v>
      </c>
      <c r="C160" t="str">
        <f>_xlfn.CONCAT(Table13[[#This Row],[STATE]],"-",Table13[[#This Row],[Year]])</f>
        <v>Madhya Pradesh-2005</v>
      </c>
      <c r="D160" t="s">
        <v>60</v>
      </c>
      <c r="E160" t="s">
        <v>61</v>
      </c>
      <c r="F160">
        <v>20082</v>
      </c>
      <c r="G160">
        <v>1130</v>
      </c>
      <c r="H160">
        <v>0</v>
      </c>
      <c r="I160">
        <v>0</v>
      </c>
      <c r="J160">
        <v>14622</v>
      </c>
      <c r="K160">
        <v>0</v>
      </c>
      <c r="L160">
        <v>0</v>
      </c>
      <c r="M160">
        <v>3499</v>
      </c>
      <c r="N160">
        <v>0</v>
      </c>
      <c r="O160">
        <v>197</v>
      </c>
      <c r="P160">
        <v>634</v>
      </c>
      <c r="Q160">
        <v>0</v>
      </c>
      <c r="R160">
        <f>SUM(Table13[[#This Row],[Rank_All_Ranks_Total]:[Rank_SSPSPAddlSPCommandant]])</f>
        <v>40164</v>
      </c>
    </row>
    <row r="161" spans="1:18" x14ac:dyDescent="0.3">
      <c r="A161" t="s">
        <v>20</v>
      </c>
      <c r="B161">
        <v>2005</v>
      </c>
      <c r="C161" t="str">
        <f>_xlfn.CONCAT(Table13[[#This Row],[STATE]],"-",Table13[[#This Row],[Year]])</f>
        <v>Maharashtra-2005</v>
      </c>
      <c r="D161" t="s">
        <v>60</v>
      </c>
      <c r="E161" t="s">
        <v>61</v>
      </c>
      <c r="F161">
        <v>13570</v>
      </c>
      <c r="G161">
        <v>1241</v>
      </c>
      <c r="H161">
        <v>18</v>
      </c>
      <c r="I161">
        <v>2892</v>
      </c>
      <c r="J161">
        <v>6820</v>
      </c>
      <c r="K161">
        <v>0</v>
      </c>
      <c r="L161">
        <v>3</v>
      </c>
      <c r="M161">
        <v>2467</v>
      </c>
      <c r="N161">
        <v>1</v>
      </c>
      <c r="O161">
        <v>120</v>
      </c>
      <c r="P161">
        <v>0</v>
      </c>
      <c r="Q161">
        <v>8</v>
      </c>
      <c r="R161">
        <f>SUM(Table13[[#This Row],[Rank_All_Ranks_Total]:[Rank_SSPSPAddlSPCommandant]])</f>
        <v>27140</v>
      </c>
    </row>
    <row r="162" spans="1:18" x14ac:dyDescent="0.3">
      <c r="A162" t="s">
        <v>21</v>
      </c>
      <c r="B162">
        <v>2005</v>
      </c>
      <c r="C162" t="str">
        <f>_xlfn.CONCAT(Table13[[#This Row],[STATE]],"-",Table13[[#This Row],[Year]])</f>
        <v>Manipur-2005</v>
      </c>
      <c r="D162" t="s">
        <v>60</v>
      </c>
      <c r="E162" t="s">
        <v>61</v>
      </c>
      <c r="F162">
        <v>8828</v>
      </c>
      <c r="G162">
        <v>0</v>
      </c>
      <c r="H162">
        <v>43</v>
      </c>
      <c r="I162">
        <v>8</v>
      </c>
      <c r="J162">
        <v>7054</v>
      </c>
      <c r="K162">
        <v>1</v>
      </c>
      <c r="L162">
        <v>2</v>
      </c>
      <c r="M162">
        <v>1432</v>
      </c>
      <c r="N162">
        <v>0</v>
      </c>
      <c r="O162">
        <v>71</v>
      </c>
      <c r="P162">
        <v>198</v>
      </c>
      <c r="Q162">
        <v>19</v>
      </c>
      <c r="R162">
        <f>SUM(Table13[[#This Row],[Rank_All_Ranks_Total]:[Rank_SSPSPAddlSPCommandant]])</f>
        <v>17656</v>
      </c>
    </row>
    <row r="163" spans="1:18" x14ac:dyDescent="0.3">
      <c r="A163" t="s">
        <v>22</v>
      </c>
      <c r="B163">
        <v>2005</v>
      </c>
      <c r="C163" t="str">
        <f>_xlfn.CONCAT(Table13[[#This Row],[STATE]],"-",Table13[[#This Row],[Year]])</f>
        <v>Meghalaya-2005</v>
      </c>
      <c r="D163" t="s">
        <v>60</v>
      </c>
      <c r="E163" t="s">
        <v>61</v>
      </c>
      <c r="F163">
        <v>3295</v>
      </c>
      <c r="G163">
        <v>8</v>
      </c>
      <c r="H163">
        <v>31</v>
      </c>
      <c r="I163">
        <v>172</v>
      </c>
      <c r="J163">
        <v>2517</v>
      </c>
      <c r="K163">
        <v>0</v>
      </c>
      <c r="L163">
        <v>0</v>
      </c>
      <c r="M163">
        <v>428</v>
      </c>
      <c r="N163">
        <v>0</v>
      </c>
      <c r="O163">
        <v>31</v>
      </c>
      <c r="P163">
        <v>97</v>
      </c>
      <c r="Q163">
        <v>11</v>
      </c>
      <c r="R163">
        <f>SUM(Table13[[#This Row],[Rank_All_Ranks_Total]:[Rank_SSPSPAddlSPCommandant]])</f>
        <v>6590</v>
      </c>
    </row>
    <row r="164" spans="1:18" x14ac:dyDescent="0.3">
      <c r="A164" t="s">
        <v>23</v>
      </c>
      <c r="B164">
        <v>2005</v>
      </c>
      <c r="C164" t="str">
        <f>_xlfn.CONCAT(Table13[[#This Row],[STATE]],"-",Table13[[#This Row],[Year]])</f>
        <v>Mizoram-2005</v>
      </c>
      <c r="D164" t="s">
        <v>60</v>
      </c>
      <c r="E164" t="s">
        <v>61</v>
      </c>
      <c r="F164">
        <v>4476</v>
      </c>
      <c r="G164">
        <v>36</v>
      </c>
      <c r="H164">
        <v>33</v>
      </c>
      <c r="I164">
        <v>486</v>
      </c>
      <c r="J164">
        <v>3003</v>
      </c>
      <c r="K164">
        <v>0</v>
      </c>
      <c r="L164">
        <v>0</v>
      </c>
      <c r="M164">
        <v>724</v>
      </c>
      <c r="N164">
        <v>0</v>
      </c>
      <c r="O164">
        <v>46</v>
      </c>
      <c r="P164">
        <v>129</v>
      </c>
      <c r="Q164">
        <v>19</v>
      </c>
      <c r="R164">
        <f>SUM(Table13[[#This Row],[Rank_All_Ranks_Total]:[Rank_SSPSPAddlSPCommandant]])</f>
        <v>8952</v>
      </c>
    </row>
    <row r="165" spans="1:18" x14ac:dyDescent="0.3">
      <c r="A165" t="s">
        <v>24</v>
      </c>
      <c r="B165">
        <v>2005</v>
      </c>
      <c r="C165" t="str">
        <f>_xlfn.CONCAT(Table13[[#This Row],[STATE]],"-",Table13[[#This Row],[Year]])</f>
        <v>Nagaland-2005</v>
      </c>
      <c r="D165" t="s">
        <v>60</v>
      </c>
      <c r="E165" t="s">
        <v>61</v>
      </c>
      <c r="F165">
        <v>6476</v>
      </c>
      <c r="G165">
        <v>0</v>
      </c>
      <c r="H165">
        <v>19</v>
      </c>
      <c r="I165">
        <v>752</v>
      </c>
      <c r="J165">
        <v>4958</v>
      </c>
      <c r="K165">
        <v>0</v>
      </c>
      <c r="L165">
        <v>0</v>
      </c>
      <c r="M165">
        <v>571</v>
      </c>
      <c r="N165">
        <v>0</v>
      </c>
      <c r="O165">
        <v>18</v>
      </c>
      <c r="P165">
        <v>144</v>
      </c>
      <c r="Q165">
        <v>14</v>
      </c>
      <c r="R165">
        <f>SUM(Table13[[#This Row],[Rank_All_Ranks_Total]:[Rank_SSPSPAddlSPCommandant]])</f>
        <v>12952</v>
      </c>
    </row>
    <row r="166" spans="1:18" x14ac:dyDescent="0.3">
      <c r="A166" t="s">
        <v>63</v>
      </c>
      <c r="B166">
        <v>2005</v>
      </c>
      <c r="C166" t="str">
        <f>_xlfn.CONCAT(Table13[[#This Row],[STATE]],"-",Table13[[#This Row],[Year]])</f>
        <v>Odisha-2005</v>
      </c>
      <c r="D166" t="s">
        <v>60</v>
      </c>
      <c r="E166" t="s">
        <v>61</v>
      </c>
      <c r="F166">
        <v>8427</v>
      </c>
      <c r="G166">
        <v>197</v>
      </c>
      <c r="H166">
        <v>60</v>
      </c>
      <c r="I166">
        <v>381</v>
      </c>
      <c r="J166">
        <v>6401</v>
      </c>
      <c r="K166">
        <v>0</v>
      </c>
      <c r="L166">
        <v>0</v>
      </c>
      <c r="M166">
        <v>1169</v>
      </c>
      <c r="N166">
        <v>0</v>
      </c>
      <c r="O166">
        <v>43</v>
      </c>
      <c r="P166">
        <v>156</v>
      </c>
      <c r="Q166">
        <v>20</v>
      </c>
      <c r="R166">
        <f>SUM(Table13[[#This Row],[Rank_All_Ranks_Total]:[Rank_SSPSPAddlSPCommandant]])</f>
        <v>16854</v>
      </c>
    </row>
    <row r="167" spans="1:18" x14ac:dyDescent="0.3">
      <c r="A167" t="s">
        <v>64</v>
      </c>
      <c r="B167">
        <v>2005</v>
      </c>
      <c r="C167" t="str">
        <f>_xlfn.CONCAT(Table13[[#This Row],[STATE]],"-",Table13[[#This Row],[Year]])</f>
        <v>Puducherry-2005</v>
      </c>
      <c r="D167" t="s">
        <v>60</v>
      </c>
      <c r="E167" t="s">
        <v>61</v>
      </c>
      <c r="F167">
        <v>661</v>
      </c>
      <c r="G167">
        <v>4</v>
      </c>
      <c r="H167">
        <v>2</v>
      </c>
      <c r="I167">
        <v>0</v>
      </c>
      <c r="J167">
        <v>548</v>
      </c>
      <c r="K167">
        <v>0</v>
      </c>
      <c r="L167">
        <v>0</v>
      </c>
      <c r="M167">
        <v>93</v>
      </c>
      <c r="N167">
        <v>0</v>
      </c>
      <c r="O167">
        <v>5</v>
      </c>
      <c r="P167">
        <v>9</v>
      </c>
      <c r="Q167">
        <v>0</v>
      </c>
      <c r="R167">
        <f>SUM(Table13[[#This Row],[Rank_All_Ranks_Total]:[Rank_SSPSPAddlSPCommandant]])</f>
        <v>1322</v>
      </c>
    </row>
    <row r="168" spans="1:18" x14ac:dyDescent="0.3">
      <c r="A168" t="s">
        <v>26</v>
      </c>
      <c r="B168">
        <v>2005</v>
      </c>
      <c r="C168" t="str">
        <f>_xlfn.CONCAT(Table13[[#This Row],[STATE]],"-",Table13[[#This Row],[Year]])</f>
        <v>Punjab-2005</v>
      </c>
      <c r="D168" t="s">
        <v>60</v>
      </c>
      <c r="E168" t="s">
        <v>61</v>
      </c>
      <c r="F168">
        <v>18838</v>
      </c>
      <c r="G168">
        <v>372</v>
      </c>
      <c r="H168">
        <v>128</v>
      </c>
      <c r="I168">
        <v>0</v>
      </c>
      <c r="J168">
        <v>14421</v>
      </c>
      <c r="K168">
        <v>1</v>
      </c>
      <c r="L168">
        <v>3</v>
      </c>
      <c r="M168">
        <v>3197</v>
      </c>
      <c r="N168">
        <v>3</v>
      </c>
      <c r="O168">
        <v>150</v>
      </c>
      <c r="P168">
        <v>497</v>
      </c>
      <c r="Q168">
        <v>66</v>
      </c>
      <c r="R168">
        <f>SUM(Table13[[#This Row],[Rank_All_Ranks_Total]:[Rank_SSPSPAddlSPCommandant]])</f>
        <v>37676</v>
      </c>
    </row>
    <row r="169" spans="1:18" x14ac:dyDescent="0.3">
      <c r="A169" t="s">
        <v>27</v>
      </c>
      <c r="B169">
        <v>2005</v>
      </c>
      <c r="C169" t="str">
        <f>_xlfn.CONCAT(Table13[[#This Row],[STATE]],"-",Table13[[#This Row],[Year]])</f>
        <v>Rajasthan-2005</v>
      </c>
      <c r="D169" t="s">
        <v>60</v>
      </c>
      <c r="E169" t="s">
        <v>61</v>
      </c>
      <c r="F169">
        <v>10803</v>
      </c>
      <c r="G169">
        <v>0</v>
      </c>
      <c r="H169">
        <v>76</v>
      </c>
      <c r="I169">
        <v>0</v>
      </c>
      <c r="J169">
        <v>8515</v>
      </c>
      <c r="K169">
        <v>1</v>
      </c>
      <c r="L169">
        <v>0</v>
      </c>
      <c r="M169">
        <v>1903</v>
      </c>
      <c r="N169">
        <v>2</v>
      </c>
      <c r="O169">
        <v>91</v>
      </c>
      <c r="P169">
        <v>200</v>
      </c>
      <c r="Q169">
        <v>15</v>
      </c>
      <c r="R169">
        <f>SUM(Table13[[#This Row],[Rank_All_Ranks_Total]:[Rank_SSPSPAddlSPCommandant]])</f>
        <v>21606</v>
      </c>
    </row>
    <row r="170" spans="1:18" x14ac:dyDescent="0.3">
      <c r="A170" t="s">
        <v>28</v>
      </c>
      <c r="B170">
        <v>2005</v>
      </c>
      <c r="C170" t="str">
        <f>_xlfn.CONCAT(Table13[[#This Row],[STATE]],"-",Table13[[#This Row],[Year]])</f>
        <v>Sikkim-2005</v>
      </c>
      <c r="D170" t="s">
        <v>60</v>
      </c>
      <c r="E170" t="s">
        <v>61</v>
      </c>
      <c r="F170">
        <v>1579</v>
      </c>
      <c r="G170">
        <v>81</v>
      </c>
      <c r="H170">
        <v>13</v>
      </c>
      <c r="I170">
        <v>471</v>
      </c>
      <c r="J170">
        <v>898</v>
      </c>
      <c r="K170">
        <v>0</v>
      </c>
      <c r="L170">
        <v>1</v>
      </c>
      <c r="M170">
        <v>67</v>
      </c>
      <c r="N170">
        <v>0</v>
      </c>
      <c r="O170">
        <v>10</v>
      </c>
      <c r="P170">
        <v>36</v>
      </c>
      <c r="Q170">
        <v>2</v>
      </c>
      <c r="R170">
        <f>SUM(Table13[[#This Row],[Rank_All_Ranks_Total]:[Rank_SSPSPAddlSPCommandant]])</f>
        <v>3158</v>
      </c>
    </row>
    <row r="171" spans="1:18" x14ac:dyDescent="0.3">
      <c r="A171" t="s">
        <v>42</v>
      </c>
      <c r="B171">
        <v>2005</v>
      </c>
      <c r="C171" t="str">
        <f>_xlfn.CONCAT(Table13[[#This Row],[STATE]],"-",Table13[[#This Row],[Year]])</f>
        <v>Tamil Nadu-2005</v>
      </c>
      <c r="D171" t="s">
        <v>60</v>
      </c>
      <c r="E171" t="s">
        <v>61</v>
      </c>
      <c r="F171">
        <v>13108</v>
      </c>
      <c r="G171">
        <v>0</v>
      </c>
      <c r="H171">
        <v>44</v>
      </c>
      <c r="I171">
        <v>1455</v>
      </c>
      <c r="J171">
        <v>9742</v>
      </c>
      <c r="K171">
        <v>0</v>
      </c>
      <c r="L171">
        <v>2</v>
      </c>
      <c r="M171">
        <v>1298</v>
      </c>
      <c r="N171">
        <v>1</v>
      </c>
      <c r="O171">
        <v>136</v>
      </c>
      <c r="P171">
        <v>406</v>
      </c>
      <c r="Q171">
        <v>24</v>
      </c>
      <c r="R171">
        <f>SUM(Table13[[#This Row],[Rank_All_Ranks_Total]:[Rank_SSPSPAddlSPCommandant]])</f>
        <v>26216</v>
      </c>
    </row>
    <row r="172" spans="1:18" x14ac:dyDescent="0.3">
      <c r="A172" t="s">
        <v>30</v>
      </c>
      <c r="B172">
        <v>2005</v>
      </c>
      <c r="C172" t="str">
        <f>_xlfn.CONCAT(Table13[[#This Row],[STATE]],"-",Table13[[#This Row],[Year]])</f>
        <v>Tripura-2005</v>
      </c>
      <c r="D172" t="s">
        <v>60</v>
      </c>
      <c r="E172" t="s">
        <v>61</v>
      </c>
      <c r="F172">
        <v>8988</v>
      </c>
      <c r="G172">
        <v>0</v>
      </c>
      <c r="H172">
        <v>38</v>
      </c>
      <c r="I172">
        <v>1084</v>
      </c>
      <c r="J172">
        <v>6884</v>
      </c>
      <c r="K172">
        <v>0</v>
      </c>
      <c r="L172">
        <v>0</v>
      </c>
      <c r="M172">
        <v>651</v>
      </c>
      <c r="N172">
        <v>0</v>
      </c>
      <c r="O172">
        <v>61</v>
      </c>
      <c r="P172">
        <v>255</v>
      </c>
      <c r="Q172">
        <v>15</v>
      </c>
      <c r="R172">
        <f>SUM(Table13[[#This Row],[Rank_All_Ranks_Total]:[Rank_SSPSPAddlSPCommandant]])</f>
        <v>17976</v>
      </c>
    </row>
    <row r="173" spans="1:18" x14ac:dyDescent="0.3">
      <c r="A173" t="s">
        <v>31</v>
      </c>
      <c r="B173">
        <v>2005</v>
      </c>
      <c r="C173" t="str">
        <f>_xlfn.CONCAT(Table13[[#This Row],[STATE]],"-",Table13[[#This Row],[Year]])</f>
        <v>Uttar Pradesh-2005</v>
      </c>
      <c r="D173" t="s">
        <v>60</v>
      </c>
      <c r="E173" t="s">
        <v>61</v>
      </c>
      <c r="F173">
        <v>33040</v>
      </c>
      <c r="G173">
        <v>0</v>
      </c>
      <c r="H173">
        <v>64</v>
      </c>
      <c r="I173">
        <v>0</v>
      </c>
      <c r="J173">
        <v>26383</v>
      </c>
      <c r="K173">
        <v>1</v>
      </c>
      <c r="L173">
        <v>6</v>
      </c>
      <c r="M173">
        <v>5610</v>
      </c>
      <c r="N173">
        <v>5</v>
      </c>
      <c r="O173">
        <v>240</v>
      </c>
      <c r="P173">
        <v>683</v>
      </c>
      <c r="Q173">
        <v>48</v>
      </c>
      <c r="R173">
        <f>SUM(Table13[[#This Row],[Rank_All_Ranks_Total]:[Rank_SSPSPAddlSPCommandant]])</f>
        <v>66080</v>
      </c>
    </row>
    <row r="174" spans="1:18" x14ac:dyDescent="0.3">
      <c r="A174" t="s">
        <v>65</v>
      </c>
      <c r="B174">
        <v>2005</v>
      </c>
      <c r="C174" t="str">
        <f>_xlfn.CONCAT(Table13[[#This Row],[STATE]],"-",Table13[[#This Row],[Year]])</f>
        <v>Uttarakhand-2005</v>
      </c>
      <c r="D174" t="s">
        <v>60</v>
      </c>
      <c r="E174" t="s">
        <v>61</v>
      </c>
      <c r="F174">
        <v>2804</v>
      </c>
      <c r="G174">
        <v>0</v>
      </c>
      <c r="H174">
        <v>8</v>
      </c>
      <c r="I174">
        <v>0</v>
      </c>
      <c r="J174">
        <v>2120</v>
      </c>
      <c r="K174">
        <v>0</v>
      </c>
      <c r="L174">
        <v>0</v>
      </c>
      <c r="M174">
        <v>566</v>
      </c>
      <c r="N174">
        <v>1</v>
      </c>
      <c r="O174">
        <v>15</v>
      </c>
      <c r="P174">
        <v>91</v>
      </c>
      <c r="Q174">
        <v>3</v>
      </c>
      <c r="R174">
        <f>SUM(Table13[[#This Row],[Rank_All_Ranks_Total]:[Rank_SSPSPAddlSPCommandant]])</f>
        <v>5608</v>
      </c>
    </row>
    <row r="175" spans="1:18" x14ac:dyDescent="0.3">
      <c r="A175" t="s">
        <v>33</v>
      </c>
      <c r="B175">
        <v>2005</v>
      </c>
      <c r="C175" t="str">
        <f>_xlfn.CONCAT(Table13[[#This Row],[STATE]],"-",Table13[[#This Row],[Year]])</f>
        <v>West Bengal-2005</v>
      </c>
      <c r="D175" t="s">
        <v>60</v>
      </c>
      <c r="E175" t="s">
        <v>61</v>
      </c>
      <c r="F175">
        <v>19067</v>
      </c>
      <c r="G175">
        <v>1076</v>
      </c>
      <c r="H175">
        <v>107</v>
      </c>
      <c r="I175">
        <v>1580</v>
      </c>
      <c r="J175">
        <v>14799</v>
      </c>
      <c r="K175">
        <v>1</v>
      </c>
      <c r="L175">
        <v>4</v>
      </c>
      <c r="M175">
        <v>757</v>
      </c>
      <c r="N175">
        <v>3</v>
      </c>
      <c r="O175">
        <v>239</v>
      </c>
      <c r="P175">
        <v>481</v>
      </c>
      <c r="Q175">
        <v>20</v>
      </c>
      <c r="R175">
        <f>SUM(Table13[[#This Row],[Rank_All_Ranks_Total]:[Rank_SSPSPAddlSPCommandant]])</f>
        <v>38134</v>
      </c>
    </row>
    <row r="176" spans="1:18" x14ac:dyDescent="0.3">
      <c r="A176" t="s">
        <v>59</v>
      </c>
      <c r="B176">
        <v>2006</v>
      </c>
      <c r="C176" t="str">
        <f>_xlfn.CONCAT(Table13[[#This Row],[STATE]],"-",Table13[[#This Row],[Year]])</f>
        <v>Andaman &amp; Nicobar Islands-2006</v>
      </c>
      <c r="D176" t="s">
        <v>60</v>
      </c>
      <c r="E176" t="s">
        <v>61</v>
      </c>
      <c r="F176">
        <v>541</v>
      </c>
      <c r="G176">
        <v>22</v>
      </c>
      <c r="H176">
        <v>2</v>
      </c>
      <c r="I176">
        <v>0</v>
      </c>
      <c r="J176">
        <v>412</v>
      </c>
      <c r="K176">
        <v>0</v>
      </c>
      <c r="L176">
        <v>1</v>
      </c>
      <c r="M176">
        <v>69</v>
      </c>
      <c r="N176">
        <v>0</v>
      </c>
      <c r="O176">
        <v>8</v>
      </c>
      <c r="P176">
        <v>27</v>
      </c>
      <c r="Q176">
        <v>0</v>
      </c>
      <c r="R176">
        <f>SUM(Table13[[#This Row],[Rank_All_Ranks_Total]:[Rank_SSPSPAddlSPCommandant]])</f>
        <v>1082</v>
      </c>
    </row>
    <row r="177" spans="1:18" x14ac:dyDescent="0.3">
      <c r="A177" t="s">
        <v>6</v>
      </c>
      <c r="B177">
        <v>2006</v>
      </c>
      <c r="C177" t="str">
        <f>_xlfn.CONCAT(Table13[[#This Row],[STATE]],"-",Table13[[#This Row],[Year]])</f>
        <v>Andhra Pradesh-2006</v>
      </c>
      <c r="D177" t="s">
        <v>60</v>
      </c>
      <c r="E177" t="s">
        <v>61</v>
      </c>
      <c r="F177">
        <v>12653</v>
      </c>
      <c r="G177">
        <v>588</v>
      </c>
      <c r="H177">
        <v>59</v>
      </c>
      <c r="I177">
        <v>0</v>
      </c>
      <c r="J177">
        <v>8430</v>
      </c>
      <c r="K177">
        <v>1</v>
      </c>
      <c r="L177">
        <v>4</v>
      </c>
      <c r="M177">
        <v>3110</v>
      </c>
      <c r="N177">
        <v>1</v>
      </c>
      <c r="O177">
        <v>138</v>
      </c>
      <c r="P177">
        <v>292</v>
      </c>
      <c r="Q177">
        <v>30</v>
      </c>
      <c r="R177">
        <f>SUM(Table13[[#This Row],[Rank_All_Ranks_Total]:[Rank_SSPSPAddlSPCommandant]])</f>
        <v>25306</v>
      </c>
    </row>
    <row r="178" spans="1:18" x14ac:dyDescent="0.3">
      <c r="A178" t="s">
        <v>7</v>
      </c>
      <c r="B178">
        <v>2006</v>
      </c>
      <c r="C178" t="str">
        <f>_xlfn.CONCAT(Table13[[#This Row],[STATE]],"-",Table13[[#This Row],[Year]])</f>
        <v>Arunachal Pradesh-2006</v>
      </c>
      <c r="D178" t="s">
        <v>60</v>
      </c>
      <c r="E178" t="s">
        <v>61</v>
      </c>
      <c r="F178">
        <v>2481</v>
      </c>
      <c r="G178">
        <v>8</v>
      </c>
      <c r="H178">
        <v>7</v>
      </c>
      <c r="I178">
        <v>202</v>
      </c>
      <c r="J178">
        <v>1869</v>
      </c>
      <c r="K178">
        <v>0</v>
      </c>
      <c r="L178">
        <v>0</v>
      </c>
      <c r="M178">
        <v>313</v>
      </c>
      <c r="N178">
        <v>0</v>
      </c>
      <c r="O178">
        <v>21</v>
      </c>
      <c r="P178">
        <v>58</v>
      </c>
      <c r="Q178">
        <v>3</v>
      </c>
      <c r="R178">
        <f>SUM(Table13[[#This Row],[Rank_All_Ranks_Total]:[Rank_SSPSPAddlSPCommandant]])</f>
        <v>4962</v>
      </c>
    </row>
    <row r="179" spans="1:18" x14ac:dyDescent="0.3">
      <c r="A179" t="s">
        <v>8</v>
      </c>
      <c r="B179">
        <v>2006</v>
      </c>
      <c r="C179" t="str">
        <f>_xlfn.CONCAT(Table13[[#This Row],[STATE]],"-",Table13[[#This Row],[Year]])</f>
        <v>Assam-2006</v>
      </c>
      <c r="D179" t="s">
        <v>60</v>
      </c>
      <c r="E179" t="s">
        <v>61</v>
      </c>
      <c r="F179">
        <v>23708</v>
      </c>
      <c r="G179">
        <v>30</v>
      </c>
      <c r="H179">
        <v>135</v>
      </c>
      <c r="I179">
        <v>2400</v>
      </c>
      <c r="J179">
        <v>16097</v>
      </c>
      <c r="K179">
        <v>0</v>
      </c>
      <c r="L179">
        <v>0</v>
      </c>
      <c r="M179">
        <v>4061</v>
      </c>
      <c r="N179">
        <v>0</v>
      </c>
      <c r="O179">
        <v>235</v>
      </c>
      <c r="P179">
        <v>700</v>
      </c>
      <c r="Q179">
        <v>50</v>
      </c>
      <c r="R179">
        <f>SUM(Table13[[#This Row],[Rank_All_Ranks_Total]:[Rank_SSPSPAddlSPCommandant]])</f>
        <v>47416</v>
      </c>
    </row>
    <row r="180" spans="1:18" x14ac:dyDescent="0.3">
      <c r="A180" t="s">
        <v>9</v>
      </c>
      <c r="B180">
        <v>2006</v>
      </c>
      <c r="C180" t="str">
        <f>_xlfn.CONCAT(Table13[[#This Row],[STATE]],"-",Table13[[#This Row],[Year]])</f>
        <v>Bihar-2006</v>
      </c>
      <c r="D180" t="s">
        <v>60</v>
      </c>
      <c r="E180" t="s">
        <v>61</v>
      </c>
      <c r="F180">
        <v>8350</v>
      </c>
      <c r="G180">
        <v>22</v>
      </c>
      <c r="H180">
        <v>37</v>
      </c>
      <c r="I180">
        <v>0</v>
      </c>
      <c r="J180">
        <v>5716</v>
      </c>
      <c r="K180">
        <v>1</v>
      </c>
      <c r="L180">
        <v>1</v>
      </c>
      <c r="M180">
        <v>1965</v>
      </c>
      <c r="N180">
        <v>1</v>
      </c>
      <c r="O180">
        <v>78</v>
      </c>
      <c r="P180">
        <v>517</v>
      </c>
      <c r="Q180">
        <v>12</v>
      </c>
      <c r="R180">
        <f>SUM(Table13[[#This Row],[Rank_All_Ranks_Total]:[Rank_SSPSPAddlSPCommandant]])</f>
        <v>16700</v>
      </c>
    </row>
    <row r="181" spans="1:18" x14ac:dyDescent="0.3">
      <c r="A181" t="s">
        <v>35</v>
      </c>
      <c r="B181">
        <v>2006</v>
      </c>
      <c r="C181" t="str">
        <f>_xlfn.CONCAT(Table13[[#This Row],[STATE]],"-",Table13[[#This Row],[Year]])</f>
        <v>Chandigarh-2006</v>
      </c>
      <c r="D181" t="s">
        <v>60</v>
      </c>
      <c r="E181" t="s">
        <v>61</v>
      </c>
      <c r="F181">
        <v>419</v>
      </c>
      <c r="G181">
        <v>0</v>
      </c>
      <c r="H181">
        <v>1</v>
      </c>
      <c r="I181">
        <v>0</v>
      </c>
      <c r="J181">
        <v>343</v>
      </c>
      <c r="K181">
        <v>0</v>
      </c>
      <c r="L181">
        <v>0</v>
      </c>
      <c r="M181">
        <v>61</v>
      </c>
      <c r="N181">
        <v>0</v>
      </c>
      <c r="O181">
        <v>4</v>
      </c>
      <c r="P181">
        <v>10</v>
      </c>
      <c r="Q181">
        <v>0</v>
      </c>
      <c r="R181">
        <f>SUM(Table13[[#This Row],[Rank_All_Ranks_Total]:[Rank_SSPSPAddlSPCommandant]])</f>
        <v>838</v>
      </c>
    </row>
    <row r="182" spans="1:18" x14ac:dyDescent="0.3">
      <c r="A182" t="s">
        <v>10</v>
      </c>
      <c r="B182">
        <v>2006</v>
      </c>
      <c r="C182" t="str">
        <f>_xlfn.CONCAT(Table13[[#This Row],[STATE]],"-",Table13[[#This Row],[Year]])</f>
        <v>Chhattisgarh-2006</v>
      </c>
      <c r="D182" t="s">
        <v>60</v>
      </c>
      <c r="E182" t="s">
        <v>61</v>
      </c>
      <c r="F182">
        <v>11948</v>
      </c>
      <c r="G182">
        <v>556</v>
      </c>
      <c r="H182">
        <v>59</v>
      </c>
      <c r="I182">
        <v>0</v>
      </c>
      <c r="J182">
        <v>8540</v>
      </c>
      <c r="K182">
        <v>1</v>
      </c>
      <c r="L182">
        <v>3</v>
      </c>
      <c r="M182">
        <v>2270</v>
      </c>
      <c r="N182">
        <v>1</v>
      </c>
      <c r="O182">
        <v>120</v>
      </c>
      <c r="P182">
        <v>361</v>
      </c>
      <c r="Q182">
        <v>37</v>
      </c>
      <c r="R182">
        <f>SUM(Table13[[#This Row],[Rank_All_Ranks_Total]:[Rank_SSPSPAddlSPCommandant]])</f>
        <v>23896</v>
      </c>
    </row>
    <row r="183" spans="1:18" x14ac:dyDescent="0.3">
      <c r="A183" t="s">
        <v>62</v>
      </c>
      <c r="B183">
        <v>2006</v>
      </c>
      <c r="C183" t="str">
        <f>_xlfn.CONCAT(Table13[[#This Row],[STATE]],"-",Table13[[#This Row],[Year]])</f>
        <v>Dadra &amp; Nagar Haveli-2006</v>
      </c>
      <c r="D183" t="s">
        <v>60</v>
      </c>
      <c r="E183" t="s">
        <v>61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f>SUM(Table13[[#This Row],[Rank_All_Ranks_Total]:[Rank_SSPSPAddlSPCommandant]])</f>
        <v>0</v>
      </c>
    </row>
    <row r="184" spans="1:18" x14ac:dyDescent="0.3">
      <c r="A184" t="s">
        <v>37</v>
      </c>
      <c r="B184">
        <v>2006</v>
      </c>
      <c r="C184" t="str">
        <f>_xlfn.CONCAT(Table13[[#This Row],[STATE]],"-",Table13[[#This Row],[Year]])</f>
        <v>Daman &amp; Diu-2006</v>
      </c>
      <c r="D184" t="s">
        <v>60</v>
      </c>
      <c r="E184" t="s">
        <v>61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f>SUM(Table13[[#This Row],[Rank_All_Ranks_Total]:[Rank_SSPSPAddlSPCommandant]])</f>
        <v>0</v>
      </c>
    </row>
    <row r="185" spans="1:18" x14ac:dyDescent="0.3">
      <c r="A185" t="s">
        <v>38</v>
      </c>
      <c r="B185">
        <v>2006</v>
      </c>
      <c r="C185" t="str">
        <f>_xlfn.CONCAT(Table13[[#This Row],[STATE]],"-",Table13[[#This Row],[Year]])</f>
        <v>Delhi-2006</v>
      </c>
      <c r="D185" t="s">
        <v>60</v>
      </c>
      <c r="E185" t="s">
        <v>61</v>
      </c>
      <c r="F185">
        <v>9739</v>
      </c>
      <c r="G185">
        <v>188</v>
      </c>
      <c r="H185">
        <v>24</v>
      </c>
      <c r="I185">
        <v>0</v>
      </c>
      <c r="J185">
        <v>7220</v>
      </c>
      <c r="K185">
        <v>0</v>
      </c>
      <c r="L185">
        <v>0</v>
      </c>
      <c r="M185">
        <v>1942</v>
      </c>
      <c r="N185">
        <v>0</v>
      </c>
      <c r="O185">
        <v>76</v>
      </c>
      <c r="P185">
        <v>289</v>
      </c>
      <c r="Q185">
        <v>0</v>
      </c>
      <c r="R185">
        <f>SUM(Table13[[#This Row],[Rank_All_Ranks_Total]:[Rank_SSPSPAddlSPCommandant]])</f>
        <v>19478</v>
      </c>
    </row>
    <row r="186" spans="1:18" x14ac:dyDescent="0.3">
      <c r="A186" t="s">
        <v>11</v>
      </c>
      <c r="B186">
        <v>2006</v>
      </c>
      <c r="C186" t="str">
        <f>_xlfn.CONCAT(Table13[[#This Row],[STATE]],"-",Table13[[#This Row],[Year]])</f>
        <v>Goa-2006</v>
      </c>
      <c r="D186" t="s">
        <v>60</v>
      </c>
      <c r="E186" t="s">
        <v>61</v>
      </c>
      <c r="F186">
        <v>445</v>
      </c>
      <c r="G186">
        <v>16</v>
      </c>
      <c r="H186">
        <v>2</v>
      </c>
      <c r="I186">
        <v>0</v>
      </c>
      <c r="J186">
        <v>335</v>
      </c>
      <c r="K186">
        <v>0</v>
      </c>
      <c r="L186">
        <v>0</v>
      </c>
      <c r="M186">
        <v>86</v>
      </c>
      <c r="N186">
        <v>0</v>
      </c>
      <c r="O186">
        <v>1</v>
      </c>
      <c r="P186">
        <v>4</v>
      </c>
      <c r="Q186">
        <v>1</v>
      </c>
      <c r="R186">
        <f>SUM(Table13[[#This Row],[Rank_All_Ranks_Total]:[Rank_SSPSPAddlSPCommandant]])</f>
        <v>890</v>
      </c>
    </row>
    <row r="187" spans="1:18" x14ac:dyDescent="0.3">
      <c r="A187" t="s">
        <v>12</v>
      </c>
      <c r="B187">
        <v>2006</v>
      </c>
      <c r="C187" t="str">
        <f>_xlfn.CONCAT(Table13[[#This Row],[STATE]],"-",Table13[[#This Row],[Year]])</f>
        <v>Gujarat-2006</v>
      </c>
      <c r="D187" t="s">
        <v>60</v>
      </c>
      <c r="E187" t="s">
        <v>61</v>
      </c>
      <c r="F187">
        <v>16217</v>
      </c>
      <c r="G187">
        <v>2383</v>
      </c>
      <c r="H187">
        <v>39</v>
      </c>
      <c r="I187">
        <v>0</v>
      </c>
      <c r="J187">
        <v>12243</v>
      </c>
      <c r="K187">
        <v>0</v>
      </c>
      <c r="L187">
        <v>0</v>
      </c>
      <c r="M187">
        <v>1202</v>
      </c>
      <c r="N187">
        <v>0</v>
      </c>
      <c r="O187">
        <v>75</v>
      </c>
      <c r="P187">
        <v>275</v>
      </c>
      <c r="Q187">
        <v>0</v>
      </c>
      <c r="R187">
        <f>SUM(Table13[[#This Row],[Rank_All_Ranks_Total]:[Rank_SSPSPAddlSPCommandant]])</f>
        <v>32434</v>
      </c>
    </row>
    <row r="188" spans="1:18" x14ac:dyDescent="0.3">
      <c r="A188" t="s">
        <v>13</v>
      </c>
      <c r="B188">
        <v>2006</v>
      </c>
      <c r="C188" t="str">
        <f>_xlfn.CONCAT(Table13[[#This Row],[STATE]],"-",Table13[[#This Row],[Year]])</f>
        <v>Haryana-2006</v>
      </c>
      <c r="D188" t="s">
        <v>60</v>
      </c>
      <c r="E188" t="s">
        <v>61</v>
      </c>
      <c r="F188">
        <v>5279</v>
      </c>
      <c r="G188">
        <v>275</v>
      </c>
      <c r="H188">
        <v>11</v>
      </c>
      <c r="I188">
        <v>0</v>
      </c>
      <c r="J188">
        <v>4373</v>
      </c>
      <c r="K188">
        <v>0</v>
      </c>
      <c r="L188">
        <v>0</v>
      </c>
      <c r="M188">
        <v>397</v>
      </c>
      <c r="N188">
        <v>1</v>
      </c>
      <c r="O188">
        <v>39</v>
      </c>
      <c r="P188">
        <v>178</v>
      </c>
      <c r="Q188">
        <v>5</v>
      </c>
      <c r="R188">
        <f>SUM(Table13[[#This Row],[Rank_All_Ranks_Total]:[Rank_SSPSPAddlSPCommandant]])</f>
        <v>10558</v>
      </c>
    </row>
    <row r="189" spans="1:18" x14ac:dyDescent="0.3">
      <c r="A189" t="s">
        <v>14</v>
      </c>
      <c r="B189">
        <v>2006</v>
      </c>
      <c r="C189" t="str">
        <f>_xlfn.CONCAT(Table13[[#This Row],[STATE]],"-",Table13[[#This Row],[Year]])</f>
        <v>Himachal Pradesh-2006</v>
      </c>
      <c r="D189" t="s">
        <v>60</v>
      </c>
      <c r="E189" t="s">
        <v>61</v>
      </c>
      <c r="F189">
        <v>3255</v>
      </c>
      <c r="G189">
        <v>81</v>
      </c>
      <c r="H189">
        <v>15</v>
      </c>
      <c r="I189">
        <v>0</v>
      </c>
      <c r="J189">
        <v>2362</v>
      </c>
      <c r="K189">
        <v>1</v>
      </c>
      <c r="L189">
        <v>1</v>
      </c>
      <c r="M189">
        <v>656</v>
      </c>
      <c r="N189">
        <v>1</v>
      </c>
      <c r="O189">
        <v>35</v>
      </c>
      <c r="P189">
        <v>94</v>
      </c>
      <c r="Q189">
        <v>9</v>
      </c>
      <c r="R189">
        <f>SUM(Table13[[#This Row],[Rank_All_Ranks_Total]:[Rank_SSPSPAddlSPCommandant]])</f>
        <v>6510</v>
      </c>
    </row>
    <row r="190" spans="1:18" x14ac:dyDescent="0.3">
      <c r="A190" t="s">
        <v>15</v>
      </c>
      <c r="B190">
        <v>2006</v>
      </c>
      <c r="C190" t="str">
        <f>_xlfn.CONCAT(Table13[[#This Row],[STATE]],"-",Table13[[#This Row],[Year]])</f>
        <v>Jammu &amp; Kashmir-2006</v>
      </c>
      <c r="D190" t="s">
        <v>60</v>
      </c>
      <c r="E190" t="s">
        <v>61</v>
      </c>
      <c r="F190">
        <v>20106</v>
      </c>
      <c r="G190">
        <v>498</v>
      </c>
      <c r="H190">
        <v>119</v>
      </c>
      <c r="I190">
        <v>13441</v>
      </c>
      <c r="J190">
        <v>1652</v>
      </c>
      <c r="K190">
        <v>1</v>
      </c>
      <c r="L190">
        <v>2</v>
      </c>
      <c r="M190">
        <v>3650</v>
      </c>
      <c r="N190">
        <v>1</v>
      </c>
      <c r="O190">
        <v>163</v>
      </c>
      <c r="P190">
        <v>519</v>
      </c>
      <c r="Q190">
        <v>60</v>
      </c>
      <c r="R190">
        <f>SUM(Table13[[#This Row],[Rank_All_Ranks_Total]:[Rank_SSPSPAddlSPCommandant]])</f>
        <v>40212</v>
      </c>
    </row>
    <row r="191" spans="1:18" x14ac:dyDescent="0.3">
      <c r="A191" t="s">
        <v>16</v>
      </c>
      <c r="B191">
        <v>2006</v>
      </c>
      <c r="C191" t="str">
        <f>_xlfn.CONCAT(Table13[[#This Row],[STATE]],"-",Table13[[#This Row],[Year]])</f>
        <v>Jharkhand-2006</v>
      </c>
      <c r="D191" t="s">
        <v>60</v>
      </c>
      <c r="E191" t="s">
        <v>61</v>
      </c>
      <c r="F191">
        <v>3036</v>
      </c>
      <c r="G191">
        <v>0</v>
      </c>
      <c r="H191">
        <v>0</v>
      </c>
      <c r="I191">
        <v>0</v>
      </c>
      <c r="J191">
        <v>2635</v>
      </c>
      <c r="K191">
        <v>0</v>
      </c>
      <c r="L191">
        <v>0</v>
      </c>
      <c r="M191">
        <v>330</v>
      </c>
      <c r="N191">
        <v>0</v>
      </c>
      <c r="O191">
        <v>8</v>
      </c>
      <c r="P191">
        <v>63</v>
      </c>
      <c r="Q191">
        <v>0</v>
      </c>
      <c r="R191">
        <f>SUM(Table13[[#This Row],[Rank_All_Ranks_Total]:[Rank_SSPSPAddlSPCommandant]])</f>
        <v>6072</v>
      </c>
    </row>
    <row r="192" spans="1:18" x14ac:dyDescent="0.3">
      <c r="A192" t="s">
        <v>17</v>
      </c>
      <c r="B192">
        <v>2006</v>
      </c>
      <c r="C192" t="str">
        <f>_xlfn.CONCAT(Table13[[#This Row],[STATE]],"-",Table13[[#This Row],[Year]])</f>
        <v>Karnataka-2006</v>
      </c>
      <c r="D192" t="s">
        <v>60</v>
      </c>
      <c r="E192" t="s">
        <v>61</v>
      </c>
      <c r="F192">
        <v>4041</v>
      </c>
      <c r="G192">
        <v>117</v>
      </c>
      <c r="H192">
        <v>6</v>
      </c>
      <c r="I192">
        <v>0</v>
      </c>
      <c r="J192">
        <v>3121</v>
      </c>
      <c r="K192">
        <v>0</v>
      </c>
      <c r="L192">
        <v>0</v>
      </c>
      <c r="M192">
        <v>726</v>
      </c>
      <c r="N192">
        <v>0</v>
      </c>
      <c r="O192">
        <v>12</v>
      </c>
      <c r="P192">
        <v>59</v>
      </c>
      <c r="Q192">
        <v>0</v>
      </c>
      <c r="R192">
        <f>SUM(Table13[[#This Row],[Rank_All_Ranks_Total]:[Rank_SSPSPAddlSPCommandant]])</f>
        <v>8082</v>
      </c>
    </row>
    <row r="193" spans="1:18" x14ac:dyDescent="0.3">
      <c r="A193" t="s">
        <v>18</v>
      </c>
      <c r="B193">
        <v>2006</v>
      </c>
      <c r="C193" t="str">
        <f>_xlfn.CONCAT(Table13[[#This Row],[STATE]],"-",Table13[[#This Row],[Year]])</f>
        <v>Kerala-2006</v>
      </c>
      <c r="D193" t="s">
        <v>60</v>
      </c>
      <c r="E193" t="s">
        <v>61</v>
      </c>
      <c r="F193">
        <v>7857</v>
      </c>
      <c r="G193">
        <v>49</v>
      </c>
      <c r="H193">
        <v>32</v>
      </c>
      <c r="I193">
        <v>0</v>
      </c>
      <c r="J193">
        <v>6651</v>
      </c>
      <c r="K193">
        <v>1</v>
      </c>
      <c r="L193">
        <v>0</v>
      </c>
      <c r="M193">
        <v>906</v>
      </c>
      <c r="N193">
        <v>1</v>
      </c>
      <c r="O193">
        <v>62</v>
      </c>
      <c r="P193">
        <v>148</v>
      </c>
      <c r="Q193">
        <v>7</v>
      </c>
      <c r="R193">
        <f>SUM(Table13[[#This Row],[Rank_All_Ranks_Total]:[Rank_SSPSPAddlSPCommandant]])</f>
        <v>15714</v>
      </c>
    </row>
    <row r="194" spans="1:18" x14ac:dyDescent="0.3">
      <c r="A194" t="s">
        <v>39</v>
      </c>
      <c r="B194">
        <v>2006</v>
      </c>
      <c r="C194" t="str">
        <f>_xlfn.CONCAT(Table13[[#This Row],[STATE]],"-",Table13[[#This Row],[Year]])</f>
        <v>Lakshadweep-2006</v>
      </c>
      <c r="D194" t="s">
        <v>60</v>
      </c>
      <c r="E194" t="s">
        <v>61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f>SUM(Table13[[#This Row],[Rank_All_Ranks_Total]:[Rank_SSPSPAddlSPCommandant]])</f>
        <v>0</v>
      </c>
    </row>
    <row r="195" spans="1:18" x14ac:dyDescent="0.3">
      <c r="A195" t="s">
        <v>19</v>
      </c>
      <c r="B195">
        <v>2006</v>
      </c>
      <c r="C195" t="str">
        <f>_xlfn.CONCAT(Table13[[#This Row],[STATE]],"-",Table13[[#This Row],[Year]])</f>
        <v>Madhya Pradesh-2006</v>
      </c>
      <c r="D195" t="s">
        <v>60</v>
      </c>
      <c r="E195" t="s">
        <v>61</v>
      </c>
      <c r="F195">
        <v>21067</v>
      </c>
      <c r="G195">
        <v>1148</v>
      </c>
      <c r="H195">
        <v>0</v>
      </c>
      <c r="I195">
        <v>0</v>
      </c>
      <c r="J195">
        <v>15392</v>
      </c>
      <c r="K195">
        <v>0</v>
      </c>
      <c r="L195">
        <v>0</v>
      </c>
      <c r="M195">
        <v>3663</v>
      </c>
      <c r="N195">
        <v>0</v>
      </c>
      <c r="O195">
        <v>205</v>
      </c>
      <c r="P195">
        <v>659</v>
      </c>
      <c r="Q195">
        <v>0</v>
      </c>
      <c r="R195">
        <f>SUM(Table13[[#This Row],[Rank_All_Ranks_Total]:[Rank_SSPSPAddlSPCommandant]])</f>
        <v>42134</v>
      </c>
    </row>
    <row r="196" spans="1:18" x14ac:dyDescent="0.3">
      <c r="A196" t="s">
        <v>20</v>
      </c>
      <c r="B196">
        <v>2006</v>
      </c>
      <c r="C196" t="str">
        <f>_xlfn.CONCAT(Table13[[#This Row],[STATE]],"-",Table13[[#This Row],[Year]])</f>
        <v>Maharashtra-2006</v>
      </c>
      <c r="D196" t="s">
        <v>60</v>
      </c>
      <c r="E196" t="s">
        <v>61</v>
      </c>
      <c r="F196">
        <v>13539</v>
      </c>
      <c r="G196">
        <v>1263</v>
      </c>
      <c r="H196">
        <v>17</v>
      </c>
      <c r="I196">
        <v>2914</v>
      </c>
      <c r="J196">
        <v>6753</v>
      </c>
      <c r="K196">
        <v>0</v>
      </c>
      <c r="L196">
        <v>0</v>
      </c>
      <c r="M196">
        <v>2308</v>
      </c>
      <c r="N196">
        <v>0</v>
      </c>
      <c r="O196">
        <v>129</v>
      </c>
      <c r="P196">
        <v>155</v>
      </c>
      <c r="Q196">
        <v>0</v>
      </c>
      <c r="R196">
        <f>SUM(Table13[[#This Row],[Rank_All_Ranks_Total]:[Rank_SSPSPAddlSPCommandant]])</f>
        <v>27078</v>
      </c>
    </row>
    <row r="197" spans="1:18" x14ac:dyDescent="0.3">
      <c r="A197" t="s">
        <v>21</v>
      </c>
      <c r="B197">
        <v>2006</v>
      </c>
      <c r="C197" t="str">
        <f>_xlfn.CONCAT(Table13[[#This Row],[STATE]],"-",Table13[[#This Row],[Year]])</f>
        <v>Manipur-2006</v>
      </c>
      <c r="D197" t="s">
        <v>60</v>
      </c>
      <c r="E197" t="s">
        <v>61</v>
      </c>
      <c r="F197">
        <v>9047</v>
      </c>
      <c r="G197">
        <v>0</v>
      </c>
      <c r="H197">
        <v>19</v>
      </c>
      <c r="I197">
        <v>27</v>
      </c>
      <c r="J197">
        <v>7308</v>
      </c>
      <c r="K197">
        <v>0</v>
      </c>
      <c r="L197">
        <v>1</v>
      </c>
      <c r="M197">
        <v>1380</v>
      </c>
      <c r="N197">
        <v>1</v>
      </c>
      <c r="O197">
        <v>89</v>
      </c>
      <c r="P197">
        <v>198</v>
      </c>
      <c r="Q197">
        <v>24</v>
      </c>
      <c r="R197">
        <f>SUM(Table13[[#This Row],[Rank_All_Ranks_Total]:[Rank_SSPSPAddlSPCommandant]])</f>
        <v>18094</v>
      </c>
    </row>
    <row r="198" spans="1:18" x14ac:dyDescent="0.3">
      <c r="A198" t="s">
        <v>22</v>
      </c>
      <c r="B198">
        <v>2006</v>
      </c>
      <c r="C198" t="str">
        <f>_xlfn.CONCAT(Table13[[#This Row],[STATE]],"-",Table13[[#This Row],[Year]])</f>
        <v>Meghalaya-2006</v>
      </c>
      <c r="D198" t="s">
        <v>60</v>
      </c>
      <c r="E198" t="s">
        <v>61</v>
      </c>
      <c r="F198">
        <v>3295</v>
      </c>
      <c r="G198">
        <v>8</v>
      </c>
      <c r="H198">
        <v>31</v>
      </c>
      <c r="I198">
        <v>172</v>
      </c>
      <c r="J198">
        <v>2517</v>
      </c>
      <c r="K198">
        <v>0</v>
      </c>
      <c r="L198">
        <v>0</v>
      </c>
      <c r="M198">
        <v>428</v>
      </c>
      <c r="N198">
        <v>0</v>
      </c>
      <c r="O198">
        <v>31</v>
      </c>
      <c r="P198">
        <v>97</v>
      </c>
      <c r="Q198">
        <v>11</v>
      </c>
      <c r="R198">
        <f>SUM(Table13[[#This Row],[Rank_All_Ranks_Total]:[Rank_SSPSPAddlSPCommandant]])</f>
        <v>6590</v>
      </c>
    </row>
    <row r="199" spans="1:18" x14ac:dyDescent="0.3">
      <c r="A199" t="s">
        <v>23</v>
      </c>
      <c r="B199">
        <v>2006</v>
      </c>
      <c r="C199" t="str">
        <f>_xlfn.CONCAT(Table13[[#This Row],[STATE]],"-",Table13[[#This Row],[Year]])</f>
        <v>Mizoram-2006</v>
      </c>
      <c r="D199" t="s">
        <v>60</v>
      </c>
      <c r="E199" t="s">
        <v>61</v>
      </c>
      <c r="F199">
        <v>4416</v>
      </c>
      <c r="G199">
        <v>0</v>
      </c>
      <c r="H199">
        <v>39</v>
      </c>
      <c r="I199">
        <v>479</v>
      </c>
      <c r="J199">
        <v>3016</v>
      </c>
      <c r="K199">
        <v>0</v>
      </c>
      <c r="L199">
        <v>0</v>
      </c>
      <c r="M199">
        <v>706</v>
      </c>
      <c r="N199">
        <v>0</v>
      </c>
      <c r="O199">
        <v>45</v>
      </c>
      <c r="P199">
        <v>125</v>
      </c>
      <c r="Q199">
        <v>6</v>
      </c>
      <c r="R199">
        <f>SUM(Table13[[#This Row],[Rank_All_Ranks_Total]:[Rank_SSPSPAddlSPCommandant]])</f>
        <v>8832</v>
      </c>
    </row>
    <row r="200" spans="1:18" x14ac:dyDescent="0.3">
      <c r="A200" t="s">
        <v>24</v>
      </c>
      <c r="B200">
        <v>2006</v>
      </c>
      <c r="C200" t="str">
        <f>_xlfn.CONCAT(Table13[[#This Row],[STATE]],"-",Table13[[#This Row],[Year]])</f>
        <v>Nagaland-2006</v>
      </c>
      <c r="D200" t="s">
        <v>60</v>
      </c>
      <c r="E200" t="s">
        <v>61</v>
      </c>
      <c r="F200">
        <v>6450</v>
      </c>
      <c r="G200">
        <v>0</v>
      </c>
      <c r="H200">
        <v>19</v>
      </c>
      <c r="I200">
        <v>754</v>
      </c>
      <c r="J200">
        <v>4931</v>
      </c>
      <c r="K200">
        <v>0</v>
      </c>
      <c r="L200">
        <v>0</v>
      </c>
      <c r="M200">
        <v>571</v>
      </c>
      <c r="N200">
        <v>0</v>
      </c>
      <c r="O200">
        <v>18</v>
      </c>
      <c r="P200">
        <v>143</v>
      </c>
      <c r="Q200">
        <v>14</v>
      </c>
      <c r="R200">
        <f>SUM(Table13[[#This Row],[Rank_All_Ranks_Total]:[Rank_SSPSPAddlSPCommandant]])</f>
        <v>12900</v>
      </c>
    </row>
    <row r="201" spans="1:18" x14ac:dyDescent="0.3">
      <c r="A201" t="s">
        <v>63</v>
      </c>
      <c r="B201">
        <v>2006</v>
      </c>
      <c r="C201" t="str">
        <f>_xlfn.CONCAT(Table13[[#This Row],[STATE]],"-",Table13[[#This Row],[Year]])</f>
        <v>Odisha-2006</v>
      </c>
      <c r="D201" t="s">
        <v>60</v>
      </c>
      <c r="E201" t="s">
        <v>61</v>
      </c>
      <c r="F201">
        <v>10839</v>
      </c>
      <c r="G201">
        <v>229</v>
      </c>
      <c r="H201">
        <v>58</v>
      </c>
      <c r="I201">
        <v>379</v>
      </c>
      <c r="J201">
        <v>8875</v>
      </c>
      <c r="K201">
        <v>0</v>
      </c>
      <c r="L201">
        <v>0</v>
      </c>
      <c r="M201">
        <v>1032</v>
      </c>
      <c r="N201">
        <v>0</v>
      </c>
      <c r="O201">
        <v>41</v>
      </c>
      <c r="P201">
        <v>209</v>
      </c>
      <c r="Q201">
        <v>16</v>
      </c>
      <c r="R201">
        <f>SUM(Table13[[#This Row],[Rank_All_Ranks_Total]:[Rank_SSPSPAddlSPCommandant]])</f>
        <v>21678</v>
      </c>
    </row>
    <row r="202" spans="1:18" x14ac:dyDescent="0.3">
      <c r="A202" t="s">
        <v>64</v>
      </c>
      <c r="B202">
        <v>2006</v>
      </c>
      <c r="C202" t="str">
        <f>_xlfn.CONCAT(Table13[[#This Row],[STATE]],"-",Table13[[#This Row],[Year]])</f>
        <v>Puducherry-2006</v>
      </c>
      <c r="D202" t="s">
        <v>60</v>
      </c>
      <c r="E202" t="s">
        <v>61</v>
      </c>
      <c r="F202">
        <v>669</v>
      </c>
      <c r="G202">
        <v>4</v>
      </c>
      <c r="H202">
        <v>2</v>
      </c>
      <c r="I202">
        <v>0</v>
      </c>
      <c r="J202">
        <v>564</v>
      </c>
      <c r="K202">
        <v>0</v>
      </c>
      <c r="L202">
        <v>0</v>
      </c>
      <c r="M202">
        <v>85</v>
      </c>
      <c r="N202">
        <v>0</v>
      </c>
      <c r="O202">
        <v>5</v>
      </c>
      <c r="P202">
        <v>9</v>
      </c>
      <c r="Q202">
        <v>0</v>
      </c>
      <c r="R202">
        <f>SUM(Table13[[#This Row],[Rank_All_Ranks_Total]:[Rank_SSPSPAddlSPCommandant]])</f>
        <v>1338</v>
      </c>
    </row>
    <row r="203" spans="1:18" x14ac:dyDescent="0.3">
      <c r="A203" t="s">
        <v>26</v>
      </c>
      <c r="B203">
        <v>2006</v>
      </c>
      <c r="C203" t="str">
        <f>_xlfn.CONCAT(Table13[[#This Row],[STATE]],"-",Table13[[#This Row],[Year]])</f>
        <v>Punjab-2006</v>
      </c>
      <c r="D203" t="s">
        <v>60</v>
      </c>
      <c r="E203" t="s">
        <v>61</v>
      </c>
      <c r="F203">
        <v>19731</v>
      </c>
      <c r="G203">
        <v>390</v>
      </c>
      <c r="H203">
        <v>135</v>
      </c>
      <c r="I203">
        <v>0</v>
      </c>
      <c r="J203">
        <v>15093</v>
      </c>
      <c r="K203">
        <v>1</v>
      </c>
      <c r="L203">
        <v>5</v>
      </c>
      <c r="M203">
        <v>3357</v>
      </c>
      <c r="N203">
        <v>3</v>
      </c>
      <c r="O203">
        <v>157</v>
      </c>
      <c r="P203">
        <v>520</v>
      </c>
      <c r="Q203">
        <v>70</v>
      </c>
      <c r="R203">
        <f>SUM(Table13[[#This Row],[Rank_All_Ranks_Total]:[Rank_SSPSPAddlSPCommandant]])</f>
        <v>39462</v>
      </c>
    </row>
    <row r="204" spans="1:18" x14ac:dyDescent="0.3">
      <c r="A204" t="s">
        <v>27</v>
      </c>
      <c r="B204">
        <v>2006</v>
      </c>
      <c r="C204" t="str">
        <f>_xlfn.CONCAT(Table13[[#This Row],[STATE]],"-",Table13[[#This Row],[Year]])</f>
        <v>Rajasthan-2006</v>
      </c>
      <c r="D204" t="s">
        <v>60</v>
      </c>
      <c r="E204" t="s">
        <v>61</v>
      </c>
      <c r="F204">
        <v>10622</v>
      </c>
      <c r="G204">
        <v>0</v>
      </c>
      <c r="H204">
        <v>62</v>
      </c>
      <c r="I204">
        <v>0</v>
      </c>
      <c r="J204">
        <v>8366</v>
      </c>
      <c r="K204">
        <v>1</v>
      </c>
      <c r="L204">
        <v>1</v>
      </c>
      <c r="M204">
        <v>1896</v>
      </c>
      <c r="N204">
        <v>1</v>
      </c>
      <c r="O204">
        <v>95</v>
      </c>
      <c r="P204">
        <v>186</v>
      </c>
      <c r="Q204">
        <v>14</v>
      </c>
      <c r="R204">
        <f>SUM(Table13[[#This Row],[Rank_All_Ranks_Total]:[Rank_SSPSPAddlSPCommandant]])</f>
        <v>21244</v>
      </c>
    </row>
    <row r="205" spans="1:18" x14ac:dyDescent="0.3">
      <c r="A205" t="s">
        <v>28</v>
      </c>
      <c r="B205">
        <v>2006</v>
      </c>
      <c r="C205" t="str">
        <f>_xlfn.CONCAT(Table13[[#This Row],[STATE]],"-",Table13[[#This Row],[Year]])</f>
        <v>Sikkim-2006</v>
      </c>
      <c r="D205" t="s">
        <v>60</v>
      </c>
      <c r="E205" t="s">
        <v>61</v>
      </c>
      <c r="F205">
        <v>1682</v>
      </c>
      <c r="G205">
        <v>61</v>
      </c>
      <c r="H205">
        <v>10</v>
      </c>
      <c r="I205">
        <v>380</v>
      </c>
      <c r="J205">
        <v>1097</v>
      </c>
      <c r="K205">
        <v>0</v>
      </c>
      <c r="L205">
        <v>1</v>
      </c>
      <c r="M205">
        <v>81</v>
      </c>
      <c r="N205">
        <v>0</v>
      </c>
      <c r="O205">
        <v>10</v>
      </c>
      <c r="P205">
        <v>36</v>
      </c>
      <c r="Q205">
        <v>6</v>
      </c>
      <c r="R205">
        <f>SUM(Table13[[#This Row],[Rank_All_Ranks_Total]:[Rank_SSPSPAddlSPCommandant]])</f>
        <v>3364</v>
      </c>
    </row>
    <row r="206" spans="1:18" x14ac:dyDescent="0.3">
      <c r="A206" t="s">
        <v>42</v>
      </c>
      <c r="B206">
        <v>2006</v>
      </c>
      <c r="C206" t="str">
        <f>_xlfn.CONCAT(Table13[[#This Row],[STATE]],"-",Table13[[#This Row],[Year]])</f>
        <v>Tamil Nadu-2006</v>
      </c>
      <c r="D206" t="s">
        <v>60</v>
      </c>
      <c r="E206" t="s">
        <v>61</v>
      </c>
      <c r="F206">
        <v>14327</v>
      </c>
      <c r="G206">
        <v>0</v>
      </c>
      <c r="H206">
        <v>54</v>
      </c>
      <c r="I206">
        <v>1581</v>
      </c>
      <c r="J206">
        <v>10710</v>
      </c>
      <c r="K206">
        <v>0</v>
      </c>
      <c r="L206">
        <v>2</v>
      </c>
      <c r="M206">
        <v>1468</v>
      </c>
      <c r="N206">
        <v>1</v>
      </c>
      <c r="O206">
        <v>136</v>
      </c>
      <c r="P206">
        <v>361</v>
      </c>
      <c r="Q206">
        <v>14</v>
      </c>
      <c r="R206">
        <f>SUM(Table13[[#This Row],[Rank_All_Ranks_Total]:[Rank_SSPSPAddlSPCommandant]])</f>
        <v>28654</v>
      </c>
    </row>
    <row r="207" spans="1:18" x14ac:dyDescent="0.3">
      <c r="A207" t="s">
        <v>30</v>
      </c>
      <c r="B207">
        <v>2006</v>
      </c>
      <c r="C207" t="str">
        <f>_xlfn.CONCAT(Table13[[#This Row],[STATE]],"-",Table13[[#This Row],[Year]])</f>
        <v>Tripura-2006</v>
      </c>
      <c r="D207" t="s">
        <v>60</v>
      </c>
      <c r="E207" t="s">
        <v>61</v>
      </c>
      <c r="F207">
        <v>12136</v>
      </c>
      <c r="G207">
        <v>0</v>
      </c>
      <c r="H207">
        <v>52</v>
      </c>
      <c r="I207">
        <v>1526</v>
      </c>
      <c r="J207">
        <v>9107</v>
      </c>
      <c r="K207">
        <v>0</v>
      </c>
      <c r="L207">
        <v>2</v>
      </c>
      <c r="M207">
        <v>1071</v>
      </c>
      <c r="N207">
        <v>0</v>
      </c>
      <c r="O207">
        <v>84</v>
      </c>
      <c r="P207">
        <v>280</v>
      </c>
      <c r="Q207">
        <v>14</v>
      </c>
      <c r="R207">
        <f>SUM(Table13[[#This Row],[Rank_All_Ranks_Total]:[Rank_SSPSPAddlSPCommandant]])</f>
        <v>24272</v>
      </c>
    </row>
    <row r="208" spans="1:18" x14ac:dyDescent="0.3">
      <c r="A208" t="s">
        <v>31</v>
      </c>
      <c r="B208">
        <v>2006</v>
      </c>
      <c r="C208" t="str">
        <f>_xlfn.CONCAT(Table13[[#This Row],[STATE]],"-",Table13[[#This Row],[Year]])</f>
        <v>Uttar Pradesh-2006</v>
      </c>
      <c r="D208" t="s">
        <v>60</v>
      </c>
      <c r="E208" t="s">
        <v>61</v>
      </c>
      <c r="F208">
        <v>33040</v>
      </c>
      <c r="G208">
        <v>0</v>
      </c>
      <c r="H208">
        <v>84</v>
      </c>
      <c r="I208">
        <v>0</v>
      </c>
      <c r="J208">
        <v>26383</v>
      </c>
      <c r="K208">
        <v>1</v>
      </c>
      <c r="L208">
        <v>6</v>
      </c>
      <c r="M208">
        <v>5610</v>
      </c>
      <c r="N208">
        <v>5</v>
      </c>
      <c r="O208">
        <v>220</v>
      </c>
      <c r="P208">
        <v>683</v>
      </c>
      <c r="Q208">
        <v>48</v>
      </c>
      <c r="R208">
        <f>SUM(Table13[[#This Row],[Rank_All_Ranks_Total]:[Rank_SSPSPAddlSPCommandant]])</f>
        <v>66080</v>
      </c>
    </row>
    <row r="209" spans="1:18" x14ac:dyDescent="0.3">
      <c r="A209" t="s">
        <v>65</v>
      </c>
      <c r="B209">
        <v>2006</v>
      </c>
      <c r="C209" t="str">
        <f>_xlfn.CONCAT(Table13[[#This Row],[STATE]],"-",Table13[[#This Row],[Year]])</f>
        <v>Uttarakhand-2006</v>
      </c>
      <c r="D209" t="s">
        <v>60</v>
      </c>
      <c r="E209" t="s">
        <v>61</v>
      </c>
      <c r="F209">
        <v>4009</v>
      </c>
      <c r="G209">
        <v>0</v>
      </c>
      <c r="H209">
        <v>2</v>
      </c>
      <c r="I209">
        <v>303</v>
      </c>
      <c r="J209">
        <v>2981</v>
      </c>
      <c r="K209">
        <v>0</v>
      </c>
      <c r="L209">
        <v>0</v>
      </c>
      <c r="M209">
        <v>600</v>
      </c>
      <c r="N209">
        <v>0</v>
      </c>
      <c r="O209">
        <v>39</v>
      </c>
      <c r="P209">
        <v>82</v>
      </c>
      <c r="Q209">
        <v>2</v>
      </c>
      <c r="R209">
        <f>SUM(Table13[[#This Row],[Rank_All_Ranks_Total]:[Rank_SSPSPAddlSPCommandant]])</f>
        <v>8018</v>
      </c>
    </row>
    <row r="210" spans="1:18" x14ac:dyDescent="0.3">
      <c r="A210" t="s">
        <v>33</v>
      </c>
      <c r="B210">
        <v>2006</v>
      </c>
      <c r="C210" t="str">
        <f>_xlfn.CONCAT(Table13[[#This Row],[STATE]],"-",Table13[[#This Row],[Year]])</f>
        <v>West Bengal-2006</v>
      </c>
      <c r="D210" t="s">
        <v>60</v>
      </c>
      <c r="E210" t="s">
        <v>61</v>
      </c>
      <c r="F210">
        <v>19178</v>
      </c>
      <c r="G210">
        <v>1082</v>
      </c>
      <c r="H210">
        <v>83</v>
      </c>
      <c r="I210">
        <v>1579</v>
      </c>
      <c r="J210">
        <v>14901</v>
      </c>
      <c r="K210">
        <v>1</v>
      </c>
      <c r="L210">
        <v>3</v>
      </c>
      <c r="M210">
        <v>755</v>
      </c>
      <c r="N210">
        <v>3</v>
      </c>
      <c r="O210">
        <v>253</v>
      </c>
      <c r="P210">
        <v>499</v>
      </c>
      <c r="Q210">
        <v>19</v>
      </c>
      <c r="R210">
        <f>SUM(Table13[[#This Row],[Rank_All_Ranks_Total]:[Rank_SSPSPAddlSPCommandant]])</f>
        <v>38356</v>
      </c>
    </row>
    <row r="211" spans="1:18" x14ac:dyDescent="0.3">
      <c r="A211" t="s">
        <v>59</v>
      </c>
      <c r="B211">
        <v>2007</v>
      </c>
      <c r="C211" t="str">
        <f>_xlfn.CONCAT(Table13[[#This Row],[STATE]],"-",Table13[[#This Row],[Year]])</f>
        <v>Andaman &amp; Nicobar Islands-2007</v>
      </c>
      <c r="D211" t="s">
        <v>60</v>
      </c>
      <c r="E211" t="s">
        <v>61</v>
      </c>
      <c r="F211">
        <v>610</v>
      </c>
      <c r="G211">
        <v>22</v>
      </c>
      <c r="H211">
        <v>2</v>
      </c>
      <c r="I211">
        <v>0</v>
      </c>
      <c r="J211">
        <v>480</v>
      </c>
      <c r="K211">
        <v>0</v>
      </c>
      <c r="L211">
        <v>1</v>
      </c>
      <c r="M211">
        <v>69</v>
      </c>
      <c r="N211">
        <v>0</v>
      </c>
      <c r="O211">
        <v>8</v>
      </c>
      <c r="P211">
        <v>27</v>
      </c>
      <c r="Q211">
        <v>1</v>
      </c>
      <c r="R211">
        <f>SUM(Table13[[#This Row],[Rank_All_Ranks_Total]:[Rank_SSPSPAddlSPCommandant]])</f>
        <v>1220</v>
      </c>
    </row>
    <row r="212" spans="1:18" x14ac:dyDescent="0.3">
      <c r="A212" t="s">
        <v>6</v>
      </c>
      <c r="B212">
        <v>2007</v>
      </c>
      <c r="C212" t="str">
        <f>_xlfn.CONCAT(Table13[[#This Row],[STATE]],"-",Table13[[#This Row],[Year]])</f>
        <v>Andhra Pradesh-2007</v>
      </c>
      <c r="D212" t="s">
        <v>60</v>
      </c>
      <c r="E212" t="s">
        <v>61</v>
      </c>
      <c r="F212">
        <v>12792</v>
      </c>
      <c r="G212">
        <v>601</v>
      </c>
      <c r="H212">
        <v>47</v>
      </c>
      <c r="I212">
        <v>0</v>
      </c>
      <c r="J212">
        <v>8511</v>
      </c>
      <c r="K212">
        <v>1</v>
      </c>
      <c r="L212">
        <v>2</v>
      </c>
      <c r="M212">
        <v>3167</v>
      </c>
      <c r="N212">
        <v>1</v>
      </c>
      <c r="O212">
        <v>136</v>
      </c>
      <c r="P212">
        <v>300</v>
      </c>
      <c r="Q212">
        <v>26</v>
      </c>
      <c r="R212">
        <f>SUM(Table13[[#This Row],[Rank_All_Ranks_Total]:[Rank_SSPSPAddlSPCommandant]])</f>
        <v>25584</v>
      </c>
    </row>
    <row r="213" spans="1:18" x14ac:dyDescent="0.3">
      <c r="A213" t="s">
        <v>7</v>
      </c>
      <c r="B213">
        <v>2007</v>
      </c>
      <c r="C213" t="str">
        <f>_xlfn.CONCAT(Table13[[#This Row],[STATE]],"-",Table13[[#This Row],[Year]])</f>
        <v>Arunachal Pradesh-2007</v>
      </c>
      <c r="D213" t="s">
        <v>60</v>
      </c>
      <c r="E213" t="s">
        <v>61</v>
      </c>
      <c r="F213">
        <v>2803</v>
      </c>
      <c r="G213">
        <v>8</v>
      </c>
      <c r="H213">
        <v>7</v>
      </c>
      <c r="I213">
        <v>202</v>
      </c>
      <c r="J213">
        <v>2191</v>
      </c>
      <c r="K213">
        <v>0</v>
      </c>
      <c r="L213">
        <v>0</v>
      </c>
      <c r="M213">
        <v>313</v>
      </c>
      <c r="N213">
        <v>0</v>
      </c>
      <c r="O213">
        <v>21</v>
      </c>
      <c r="P213">
        <v>58</v>
      </c>
      <c r="Q213">
        <v>3</v>
      </c>
      <c r="R213">
        <f>SUM(Table13[[#This Row],[Rank_All_Ranks_Total]:[Rank_SSPSPAddlSPCommandant]])</f>
        <v>5606</v>
      </c>
    </row>
    <row r="214" spans="1:18" x14ac:dyDescent="0.3">
      <c r="A214" t="s">
        <v>8</v>
      </c>
      <c r="B214">
        <v>2007</v>
      </c>
      <c r="C214" t="str">
        <f>_xlfn.CONCAT(Table13[[#This Row],[STATE]],"-",Table13[[#This Row],[Year]])</f>
        <v>Assam-2007</v>
      </c>
      <c r="D214" t="s">
        <v>60</v>
      </c>
      <c r="E214" t="s">
        <v>61</v>
      </c>
      <c r="F214">
        <v>23708</v>
      </c>
      <c r="G214">
        <v>30</v>
      </c>
      <c r="H214">
        <v>135</v>
      </c>
      <c r="I214">
        <v>2400</v>
      </c>
      <c r="J214">
        <v>16097</v>
      </c>
      <c r="K214">
        <v>0</v>
      </c>
      <c r="L214">
        <v>0</v>
      </c>
      <c r="M214">
        <v>4061</v>
      </c>
      <c r="N214">
        <v>0</v>
      </c>
      <c r="O214">
        <v>235</v>
      </c>
      <c r="P214">
        <v>700</v>
      </c>
      <c r="Q214">
        <v>50</v>
      </c>
      <c r="R214">
        <f>SUM(Table13[[#This Row],[Rank_All_Ranks_Total]:[Rank_SSPSPAddlSPCommandant]])</f>
        <v>47416</v>
      </c>
    </row>
    <row r="215" spans="1:18" x14ac:dyDescent="0.3">
      <c r="A215" t="s">
        <v>9</v>
      </c>
      <c r="B215">
        <v>2007</v>
      </c>
      <c r="C215" t="str">
        <f>_xlfn.CONCAT(Table13[[#This Row],[STATE]],"-",Table13[[#This Row],[Year]])</f>
        <v>Bihar-2007</v>
      </c>
      <c r="D215" t="s">
        <v>60</v>
      </c>
      <c r="E215" t="s">
        <v>61</v>
      </c>
      <c r="F215">
        <v>10205</v>
      </c>
      <c r="G215">
        <v>22</v>
      </c>
      <c r="H215">
        <v>33</v>
      </c>
      <c r="I215">
        <v>0</v>
      </c>
      <c r="J215">
        <v>7202</v>
      </c>
      <c r="K215">
        <v>1</v>
      </c>
      <c r="L215">
        <v>1</v>
      </c>
      <c r="M215">
        <v>2215</v>
      </c>
      <c r="N215">
        <v>1</v>
      </c>
      <c r="O215">
        <v>89</v>
      </c>
      <c r="P215">
        <v>630</v>
      </c>
      <c r="Q215">
        <v>11</v>
      </c>
      <c r="R215">
        <f>SUM(Table13[[#This Row],[Rank_All_Ranks_Total]:[Rank_SSPSPAddlSPCommandant]])</f>
        <v>20410</v>
      </c>
    </row>
    <row r="216" spans="1:18" x14ac:dyDescent="0.3">
      <c r="A216" t="s">
        <v>35</v>
      </c>
      <c r="B216">
        <v>2007</v>
      </c>
      <c r="C216" t="str">
        <f>_xlfn.CONCAT(Table13[[#This Row],[STATE]],"-",Table13[[#This Row],[Year]])</f>
        <v>Chandigarh-2007</v>
      </c>
      <c r="D216" t="s">
        <v>60</v>
      </c>
      <c r="E216" t="s">
        <v>61</v>
      </c>
      <c r="F216">
        <v>419</v>
      </c>
      <c r="G216">
        <v>0</v>
      </c>
      <c r="H216">
        <v>1</v>
      </c>
      <c r="I216">
        <v>0</v>
      </c>
      <c r="J216">
        <v>343</v>
      </c>
      <c r="K216">
        <v>0</v>
      </c>
      <c r="L216">
        <v>0</v>
      </c>
      <c r="M216">
        <v>61</v>
      </c>
      <c r="N216">
        <v>0</v>
      </c>
      <c r="O216">
        <v>4</v>
      </c>
      <c r="P216">
        <v>10</v>
      </c>
      <c r="Q216">
        <v>0</v>
      </c>
      <c r="R216">
        <f>SUM(Table13[[#This Row],[Rank_All_Ranks_Total]:[Rank_SSPSPAddlSPCommandant]])</f>
        <v>838</v>
      </c>
    </row>
    <row r="217" spans="1:18" x14ac:dyDescent="0.3">
      <c r="A217" t="s">
        <v>10</v>
      </c>
      <c r="B217">
        <v>2007</v>
      </c>
      <c r="C217" t="str">
        <f>_xlfn.CONCAT(Table13[[#This Row],[STATE]],"-",Table13[[#This Row],[Year]])</f>
        <v>Chhattisgarh-2007</v>
      </c>
      <c r="D217" t="s">
        <v>60</v>
      </c>
      <c r="E217" t="s">
        <v>61</v>
      </c>
      <c r="F217">
        <v>11260</v>
      </c>
      <c r="G217">
        <v>544</v>
      </c>
      <c r="H217">
        <v>41</v>
      </c>
      <c r="I217">
        <v>0</v>
      </c>
      <c r="J217">
        <v>8280</v>
      </c>
      <c r="K217">
        <v>1</v>
      </c>
      <c r="L217">
        <v>3</v>
      </c>
      <c r="M217">
        <v>2086</v>
      </c>
      <c r="N217">
        <v>1</v>
      </c>
      <c r="O217">
        <v>74</v>
      </c>
      <c r="P217">
        <v>219</v>
      </c>
      <c r="Q217">
        <v>11</v>
      </c>
      <c r="R217">
        <f>SUM(Table13[[#This Row],[Rank_All_Ranks_Total]:[Rank_SSPSPAddlSPCommandant]])</f>
        <v>22520</v>
      </c>
    </row>
    <row r="218" spans="1:18" x14ac:dyDescent="0.3">
      <c r="A218" t="s">
        <v>62</v>
      </c>
      <c r="B218">
        <v>2007</v>
      </c>
      <c r="C218" t="str">
        <f>_xlfn.CONCAT(Table13[[#This Row],[STATE]],"-",Table13[[#This Row],[Year]])</f>
        <v>Dadra &amp; Nagar Haveli-2007</v>
      </c>
      <c r="D218" t="s">
        <v>60</v>
      </c>
      <c r="E218" t="s">
        <v>61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f>SUM(Table13[[#This Row],[Rank_All_Ranks_Total]:[Rank_SSPSPAddlSPCommandant]])</f>
        <v>0</v>
      </c>
    </row>
    <row r="219" spans="1:18" x14ac:dyDescent="0.3">
      <c r="A219" t="s">
        <v>37</v>
      </c>
      <c r="B219">
        <v>2007</v>
      </c>
      <c r="C219" t="str">
        <f>_xlfn.CONCAT(Table13[[#This Row],[STATE]],"-",Table13[[#This Row],[Year]])</f>
        <v>Daman &amp; Diu-2007</v>
      </c>
      <c r="D219" t="s">
        <v>60</v>
      </c>
      <c r="E219" t="s">
        <v>61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f>SUM(Table13[[#This Row],[Rank_All_Ranks_Total]:[Rank_SSPSPAddlSPCommandant]])</f>
        <v>0</v>
      </c>
    </row>
    <row r="220" spans="1:18" x14ac:dyDescent="0.3">
      <c r="A220" t="s">
        <v>38</v>
      </c>
      <c r="B220">
        <v>2007</v>
      </c>
      <c r="C220" t="str">
        <f>_xlfn.CONCAT(Table13[[#This Row],[STATE]],"-",Table13[[#This Row],[Year]])</f>
        <v>Delhi-2007</v>
      </c>
      <c r="D220" t="s">
        <v>60</v>
      </c>
      <c r="E220" t="s">
        <v>61</v>
      </c>
      <c r="F220">
        <v>8626</v>
      </c>
      <c r="G220">
        <v>129</v>
      </c>
      <c r="H220">
        <v>17</v>
      </c>
      <c r="I220">
        <v>0</v>
      </c>
      <c r="J220">
        <v>6256</v>
      </c>
      <c r="K220">
        <v>0</v>
      </c>
      <c r="L220">
        <v>1</v>
      </c>
      <c r="M220">
        <v>1978</v>
      </c>
      <c r="N220">
        <v>1</v>
      </c>
      <c r="O220">
        <v>51</v>
      </c>
      <c r="P220">
        <v>188</v>
      </c>
      <c r="Q220">
        <v>5</v>
      </c>
      <c r="R220">
        <f>SUM(Table13[[#This Row],[Rank_All_Ranks_Total]:[Rank_SSPSPAddlSPCommandant]])</f>
        <v>17252</v>
      </c>
    </row>
    <row r="221" spans="1:18" x14ac:dyDescent="0.3">
      <c r="A221" t="s">
        <v>11</v>
      </c>
      <c r="B221">
        <v>2007</v>
      </c>
      <c r="C221" t="str">
        <f>_xlfn.CONCAT(Table13[[#This Row],[STATE]],"-",Table13[[#This Row],[Year]])</f>
        <v>Goa-2007</v>
      </c>
      <c r="D221" t="s">
        <v>60</v>
      </c>
      <c r="E221" t="s">
        <v>61</v>
      </c>
      <c r="F221">
        <v>655</v>
      </c>
      <c r="G221">
        <v>0</v>
      </c>
      <c r="H221">
        <v>0</v>
      </c>
      <c r="I221">
        <v>0</v>
      </c>
      <c r="J221">
        <v>633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22</v>
      </c>
      <c r="Q221">
        <v>0</v>
      </c>
      <c r="R221">
        <f>SUM(Table13[[#This Row],[Rank_All_Ranks_Total]:[Rank_SSPSPAddlSPCommandant]])</f>
        <v>1310</v>
      </c>
    </row>
    <row r="222" spans="1:18" x14ac:dyDescent="0.3">
      <c r="A222" t="s">
        <v>12</v>
      </c>
      <c r="B222">
        <v>2007</v>
      </c>
      <c r="C222" t="str">
        <f>_xlfn.CONCAT(Table13[[#This Row],[STATE]],"-",Table13[[#This Row],[Year]])</f>
        <v>Gujarat-2007</v>
      </c>
      <c r="D222" t="s">
        <v>60</v>
      </c>
      <c r="E222" t="s">
        <v>61</v>
      </c>
      <c r="F222">
        <v>9638</v>
      </c>
      <c r="G222">
        <v>949</v>
      </c>
      <c r="H222">
        <v>22</v>
      </c>
      <c r="I222">
        <v>0</v>
      </c>
      <c r="J222">
        <v>7296</v>
      </c>
      <c r="K222">
        <v>1</v>
      </c>
      <c r="L222">
        <v>1</v>
      </c>
      <c r="M222">
        <v>1067</v>
      </c>
      <c r="N222">
        <v>1</v>
      </c>
      <c r="O222">
        <v>52</v>
      </c>
      <c r="P222">
        <v>242</v>
      </c>
      <c r="Q222">
        <v>7</v>
      </c>
      <c r="R222">
        <f>SUM(Table13[[#This Row],[Rank_All_Ranks_Total]:[Rank_SSPSPAddlSPCommandant]])</f>
        <v>19276</v>
      </c>
    </row>
    <row r="223" spans="1:18" x14ac:dyDescent="0.3">
      <c r="A223" t="s">
        <v>13</v>
      </c>
      <c r="B223">
        <v>2007</v>
      </c>
      <c r="C223" t="str">
        <f>_xlfn.CONCAT(Table13[[#This Row],[STATE]],"-",Table13[[#This Row],[Year]])</f>
        <v>Haryana-2007</v>
      </c>
      <c r="D223" t="s">
        <v>60</v>
      </c>
      <c r="E223" t="s">
        <v>61</v>
      </c>
      <c r="F223">
        <v>6548</v>
      </c>
      <c r="G223">
        <v>198</v>
      </c>
      <c r="H223">
        <v>22</v>
      </c>
      <c r="I223">
        <v>0</v>
      </c>
      <c r="J223">
        <v>5639</v>
      </c>
      <c r="K223">
        <v>0</v>
      </c>
      <c r="L223">
        <v>1</v>
      </c>
      <c r="M223">
        <v>458</v>
      </c>
      <c r="N223">
        <v>1</v>
      </c>
      <c r="O223">
        <v>28</v>
      </c>
      <c r="P223">
        <v>196</v>
      </c>
      <c r="Q223">
        <v>5</v>
      </c>
      <c r="R223">
        <f>SUM(Table13[[#This Row],[Rank_All_Ranks_Total]:[Rank_SSPSPAddlSPCommandant]])</f>
        <v>13096</v>
      </c>
    </row>
    <row r="224" spans="1:18" x14ac:dyDescent="0.3">
      <c r="A224" t="s">
        <v>14</v>
      </c>
      <c r="B224">
        <v>2007</v>
      </c>
      <c r="C224" t="str">
        <f>_xlfn.CONCAT(Table13[[#This Row],[STATE]],"-",Table13[[#This Row],[Year]])</f>
        <v>Himachal Pradesh-2007</v>
      </c>
      <c r="D224" t="s">
        <v>60</v>
      </c>
      <c r="E224" t="s">
        <v>61</v>
      </c>
      <c r="F224">
        <v>2168</v>
      </c>
      <c r="G224">
        <v>87</v>
      </c>
      <c r="H224">
        <v>25</v>
      </c>
      <c r="I224">
        <v>0</v>
      </c>
      <c r="J224">
        <v>1303</v>
      </c>
      <c r="K224">
        <v>1</v>
      </c>
      <c r="L224">
        <v>2</v>
      </c>
      <c r="M224">
        <v>627</v>
      </c>
      <c r="N224">
        <v>1</v>
      </c>
      <c r="O224">
        <v>36</v>
      </c>
      <c r="P224">
        <v>85</v>
      </c>
      <c r="Q224">
        <v>1</v>
      </c>
      <c r="R224">
        <f>SUM(Table13[[#This Row],[Rank_All_Ranks_Total]:[Rank_SSPSPAddlSPCommandant]])</f>
        <v>4336</v>
      </c>
    </row>
    <row r="225" spans="1:18" x14ac:dyDescent="0.3">
      <c r="A225" t="s">
        <v>15</v>
      </c>
      <c r="B225">
        <v>2007</v>
      </c>
      <c r="C225" t="str">
        <f>_xlfn.CONCAT(Table13[[#This Row],[STATE]],"-",Table13[[#This Row],[Year]])</f>
        <v>Jammu &amp; Kashmir-2007</v>
      </c>
      <c r="D225" t="s">
        <v>60</v>
      </c>
      <c r="E225" t="s">
        <v>61</v>
      </c>
      <c r="F225">
        <v>22791</v>
      </c>
      <c r="G225">
        <v>507</v>
      </c>
      <c r="H225">
        <v>132</v>
      </c>
      <c r="I225">
        <v>15469</v>
      </c>
      <c r="J225">
        <v>1878</v>
      </c>
      <c r="K225">
        <v>0</v>
      </c>
      <c r="L225">
        <v>2</v>
      </c>
      <c r="M225">
        <v>4091</v>
      </c>
      <c r="N225">
        <v>1</v>
      </c>
      <c r="O225">
        <v>143</v>
      </c>
      <c r="P225">
        <v>486</v>
      </c>
      <c r="Q225">
        <v>82</v>
      </c>
      <c r="R225">
        <f>SUM(Table13[[#This Row],[Rank_All_Ranks_Total]:[Rank_SSPSPAddlSPCommandant]])</f>
        <v>45582</v>
      </c>
    </row>
    <row r="226" spans="1:18" x14ac:dyDescent="0.3">
      <c r="A226" t="s">
        <v>16</v>
      </c>
      <c r="B226">
        <v>2007</v>
      </c>
      <c r="C226" t="str">
        <f>_xlfn.CONCAT(Table13[[#This Row],[STATE]],"-",Table13[[#This Row],[Year]])</f>
        <v>Jharkhand-2007</v>
      </c>
      <c r="D226" t="s">
        <v>60</v>
      </c>
      <c r="E226" t="s">
        <v>61</v>
      </c>
      <c r="F226">
        <v>11300</v>
      </c>
      <c r="G226">
        <v>50</v>
      </c>
      <c r="H226">
        <v>0</v>
      </c>
      <c r="I226">
        <v>0</v>
      </c>
      <c r="J226">
        <v>8444</v>
      </c>
      <c r="K226">
        <v>0</v>
      </c>
      <c r="L226">
        <v>1</v>
      </c>
      <c r="M226">
        <v>2085</v>
      </c>
      <c r="N226">
        <v>1</v>
      </c>
      <c r="O226">
        <v>110</v>
      </c>
      <c r="P226">
        <v>588</v>
      </c>
      <c r="Q226">
        <v>21</v>
      </c>
      <c r="R226">
        <f>SUM(Table13[[#This Row],[Rank_All_Ranks_Total]:[Rank_SSPSPAddlSPCommandant]])</f>
        <v>22600</v>
      </c>
    </row>
    <row r="227" spans="1:18" x14ac:dyDescent="0.3">
      <c r="A227" t="s">
        <v>17</v>
      </c>
      <c r="B227">
        <v>2007</v>
      </c>
      <c r="C227" t="str">
        <f>_xlfn.CONCAT(Table13[[#This Row],[STATE]],"-",Table13[[#This Row],[Year]])</f>
        <v>Karnataka-2007</v>
      </c>
      <c r="D227" t="s">
        <v>60</v>
      </c>
      <c r="E227" t="s">
        <v>61</v>
      </c>
      <c r="F227">
        <v>4044</v>
      </c>
      <c r="G227">
        <v>116</v>
      </c>
      <c r="H227">
        <v>5</v>
      </c>
      <c r="I227">
        <v>0</v>
      </c>
      <c r="J227">
        <v>3118</v>
      </c>
      <c r="K227">
        <v>0</v>
      </c>
      <c r="L227">
        <v>0</v>
      </c>
      <c r="M227">
        <v>737</v>
      </c>
      <c r="N227">
        <v>0</v>
      </c>
      <c r="O227">
        <v>12</v>
      </c>
      <c r="P227">
        <v>56</v>
      </c>
      <c r="Q227">
        <v>0</v>
      </c>
      <c r="R227">
        <f>SUM(Table13[[#This Row],[Rank_All_Ranks_Total]:[Rank_SSPSPAddlSPCommandant]])</f>
        <v>8088</v>
      </c>
    </row>
    <row r="228" spans="1:18" x14ac:dyDescent="0.3">
      <c r="A228" t="s">
        <v>18</v>
      </c>
      <c r="B228">
        <v>2007</v>
      </c>
      <c r="C228" t="str">
        <f>_xlfn.CONCAT(Table13[[#This Row],[STATE]],"-",Table13[[#This Row],[Year]])</f>
        <v>Kerala-2007</v>
      </c>
      <c r="D228" t="s">
        <v>60</v>
      </c>
      <c r="E228" t="s">
        <v>61</v>
      </c>
      <c r="F228">
        <v>7750</v>
      </c>
      <c r="G228">
        <v>53</v>
      </c>
      <c r="H228">
        <v>39</v>
      </c>
      <c r="I228">
        <v>0</v>
      </c>
      <c r="J228">
        <v>6576</v>
      </c>
      <c r="K228">
        <v>0</v>
      </c>
      <c r="L228">
        <v>1</v>
      </c>
      <c r="M228">
        <v>854</v>
      </c>
      <c r="N228">
        <v>1</v>
      </c>
      <c r="O228">
        <v>66</v>
      </c>
      <c r="P228">
        <v>152</v>
      </c>
      <c r="Q228">
        <v>8</v>
      </c>
      <c r="R228">
        <f>SUM(Table13[[#This Row],[Rank_All_Ranks_Total]:[Rank_SSPSPAddlSPCommandant]])</f>
        <v>15500</v>
      </c>
    </row>
    <row r="229" spans="1:18" x14ac:dyDescent="0.3">
      <c r="A229" t="s">
        <v>39</v>
      </c>
      <c r="B229">
        <v>2007</v>
      </c>
      <c r="C229" t="str">
        <f>_xlfn.CONCAT(Table13[[#This Row],[STATE]],"-",Table13[[#This Row],[Year]])</f>
        <v>Lakshadweep-2007</v>
      </c>
      <c r="D229" t="s">
        <v>60</v>
      </c>
      <c r="E229" t="s">
        <v>61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f>SUM(Table13[[#This Row],[Rank_All_Ranks_Total]:[Rank_SSPSPAddlSPCommandant]])</f>
        <v>0</v>
      </c>
    </row>
    <row r="230" spans="1:18" x14ac:dyDescent="0.3">
      <c r="A230" t="s">
        <v>19</v>
      </c>
      <c r="B230">
        <v>2007</v>
      </c>
      <c r="C230" t="str">
        <f>_xlfn.CONCAT(Table13[[#This Row],[STATE]],"-",Table13[[#This Row],[Year]])</f>
        <v>Madhya Pradesh-2007</v>
      </c>
      <c r="D230" t="s">
        <v>60</v>
      </c>
      <c r="E230" t="s">
        <v>61</v>
      </c>
      <c r="F230">
        <v>21199</v>
      </c>
      <c r="G230">
        <v>1157</v>
      </c>
      <c r="H230">
        <v>0</v>
      </c>
      <c r="I230">
        <v>0</v>
      </c>
      <c r="J230">
        <v>15488</v>
      </c>
      <c r="K230">
        <v>0</v>
      </c>
      <c r="L230">
        <v>0</v>
      </c>
      <c r="M230">
        <v>3685</v>
      </c>
      <c r="N230">
        <v>0</v>
      </c>
      <c r="O230">
        <v>206</v>
      </c>
      <c r="P230">
        <v>663</v>
      </c>
      <c r="Q230">
        <v>0</v>
      </c>
      <c r="R230">
        <f>SUM(Table13[[#This Row],[Rank_All_Ranks_Total]:[Rank_SSPSPAddlSPCommandant]])</f>
        <v>42398</v>
      </c>
    </row>
    <row r="231" spans="1:18" x14ac:dyDescent="0.3">
      <c r="A231" t="s">
        <v>20</v>
      </c>
      <c r="B231">
        <v>2007</v>
      </c>
      <c r="C231" t="str">
        <f>_xlfn.CONCAT(Table13[[#This Row],[STATE]],"-",Table13[[#This Row],[Year]])</f>
        <v>Maharashtra-2007</v>
      </c>
      <c r="D231" t="s">
        <v>60</v>
      </c>
      <c r="E231" t="s">
        <v>61</v>
      </c>
      <c r="F231">
        <v>13602</v>
      </c>
      <c r="G231">
        <v>1237</v>
      </c>
      <c r="H231">
        <v>16</v>
      </c>
      <c r="I231">
        <v>2890</v>
      </c>
      <c r="J231">
        <v>6992</v>
      </c>
      <c r="K231">
        <v>0</v>
      </c>
      <c r="L231">
        <v>0</v>
      </c>
      <c r="M231">
        <v>2179</v>
      </c>
      <c r="N231">
        <v>0</v>
      </c>
      <c r="O231">
        <v>135</v>
      </c>
      <c r="P231">
        <v>153</v>
      </c>
      <c r="Q231">
        <v>0</v>
      </c>
      <c r="R231">
        <f>SUM(Table13[[#This Row],[Rank_All_Ranks_Total]:[Rank_SSPSPAddlSPCommandant]])</f>
        <v>27204</v>
      </c>
    </row>
    <row r="232" spans="1:18" x14ac:dyDescent="0.3">
      <c r="A232" t="s">
        <v>21</v>
      </c>
      <c r="B232">
        <v>2007</v>
      </c>
      <c r="C232" t="str">
        <f>_xlfn.CONCAT(Table13[[#This Row],[STATE]],"-",Table13[[#This Row],[Year]])</f>
        <v>Manipur-2007</v>
      </c>
      <c r="D232" t="s">
        <v>60</v>
      </c>
      <c r="E232" t="s">
        <v>61</v>
      </c>
      <c r="F232">
        <v>10749</v>
      </c>
      <c r="G232">
        <v>0</v>
      </c>
      <c r="H232">
        <v>71</v>
      </c>
      <c r="I232">
        <v>30</v>
      </c>
      <c r="J232">
        <v>8453</v>
      </c>
      <c r="K232">
        <v>0</v>
      </c>
      <c r="L232">
        <v>1</v>
      </c>
      <c r="M232">
        <v>1812</v>
      </c>
      <c r="N232">
        <v>1</v>
      </c>
      <c r="O232">
        <v>62</v>
      </c>
      <c r="P232">
        <v>291</v>
      </c>
      <c r="Q232">
        <v>28</v>
      </c>
      <c r="R232">
        <f>SUM(Table13[[#This Row],[Rank_All_Ranks_Total]:[Rank_SSPSPAddlSPCommandant]])</f>
        <v>21498</v>
      </c>
    </row>
    <row r="233" spans="1:18" x14ac:dyDescent="0.3">
      <c r="A233" t="s">
        <v>22</v>
      </c>
      <c r="B233">
        <v>2007</v>
      </c>
      <c r="C233" t="str">
        <f>_xlfn.CONCAT(Table13[[#This Row],[STATE]],"-",Table13[[#This Row],[Year]])</f>
        <v>Meghalaya-2007</v>
      </c>
      <c r="D233" t="s">
        <v>60</v>
      </c>
      <c r="E233" t="s">
        <v>61</v>
      </c>
      <c r="F233">
        <v>3512</v>
      </c>
      <c r="G233">
        <v>8</v>
      </c>
      <c r="H233">
        <v>25</v>
      </c>
      <c r="I233">
        <v>198</v>
      </c>
      <c r="J233">
        <v>2646</v>
      </c>
      <c r="K233">
        <v>0</v>
      </c>
      <c r="L233">
        <v>0</v>
      </c>
      <c r="M233">
        <v>485</v>
      </c>
      <c r="N233">
        <v>0</v>
      </c>
      <c r="O233">
        <v>31</v>
      </c>
      <c r="P233">
        <v>115</v>
      </c>
      <c r="Q233">
        <v>4</v>
      </c>
      <c r="R233">
        <f>SUM(Table13[[#This Row],[Rank_All_Ranks_Total]:[Rank_SSPSPAddlSPCommandant]])</f>
        <v>7024</v>
      </c>
    </row>
    <row r="234" spans="1:18" x14ac:dyDescent="0.3">
      <c r="A234" t="s">
        <v>23</v>
      </c>
      <c r="B234">
        <v>2007</v>
      </c>
      <c r="C234" t="str">
        <f>_xlfn.CONCAT(Table13[[#This Row],[STATE]],"-",Table13[[#This Row],[Year]])</f>
        <v>Mizoram-2007</v>
      </c>
      <c r="D234" t="s">
        <v>60</v>
      </c>
      <c r="E234" t="s">
        <v>61</v>
      </c>
      <c r="F234">
        <v>4317</v>
      </c>
      <c r="G234">
        <v>0</v>
      </c>
      <c r="H234">
        <v>39</v>
      </c>
      <c r="I234">
        <v>709</v>
      </c>
      <c r="J234">
        <v>2687</v>
      </c>
      <c r="K234">
        <v>0</v>
      </c>
      <c r="L234">
        <v>0</v>
      </c>
      <c r="M234">
        <v>706</v>
      </c>
      <c r="N234">
        <v>0</v>
      </c>
      <c r="O234">
        <v>45</v>
      </c>
      <c r="P234">
        <v>125</v>
      </c>
      <c r="Q234">
        <v>6</v>
      </c>
      <c r="R234">
        <f>SUM(Table13[[#This Row],[Rank_All_Ranks_Total]:[Rank_SSPSPAddlSPCommandant]])</f>
        <v>8634</v>
      </c>
    </row>
    <row r="235" spans="1:18" x14ac:dyDescent="0.3">
      <c r="A235" t="s">
        <v>24</v>
      </c>
      <c r="B235">
        <v>2007</v>
      </c>
      <c r="C235" t="str">
        <f>_xlfn.CONCAT(Table13[[#This Row],[STATE]],"-",Table13[[#This Row],[Year]])</f>
        <v>Nagaland-2007</v>
      </c>
      <c r="D235" t="s">
        <v>60</v>
      </c>
      <c r="E235" t="s">
        <v>61</v>
      </c>
      <c r="F235">
        <v>4651</v>
      </c>
      <c r="G235">
        <v>1</v>
      </c>
      <c r="H235">
        <v>26</v>
      </c>
      <c r="I235">
        <v>644</v>
      </c>
      <c r="J235">
        <v>3432</v>
      </c>
      <c r="K235">
        <v>0</v>
      </c>
      <c r="L235">
        <v>0</v>
      </c>
      <c r="M235">
        <v>400</v>
      </c>
      <c r="N235">
        <v>0</v>
      </c>
      <c r="O235">
        <v>26</v>
      </c>
      <c r="P235">
        <v>115</v>
      </c>
      <c r="Q235">
        <v>7</v>
      </c>
      <c r="R235">
        <f>SUM(Table13[[#This Row],[Rank_All_Ranks_Total]:[Rank_SSPSPAddlSPCommandant]])</f>
        <v>9302</v>
      </c>
    </row>
    <row r="236" spans="1:18" x14ac:dyDescent="0.3">
      <c r="A236" t="s">
        <v>63</v>
      </c>
      <c r="B236">
        <v>2007</v>
      </c>
      <c r="C236" t="str">
        <f>_xlfn.CONCAT(Table13[[#This Row],[STATE]],"-",Table13[[#This Row],[Year]])</f>
        <v>Odisha-2007</v>
      </c>
      <c r="D236" t="s">
        <v>60</v>
      </c>
      <c r="E236" t="s">
        <v>61</v>
      </c>
      <c r="F236">
        <v>10864</v>
      </c>
      <c r="G236">
        <v>194</v>
      </c>
      <c r="H236">
        <v>46</v>
      </c>
      <c r="I236">
        <v>292</v>
      </c>
      <c r="J236">
        <v>8941</v>
      </c>
      <c r="K236">
        <v>0</v>
      </c>
      <c r="L236">
        <v>0</v>
      </c>
      <c r="M236">
        <v>1109</v>
      </c>
      <c r="N236">
        <v>0</v>
      </c>
      <c r="O236">
        <v>50</v>
      </c>
      <c r="P236">
        <v>205</v>
      </c>
      <c r="Q236">
        <v>27</v>
      </c>
      <c r="R236">
        <f>SUM(Table13[[#This Row],[Rank_All_Ranks_Total]:[Rank_SSPSPAddlSPCommandant]])</f>
        <v>21728</v>
      </c>
    </row>
    <row r="237" spans="1:18" x14ac:dyDescent="0.3">
      <c r="A237" t="s">
        <v>64</v>
      </c>
      <c r="B237">
        <v>2007</v>
      </c>
      <c r="C237" t="str">
        <f>_xlfn.CONCAT(Table13[[#This Row],[STATE]],"-",Table13[[#This Row],[Year]])</f>
        <v>Puducherry-2007</v>
      </c>
      <c r="D237" t="s">
        <v>60</v>
      </c>
      <c r="E237" t="s">
        <v>61</v>
      </c>
      <c r="F237">
        <v>737</v>
      </c>
      <c r="G237">
        <v>3</v>
      </c>
      <c r="H237">
        <v>2</v>
      </c>
      <c r="I237">
        <v>0</v>
      </c>
      <c r="J237">
        <v>633</v>
      </c>
      <c r="K237">
        <v>0</v>
      </c>
      <c r="L237">
        <v>0</v>
      </c>
      <c r="M237">
        <v>85</v>
      </c>
      <c r="N237">
        <v>0</v>
      </c>
      <c r="O237">
        <v>5</v>
      </c>
      <c r="P237">
        <v>9</v>
      </c>
      <c r="Q237">
        <v>0</v>
      </c>
      <c r="R237">
        <f>SUM(Table13[[#This Row],[Rank_All_Ranks_Total]:[Rank_SSPSPAddlSPCommandant]])</f>
        <v>1474</v>
      </c>
    </row>
    <row r="238" spans="1:18" x14ac:dyDescent="0.3">
      <c r="A238" t="s">
        <v>26</v>
      </c>
      <c r="B238">
        <v>2007</v>
      </c>
      <c r="C238" t="str">
        <f>_xlfn.CONCAT(Table13[[#This Row],[STATE]],"-",Table13[[#This Row],[Year]])</f>
        <v>Punjab-2007</v>
      </c>
      <c r="D238" t="s">
        <v>60</v>
      </c>
      <c r="E238" t="s">
        <v>61</v>
      </c>
      <c r="F238">
        <v>19731</v>
      </c>
      <c r="G238">
        <v>390</v>
      </c>
      <c r="H238">
        <v>135</v>
      </c>
      <c r="I238">
        <v>0</v>
      </c>
      <c r="J238">
        <v>15093</v>
      </c>
      <c r="K238">
        <v>1</v>
      </c>
      <c r="L238">
        <v>5</v>
      </c>
      <c r="M238">
        <v>3357</v>
      </c>
      <c r="N238">
        <v>3</v>
      </c>
      <c r="O238">
        <v>157</v>
      </c>
      <c r="P238">
        <v>520</v>
      </c>
      <c r="Q238">
        <v>70</v>
      </c>
      <c r="R238">
        <f>SUM(Table13[[#This Row],[Rank_All_Ranks_Total]:[Rank_SSPSPAddlSPCommandant]])</f>
        <v>39462</v>
      </c>
    </row>
    <row r="239" spans="1:18" x14ac:dyDescent="0.3">
      <c r="A239" t="s">
        <v>27</v>
      </c>
      <c r="B239">
        <v>2007</v>
      </c>
      <c r="C239" t="str">
        <f>_xlfn.CONCAT(Table13[[#This Row],[STATE]],"-",Table13[[#This Row],[Year]])</f>
        <v>Rajasthan-2007</v>
      </c>
      <c r="D239" t="s">
        <v>60</v>
      </c>
      <c r="E239" t="s">
        <v>61</v>
      </c>
      <c r="F239">
        <v>10550</v>
      </c>
      <c r="G239">
        <v>0</v>
      </c>
      <c r="H239">
        <v>65</v>
      </c>
      <c r="I239">
        <v>0</v>
      </c>
      <c r="J239">
        <v>8321</v>
      </c>
      <c r="K239">
        <v>1</v>
      </c>
      <c r="L239">
        <v>2</v>
      </c>
      <c r="M239">
        <v>1896</v>
      </c>
      <c r="N239">
        <v>2</v>
      </c>
      <c r="O239">
        <v>87</v>
      </c>
      <c r="P239">
        <v>172</v>
      </c>
      <c r="Q239">
        <v>4</v>
      </c>
      <c r="R239">
        <f>SUM(Table13[[#This Row],[Rank_All_Ranks_Total]:[Rank_SSPSPAddlSPCommandant]])</f>
        <v>21100</v>
      </c>
    </row>
    <row r="240" spans="1:18" x14ac:dyDescent="0.3">
      <c r="A240" t="s">
        <v>28</v>
      </c>
      <c r="B240">
        <v>2007</v>
      </c>
      <c r="C240" t="str">
        <f>_xlfn.CONCAT(Table13[[#This Row],[STATE]],"-",Table13[[#This Row],[Year]])</f>
        <v>Sikkim-2007</v>
      </c>
      <c r="D240" t="s">
        <v>60</v>
      </c>
      <c r="E240" t="s">
        <v>61</v>
      </c>
      <c r="F240">
        <v>1221</v>
      </c>
      <c r="G240">
        <v>56</v>
      </c>
      <c r="H240">
        <v>11</v>
      </c>
      <c r="I240">
        <v>219</v>
      </c>
      <c r="J240">
        <v>825</v>
      </c>
      <c r="K240">
        <v>0</v>
      </c>
      <c r="L240">
        <v>1</v>
      </c>
      <c r="M240">
        <v>65</v>
      </c>
      <c r="N240">
        <v>0</v>
      </c>
      <c r="O240">
        <v>8</v>
      </c>
      <c r="P240">
        <v>34</v>
      </c>
      <c r="Q240">
        <v>2</v>
      </c>
      <c r="R240">
        <f>SUM(Table13[[#This Row],[Rank_All_Ranks_Total]:[Rank_SSPSPAddlSPCommandant]])</f>
        <v>2442</v>
      </c>
    </row>
    <row r="241" spans="1:18" x14ac:dyDescent="0.3">
      <c r="A241" t="s">
        <v>42</v>
      </c>
      <c r="B241">
        <v>2007</v>
      </c>
      <c r="C241" t="str">
        <f>_xlfn.CONCAT(Table13[[#This Row],[STATE]],"-",Table13[[#This Row],[Year]])</f>
        <v>Tamil Nadu-2007</v>
      </c>
      <c r="D241" t="s">
        <v>60</v>
      </c>
      <c r="E241" t="s">
        <v>61</v>
      </c>
      <c r="F241">
        <v>15265</v>
      </c>
      <c r="G241">
        <v>0</v>
      </c>
      <c r="H241">
        <v>36</v>
      </c>
      <c r="I241">
        <v>1715</v>
      </c>
      <c r="J241">
        <v>11346</v>
      </c>
      <c r="K241">
        <v>0</v>
      </c>
      <c r="L241">
        <v>2</v>
      </c>
      <c r="M241">
        <v>1568</v>
      </c>
      <c r="N241">
        <v>1</v>
      </c>
      <c r="O241">
        <v>135</v>
      </c>
      <c r="P241">
        <v>441</v>
      </c>
      <c r="Q241">
        <v>21</v>
      </c>
      <c r="R241">
        <f>SUM(Table13[[#This Row],[Rank_All_Ranks_Total]:[Rank_SSPSPAddlSPCommandant]])</f>
        <v>30530</v>
      </c>
    </row>
    <row r="242" spans="1:18" x14ac:dyDescent="0.3">
      <c r="A242" t="s">
        <v>30</v>
      </c>
      <c r="B242">
        <v>2007</v>
      </c>
      <c r="C242" t="str">
        <f>_xlfn.CONCAT(Table13[[#This Row],[STATE]],"-",Table13[[#This Row],[Year]])</f>
        <v>Tripura-2007</v>
      </c>
      <c r="D242" t="s">
        <v>60</v>
      </c>
      <c r="E242" t="s">
        <v>61</v>
      </c>
      <c r="F242">
        <v>12050</v>
      </c>
      <c r="G242">
        <v>0</v>
      </c>
      <c r="H242">
        <v>62</v>
      </c>
      <c r="I242">
        <v>1549</v>
      </c>
      <c r="J242">
        <v>8805</v>
      </c>
      <c r="K242">
        <v>0</v>
      </c>
      <c r="L242">
        <v>2</v>
      </c>
      <c r="M242">
        <v>1261</v>
      </c>
      <c r="N242">
        <v>0</v>
      </c>
      <c r="O242">
        <v>96</v>
      </c>
      <c r="P242">
        <v>255</v>
      </c>
      <c r="Q242">
        <v>20</v>
      </c>
      <c r="R242">
        <f>SUM(Table13[[#This Row],[Rank_All_Ranks_Total]:[Rank_SSPSPAddlSPCommandant]])</f>
        <v>24100</v>
      </c>
    </row>
    <row r="243" spans="1:18" x14ac:dyDescent="0.3">
      <c r="A243" t="s">
        <v>31</v>
      </c>
      <c r="B243">
        <v>2007</v>
      </c>
      <c r="C243" t="str">
        <f>_xlfn.CONCAT(Table13[[#This Row],[STATE]],"-",Table13[[#This Row],[Year]])</f>
        <v>Uttar Pradesh-2007</v>
      </c>
      <c r="D243" t="s">
        <v>60</v>
      </c>
      <c r="E243" t="s">
        <v>61</v>
      </c>
      <c r="F243">
        <v>31924</v>
      </c>
      <c r="G243">
        <v>0</v>
      </c>
      <c r="H243">
        <v>78</v>
      </c>
      <c r="I243">
        <v>0</v>
      </c>
      <c r="J243">
        <v>22978</v>
      </c>
      <c r="K243">
        <v>1</v>
      </c>
      <c r="L243">
        <v>6</v>
      </c>
      <c r="M243">
        <v>7193</v>
      </c>
      <c r="N243">
        <v>5</v>
      </c>
      <c r="O243">
        <v>172</v>
      </c>
      <c r="P243">
        <v>1441</v>
      </c>
      <c r="Q243">
        <v>50</v>
      </c>
      <c r="R243">
        <f>SUM(Table13[[#This Row],[Rank_All_Ranks_Total]:[Rank_SSPSPAddlSPCommandant]])</f>
        <v>63848</v>
      </c>
    </row>
    <row r="244" spans="1:18" x14ac:dyDescent="0.3">
      <c r="A244" t="s">
        <v>65</v>
      </c>
      <c r="B244">
        <v>2007</v>
      </c>
      <c r="C244" t="str">
        <f>_xlfn.CONCAT(Table13[[#This Row],[STATE]],"-",Table13[[#This Row],[Year]])</f>
        <v>Uttarakhand-2007</v>
      </c>
      <c r="D244" t="s">
        <v>60</v>
      </c>
      <c r="E244" t="s">
        <v>61</v>
      </c>
      <c r="F244">
        <v>3984</v>
      </c>
      <c r="G244">
        <v>0</v>
      </c>
      <c r="H244">
        <v>5</v>
      </c>
      <c r="I244">
        <v>510</v>
      </c>
      <c r="J244">
        <v>2606</v>
      </c>
      <c r="K244">
        <v>0</v>
      </c>
      <c r="L244">
        <v>0</v>
      </c>
      <c r="M244">
        <v>752</v>
      </c>
      <c r="N244">
        <v>0</v>
      </c>
      <c r="O244">
        <v>38</v>
      </c>
      <c r="P244">
        <v>67</v>
      </c>
      <c r="Q244">
        <v>6</v>
      </c>
      <c r="R244">
        <f>SUM(Table13[[#This Row],[Rank_All_Ranks_Total]:[Rank_SSPSPAddlSPCommandant]])</f>
        <v>7968</v>
      </c>
    </row>
    <row r="245" spans="1:18" x14ac:dyDescent="0.3">
      <c r="A245" t="s">
        <v>33</v>
      </c>
      <c r="B245">
        <v>2007</v>
      </c>
      <c r="C245" t="str">
        <f>_xlfn.CONCAT(Table13[[#This Row],[STATE]],"-",Table13[[#This Row],[Year]])</f>
        <v>West Bengal-2007</v>
      </c>
      <c r="D245" t="s">
        <v>60</v>
      </c>
      <c r="E245" t="s">
        <v>61</v>
      </c>
      <c r="F245">
        <v>29690</v>
      </c>
      <c r="G245">
        <v>3493</v>
      </c>
      <c r="H245">
        <v>82</v>
      </c>
      <c r="I245">
        <v>1535</v>
      </c>
      <c r="J245">
        <v>23606</v>
      </c>
      <c r="K245">
        <v>1</v>
      </c>
      <c r="L245">
        <v>3</v>
      </c>
      <c r="M245">
        <v>0</v>
      </c>
      <c r="N245">
        <v>3</v>
      </c>
      <c r="O245">
        <v>257</v>
      </c>
      <c r="P245">
        <v>691</v>
      </c>
      <c r="Q245">
        <v>19</v>
      </c>
      <c r="R245">
        <f>SUM(Table13[[#This Row],[Rank_All_Ranks_Total]:[Rank_SSPSPAddlSPCommandant]])</f>
        <v>59380</v>
      </c>
    </row>
    <row r="246" spans="1:18" x14ac:dyDescent="0.3">
      <c r="A246" t="s">
        <v>59</v>
      </c>
      <c r="B246">
        <v>2008</v>
      </c>
      <c r="C246" t="str">
        <f>_xlfn.CONCAT(Table13[[#This Row],[STATE]],"-",Table13[[#This Row],[Year]])</f>
        <v>Andaman &amp; Nicobar Islands-2008</v>
      </c>
      <c r="D246" t="s">
        <v>60</v>
      </c>
      <c r="E246" t="s">
        <v>61</v>
      </c>
      <c r="F246">
        <v>568</v>
      </c>
      <c r="G246">
        <v>20</v>
      </c>
      <c r="H246">
        <v>2</v>
      </c>
      <c r="I246">
        <v>0</v>
      </c>
      <c r="J246">
        <v>450</v>
      </c>
      <c r="K246">
        <v>0</v>
      </c>
      <c r="L246">
        <v>1</v>
      </c>
      <c r="M246">
        <v>60</v>
      </c>
      <c r="N246">
        <v>0</v>
      </c>
      <c r="O246">
        <v>8</v>
      </c>
      <c r="P246">
        <v>26</v>
      </c>
      <c r="Q246">
        <v>1</v>
      </c>
      <c r="R246">
        <f>SUM(Table13[[#This Row],[Rank_All_Ranks_Total]:[Rank_SSPSPAddlSPCommandant]])</f>
        <v>1136</v>
      </c>
    </row>
    <row r="247" spans="1:18" x14ac:dyDescent="0.3">
      <c r="A247" t="s">
        <v>6</v>
      </c>
      <c r="B247">
        <v>2008</v>
      </c>
      <c r="C247" t="str">
        <f>_xlfn.CONCAT(Table13[[#This Row],[STATE]],"-",Table13[[#This Row],[Year]])</f>
        <v>Andhra Pradesh-2008</v>
      </c>
      <c r="D247" t="s">
        <v>60</v>
      </c>
      <c r="E247" t="s">
        <v>61</v>
      </c>
      <c r="F247">
        <v>14801</v>
      </c>
      <c r="G247">
        <v>582</v>
      </c>
      <c r="H247">
        <v>51</v>
      </c>
      <c r="I247">
        <v>0</v>
      </c>
      <c r="J247">
        <v>10561</v>
      </c>
      <c r="K247">
        <v>1</v>
      </c>
      <c r="L247">
        <v>1</v>
      </c>
      <c r="M247">
        <v>3158</v>
      </c>
      <c r="N247">
        <v>1</v>
      </c>
      <c r="O247">
        <v>150</v>
      </c>
      <c r="P247">
        <v>274</v>
      </c>
      <c r="Q247">
        <v>22</v>
      </c>
      <c r="R247">
        <f>SUM(Table13[[#This Row],[Rank_All_Ranks_Total]:[Rank_SSPSPAddlSPCommandant]])</f>
        <v>29602</v>
      </c>
    </row>
    <row r="248" spans="1:18" x14ac:dyDescent="0.3">
      <c r="A248" t="s">
        <v>7</v>
      </c>
      <c r="B248">
        <v>2008</v>
      </c>
      <c r="C248" t="str">
        <f>_xlfn.CONCAT(Table13[[#This Row],[STATE]],"-",Table13[[#This Row],[Year]])</f>
        <v>Arunachal Pradesh-2008</v>
      </c>
      <c r="D248" t="s">
        <v>60</v>
      </c>
      <c r="E248" t="s">
        <v>61</v>
      </c>
      <c r="F248">
        <v>3841</v>
      </c>
      <c r="G248">
        <v>41</v>
      </c>
      <c r="H248">
        <v>25</v>
      </c>
      <c r="I248">
        <v>106</v>
      </c>
      <c r="J248">
        <v>2871</v>
      </c>
      <c r="K248">
        <v>0</v>
      </c>
      <c r="L248">
        <v>0</v>
      </c>
      <c r="M248">
        <v>662</v>
      </c>
      <c r="N248">
        <v>0</v>
      </c>
      <c r="O248">
        <v>30</v>
      </c>
      <c r="P248">
        <v>101</v>
      </c>
      <c r="Q248">
        <v>5</v>
      </c>
      <c r="R248">
        <f>SUM(Table13[[#This Row],[Rank_All_Ranks_Total]:[Rank_SSPSPAddlSPCommandant]])</f>
        <v>7682</v>
      </c>
    </row>
    <row r="249" spans="1:18" x14ac:dyDescent="0.3">
      <c r="A249" t="s">
        <v>8</v>
      </c>
      <c r="B249">
        <v>2008</v>
      </c>
      <c r="C249" t="str">
        <f>_xlfn.CONCAT(Table13[[#This Row],[STATE]],"-",Table13[[#This Row],[Year]])</f>
        <v>Assam-2008</v>
      </c>
      <c r="D249" t="s">
        <v>60</v>
      </c>
      <c r="E249" t="s">
        <v>61</v>
      </c>
      <c r="F249">
        <v>23829</v>
      </c>
      <c r="G249">
        <v>30</v>
      </c>
      <c r="H249">
        <v>135</v>
      </c>
      <c r="I249">
        <v>2145</v>
      </c>
      <c r="J249">
        <v>16473</v>
      </c>
      <c r="K249">
        <v>0</v>
      </c>
      <c r="L249">
        <v>0</v>
      </c>
      <c r="M249">
        <v>4061</v>
      </c>
      <c r="N249">
        <v>0</v>
      </c>
      <c r="O249">
        <v>235</v>
      </c>
      <c r="P249">
        <v>700</v>
      </c>
      <c r="Q249">
        <v>50</v>
      </c>
      <c r="R249">
        <f>SUM(Table13[[#This Row],[Rank_All_Ranks_Total]:[Rank_SSPSPAddlSPCommandant]])</f>
        <v>47658</v>
      </c>
    </row>
    <row r="250" spans="1:18" x14ac:dyDescent="0.3">
      <c r="A250" t="s">
        <v>9</v>
      </c>
      <c r="B250">
        <v>2008</v>
      </c>
      <c r="C250" t="str">
        <f>_xlfn.CONCAT(Table13[[#This Row],[STATE]],"-",Table13[[#This Row],[Year]])</f>
        <v>Bihar-2008</v>
      </c>
      <c r="D250" t="s">
        <v>60</v>
      </c>
      <c r="E250" t="s">
        <v>61</v>
      </c>
      <c r="F250">
        <v>12675</v>
      </c>
      <c r="G250">
        <v>20</v>
      </c>
      <c r="H250">
        <v>29</v>
      </c>
      <c r="I250">
        <v>0</v>
      </c>
      <c r="J250">
        <v>9288</v>
      </c>
      <c r="K250">
        <v>1</v>
      </c>
      <c r="L250">
        <v>2</v>
      </c>
      <c r="M250">
        <v>2517</v>
      </c>
      <c r="N250">
        <v>1</v>
      </c>
      <c r="O250">
        <v>116</v>
      </c>
      <c r="P250">
        <v>685</v>
      </c>
      <c r="Q250">
        <v>16</v>
      </c>
      <c r="R250">
        <f>SUM(Table13[[#This Row],[Rank_All_Ranks_Total]:[Rank_SSPSPAddlSPCommandant]])</f>
        <v>25350</v>
      </c>
    </row>
    <row r="251" spans="1:18" x14ac:dyDescent="0.3">
      <c r="A251" t="s">
        <v>35</v>
      </c>
      <c r="B251">
        <v>2008</v>
      </c>
      <c r="C251" t="str">
        <f>_xlfn.CONCAT(Table13[[#This Row],[STATE]],"-",Table13[[#This Row],[Year]])</f>
        <v>Chandigarh-2008</v>
      </c>
      <c r="D251" t="s">
        <v>60</v>
      </c>
      <c r="E251" t="s">
        <v>61</v>
      </c>
      <c r="F251">
        <v>419</v>
      </c>
      <c r="G251">
        <v>0</v>
      </c>
      <c r="H251">
        <v>1</v>
      </c>
      <c r="I251">
        <v>0</v>
      </c>
      <c r="J251">
        <v>343</v>
      </c>
      <c r="K251">
        <v>0</v>
      </c>
      <c r="L251">
        <v>0</v>
      </c>
      <c r="M251">
        <v>61</v>
      </c>
      <c r="N251">
        <v>0</v>
      </c>
      <c r="O251">
        <v>4</v>
      </c>
      <c r="P251">
        <v>10</v>
      </c>
      <c r="Q251">
        <v>0</v>
      </c>
      <c r="R251">
        <f>SUM(Table13[[#This Row],[Rank_All_Ranks_Total]:[Rank_SSPSPAddlSPCommandant]])</f>
        <v>838</v>
      </c>
    </row>
    <row r="252" spans="1:18" x14ac:dyDescent="0.3">
      <c r="A252" t="s">
        <v>10</v>
      </c>
      <c r="B252">
        <v>2008</v>
      </c>
      <c r="C252" t="str">
        <f>_xlfn.CONCAT(Table13[[#This Row],[STATE]],"-",Table13[[#This Row],[Year]])</f>
        <v>Chhattisgarh-2008</v>
      </c>
      <c r="D252" t="s">
        <v>60</v>
      </c>
      <c r="E252" t="s">
        <v>61</v>
      </c>
      <c r="F252">
        <v>16969</v>
      </c>
      <c r="G252">
        <v>857</v>
      </c>
      <c r="H252">
        <v>101</v>
      </c>
      <c r="I252">
        <v>0</v>
      </c>
      <c r="J252">
        <v>12257</v>
      </c>
      <c r="K252">
        <v>1</v>
      </c>
      <c r="L252">
        <v>5</v>
      </c>
      <c r="M252">
        <v>2918</v>
      </c>
      <c r="N252">
        <v>1</v>
      </c>
      <c r="O252">
        <v>182</v>
      </c>
      <c r="P252">
        <v>593</v>
      </c>
      <c r="Q252">
        <v>54</v>
      </c>
      <c r="R252">
        <f>SUM(Table13[[#This Row],[Rank_All_Ranks_Total]:[Rank_SSPSPAddlSPCommandant]])</f>
        <v>33938</v>
      </c>
    </row>
    <row r="253" spans="1:18" x14ac:dyDescent="0.3">
      <c r="A253" t="s">
        <v>62</v>
      </c>
      <c r="B253">
        <v>2008</v>
      </c>
      <c r="C253" t="str">
        <f>_xlfn.CONCAT(Table13[[#This Row],[STATE]],"-",Table13[[#This Row],[Year]])</f>
        <v>Dadra &amp; Nagar Haveli-2008</v>
      </c>
      <c r="D253" t="s">
        <v>60</v>
      </c>
      <c r="E253" t="s">
        <v>61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f>SUM(Table13[[#This Row],[Rank_All_Ranks_Total]:[Rank_SSPSPAddlSPCommandant]])</f>
        <v>0</v>
      </c>
    </row>
    <row r="254" spans="1:18" x14ac:dyDescent="0.3">
      <c r="A254" t="s">
        <v>37</v>
      </c>
      <c r="B254">
        <v>2008</v>
      </c>
      <c r="C254" t="str">
        <f>_xlfn.CONCAT(Table13[[#This Row],[STATE]],"-",Table13[[#This Row],[Year]])</f>
        <v>Daman &amp; Diu-2008</v>
      </c>
      <c r="D254" t="s">
        <v>60</v>
      </c>
      <c r="E254" t="s">
        <v>61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f>SUM(Table13[[#This Row],[Rank_All_Ranks_Total]:[Rank_SSPSPAddlSPCommandant]])</f>
        <v>0</v>
      </c>
    </row>
    <row r="255" spans="1:18" x14ac:dyDescent="0.3">
      <c r="A255" t="s">
        <v>38</v>
      </c>
      <c r="B255">
        <v>2008</v>
      </c>
      <c r="C255" t="str">
        <f>_xlfn.CONCAT(Table13[[#This Row],[STATE]],"-",Table13[[#This Row],[Year]])</f>
        <v>Delhi-2008</v>
      </c>
      <c r="D255" t="s">
        <v>60</v>
      </c>
      <c r="E255" t="s">
        <v>61</v>
      </c>
      <c r="F255">
        <v>7610</v>
      </c>
      <c r="G255">
        <v>193</v>
      </c>
      <c r="H255">
        <v>17</v>
      </c>
      <c r="I255">
        <v>0</v>
      </c>
      <c r="J255">
        <v>5578</v>
      </c>
      <c r="K255">
        <v>0</v>
      </c>
      <c r="L255">
        <v>0</v>
      </c>
      <c r="M255">
        <v>1536</v>
      </c>
      <c r="N255">
        <v>0</v>
      </c>
      <c r="O255">
        <v>61</v>
      </c>
      <c r="P255">
        <v>219</v>
      </c>
      <c r="Q255">
        <v>6</v>
      </c>
      <c r="R255">
        <f>SUM(Table13[[#This Row],[Rank_All_Ranks_Total]:[Rank_SSPSPAddlSPCommandant]])</f>
        <v>15220</v>
      </c>
    </row>
    <row r="256" spans="1:18" x14ac:dyDescent="0.3">
      <c r="A256" t="s">
        <v>11</v>
      </c>
      <c r="B256">
        <v>2008</v>
      </c>
      <c r="C256" t="str">
        <f>_xlfn.CONCAT(Table13[[#This Row],[STATE]],"-",Table13[[#This Row],[Year]])</f>
        <v>Goa-2008</v>
      </c>
      <c r="D256" t="s">
        <v>60</v>
      </c>
      <c r="E256" t="s">
        <v>61</v>
      </c>
      <c r="F256">
        <v>665</v>
      </c>
      <c r="G256">
        <v>5</v>
      </c>
      <c r="H256">
        <v>0</v>
      </c>
      <c r="I256">
        <v>0</v>
      </c>
      <c r="J256">
        <v>633</v>
      </c>
      <c r="K256">
        <v>0</v>
      </c>
      <c r="L256">
        <v>0</v>
      </c>
      <c r="M256">
        <v>5</v>
      </c>
      <c r="N256">
        <v>0</v>
      </c>
      <c r="O256">
        <v>0</v>
      </c>
      <c r="P256">
        <v>22</v>
      </c>
      <c r="Q256">
        <v>0</v>
      </c>
      <c r="R256">
        <f>SUM(Table13[[#This Row],[Rank_All_Ranks_Total]:[Rank_SSPSPAddlSPCommandant]])</f>
        <v>1330</v>
      </c>
    </row>
    <row r="257" spans="1:18" x14ac:dyDescent="0.3">
      <c r="A257" t="s">
        <v>12</v>
      </c>
      <c r="B257">
        <v>2008</v>
      </c>
      <c r="C257" t="str">
        <f>_xlfn.CONCAT(Table13[[#This Row],[STATE]],"-",Table13[[#This Row],[Year]])</f>
        <v>Gujarat-2008</v>
      </c>
      <c r="D257" t="s">
        <v>60</v>
      </c>
      <c r="E257" t="s">
        <v>61</v>
      </c>
      <c r="F257">
        <v>12463</v>
      </c>
      <c r="G257">
        <v>900</v>
      </c>
      <c r="H257">
        <v>21</v>
      </c>
      <c r="I257">
        <v>0</v>
      </c>
      <c r="J257">
        <v>10126</v>
      </c>
      <c r="K257">
        <v>1</v>
      </c>
      <c r="L257">
        <v>1</v>
      </c>
      <c r="M257">
        <v>1110</v>
      </c>
      <c r="N257">
        <v>1</v>
      </c>
      <c r="O257">
        <v>54</v>
      </c>
      <c r="P257">
        <v>242</v>
      </c>
      <c r="Q257">
        <v>7</v>
      </c>
      <c r="R257">
        <f>SUM(Table13[[#This Row],[Rank_All_Ranks_Total]:[Rank_SSPSPAddlSPCommandant]])</f>
        <v>24926</v>
      </c>
    </row>
    <row r="258" spans="1:18" x14ac:dyDescent="0.3">
      <c r="A258" t="s">
        <v>13</v>
      </c>
      <c r="B258">
        <v>2008</v>
      </c>
      <c r="C258" t="str">
        <f>_xlfn.CONCAT(Table13[[#This Row],[STATE]],"-",Table13[[#This Row],[Year]])</f>
        <v>Haryana-2008</v>
      </c>
      <c r="D258" t="s">
        <v>60</v>
      </c>
      <c r="E258" t="s">
        <v>61</v>
      </c>
      <c r="F258">
        <v>6108</v>
      </c>
      <c r="G258">
        <v>250</v>
      </c>
      <c r="H258">
        <v>23</v>
      </c>
      <c r="I258">
        <v>0</v>
      </c>
      <c r="J258">
        <v>5060</v>
      </c>
      <c r="K258">
        <v>0</v>
      </c>
      <c r="L258">
        <v>1</v>
      </c>
      <c r="M258">
        <v>548</v>
      </c>
      <c r="N258">
        <v>2</v>
      </c>
      <c r="O258">
        <v>42</v>
      </c>
      <c r="P258">
        <v>171</v>
      </c>
      <c r="Q258">
        <v>11</v>
      </c>
      <c r="R258">
        <f>SUM(Table13[[#This Row],[Rank_All_Ranks_Total]:[Rank_SSPSPAddlSPCommandant]])</f>
        <v>12216</v>
      </c>
    </row>
    <row r="259" spans="1:18" x14ac:dyDescent="0.3">
      <c r="A259" t="s">
        <v>14</v>
      </c>
      <c r="B259">
        <v>2008</v>
      </c>
      <c r="C259" t="str">
        <f>_xlfn.CONCAT(Table13[[#This Row],[STATE]],"-",Table13[[#This Row],[Year]])</f>
        <v>Himachal Pradesh-2008</v>
      </c>
      <c r="D259" t="s">
        <v>60</v>
      </c>
      <c r="E259" t="s">
        <v>61</v>
      </c>
      <c r="F259">
        <v>3270</v>
      </c>
      <c r="G259">
        <v>76</v>
      </c>
      <c r="H259">
        <v>13</v>
      </c>
      <c r="I259">
        <v>0</v>
      </c>
      <c r="J259">
        <v>2452</v>
      </c>
      <c r="K259">
        <v>1</v>
      </c>
      <c r="L259">
        <v>1</v>
      </c>
      <c r="M259">
        <v>564</v>
      </c>
      <c r="N259">
        <v>1</v>
      </c>
      <c r="O259">
        <v>38</v>
      </c>
      <c r="P259">
        <v>111</v>
      </c>
      <c r="Q259">
        <v>13</v>
      </c>
      <c r="R259">
        <f>SUM(Table13[[#This Row],[Rank_All_Ranks_Total]:[Rank_SSPSPAddlSPCommandant]])</f>
        <v>6540</v>
      </c>
    </row>
    <row r="260" spans="1:18" x14ac:dyDescent="0.3">
      <c r="A260" t="s">
        <v>15</v>
      </c>
      <c r="B260">
        <v>2008</v>
      </c>
      <c r="C260" t="str">
        <f>_xlfn.CONCAT(Table13[[#This Row],[STATE]],"-",Table13[[#This Row],[Year]])</f>
        <v>Jammu &amp; Kashmir-2008</v>
      </c>
      <c r="D260" t="s">
        <v>60</v>
      </c>
      <c r="E260" t="s">
        <v>61</v>
      </c>
      <c r="F260">
        <v>24733</v>
      </c>
      <c r="G260">
        <v>507</v>
      </c>
      <c r="H260">
        <v>132</v>
      </c>
      <c r="I260">
        <v>17240</v>
      </c>
      <c r="J260">
        <v>1938</v>
      </c>
      <c r="K260">
        <v>0</v>
      </c>
      <c r="L260">
        <v>2</v>
      </c>
      <c r="M260">
        <v>4175</v>
      </c>
      <c r="N260">
        <v>1</v>
      </c>
      <c r="O260">
        <v>170</v>
      </c>
      <c r="P260">
        <v>486</v>
      </c>
      <c r="Q260">
        <v>82</v>
      </c>
      <c r="R260">
        <f>SUM(Table13[[#This Row],[Rank_All_Ranks_Total]:[Rank_SSPSPAddlSPCommandant]])</f>
        <v>49466</v>
      </c>
    </row>
    <row r="261" spans="1:18" x14ac:dyDescent="0.3">
      <c r="A261" t="s">
        <v>16</v>
      </c>
      <c r="B261">
        <v>2008</v>
      </c>
      <c r="C261" t="str">
        <f>_xlfn.CONCAT(Table13[[#This Row],[STATE]],"-",Table13[[#This Row],[Year]])</f>
        <v>Jharkhand-2008</v>
      </c>
      <c r="D261" t="s">
        <v>60</v>
      </c>
      <c r="E261" t="s">
        <v>61</v>
      </c>
      <c r="F261">
        <v>10744</v>
      </c>
      <c r="G261">
        <v>48</v>
      </c>
      <c r="H261">
        <v>101</v>
      </c>
      <c r="I261">
        <v>0</v>
      </c>
      <c r="J261">
        <v>7974</v>
      </c>
      <c r="K261">
        <v>0</v>
      </c>
      <c r="L261">
        <v>1</v>
      </c>
      <c r="M261">
        <v>1943</v>
      </c>
      <c r="N261">
        <v>1</v>
      </c>
      <c r="O261">
        <v>100</v>
      </c>
      <c r="P261">
        <v>563</v>
      </c>
      <c r="Q261">
        <v>13</v>
      </c>
      <c r="R261">
        <f>SUM(Table13[[#This Row],[Rank_All_Ranks_Total]:[Rank_SSPSPAddlSPCommandant]])</f>
        <v>21488</v>
      </c>
    </row>
    <row r="262" spans="1:18" x14ac:dyDescent="0.3">
      <c r="A262" t="s">
        <v>17</v>
      </c>
      <c r="B262">
        <v>2008</v>
      </c>
      <c r="C262" t="str">
        <f>_xlfn.CONCAT(Table13[[#This Row],[STATE]],"-",Table13[[#This Row],[Year]])</f>
        <v>Karnataka-2008</v>
      </c>
      <c r="D262" t="s">
        <v>60</v>
      </c>
      <c r="E262" t="s">
        <v>61</v>
      </c>
      <c r="F262">
        <v>9675</v>
      </c>
      <c r="G262">
        <v>101</v>
      </c>
      <c r="H262">
        <v>0</v>
      </c>
      <c r="I262">
        <v>0</v>
      </c>
      <c r="J262">
        <v>7636</v>
      </c>
      <c r="K262">
        <v>1</v>
      </c>
      <c r="L262">
        <v>1</v>
      </c>
      <c r="M262">
        <v>1694</v>
      </c>
      <c r="N262">
        <v>1</v>
      </c>
      <c r="O262">
        <v>118</v>
      </c>
      <c r="P262">
        <v>109</v>
      </c>
      <c r="Q262">
        <v>14</v>
      </c>
      <c r="R262">
        <f>SUM(Table13[[#This Row],[Rank_All_Ranks_Total]:[Rank_SSPSPAddlSPCommandant]])</f>
        <v>19350</v>
      </c>
    </row>
    <row r="263" spans="1:18" x14ac:dyDescent="0.3">
      <c r="A263" t="s">
        <v>18</v>
      </c>
      <c r="B263">
        <v>2008</v>
      </c>
      <c r="C263" t="str">
        <f>_xlfn.CONCAT(Table13[[#This Row],[STATE]],"-",Table13[[#This Row],[Year]])</f>
        <v>Kerala-2008</v>
      </c>
      <c r="D263" t="s">
        <v>60</v>
      </c>
      <c r="E263" t="s">
        <v>61</v>
      </c>
      <c r="F263">
        <v>4313</v>
      </c>
      <c r="G263">
        <v>50</v>
      </c>
      <c r="H263">
        <v>35</v>
      </c>
      <c r="I263">
        <v>0</v>
      </c>
      <c r="J263">
        <v>2991</v>
      </c>
      <c r="K263">
        <v>1</v>
      </c>
      <c r="L263">
        <v>1</v>
      </c>
      <c r="M263">
        <v>986</v>
      </c>
      <c r="N263">
        <v>1</v>
      </c>
      <c r="O263">
        <v>68</v>
      </c>
      <c r="P263">
        <v>172</v>
      </c>
      <c r="Q263">
        <v>8</v>
      </c>
      <c r="R263">
        <f>SUM(Table13[[#This Row],[Rank_All_Ranks_Total]:[Rank_SSPSPAddlSPCommandant]])</f>
        <v>8626</v>
      </c>
    </row>
    <row r="264" spans="1:18" x14ac:dyDescent="0.3">
      <c r="A264" t="s">
        <v>39</v>
      </c>
      <c r="B264">
        <v>2008</v>
      </c>
      <c r="C264" t="str">
        <f>_xlfn.CONCAT(Table13[[#This Row],[STATE]],"-",Table13[[#This Row],[Year]])</f>
        <v>Lakshadweep-2008</v>
      </c>
      <c r="D264" t="s">
        <v>60</v>
      </c>
      <c r="E264" t="s">
        <v>61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f>SUM(Table13[[#This Row],[Rank_All_Ranks_Total]:[Rank_SSPSPAddlSPCommandant]])</f>
        <v>0</v>
      </c>
    </row>
    <row r="265" spans="1:18" x14ac:dyDescent="0.3">
      <c r="A265" t="s">
        <v>19</v>
      </c>
      <c r="B265">
        <v>2008</v>
      </c>
      <c r="C265" t="str">
        <f>_xlfn.CONCAT(Table13[[#This Row],[STATE]],"-",Table13[[#This Row],[Year]])</f>
        <v>Madhya Pradesh-2008</v>
      </c>
      <c r="D265" t="s">
        <v>60</v>
      </c>
      <c r="E265" t="s">
        <v>61</v>
      </c>
      <c r="F265">
        <v>21333</v>
      </c>
      <c r="G265">
        <v>1157</v>
      </c>
      <c r="H265">
        <v>80</v>
      </c>
      <c r="I265">
        <v>0</v>
      </c>
      <c r="J265">
        <v>15488</v>
      </c>
      <c r="K265">
        <v>1</v>
      </c>
      <c r="L265">
        <v>8</v>
      </c>
      <c r="M265">
        <v>3685</v>
      </c>
      <c r="N265">
        <v>1</v>
      </c>
      <c r="O265">
        <v>206</v>
      </c>
      <c r="P265">
        <v>663</v>
      </c>
      <c r="Q265">
        <v>44</v>
      </c>
      <c r="R265">
        <f>SUM(Table13[[#This Row],[Rank_All_Ranks_Total]:[Rank_SSPSPAddlSPCommandant]])</f>
        <v>42666</v>
      </c>
    </row>
    <row r="266" spans="1:18" x14ac:dyDescent="0.3">
      <c r="A266" t="s">
        <v>20</v>
      </c>
      <c r="B266">
        <v>2008</v>
      </c>
      <c r="C266" t="str">
        <f>_xlfn.CONCAT(Table13[[#This Row],[STATE]],"-",Table13[[#This Row],[Year]])</f>
        <v>Maharashtra-2008</v>
      </c>
      <c r="D266" t="s">
        <v>60</v>
      </c>
      <c r="E266" t="s">
        <v>61</v>
      </c>
      <c r="F266">
        <v>14155</v>
      </c>
      <c r="G266">
        <v>1234</v>
      </c>
      <c r="H266">
        <v>36</v>
      </c>
      <c r="I266">
        <v>2938</v>
      </c>
      <c r="J266">
        <v>7504</v>
      </c>
      <c r="K266">
        <v>0</v>
      </c>
      <c r="L266">
        <v>0</v>
      </c>
      <c r="M266">
        <v>2176</v>
      </c>
      <c r="N266">
        <v>0</v>
      </c>
      <c r="O266">
        <v>150</v>
      </c>
      <c r="P266">
        <v>117</v>
      </c>
      <c r="Q266">
        <v>0</v>
      </c>
      <c r="R266">
        <f>SUM(Table13[[#This Row],[Rank_All_Ranks_Total]:[Rank_SSPSPAddlSPCommandant]])</f>
        <v>28310</v>
      </c>
    </row>
    <row r="267" spans="1:18" x14ac:dyDescent="0.3">
      <c r="A267" t="s">
        <v>21</v>
      </c>
      <c r="B267">
        <v>2008</v>
      </c>
      <c r="C267" t="str">
        <f>_xlfn.CONCAT(Table13[[#This Row],[STATE]],"-",Table13[[#This Row],[Year]])</f>
        <v>Manipur-2008</v>
      </c>
      <c r="D267" t="s">
        <v>60</v>
      </c>
      <c r="E267" t="s">
        <v>61</v>
      </c>
      <c r="F267">
        <v>10656</v>
      </c>
      <c r="G267">
        <v>0</v>
      </c>
      <c r="H267">
        <v>63</v>
      </c>
      <c r="I267">
        <v>26</v>
      </c>
      <c r="J267">
        <v>8406</v>
      </c>
      <c r="K267">
        <v>0</v>
      </c>
      <c r="L267">
        <v>1</v>
      </c>
      <c r="M267">
        <v>1749</v>
      </c>
      <c r="N267">
        <v>1</v>
      </c>
      <c r="O267">
        <v>102</v>
      </c>
      <c r="P267">
        <v>282</v>
      </c>
      <c r="Q267">
        <v>26</v>
      </c>
      <c r="R267">
        <f>SUM(Table13[[#This Row],[Rank_All_Ranks_Total]:[Rank_SSPSPAddlSPCommandant]])</f>
        <v>21312</v>
      </c>
    </row>
    <row r="268" spans="1:18" x14ac:dyDescent="0.3">
      <c r="A268" t="s">
        <v>22</v>
      </c>
      <c r="B268">
        <v>2008</v>
      </c>
      <c r="C268" t="str">
        <f>_xlfn.CONCAT(Table13[[#This Row],[STATE]],"-",Table13[[#This Row],[Year]])</f>
        <v>Meghalaya-2008</v>
      </c>
      <c r="D268" t="s">
        <v>60</v>
      </c>
      <c r="E268" t="s">
        <v>61</v>
      </c>
      <c r="F268">
        <v>4255</v>
      </c>
      <c r="G268">
        <v>7</v>
      </c>
      <c r="H268">
        <v>30</v>
      </c>
      <c r="I268">
        <v>244</v>
      </c>
      <c r="J268">
        <v>3294</v>
      </c>
      <c r="K268">
        <v>0</v>
      </c>
      <c r="L268">
        <v>0</v>
      </c>
      <c r="M268">
        <v>526</v>
      </c>
      <c r="N268">
        <v>0</v>
      </c>
      <c r="O268">
        <v>38</v>
      </c>
      <c r="P268">
        <v>111</v>
      </c>
      <c r="Q268">
        <v>5</v>
      </c>
      <c r="R268">
        <f>SUM(Table13[[#This Row],[Rank_All_Ranks_Total]:[Rank_SSPSPAddlSPCommandant]])</f>
        <v>8510</v>
      </c>
    </row>
    <row r="269" spans="1:18" x14ac:dyDescent="0.3">
      <c r="A269" t="s">
        <v>23</v>
      </c>
      <c r="B269">
        <v>2008</v>
      </c>
      <c r="C269" t="str">
        <f>_xlfn.CONCAT(Table13[[#This Row],[STATE]],"-",Table13[[#This Row],[Year]])</f>
        <v>Mizoram-2008</v>
      </c>
      <c r="D269" t="s">
        <v>60</v>
      </c>
      <c r="E269" t="s">
        <v>61</v>
      </c>
      <c r="F269">
        <v>6345</v>
      </c>
      <c r="G269">
        <v>11</v>
      </c>
      <c r="H269">
        <v>40</v>
      </c>
      <c r="I269">
        <v>946</v>
      </c>
      <c r="J269">
        <v>4991</v>
      </c>
      <c r="K269">
        <v>0</v>
      </c>
      <c r="L269">
        <v>0</v>
      </c>
      <c r="M269">
        <v>65</v>
      </c>
      <c r="N269">
        <v>0</v>
      </c>
      <c r="O269">
        <v>69</v>
      </c>
      <c r="P269">
        <v>199</v>
      </c>
      <c r="Q269">
        <v>24</v>
      </c>
      <c r="R269">
        <f>SUM(Table13[[#This Row],[Rank_All_Ranks_Total]:[Rank_SSPSPAddlSPCommandant]])</f>
        <v>12690</v>
      </c>
    </row>
    <row r="270" spans="1:18" x14ac:dyDescent="0.3">
      <c r="A270" t="s">
        <v>24</v>
      </c>
      <c r="B270">
        <v>2008</v>
      </c>
      <c r="C270" t="str">
        <f>_xlfn.CONCAT(Table13[[#This Row],[STATE]],"-",Table13[[#This Row],[Year]])</f>
        <v>Nagaland-2008</v>
      </c>
      <c r="D270" t="s">
        <v>60</v>
      </c>
      <c r="E270" t="s">
        <v>61</v>
      </c>
      <c r="F270">
        <v>4652</v>
      </c>
      <c r="G270">
        <v>1</v>
      </c>
      <c r="H270">
        <v>26</v>
      </c>
      <c r="I270">
        <v>651</v>
      </c>
      <c r="J270">
        <v>3423</v>
      </c>
      <c r="K270">
        <v>0</v>
      </c>
      <c r="L270">
        <v>0</v>
      </c>
      <c r="M270">
        <v>403</v>
      </c>
      <c r="N270">
        <v>0</v>
      </c>
      <c r="O270">
        <v>26</v>
      </c>
      <c r="P270">
        <v>115</v>
      </c>
      <c r="Q270">
        <v>7</v>
      </c>
      <c r="R270">
        <f>SUM(Table13[[#This Row],[Rank_All_Ranks_Total]:[Rank_SSPSPAddlSPCommandant]])</f>
        <v>9304</v>
      </c>
    </row>
    <row r="271" spans="1:18" x14ac:dyDescent="0.3">
      <c r="A271" t="s">
        <v>63</v>
      </c>
      <c r="B271">
        <v>2008</v>
      </c>
      <c r="C271" t="str">
        <f>_xlfn.CONCAT(Table13[[#This Row],[STATE]],"-",Table13[[#This Row],[Year]])</f>
        <v>Odisha-2008</v>
      </c>
      <c r="D271" t="s">
        <v>60</v>
      </c>
      <c r="E271" t="s">
        <v>61</v>
      </c>
      <c r="F271">
        <v>12454</v>
      </c>
      <c r="G271">
        <v>203</v>
      </c>
      <c r="H271">
        <v>56</v>
      </c>
      <c r="I271">
        <v>366</v>
      </c>
      <c r="J271">
        <v>10609</v>
      </c>
      <c r="K271">
        <v>0</v>
      </c>
      <c r="L271">
        <v>0</v>
      </c>
      <c r="M271">
        <v>1029</v>
      </c>
      <c r="N271">
        <v>0</v>
      </c>
      <c r="O271">
        <v>47</v>
      </c>
      <c r="P271">
        <v>110</v>
      </c>
      <c r="Q271">
        <v>34</v>
      </c>
      <c r="R271">
        <f>SUM(Table13[[#This Row],[Rank_All_Ranks_Total]:[Rank_SSPSPAddlSPCommandant]])</f>
        <v>24908</v>
      </c>
    </row>
    <row r="272" spans="1:18" x14ac:dyDescent="0.3">
      <c r="A272" t="s">
        <v>64</v>
      </c>
      <c r="B272">
        <v>2008</v>
      </c>
      <c r="C272" t="str">
        <f>_xlfn.CONCAT(Table13[[#This Row],[STATE]],"-",Table13[[#This Row],[Year]])</f>
        <v>Puducherry-2008</v>
      </c>
      <c r="D272" t="s">
        <v>60</v>
      </c>
      <c r="E272" t="s">
        <v>61</v>
      </c>
      <c r="F272">
        <v>713</v>
      </c>
      <c r="G272">
        <v>3</v>
      </c>
      <c r="H272">
        <v>2</v>
      </c>
      <c r="I272">
        <v>0</v>
      </c>
      <c r="J272">
        <v>627</v>
      </c>
      <c r="K272">
        <v>0</v>
      </c>
      <c r="L272">
        <v>0</v>
      </c>
      <c r="M272">
        <v>70</v>
      </c>
      <c r="N272">
        <v>0</v>
      </c>
      <c r="O272">
        <v>3</v>
      </c>
      <c r="P272">
        <v>8</v>
      </c>
      <c r="Q272">
        <v>0</v>
      </c>
      <c r="R272">
        <f>SUM(Table13[[#This Row],[Rank_All_Ranks_Total]:[Rank_SSPSPAddlSPCommandant]])</f>
        <v>1426</v>
      </c>
    </row>
    <row r="273" spans="1:18" x14ac:dyDescent="0.3">
      <c r="A273" t="s">
        <v>26</v>
      </c>
      <c r="B273">
        <v>2008</v>
      </c>
      <c r="C273" t="str">
        <f>_xlfn.CONCAT(Table13[[#This Row],[STATE]],"-",Table13[[#This Row],[Year]])</f>
        <v>Punjab-2008</v>
      </c>
      <c r="D273" t="s">
        <v>60</v>
      </c>
      <c r="E273" t="s">
        <v>61</v>
      </c>
      <c r="F273">
        <v>19041</v>
      </c>
      <c r="G273">
        <v>453</v>
      </c>
      <c r="H273">
        <v>135</v>
      </c>
      <c r="I273">
        <v>0</v>
      </c>
      <c r="J273">
        <v>14299</v>
      </c>
      <c r="K273">
        <v>1</v>
      </c>
      <c r="L273">
        <v>5</v>
      </c>
      <c r="M273">
        <v>3414</v>
      </c>
      <c r="N273">
        <v>3</v>
      </c>
      <c r="O273">
        <v>123</v>
      </c>
      <c r="P273">
        <v>538</v>
      </c>
      <c r="Q273">
        <v>70</v>
      </c>
      <c r="R273">
        <f>SUM(Table13[[#This Row],[Rank_All_Ranks_Total]:[Rank_SSPSPAddlSPCommandant]])</f>
        <v>38082</v>
      </c>
    </row>
    <row r="274" spans="1:18" x14ac:dyDescent="0.3">
      <c r="A274" t="s">
        <v>27</v>
      </c>
      <c r="B274">
        <v>2008</v>
      </c>
      <c r="C274" t="str">
        <f>_xlfn.CONCAT(Table13[[#This Row],[STATE]],"-",Table13[[#This Row],[Year]])</f>
        <v>Rajasthan-2008</v>
      </c>
      <c r="D274" t="s">
        <v>60</v>
      </c>
      <c r="E274" t="s">
        <v>61</v>
      </c>
      <c r="F274">
        <v>11722</v>
      </c>
      <c r="G274">
        <v>0</v>
      </c>
      <c r="H274">
        <v>61</v>
      </c>
      <c r="I274">
        <v>0</v>
      </c>
      <c r="J274">
        <v>9631</v>
      </c>
      <c r="K274">
        <v>1</v>
      </c>
      <c r="L274">
        <v>0</v>
      </c>
      <c r="M274">
        <v>1816</v>
      </c>
      <c r="N274">
        <v>1</v>
      </c>
      <c r="O274">
        <v>79</v>
      </c>
      <c r="P274">
        <v>129</v>
      </c>
      <c r="Q274">
        <v>4</v>
      </c>
      <c r="R274">
        <f>SUM(Table13[[#This Row],[Rank_All_Ranks_Total]:[Rank_SSPSPAddlSPCommandant]])</f>
        <v>23444</v>
      </c>
    </row>
    <row r="275" spans="1:18" x14ac:dyDescent="0.3">
      <c r="A275" t="s">
        <v>28</v>
      </c>
      <c r="B275">
        <v>2008</v>
      </c>
      <c r="C275" t="str">
        <f>_xlfn.CONCAT(Table13[[#This Row],[STATE]],"-",Table13[[#This Row],[Year]])</f>
        <v>Sikkim-2008</v>
      </c>
      <c r="D275" t="s">
        <v>60</v>
      </c>
      <c r="E275" t="s">
        <v>61</v>
      </c>
      <c r="F275">
        <v>1617</v>
      </c>
      <c r="G275">
        <v>59</v>
      </c>
      <c r="H275">
        <v>7</v>
      </c>
      <c r="I275">
        <v>0</v>
      </c>
      <c r="J275">
        <v>1421</v>
      </c>
      <c r="K275">
        <v>0</v>
      </c>
      <c r="L275">
        <v>0</v>
      </c>
      <c r="M275">
        <v>87</v>
      </c>
      <c r="N275">
        <v>1</v>
      </c>
      <c r="O275">
        <v>5</v>
      </c>
      <c r="P275">
        <v>32</v>
      </c>
      <c r="Q275">
        <v>5</v>
      </c>
      <c r="R275">
        <f>SUM(Table13[[#This Row],[Rank_All_Ranks_Total]:[Rank_SSPSPAddlSPCommandant]])</f>
        <v>3234</v>
      </c>
    </row>
    <row r="276" spans="1:18" x14ac:dyDescent="0.3">
      <c r="A276" t="s">
        <v>42</v>
      </c>
      <c r="B276">
        <v>2008</v>
      </c>
      <c r="C276" t="str">
        <f>_xlfn.CONCAT(Table13[[#This Row],[STATE]],"-",Table13[[#This Row],[Year]])</f>
        <v>Tamil Nadu-2008</v>
      </c>
      <c r="D276" t="s">
        <v>60</v>
      </c>
      <c r="E276" t="s">
        <v>61</v>
      </c>
      <c r="F276">
        <v>15249</v>
      </c>
      <c r="G276">
        <v>0</v>
      </c>
      <c r="H276">
        <v>7</v>
      </c>
      <c r="I276">
        <v>1715</v>
      </c>
      <c r="J276">
        <v>11346</v>
      </c>
      <c r="K276">
        <v>0</v>
      </c>
      <c r="L276">
        <v>2</v>
      </c>
      <c r="M276">
        <v>1580</v>
      </c>
      <c r="N276">
        <v>1</v>
      </c>
      <c r="O276">
        <v>135</v>
      </c>
      <c r="P276">
        <v>441</v>
      </c>
      <c r="Q276">
        <v>22</v>
      </c>
      <c r="R276">
        <f>SUM(Table13[[#This Row],[Rank_All_Ranks_Total]:[Rank_SSPSPAddlSPCommandant]])</f>
        <v>30498</v>
      </c>
    </row>
    <row r="277" spans="1:18" x14ac:dyDescent="0.3">
      <c r="A277" t="s">
        <v>30</v>
      </c>
      <c r="B277">
        <v>2008</v>
      </c>
      <c r="C277" t="str">
        <f>_xlfn.CONCAT(Table13[[#This Row],[STATE]],"-",Table13[[#This Row],[Year]])</f>
        <v>Tripura-2008</v>
      </c>
      <c r="D277" t="s">
        <v>60</v>
      </c>
      <c r="E277" t="s">
        <v>61</v>
      </c>
      <c r="F277">
        <v>13093</v>
      </c>
      <c r="G277">
        <v>0</v>
      </c>
      <c r="H277">
        <v>64</v>
      </c>
      <c r="I277">
        <v>1760</v>
      </c>
      <c r="J277">
        <v>9617</v>
      </c>
      <c r="K277">
        <v>0</v>
      </c>
      <c r="L277">
        <v>2</v>
      </c>
      <c r="M277">
        <v>1252</v>
      </c>
      <c r="N277">
        <v>0</v>
      </c>
      <c r="O277">
        <v>123</v>
      </c>
      <c r="P277">
        <v>253</v>
      </c>
      <c r="Q277">
        <v>22</v>
      </c>
      <c r="R277">
        <f>SUM(Table13[[#This Row],[Rank_All_Ranks_Total]:[Rank_SSPSPAddlSPCommandant]])</f>
        <v>26186</v>
      </c>
    </row>
    <row r="278" spans="1:18" x14ac:dyDescent="0.3">
      <c r="A278" t="s">
        <v>31</v>
      </c>
      <c r="B278">
        <v>2008</v>
      </c>
      <c r="C278" t="str">
        <f>_xlfn.CONCAT(Table13[[#This Row],[STATE]],"-",Table13[[#This Row],[Year]])</f>
        <v>Uttar Pradesh-2008</v>
      </c>
      <c r="D278" t="s">
        <v>60</v>
      </c>
      <c r="E278" t="s">
        <v>61</v>
      </c>
      <c r="F278">
        <v>30605</v>
      </c>
      <c r="G278">
        <v>0</v>
      </c>
      <c r="H278">
        <v>129</v>
      </c>
      <c r="I278">
        <v>0</v>
      </c>
      <c r="J278">
        <v>21999</v>
      </c>
      <c r="K278">
        <v>1</v>
      </c>
      <c r="L278">
        <v>7</v>
      </c>
      <c r="M278">
        <v>6856</v>
      </c>
      <c r="N278">
        <v>5</v>
      </c>
      <c r="O278">
        <v>260</v>
      </c>
      <c r="P278">
        <v>1326</v>
      </c>
      <c r="Q278">
        <v>22</v>
      </c>
      <c r="R278">
        <f>SUM(Table13[[#This Row],[Rank_All_Ranks_Total]:[Rank_SSPSPAddlSPCommandant]])</f>
        <v>61210</v>
      </c>
    </row>
    <row r="279" spans="1:18" x14ac:dyDescent="0.3">
      <c r="A279" t="s">
        <v>65</v>
      </c>
      <c r="B279">
        <v>2008</v>
      </c>
      <c r="C279" t="str">
        <f>_xlfn.CONCAT(Table13[[#This Row],[STATE]],"-",Table13[[#This Row],[Year]])</f>
        <v>Uttarakhand-2008</v>
      </c>
      <c r="D279" t="s">
        <v>60</v>
      </c>
      <c r="E279" t="s">
        <v>61</v>
      </c>
      <c r="F279">
        <v>3477</v>
      </c>
      <c r="G279">
        <v>0</v>
      </c>
      <c r="H279">
        <v>3</v>
      </c>
      <c r="I279">
        <v>0</v>
      </c>
      <c r="J279">
        <v>2767</v>
      </c>
      <c r="K279">
        <v>0</v>
      </c>
      <c r="L279">
        <v>1</v>
      </c>
      <c r="M279">
        <v>615</v>
      </c>
      <c r="N279">
        <v>1</v>
      </c>
      <c r="O279">
        <v>42</v>
      </c>
      <c r="P279">
        <v>41</v>
      </c>
      <c r="Q279">
        <v>7</v>
      </c>
      <c r="R279">
        <f>SUM(Table13[[#This Row],[Rank_All_Ranks_Total]:[Rank_SSPSPAddlSPCommandant]])</f>
        <v>6954</v>
      </c>
    </row>
    <row r="280" spans="1:18" x14ac:dyDescent="0.3">
      <c r="A280" t="s">
        <v>33</v>
      </c>
      <c r="B280">
        <v>2008</v>
      </c>
      <c r="C280" t="str">
        <f>_xlfn.CONCAT(Table13[[#This Row],[STATE]],"-",Table13[[#This Row],[Year]])</f>
        <v>West Bengal-2008</v>
      </c>
      <c r="D280" t="s">
        <v>60</v>
      </c>
      <c r="E280" t="s">
        <v>61</v>
      </c>
      <c r="F280">
        <v>19343</v>
      </c>
      <c r="G280">
        <v>2285</v>
      </c>
      <c r="H280">
        <v>77</v>
      </c>
      <c r="I280">
        <v>39</v>
      </c>
      <c r="J280">
        <v>16117</v>
      </c>
      <c r="K280">
        <v>1</v>
      </c>
      <c r="L280">
        <v>2</v>
      </c>
      <c r="M280">
        <v>0</v>
      </c>
      <c r="N280">
        <v>4</v>
      </c>
      <c r="O280">
        <v>258</v>
      </c>
      <c r="P280">
        <v>533</v>
      </c>
      <c r="Q280">
        <v>27</v>
      </c>
      <c r="R280">
        <f>SUM(Table13[[#This Row],[Rank_All_Ranks_Total]:[Rank_SSPSPAddlSPCommandant]])</f>
        <v>38686</v>
      </c>
    </row>
    <row r="281" spans="1:18" x14ac:dyDescent="0.3">
      <c r="A281" t="s">
        <v>59</v>
      </c>
      <c r="B281">
        <v>2009</v>
      </c>
      <c r="C281" t="str">
        <f>_xlfn.CONCAT(Table13[[#This Row],[STATE]],"-",Table13[[#This Row],[Year]])</f>
        <v>Andaman &amp; Nicobar Islands-2009</v>
      </c>
      <c r="D281" t="s">
        <v>60</v>
      </c>
      <c r="E281" t="s">
        <v>61</v>
      </c>
      <c r="F281">
        <v>802</v>
      </c>
      <c r="G281">
        <v>2</v>
      </c>
      <c r="H281">
        <v>5</v>
      </c>
      <c r="I281">
        <v>0</v>
      </c>
      <c r="J281">
        <v>695</v>
      </c>
      <c r="K281">
        <v>0</v>
      </c>
      <c r="L281">
        <v>0</v>
      </c>
      <c r="M281">
        <v>83</v>
      </c>
      <c r="N281">
        <v>0</v>
      </c>
      <c r="O281">
        <v>5</v>
      </c>
      <c r="P281">
        <v>11</v>
      </c>
      <c r="Q281">
        <v>1</v>
      </c>
      <c r="R281">
        <f>SUM(Table13[[#This Row],[Rank_All_Ranks_Total]:[Rank_SSPSPAddlSPCommandant]])</f>
        <v>1604</v>
      </c>
    </row>
    <row r="282" spans="1:18" x14ac:dyDescent="0.3">
      <c r="A282" t="s">
        <v>6</v>
      </c>
      <c r="B282">
        <v>2009</v>
      </c>
      <c r="C282" t="str">
        <f>_xlfn.CONCAT(Table13[[#This Row],[STATE]],"-",Table13[[#This Row],[Year]])</f>
        <v>Andhra Pradesh-2009</v>
      </c>
      <c r="D282" t="s">
        <v>60</v>
      </c>
      <c r="E282" t="s">
        <v>61</v>
      </c>
      <c r="F282">
        <v>13855</v>
      </c>
      <c r="G282">
        <v>562</v>
      </c>
      <c r="H282">
        <v>41</v>
      </c>
      <c r="I282">
        <v>0</v>
      </c>
      <c r="J282">
        <v>9564</v>
      </c>
      <c r="K282">
        <v>1</v>
      </c>
      <c r="L282">
        <v>1</v>
      </c>
      <c r="M282">
        <v>3153</v>
      </c>
      <c r="N282">
        <v>1</v>
      </c>
      <c r="O282">
        <v>146</v>
      </c>
      <c r="P282">
        <v>357</v>
      </c>
      <c r="Q282">
        <v>29</v>
      </c>
      <c r="R282">
        <f>SUM(Table13[[#This Row],[Rank_All_Ranks_Total]:[Rank_SSPSPAddlSPCommandant]])</f>
        <v>27710</v>
      </c>
    </row>
    <row r="283" spans="1:18" x14ac:dyDescent="0.3">
      <c r="A283" t="s">
        <v>7</v>
      </c>
      <c r="B283">
        <v>2009</v>
      </c>
      <c r="C283" t="str">
        <f>_xlfn.CONCAT(Table13[[#This Row],[STATE]],"-",Table13[[#This Row],[Year]])</f>
        <v>Arunachal Pradesh-2009</v>
      </c>
      <c r="D283" t="s">
        <v>60</v>
      </c>
      <c r="E283" t="s">
        <v>61</v>
      </c>
      <c r="F283">
        <v>3833</v>
      </c>
      <c r="G283">
        <v>41</v>
      </c>
      <c r="H283">
        <v>25</v>
      </c>
      <c r="I283">
        <v>106</v>
      </c>
      <c r="J283">
        <v>2871</v>
      </c>
      <c r="K283">
        <v>0</v>
      </c>
      <c r="L283">
        <v>0</v>
      </c>
      <c r="M283">
        <v>662</v>
      </c>
      <c r="N283">
        <v>0</v>
      </c>
      <c r="O283">
        <v>22</v>
      </c>
      <c r="P283">
        <v>101</v>
      </c>
      <c r="Q283">
        <v>5</v>
      </c>
      <c r="R283">
        <f>SUM(Table13[[#This Row],[Rank_All_Ranks_Total]:[Rank_SSPSPAddlSPCommandant]])</f>
        <v>7666</v>
      </c>
    </row>
    <row r="284" spans="1:18" x14ac:dyDescent="0.3">
      <c r="A284" t="s">
        <v>8</v>
      </c>
      <c r="B284">
        <v>2009</v>
      </c>
      <c r="C284" t="str">
        <f>_xlfn.CONCAT(Table13[[#This Row],[STATE]],"-",Table13[[#This Row],[Year]])</f>
        <v>Assam-2009</v>
      </c>
      <c r="D284" t="s">
        <v>60</v>
      </c>
      <c r="E284" t="s">
        <v>61</v>
      </c>
      <c r="F284">
        <v>23829</v>
      </c>
      <c r="G284">
        <v>30</v>
      </c>
      <c r="H284">
        <v>135</v>
      </c>
      <c r="I284">
        <v>2145</v>
      </c>
      <c r="J284">
        <v>16473</v>
      </c>
      <c r="K284">
        <v>0</v>
      </c>
      <c r="L284">
        <v>0</v>
      </c>
      <c r="M284">
        <v>4061</v>
      </c>
      <c r="N284">
        <v>0</v>
      </c>
      <c r="O284">
        <v>235</v>
      </c>
      <c r="P284">
        <v>700</v>
      </c>
      <c r="Q284">
        <v>50</v>
      </c>
      <c r="R284">
        <f>SUM(Table13[[#This Row],[Rank_All_Ranks_Total]:[Rank_SSPSPAddlSPCommandant]])</f>
        <v>47658</v>
      </c>
    </row>
    <row r="285" spans="1:18" x14ac:dyDescent="0.3">
      <c r="A285" t="s">
        <v>9</v>
      </c>
      <c r="B285">
        <v>2009</v>
      </c>
      <c r="C285" t="str">
        <f>_xlfn.CONCAT(Table13[[#This Row],[STATE]],"-",Table13[[#This Row],[Year]])</f>
        <v>Bihar-2009</v>
      </c>
      <c r="D285" t="s">
        <v>60</v>
      </c>
      <c r="E285" t="s">
        <v>61</v>
      </c>
      <c r="F285">
        <v>12227</v>
      </c>
      <c r="G285">
        <v>18</v>
      </c>
      <c r="H285">
        <v>29</v>
      </c>
      <c r="I285">
        <v>0</v>
      </c>
      <c r="J285">
        <v>8723</v>
      </c>
      <c r="K285">
        <v>1</v>
      </c>
      <c r="L285">
        <v>2</v>
      </c>
      <c r="M285">
        <v>2678</v>
      </c>
      <c r="N285">
        <v>1</v>
      </c>
      <c r="O285">
        <v>90</v>
      </c>
      <c r="P285">
        <v>669</v>
      </c>
      <c r="Q285">
        <v>16</v>
      </c>
      <c r="R285">
        <f>SUM(Table13[[#This Row],[Rank_All_Ranks_Total]:[Rank_SSPSPAddlSPCommandant]])</f>
        <v>24454</v>
      </c>
    </row>
    <row r="286" spans="1:18" x14ac:dyDescent="0.3">
      <c r="A286" t="s">
        <v>35</v>
      </c>
      <c r="B286">
        <v>2009</v>
      </c>
      <c r="C286" t="str">
        <f>_xlfn.CONCAT(Table13[[#This Row],[STATE]],"-",Table13[[#This Row],[Year]])</f>
        <v>Chandigarh-2009</v>
      </c>
      <c r="D286" t="s">
        <v>60</v>
      </c>
      <c r="E286" t="s">
        <v>61</v>
      </c>
      <c r="F286">
        <v>574</v>
      </c>
      <c r="G286">
        <v>0</v>
      </c>
      <c r="H286">
        <v>0</v>
      </c>
      <c r="I286">
        <v>0</v>
      </c>
      <c r="J286">
        <v>574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f>SUM(Table13[[#This Row],[Rank_All_Ranks_Total]:[Rank_SSPSPAddlSPCommandant]])</f>
        <v>1148</v>
      </c>
    </row>
    <row r="287" spans="1:18" x14ac:dyDescent="0.3">
      <c r="A287" t="s">
        <v>10</v>
      </c>
      <c r="B287">
        <v>2009</v>
      </c>
      <c r="C287" t="str">
        <f>_xlfn.CONCAT(Table13[[#This Row],[STATE]],"-",Table13[[#This Row],[Year]])</f>
        <v>Chhattisgarh-2009</v>
      </c>
      <c r="D287" t="s">
        <v>60</v>
      </c>
      <c r="E287" t="s">
        <v>61</v>
      </c>
      <c r="F287">
        <v>15106</v>
      </c>
      <c r="G287">
        <v>471</v>
      </c>
      <c r="H287">
        <v>25</v>
      </c>
      <c r="I287">
        <v>0</v>
      </c>
      <c r="J287">
        <v>11572</v>
      </c>
      <c r="K287">
        <v>1</v>
      </c>
      <c r="L287">
        <v>3</v>
      </c>
      <c r="M287">
        <v>2599</v>
      </c>
      <c r="N287">
        <v>1</v>
      </c>
      <c r="O287">
        <v>121</v>
      </c>
      <c r="P287">
        <v>293</v>
      </c>
      <c r="Q287">
        <v>20</v>
      </c>
      <c r="R287">
        <f>SUM(Table13[[#This Row],[Rank_All_Ranks_Total]:[Rank_SSPSPAddlSPCommandant]])</f>
        <v>30212</v>
      </c>
    </row>
    <row r="288" spans="1:18" x14ac:dyDescent="0.3">
      <c r="A288" t="s">
        <v>62</v>
      </c>
      <c r="B288">
        <v>2009</v>
      </c>
      <c r="C288" t="str">
        <f>_xlfn.CONCAT(Table13[[#This Row],[STATE]],"-",Table13[[#This Row],[Year]])</f>
        <v>Dadra &amp; Nagar Haveli-2009</v>
      </c>
      <c r="D288" t="s">
        <v>60</v>
      </c>
      <c r="E288" t="s">
        <v>61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f>SUM(Table13[[#This Row],[Rank_All_Ranks_Total]:[Rank_SSPSPAddlSPCommandant]])</f>
        <v>0</v>
      </c>
    </row>
    <row r="289" spans="1:18" x14ac:dyDescent="0.3">
      <c r="A289" t="s">
        <v>37</v>
      </c>
      <c r="B289">
        <v>2009</v>
      </c>
      <c r="C289" t="str">
        <f>_xlfn.CONCAT(Table13[[#This Row],[STATE]],"-",Table13[[#This Row],[Year]])</f>
        <v>Daman &amp; Diu-2009</v>
      </c>
      <c r="D289" t="s">
        <v>60</v>
      </c>
      <c r="E289" t="s">
        <v>61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f>SUM(Table13[[#This Row],[Rank_All_Ranks_Total]:[Rank_SSPSPAddlSPCommandant]])</f>
        <v>0</v>
      </c>
    </row>
    <row r="290" spans="1:18" x14ac:dyDescent="0.3">
      <c r="A290" t="s">
        <v>38</v>
      </c>
      <c r="B290">
        <v>2009</v>
      </c>
      <c r="C290" t="str">
        <f>_xlfn.CONCAT(Table13[[#This Row],[STATE]],"-",Table13[[#This Row],[Year]])</f>
        <v>Delhi-2009</v>
      </c>
      <c r="D290" t="s">
        <v>60</v>
      </c>
      <c r="E290" t="s">
        <v>61</v>
      </c>
      <c r="F290">
        <v>6221</v>
      </c>
      <c r="G290">
        <v>212</v>
      </c>
      <c r="H290">
        <v>20</v>
      </c>
      <c r="I290">
        <v>0</v>
      </c>
      <c r="J290">
        <v>4261</v>
      </c>
      <c r="K290">
        <v>1</v>
      </c>
      <c r="L290">
        <v>1</v>
      </c>
      <c r="M290">
        <v>1365</v>
      </c>
      <c r="N290">
        <v>1</v>
      </c>
      <c r="O290">
        <v>67</v>
      </c>
      <c r="P290">
        <v>282</v>
      </c>
      <c r="Q290">
        <v>11</v>
      </c>
      <c r="R290">
        <f>SUM(Table13[[#This Row],[Rank_All_Ranks_Total]:[Rank_SSPSPAddlSPCommandant]])</f>
        <v>12442</v>
      </c>
    </row>
    <row r="291" spans="1:18" x14ac:dyDescent="0.3">
      <c r="A291" t="s">
        <v>11</v>
      </c>
      <c r="B291">
        <v>2009</v>
      </c>
      <c r="C291" t="str">
        <f>_xlfn.CONCAT(Table13[[#This Row],[STATE]],"-",Table13[[#This Row],[Year]])</f>
        <v>Goa-2009</v>
      </c>
      <c r="D291" t="s">
        <v>60</v>
      </c>
      <c r="E291" t="s">
        <v>61</v>
      </c>
      <c r="F291">
        <v>661</v>
      </c>
      <c r="G291">
        <v>5</v>
      </c>
      <c r="H291">
        <v>0</v>
      </c>
      <c r="I291">
        <v>0</v>
      </c>
      <c r="J291">
        <v>629</v>
      </c>
      <c r="K291">
        <v>0</v>
      </c>
      <c r="L291">
        <v>0</v>
      </c>
      <c r="M291">
        <v>5</v>
      </c>
      <c r="N291">
        <v>0</v>
      </c>
      <c r="O291">
        <v>0</v>
      </c>
      <c r="P291">
        <v>22</v>
      </c>
      <c r="Q291">
        <v>0</v>
      </c>
      <c r="R291">
        <f>SUM(Table13[[#This Row],[Rank_All_Ranks_Total]:[Rank_SSPSPAddlSPCommandant]])</f>
        <v>1322</v>
      </c>
    </row>
    <row r="292" spans="1:18" x14ac:dyDescent="0.3">
      <c r="A292" t="s">
        <v>12</v>
      </c>
      <c r="B292">
        <v>2009</v>
      </c>
      <c r="C292" t="str">
        <f>_xlfn.CONCAT(Table13[[#This Row],[STATE]],"-",Table13[[#This Row],[Year]])</f>
        <v>Gujarat-2009</v>
      </c>
      <c r="D292" t="s">
        <v>60</v>
      </c>
      <c r="E292" t="s">
        <v>61</v>
      </c>
      <c r="F292">
        <v>12171</v>
      </c>
      <c r="G292">
        <v>1040</v>
      </c>
      <c r="H292">
        <v>28</v>
      </c>
      <c r="I292">
        <v>0</v>
      </c>
      <c r="J292">
        <v>9395</v>
      </c>
      <c r="K292">
        <v>1</v>
      </c>
      <c r="L292">
        <v>1</v>
      </c>
      <c r="M292">
        <v>1316</v>
      </c>
      <c r="N292">
        <v>1</v>
      </c>
      <c r="O292">
        <v>73</v>
      </c>
      <c r="P292">
        <v>306</v>
      </c>
      <c r="Q292">
        <v>10</v>
      </c>
      <c r="R292">
        <f>SUM(Table13[[#This Row],[Rank_All_Ranks_Total]:[Rank_SSPSPAddlSPCommandant]])</f>
        <v>24342</v>
      </c>
    </row>
    <row r="293" spans="1:18" x14ac:dyDescent="0.3">
      <c r="A293" t="s">
        <v>13</v>
      </c>
      <c r="B293">
        <v>2009</v>
      </c>
      <c r="C293" t="str">
        <f>_xlfn.CONCAT(Table13[[#This Row],[STATE]],"-",Table13[[#This Row],[Year]])</f>
        <v>Haryana-2009</v>
      </c>
      <c r="D293" t="s">
        <v>60</v>
      </c>
      <c r="E293" t="s">
        <v>61</v>
      </c>
      <c r="F293">
        <v>5614</v>
      </c>
      <c r="G293">
        <v>241</v>
      </c>
      <c r="H293">
        <v>26</v>
      </c>
      <c r="I293">
        <v>0</v>
      </c>
      <c r="J293">
        <v>4648</v>
      </c>
      <c r="K293">
        <v>1</v>
      </c>
      <c r="L293">
        <v>1</v>
      </c>
      <c r="M293">
        <v>467</v>
      </c>
      <c r="N293">
        <v>1</v>
      </c>
      <c r="O293">
        <v>62</v>
      </c>
      <c r="P293">
        <v>152</v>
      </c>
      <c r="Q293">
        <v>15</v>
      </c>
      <c r="R293">
        <f>SUM(Table13[[#This Row],[Rank_All_Ranks_Total]:[Rank_SSPSPAddlSPCommandant]])</f>
        <v>11228</v>
      </c>
    </row>
    <row r="294" spans="1:18" x14ac:dyDescent="0.3">
      <c r="A294" t="s">
        <v>14</v>
      </c>
      <c r="B294">
        <v>2009</v>
      </c>
      <c r="C294" t="str">
        <f>_xlfn.CONCAT(Table13[[#This Row],[STATE]],"-",Table13[[#This Row],[Year]])</f>
        <v>Himachal Pradesh-2009</v>
      </c>
      <c r="D294" t="s">
        <v>60</v>
      </c>
      <c r="E294" t="s">
        <v>61</v>
      </c>
      <c r="F294">
        <v>4189</v>
      </c>
      <c r="G294">
        <v>79</v>
      </c>
      <c r="H294">
        <v>13</v>
      </c>
      <c r="I294">
        <v>0</v>
      </c>
      <c r="J294">
        <v>3285</v>
      </c>
      <c r="K294">
        <v>1</v>
      </c>
      <c r="L294">
        <v>1</v>
      </c>
      <c r="M294">
        <v>636</v>
      </c>
      <c r="N294">
        <v>1</v>
      </c>
      <c r="O294">
        <v>44</v>
      </c>
      <c r="P294">
        <v>115</v>
      </c>
      <c r="Q294">
        <v>14</v>
      </c>
      <c r="R294">
        <f>SUM(Table13[[#This Row],[Rank_All_Ranks_Total]:[Rank_SSPSPAddlSPCommandant]])</f>
        <v>8378</v>
      </c>
    </row>
    <row r="295" spans="1:18" x14ac:dyDescent="0.3">
      <c r="A295" t="s">
        <v>15</v>
      </c>
      <c r="B295">
        <v>2009</v>
      </c>
      <c r="C295" t="str">
        <f>_xlfn.CONCAT(Table13[[#This Row],[STATE]],"-",Table13[[#This Row],[Year]])</f>
        <v>Jammu &amp; Kashmir-2009</v>
      </c>
      <c r="D295" t="s">
        <v>60</v>
      </c>
      <c r="E295" t="s">
        <v>61</v>
      </c>
      <c r="F295">
        <v>24962</v>
      </c>
      <c r="G295">
        <v>483</v>
      </c>
      <c r="H295">
        <v>54</v>
      </c>
      <c r="I295">
        <v>17240</v>
      </c>
      <c r="J295">
        <v>2342</v>
      </c>
      <c r="K295">
        <v>1</v>
      </c>
      <c r="L295">
        <v>25</v>
      </c>
      <c r="M295">
        <v>4174</v>
      </c>
      <c r="N295">
        <v>4</v>
      </c>
      <c r="O295">
        <v>170</v>
      </c>
      <c r="P295">
        <v>415</v>
      </c>
      <c r="Q295">
        <v>54</v>
      </c>
      <c r="R295">
        <f>SUM(Table13[[#This Row],[Rank_All_Ranks_Total]:[Rank_SSPSPAddlSPCommandant]])</f>
        <v>49924</v>
      </c>
    </row>
    <row r="296" spans="1:18" x14ac:dyDescent="0.3">
      <c r="A296" t="s">
        <v>16</v>
      </c>
      <c r="B296">
        <v>2009</v>
      </c>
      <c r="C296" t="str">
        <f>_xlfn.CONCAT(Table13[[#This Row],[STATE]],"-",Table13[[#This Row],[Year]])</f>
        <v>Jharkhand-2009</v>
      </c>
      <c r="D296" t="s">
        <v>60</v>
      </c>
      <c r="E296" t="s">
        <v>61</v>
      </c>
      <c r="F296">
        <v>12172</v>
      </c>
      <c r="G296">
        <v>44</v>
      </c>
      <c r="H296">
        <v>28</v>
      </c>
      <c r="I296">
        <v>0</v>
      </c>
      <c r="J296">
        <v>9206</v>
      </c>
      <c r="K296">
        <v>0</v>
      </c>
      <c r="L296">
        <v>1</v>
      </c>
      <c r="M296">
        <v>2162</v>
      </c>
      <c r="N296">
        <v>1</v>
      </c>
      <c r="O296">
        <v>122</v>
      </c>
      <c r="P296">
        <v>598</v>
      </c>
      <c r="Q296">
        <v>10</v>
      </c>
      <c r="R296">
        <f>SUM(Table13[[#This Row],[Rank_All_Ranks_Total]:[Rank_SSPSPAddlSPCommandant]])</f>
        <v>24344</v>
      </c>
    </row>
    <row r="297" spans="1:18" x14ac:dyDescent="0.3">
      <c r="A297" t="s">
        <v>17</v>
      </c>
      <c r="B297">
        <v>2009</v>
      </c>
      <c r="C297" t="str">
        <f>_xlfn.CONCAT(Table13[[#This Row],[STATE]],"-",Table13[[#This Row],[Year]])</f>
        <v>Karnataka-2009</v>
      </c>
      <c r="D297" t="s">
        <v>60</v>
      </c>
      <c r="E297" t="s">
        <v>61</v>
      </c>
      <c r="F297">
        <v>9715</v>
      </c>
      <c r="G297">
        <v>101</v>
      </c>
      <c r="H297">
        <v>40</v>
      </c>
      <c r="I297">
        <v>0</v>
      </c>
      <c r="J297">
        <v>7636</v>
      </c>
      <c r="K297">
        <v>1</v>
      </c>
      <c r="L297">
        <v>1</v>
      </c>
      <c r="M297">
        <v>1694</v>
      </c>
      <c r="N297">
        <v>1</v>
      </c>
      <c r="O297">
        <v>118</v>
      </c>
      <c r="P297">
        <v>109</v>
      </c>
      <c r="Q297">
        <v>14</v>
      </c>
      <c r="R297">
        <f>SUM(Table13[[#This Row],[Rank_All_Ranks_Total]:[Rank_SSPSPAddlSPCommandant]])</f>
        <v>19430</v>
      </c>
    </row>
    <row r="298" spans="1:18" x14ac:dyDescent="0.3">
      <c r="A298" t="s">
        <v>18</v>
      </c>
      <c r="B298">
        <v>2009</v>
      </c>
      <c r="C298" t="str">
        <f>_xlfn.CONCAT(Table13[[#This Row],[STATE]],"-",Table13[[#This Row],[Year]])</f>
        <v>Kerala-2009</v>
      </c>
      <c r="D298" t="s">
        <v>60</v>
      </c>
      <c r="E298" t="s">
        <v>61</v>
      </c>
      <c r="F298">
        <v>2891</v>
      </c>
      <c r="G298">
        <v>45</v>
      </c>
      <c r="H298">
        <v>32</v>
      </c>
      <c r="I298">
        <v>0</v>
      </c>
      <c r="J298">
        <v>1638</v>
      </c>
      <c r="K298">
        <v>1</v>
      </c>
      <c r="L298">
        <v>1</v>
      </c>
      <c r="M298">
        <v>962</v>
      </c>
      <c r="N298">
        <v>1</v>
      </c>
      <c r="O298">
        <v>57</v>
      </c>
      <c r="P298">
        <v>145</v>
      </c>
      <c r="Q298">
        <v>9</v>
      </c>
      <c r="R298">
        <f>SUM(Table13[[#This Row],[Rank_All_Ranks_Total]:[Rank_SSPSPAddlSPCommandant]])</f>
        <v>5782</v>
      </c>
    </row>
    <row r="299" spans="1:18" x14ac:dyDescent="0.3">
      <c r="A299" t="s">
        <v>39</v>
      </c>
      <c r="B299">
        <v>2009</v>
      </c>
      <c r="C299" t="str">
        <f>_xlfn.CONCAT(Table13[[#This Row],[STATE]],"-",Table13[[#This Row],[Year]])</f>
        <v>Lakshadweep-2009</v>
      </c>
      <c r="D299" t="s">
        <v>60</v>
      </c>
      <c r="E299" t="s">
        <v>61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f>SUM(Table13[[#This Row],[Rank_All_Ranks_Total]:[Rank_SSPSPAddlSPCommandant]])</f>
        <v>0</v>
      </c>
    </row>
    <row r="300" spans="1:18" x14ac:dyDescent="0.3">
      <c r="A300" t="s">
        <v>19</v>
      </c>
      <c r="B300">
        <v>2009</v>
      </c>
      <c r="C300" t="str">
        <f>_xlfn.CONCAT(Table13[[#This Row],[STATE]],"-",Table13[[#This Row],[Year]])</f>
        <v>Madhya Pradesh-2009</v>
      </c>
      <c r="D300" t="s">
        <v>60</v>
      </c>
      <c r="E300" t="s">
        <v>61</v>
      </c>
      <c r="F300">
        <v>21333</v>
      </c>
      <c r="G300">
        <v>1157</v>
      </c>
      <c r="H300">
        <v>80</v>
      </c>
      <c r="I300">
        <v>0</v>
      </c>
      <c r="J300">
        <v>15488</v>
      </c>
      <c r="K300">
        <v>1</v>
      </c>
      <c r="L300">
        <v>8</v>
      </c>
      <c r="M300">
        <v>3685</v>
      </c>
      <c r="N300">
        <v>1</v>
      </c>
      <c r="O300">
        <v>206</v>
      </c>
      <c r="P300">
        <v>663</v>
      </c>
      <c r="Q300">
        <v>44</v>
      </c>
      <c r="R300">
        <f>SUM(Table13[[#This Row],[Rank_All_Ranks_Total]:[Rank_SSPSPAddlSPCommandant]])</f>
        <v>42666</v>
      </c>
    </row>
    <row r="301" spans="1:18" x14ac:dyDescent="0.3">
      <c r="A301" t="s">
        <v>20</v>
      </c>
      <c r="B301">
        <v>2009</v>
      </c>
      <c r="C301" t="str">
        <f>_xlfn.CONCAT(Table13[[#This Row],[STATE]],"-",Table13[[#This Row],[Year]])</f>
        <v>Maharashtra-2009</v>
      </c>
      <c r="D301" t="s">
        <v>60</v>
      </c>
      <c r="E301" t="s">
        <v>61</v>
      </c>
      <c r="F301">
        <v>13292</v>
      </c>
      <c r="G301">
        <v>1194</v>
      </c>
      <c r="H301">
        <v>21</v>
      </c>
      <c r="I301">
        <v>2751</v>
      </c>
      <c r="J301">
        <v>6885</v>
      </c>
      <c r="K301">
        <v>1</v>
      </c>
      <c r="L301">
        <v>1</v>
      </c>
      <c r="M301">
        <v>2122</v>
      </c>
      <c r="N301">
        <v>2</v>
      </c>
      <c r="O301">
        <v>115</v>
      </c>
      <c r="P301">
        <v>190</v>
      </c>
      <c r="Q301">
        <v>10</v>
      </c>
      <c r="R301">
        <f>SUM(Table13[[#This Row],[Rank_All_Ranks_Total]:[Rank_SSPSPAddlSPCommandant]])</f>
        <v>26584</v>
      </c>
    </row>
    <row r="302" spans="1:18" x14ac:dyDescent="0.3">
      <c r="A302" t="s">
        <v>21</v>
      </c>
      <c r="B302">
        <v>2009</v>
      </c>
      <c r="C302" t="str">
        <f>_xlfn.CONCAT(Table13[[#This Row],[STATE]],"-",Table13[[#This Row],[Year]])</f>
        <v>Manipur-2009</v>
      </c>
      <c r="D302" t="s">
        <v>60</v>
      </c>
      <c r="E302" t="s">
        <v>61</v>
      </c>
      <c r="F302">
        <v>10695</v>
      </c>
      <c r="G302">
        <v>0</v>
      </c>
      <c r="H302">
        <v>46</v>
      </c>
      <c r="I302">
        <v>26</v>
      </c>
      <c r="J302">
        <v>7952</v>
      </c>
      <c r="K302">
        <v>0</v>
      </c>
      <c r="L302">
        <v>0</v>
      </c>
      <c r="M302">
        <v>2212</v>
      </c>
      <c r="N302">
        <v>0</v>
      </c>
      <c r="O302">
        <v>135</v>
      </c>
      <c r="P302">
        <v>300</v>
      </c>
      <c r="Q302">
        <v>24</v>
      </c>
      <c r="R302">
        <f>SUM(Table13[[#This Row],[Rank_All_Ranks_Total]:[Rank_SSPSPAddlSPCommandant]])</f>
        <v>21390</v>
      </c>
    </row>
    <row r="303" spans="1:18" x14ac:dyDescent="0.3">
      <c r="A303" t="s">
        <v>22</v>
      </c>
      <c r="B303">
        <v>2009</v>
      </c>
      <c r="C303" t="str">
        <f>_xlfn.CONCAT(Table13[[#This Row],[STATE]],"-",Table13[[#This Row],[Year]])</f>
        <v>Meghalaya-2009</v>
      </c>
      <c r="D303" t="s">
        <v>60</v>
      </c>
      <c r="E303" t="s">
        <v>61</v>
      </c>
      <c r="F303">
        <v>4179</v>
      </c>
      <c r="G303">
        <v>11</v>
      </c>
      <c r="H303">
        <v>31</v>
      </c>
      <c r="I303">
        <v>178</v>
      </c>
      <c r="J303">
        <v>3209</v>
      </c>
      <c r="K303">
        <v>0</v>
      </c>
      <c r="L303">
        <v>0</v>
      </c>
      <c r="M303">
        <v>606</v>
      </c>
      <c r="N303">
        <v>0</v>
      </c>
      <c r="O303">
        <v>41</v>
      </c>
      <c r="P303">
        <v>98</v>
      </c>
      <c r="Q303">
        <v>5</v>
      </c>
      <c r="R303">
        <f>SUM(Table13[[#This Row],[Rank_All_Ranks_Total]:[Rank_SSPSPAddlSPCommandant]])</f>
        <v>8358</v>
      </c>
    </row>
    <row r="304" spans="1:18" x14ac:dyDescent="0.3">
      <c r="A304" t="s">
        <v>23</v>
      </c>
      <c r="B304">
        <v>2009</v>
      </c>
      <c r="C304" t="str">
        <f>_xlfn.CONCAT(Table13[[#This Row],[STATE]],"-",Table13[[#This Row],[Year]])</f>
        <v>Mizoram-2009</v>
      </c>
      <c r="D304" t="s">
        <v>60</v>
      </c>
      <c r="E304" t="s">
        <v>61</v>
      </c>
      <c r="F304">
        <v>7380</v>
      </c>
      <c r="G304">
        <v>11</v>
      </c>
      <c r="H304">
        <v>52</v>
      </c>
      <c r="I304">
        <v>915</v>
      </c>
      <c r="J304">
        <v>4991</v>
      </c>
      <c r="K304">
        <v>0</v>
      </c>
      <c r="L304">
        <v>0</v>
      </c>
      <c r="M304">
        <v>1058</v>
      </c>
      <c r="N304">
        <v>0</v>
      </c>
      <c r="O304">
        <v>66</v>
      </c>
      <c r="P304">
        <v>256</v>
      </c>
      <c r="Q304">
        <v>31</v>
      </c>
      <c r="R304">
        <f>SUM(Table13[[#This Row],[Rank_All_Ranks_Total]:[Rank_SSPSPAddlSPCommandant]])</f>
        <v>14760</v>
      </c>
    </row>
    <row r="305" spans="1:18" x14ac:dyDescent="0.3">
      <c r="A305" t="s">
        <v>24</v>
      </c>
      <c r="B305">
        <v>2009</v>
      </c>
      <c r="C305" t="str">
        <f>_xlfn.CONCAT(Table13[[#This Row],[STATE]],"-",Table13[[#This Row],[Year]])</f>
        <v>Nagaland-2009</v>
      </c>
      <c r="D305" t="s">
        <v>60</v>
      </c>
      <c r="E305" t="s">
        <v>61</v>
      </c>
      <c r="F305">
        <v>4366</v>
      </c>
      <c r="G305">
        <v>1</v>
      </c>
      <c r="H305">
        <v>27</v>
      </c>
      <c r="I305">
        <v>574</v>
      </c>
      <c r="J305">
        <v>3218</v>
      </c>
      <c r="K305">
        <v>0</v>
      </c>
      <c r="L305">
        <v>0</v>
      </c>
      <c r="M305">
        <v>405</v>
      </c>
      <c r="N305">
        <v>0</v>
      </c>
      <c r="O305">
        <v>25</v>
      </c>
      <c r="P305">
        <v>109</v>
      </c>
      <c r="Q305">
        <v>7</v>
      </c>
      <c r="R305">
        <f>SUM(Table13[[#This Row],[Rank_All_Ranks_Total]:[Rank_SSPSPAddlSPCommandant]])</f>
        <v>8732</v>
      </c>
    </row>
    <row r="306" spans="1:18" x14ac:dyDescent="0.3">
      <c r="A306" t="s">
        <v>63</v>
      </c>
      <c r="B306">
        <v>2009</v>
      </c>
      <c r="C306" t="str">
        <f>_xlfn.CONCAT(Table13[[#This Row],[STATE]],"-",Table13[[#This Row],[Year]])</f>
        <v>Odisha-2009</v>
      </c>
      <c r="D306" t="s">
        <v>60</v>
      </c>
      <c r="E306" t="s">
        <v>61</v>
      </c>
      <c r="F306">
        <v>14390</v>
      </c>
      <c r="G306">
        <v>207</v>
      </c>
      <c r="H306">
        <v>143</v>
      </c>
      <c r="I306">
        <v>515</v>
      </c>
      <c r="J306">
        <v>12150</v>
      </c>
      <c r="K306">
        <v>0</v>
      </c>
      <c r="L306">
        <v>0</v>
      </c>
      <c r="M306">
        <v>1123</v>
      </c>
      <c r="N306">
        <v>0</v>
      </c>
      <c r="O306">
        <v>65</v>
      </c>
      <c r="P306">
        <v>138</v>
      </c>
      <c r="Q306">
        <v>49</v>
      </c>
      <c r="R306">
        <f>SUM(Table13[[#This Row],[Rank_All_Ranks_Total]:[Rank_SSPSPAddlSPCommandant]])</f>
        <v>28780</v>
      </c>
    </row>
    <row r="307" spans="1:18" x14ac:dyDescent="0.3">
      <c r="A307" t="s">
        <v>64</v>
      </c>
      <c r="B307">
        <v>2009</v>
      </c>
      <c r="C307" t="str">
        <f>_xlfn.CONCAT(Table13[[#This Row],[STATE]],"-",Table13[[#This Row],[Year]])</f>
        <v>Puducherry-2009</v>
      </c>
      <c r="D307" t="s">
        <v>60</v>
      </c>
      <c r="E307" t="s">
        <v>61</v>
      </c>
      <c r="F307">
        <v>649</v>
      </c>
      <c r="G307">
        <v>0</v>
      </c>
      <c r="H307">
        <v>2</v>
      </c>
      <c r="I307">
        <v>0</v>
      </c>
      <c r="J307">
        <v>578</v>
      </c>
      <c r="K307">
        <v>0</v>
      </c>
      <c r="L307">
        <v>0</v>
      </c>
      <c r="M307">
        <v>50</v>
      </c>
      <c r="N307">
        <v>0</v>
      </c>
      <c r="O307">
        <v>3</v>
      </c>
      <c r="P307">
        <v>16</v>
      </c>
      <c r="Q307">
        <v>0</v>
      </c>
      <c r="R307">
        <f>SUM(Table13[[#This Row],[Rank_All_Ranks_Total]:[Rank_SSPSPAddlSPCommandant]])</f>
        <v>1298</v>
      </c>
    </row>
    <row r="308" spans="1:18" x14ac:dyDescent="0.3">
      <c r="A308" t="s">
        <v>26</v>
      </c>
      <c r="B308">
        <v>2009</v>
      </c>
      <c r="C308" t="str">
        <f>_xlfn.CONCAT(Table13[[#This Row],[STATE]],"-",Table13[[#This Row],[Year]])</f>
        <v>Punjab-2009</v>
      </c>
      <c r="D308" t="s">
        <v>60</v>
      </c>
      <c r="E308" t="s">
        <v>61</v>
      </c>
      <c r="F308">
        <v>18013</v>
      </c>
      <c r="G308">
        <v>430</v>
      </c>
      <c r="H308">
        <v>11</v>
      </c>
      <c r="I308">
        <v>0</v>
      </c>
      <c r="J308">
        <v>13286</v>
      </c>
      <c r="K308">
        <v>0</v>
      </c>
      <c r="L308">
        <v>5</v>
      </c>
      <c r="M308">
        <v>3467</v>
      </c>
      <c r="N308">
        <v>3</v>
      </c>
      <c r="O308">
        <v>136</v>
      </c>
      <c r="P308">
        <v>611</v>
      </c>
      <c r="Q308">
        <v>64</v>
      </c>
      <c r="R308">
        <f>SUM(Table13[[#This Row],[Rank_All_Ranks_Total]:[Rank_SSPSPAddlSPCommandant]])</f>
        <v>36026</v>
      </c>
    </row>
    <row r="309" spans="1:18" x14ac:dyDescent="0.3">
      <c r="A309" t="s">
        <v>27</v>
      </c>
      <c r="B309">
        <v>2009</v>
      </c>
      <c r="C309" t="str">
        <f>_xlfn.CONCAT(Table13[[#This Row],[STATE]],"-",Table13[[#This Row],[Year]])</f>
        <v>Rajasthan-2009</v>
      </c>
      <c r="D309" t="s">
        <v>60</v>
      </c>
      <c r="E309" t="s">
        <v>61</v>
      </c>
      <c r="F309">
        <v>12045</v>
      </c>
      <c r="G309">
        <v>0</v>
      </c>
      <c r="H309">
        <v>57</v>
      </c>
      <c r="I309">
        <v>0</v>
      </c>
      <c r="J309">
        <v>9964</v>
      </c>
      <c r="K309">
        <v>0</v>
      </c>
      <c r="L309">
        <v>1</v>
      </c>
      <c r="M309">
        <v>1802</v>
      </c>
      <c r="N309">
        <v>1</v>
      </c>
      <c r="O309">
        <v>91</v>
      </c>
      <c r="P309">
        <v>108</v>
      </c>
      <c r="Q309">
        <v>21</v>
      </c>
      <c r="R309">
        <f>SUM(Table13[[#This Row],[Rank_All_Ranks_Total]:[Rank_SSPSPAddlSPCommandant]])</f>
        <v>24090</v>
      </c>
    </row>
    <row r="310" spans="1:18" x14ac:dyDescent="0.3">
      <c r="A310" t="s">
        <v>28</v>
      </c>
      <c r="B310">
        <v>2009</v>
      </c>
      <c r="C310" t="str">
        <f>_xlfn.CONCAT(Table13[[#This Row],[STATE]],"-",Table13[[#This Row],[Year]])</f>
        <v>Sikkim-2009</v>
      </c>
      <c r="D310" t="s">
        <v>60</v>
      </c>
      <c r="E310" t="s">
        <v>61</v>
      </c>
      <c r="F310">
        <v>1619</v>
      </c>
      <c r="G310">
        <v>59</v>
      </c>
      <c r="H310">
        <v>9</v>
      </c>
      <c r="I310">
        <v>0</v>
      </c>
      <c r="J310">
        <v>1421</v>
      </c>
      <c r="K310">
        <v>0</v>
      </c>
      <c r="L310">
        <v>0</v>
      </c>
      <c r="M310">
        <v>87</v>
      </c>
      <c r="N310">
        <v>1</v>
      </c>
      <c r="O310">
        <v>8</v>
      </c>
      <c r="P310">
        <v>29</v>
      </c>
      <c r="Q310">
        <v>5</v>
      </c>
      <c r="R310">
        <f>SUM(Table13[[#This Row],[Rank_All_Ranks_Total]:[Rank_SSPSPAddlSPCommandant]])</f>
        <v>3238</v>
      </c>
    </row>
    <row r="311" spans="1:18" x14ac:dyDescent="0.3">
      <c r="A311" t="s">
        <v>42</v>
      </c>
      <c r="B311">
        <v>2009</v>
      </c>
      <c r="C311" t="str">
        <f>_xlfn.CONCAT(Table13[[#This Row],[STATE]],"-",Table13[[#This Row],[Year]])</f>
        <v>Tamil Nadu-2009</v>
      </c>
      <c r="D311" t="s">
        <v>60</v>
      </c>
      <c r="E311" t="s">
        <v>61</v>
      </c>
      <c r="F311">
        <v>13428</v>
      </c>
      <c r="G311">
        <v>0</v>
      </c>
      <c r="H311">
        <v>20</v>
      </c>
      <c r="I311">
        <v>1809</v>
      </c>
      <c r="J311">
        <v>9367</v>
      </c>
      <c r="K311">
        <v>0</v>
      </c>
      <c r="L311">
        <v>2</v>
      </c>
      <c r="M311">
        <v>1569</v>
      </c>
      <c r="N311">
        <v>1</v>
      </c>
      <c r="O311">
        <v>153</v>
      </c>
      <c r="P311">
        <v>477</v>
      </c>
      <c r="Q311">
        <v>30</v>
      </c>
      <c r="R311">
        <f>SUM(Table13[[#This Row],[Rank_All_Ranks_Total]:[Rank_SSPSPAddlSPCommandant]])</f>
        <v>26856</v>
      </c>
    </row>
    <row r="312" spans="1:18" x14ac:dyDescent="0.3">
      <c r="A312" t="s">
        <v>30</v>
      </c>
      <c r="B312">
        <v>2009</v>
      </c>
      <c r="C312" t="str">
        <f>_xlfn.CONCAT(Table13[[#This Row],[STATE]],"-",Table13[[#This Row],[Year]])</f>
        <v>Tripura-2009</v>
      </c>
      <c r="D312" t="s">
        <v>60</v>
      </c>
      <c r="E312" t="s">
        <v>61</v>
      </c>
      <c r="F312">
        <v>13094</v>
      </c>
      <c r="G312">
        <v>0</v>
      </c>
      <c r="H312">
        <v>64</v>
      </c>
      <c r="I312">
        <v>1760</v>
      </c>
      <c r="J312">
        <v>9617</v>
      </c>
      <c r="K312">
        <v>0</v>
      </c>
      <c r="L312">
        <v>2</v>
      </c>
      <c r="M312">
        <v>1252</v>
      </c>
      <c r="N312">
        <v>0</v>
      </c>
      <c r="O312">
        <v>124</v>
      </c>
      <c r="P312">
        <v>253</v>
      </c>
      <c r="Q312">
        <v>22</v>
      </c>
      <c r="R312">
        <f>SUM(Table13[[#This Row],[Rank_All_Ranks_Total]:[Rank_SSPSPAddlSPCommandant]])</f>
        <v>26188</v>
      </c>
    </row>
    <row r="313" spans="1:18" x14ac:dyDescent="0.3">
      <c r="A313" t="s">
        <v>31</v>
      </c>
      <c r="B313">
        <v>2009</v>
      </c>
      <c r="C313" t="str">
        <f>_xlfn.CONCAT(Table13[[#This Row],[STATE]],"-",Table13[[#This Row],[Year]])</f>
        <v>Uttar Pradesh-2009</v>
      </c>
      <c r="D313" t="s">
        <v>60</v>
      </c>
      <c r="E313" t="s">
        <v>61</v>
      </c>
      <c r="F313">
        <v>33366</v>
      </c>
      <c r="G313">
        <v>0</v>
      </c>
      <c r="H313">
        <v>29</v>
      </c>
      <c r="I313">
        <v>0</v>
      </c>
      <c r="J313">
        <v>24999</v>
      </c>
      <c r="K313">
        <v>1</v>
      </c>
      <c r="L313">
        <v>4</v>
      </c>
      <c r="M313">
        <v>6745</v>
      </c>
      <c r="N313">
        <v>3</v>
      </c>
      <c r="O313">
        <v>249</v>
      </c>
      <c r="P313">
        <v>1247</v>
      </c>
      <c r="Q313">
        <v>89</v>
      </c>
      <c r="R313">
        <f>SUM(Table13[[#This Row],[Rank_All_Ranks_Total]:[Rank_SSPSPAddlSPCommandant]])</f>
        <v>66732</v>
      </c>
    </row>
    <row r="314" spans="1:18" x14ac:dyDescent="0.3">
      <c r="A314" t="s">
        <v>65</v>
      </c>
      <c r="B314">
        <v>2009</v>
      </c>
      <c r="C314" t="str">
        <f>_xlfn.CONCAT(Table13[[#This Row],[STATE]],"-",Table13[[#This Row],[Year]])</f>
        <v>Uttarakhand-2009</v>
      </c>
      <c r="D314" t="s">
        <v>60</v>
      </c>
      <c r="E314" t="s">
        <v>61</v>
      </c>
      <c r="F314">
        <v>4134</v>
      </c>
      <c r="G314">
        <v>0</v>
      </c>
      <c r="H314">
        <v>4</v>
      </c>
      <c r="I314">
        <v>0</v>
      </c>
      <c r="J314">
        <v>3235</v>
      </c>
      <c r="K314">
        <v>0</v>
      </c>
      <c r="L314">
        <v>1</v>
      </c>
      <c r="M314">
        <v>785</v>
      </c>
      <c r="N314">
        <v>0</v>
      </c>
      <c r="O314">
        <v>38</v>
      </c>
      <c r="P314">
        <v>65</v>
      </c>
      <c r="Q314">
        <v>6</v>
      </c>
      <c r="R314">
        <f>SUM(Table13[[#This Row],[Rank_All_Ranks_Total]:[Rank_SSPSPAddlSPCommandant]])</f>
        <v>8268</v>
      </c>
    </row>
    <row r="315" spans="1:18" x14ac:dyDescent="0.3">
      <c r="A315" t="s">
        <v>33</v>
      </c>
      <c r="B315">
        <v>2009</v>
      </c>
      <c r="C315" t="str">
        <f>_xlfn.CONCAT(Table13[[#This Row],[STATE]],"-",Table13[[#This Row],[Year]])</f>
        <v>West Bengal-2009</v>
      </c>
      <c r="D315" t="s">
        <v>60</v>
      </c>
      <c r="E315" t="s">
        <v>61</v>
      </c>
      <c r="F315">
        <v>21642</v>
      </c>
      <c r="G315">
        <v>2730</v>
      </c>
      <c r="H315">
        <v>104</v>
      </c>
      <c r="I315">
        <v>27</v>
      </c>
      <c r="J315">
        <v>18021</v>
      </c>
      <c r="K315">
        <v>1</v>
      </c>
      <c r="L315">
        <v>2</v>
      </c>
      <c r="M315">
        <v>0</v>
      </c>
      <c r="N315">
        <v>4</v>
      </c>
      <c r="O315">
        <v>244</v>
      </c>
      <c r="P315">
        <v>484</v>
      </c>
      <c r="Q315">
        <v>25</v>
      </c>
      <c r="R315">
        <f>SUM(Table13[[#This Row],[Rank_All_Ranks_Total]:[Rank_SSPSPAddlSPCommandant]])</f>
        <v>43284</v>
      </c>
    </row>
    <row r="316" spans="1:18" x14ac:dyDescent="0.3">
      <c r="A316" t="s">
        <v>59</v>
      </c>
      <c r="B316">
        <v>2010</v>
      </c>
      <c r="C316" t="str">
        <f>_xlfn.CONCAT(Table13[[#This Row],[STATE]],"-",Table13[[#This Row],[Year]])</f>
        <v>Andaman &amp; Nicobar Islands-2010</v>
      </c>
      <c r="D316" t="s">
        <v>60</v>
      </c>
      <c r="E316" t="s">
        <v>61</v>
      </c>
      <c r="F316">
        <v>806</v>
      </c>
      <c r="G316">
        <v>3</v>
      </c>
      <c r="H316">
        <v>5</v>
      </c>
      <c r="I316">
        <v>0</v>
      </c>
      <c r="J316">
        <v>694</v>
      </c>
      <c r="K316">
        <v>0</v>
      </c>
      <c r="L316">
        <v>0</v>
      </c>
      <c r="M316">
        <v>89</v>
      </c>
      <c r="N316">
        <v>0</v>
      </c>
      <c r="O316">
        <v>3</v>
      </c>
      <c r="P316">
        <v>11</v>
      </c>
      <c r="Q316">
        <v>1</v>
      </c>
      <c r="R316">
        <f>SUM(Table13[[#This Row],[Rank_All_Ranks_Total]:[Rank_SSPSPAddlSPCommandant]])</f>
        <v>1612</v>
      </c>
    </row>
    <row r="317" spans="1:18" x14ac:dyDescent="0.3">
      <c r="A317" t="s">
        <v>6</v>
      </c>
      <c r="B317">
        <v>2010</v>
      </c>
      <c r="C317" t="str">
        <f>_xlfn.CONCAT(Table13[[#This Row],[STATE]],"-",Table13[[#This Row],[Year]])</f>
        <v>Andhra Pradesh-2010</v>
      </c>
      <c r="D317" t="s">
        <v>60</v>
      </c>
      <c r="E317" t="s">
        <v>61</v>
      </c>
      <c r="F317">
        <v>14534</v>
      </c>
      <c r="G317">
        <v>584</v>
      </c>
      <c r="H317">
        <v>102</v>
      </c>
      <c r="I317">
        <v>0</v>
      </c>
      <c r="J317">
        <v>10157</v>
      </c>
      <c r="K317">
        <v>1</v>
      </c>
      <c r="L317">
        <v>1</v>
      </c>
      <c r="M317">
        <v>3153</v>
      </c>
      <c r="N317">
        <v>1</v>
      </c>
      <c r="O317">
        <v>146</v>
      </c>
      <c r="P317">
        <v>360</v>
      </c>
      <c r="Q317">
        <v>29</v>
      </c>
      <c r="R317">
        <f>SUM(Table13[[#This Row],[Rank_All_Ranks_Total]:[Rank_SSPSPAddlSPCommandant]])</f>
        <v>29068</v>
      </c>
    </row>
    <row r="318" spans="1:18" x14ac:dyDescent="0.3">
      <c r="A318" t="s">
        <v>7</v>
      </c>
      <c r="B318">
        <v>2010</v>
      </c>
      <c r="C318" t="str">
        <f>_xlfn.CONCAT(Table13[[#This Row],[STATE]],"-",Table13[[#This Row],[Year]])</f>
        <v>Arunachal Pradesh-2010</v>
      </c>
      <c r="D318" t="s">
        <v>60</v>
      </c>
      <c r="E318" t="s">
        <v>61</v>
      </c>
      <c r="F318">
        <v>3939</v>
      </c>
      <c r="G318">
        <v>41</v>
      </c>
      <c r="H318">
        <v>25</v>
      </c>
      <c r="I318">
        <v>106</v>
      </c>
      <c r="J318">
        <v>2944</v>
      </c>
      <c r="K318">
        <v>0</v>
      </c>
      <c r="L318">
        <v>0</v>
      </c>
      <c r="M318">
        <v>662</v>
      </c>
      <c r="N318">
        <v>0</v>
      </c>
      <c r="O318">
        <v>22</v>
      </c>
      <c r="P318">
        <v>134</v>
      </c>
      <c r="Q318">
        <v>5</v>
      </c>
      <c r="R318">
        <f>SUM(Table13[[#This Row],[Rank_All_Ranks_Total]:[Rank_SSPSPAddlSPCommandant]])</f>
        <v>7878</v>
      </c>
    </row>
    <row r="319" spans="1:18" x14ac:dyDescent="0.3">
      <c r="A319" t="s">
        <v>8</v>
      </c>
      <c r="B319">
        <v>2010</v>
      </c>
      <c r="C319" t="str">
        <f>_xlfn.CONCAT(Table13[[#This Row],[STATE]],"-",Table13[[#This Row],[Year]])</f>
        <v>Assam-2010</v>
      </c>
      <c r="D319" t="s">
        <v>60</v>
      </c>
      <c r="E319" t="s">
        <v>61</v>
      </c>
      <c r="F319">
        <v>25375</v>
      </c>
      <c r="G319">
        <v>36</v>
      </c>
      <c r="H319">
        <v>150</v>
      </c>
      <c r="I319">
        <v>1939</v>
      </c>
      <c r="J319">
        <v>18097</v>
      </c>
      <c r="K319">
        <v>0</v>
      </c>
      <c r="L319">
        <v>0</v>
      </c>
      <c r="M319">
        <v>4168</v>
      </c>
      <c r="N319">
        <v>0</v>
      </c>
      <c r="O319">
        <v>235</v>
      </c>
      <c r="P319">
        <v>700</v>
      </c>
      <c r="Q319">
        <v>50</v>
      </c>
      <c r="R319">
        <f>SUM(Table13[[#This Row],[Rank_All_Ranks_Total]:[Rank_SSPSPAddlSPCommandant]])</f>
        <v>50750</v>
      </c>
    </row>
    <row r="320" spans="1:18" x14ac:dyDescent="0.3">
      <c r="A320" t="s">
        <v>9</v>
      </c>
      <c r="B320">
        <v>2010</v>
      </c>
      <c r="C320" t="str">
        <f>_xlfn.CONCAT(Table13[[#This Row],[STATE]],"-",Table13[[#This Row],[Year]])</f>
        <v>Bihar-2010</v>
      </c>
      <c r="D320" t="s">
        <v>60</v>
      </c>
      <c r="E320" t="s">
        <v>61</v>
      </c>
      <c r="F320">
        <v>11941</v>
      </c>
      <c r="G320">
        <v>53</v>
      </c>
      <c r="H320">
        <v>36</v>
      </c>
      <c r="I320">
        <v>0</v>
      </c>
      <c r="J320">
        <v>8336</v>
      </c>
      <c r="K320">
        <v>1</v>
      </c>
      <c r="L320">
        <v>2</v>
      </c>
      <c r="M320">
        <v>2646</v>
      </c>
      <c r="N320">
        <v>1</v>
      </c>
      <c r="O320">
        <v>124</v>
      </c>
      <c r="P320">
        <v>727</v>
      </c>
      <c r="Q320">
        <v>15</v>
      </c>
      <c r="R320">
        <f>SUM(Table13[[#This Row],[Rank_All_Ranks_Total]:[Rank_SSPSPAddlSPCommandant]])</f>
        <v>23882</v>
      </c>
    </row>
    <row r="321" spans="1:18" x14ac:dyDescent="0.3">
      <c r="A321" t="s">
        <v>35</v>
      </c>
      <c r="B321">
        <v>2010</v>
      </c>
      <c r="C321" t="str">
        <f>_xlfn.CONCAT(Table13[[#This Row],[STATE]],"-",Table13[[#This Row],[Year]])</f>
        <v>Chandigarh-2010</v>
      </c>
      <c r="D321" t="s">
        <v>60</v>
      </c>
      <c r="E321" t="s">
        <v>61</v>
      </c>
      <c r="F321">
        <v>635</v>
      </c>
      <c r="G321">
        <v>0</v>
      </c>
      <c r="H321">
        <v>0</v>
      </c>
      <c r="I321">
        <v>0</v>
      </c>
      <c r="J321">
        <v>635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f>SUM(Table13[[#This Row],[Rank_All_Ranks_Total]:[Rank_SSPSPAddlSPCommandant]])</f>
        <v>1270</v>
      </c>
    </row>
    <row r="322" spans="1:18" x14ac:dyDescent="0.3">
      <c r="A322" t="s">
        <v>10</v>
      </c>
      <c r="B322">
        <v>2010</v>
      </c>
      <c r="C322" t="str">
        <f>_xlfn.CONCAT(Table13[[#This Row],[STATE]],"-",Table13[[#This Row],[Year]])</f>
        <v>Chhattisgarh-2010</v>
      </c>
      <c r="D322" t="s">
        <v>60</v>
      </c>
      <c r="E322" t="s">
        <v>61</v>
      </c>
      <c r="F322">
        <v>15779</v>
      </c>
      <c r="G322">
        <v>801</v>
      </c>
      <c r="H322">
        <v>41</v>
      </c>
      <c r="I322">
        <v>0</v>
      </c>
      <c r="J322">
        <v>11440</v>
      </c>
      <c r="K322">
        <v>1</v>
      </c>
      <c r="L322">
        <v>2</v>
      </c>
      <c r="M322">
        <v>2964</v>
      </c>
      <c r="N322">
        <v>1</v>
      </c>
      <c r="O322">
        <v>110</v>
      </c>
      <c r="P322">
        <v>392</v>
      </c>
      <c r="Q322">
        <v>27</v>
      </c>
      <c r="R322">
        <f>SUM(Table13[[#This Row],[Rank_All_Ranks_Total]:[Rank_SSPSPAddlSPCommandant]])</f>
        <v>31558</v>
      </c>
    </row>
    <row r="323" spans="1:18" x14ac:dyDescent="0.3">
      <c r="A323" t="s">
        <v>62</v>
      </c>
      <c r="B323">
        <v>2010</v>
      </c>
      <c r="C323" t="str">
        <f>_xlfn.CONCAT(Table13[[#This Row],[STATE]],"-",Table13[[#This Row],[Year]])</f>
        <v>Dadra &amp; Nagar Haveli-2010</v>
      </c>
      <c r="D323" t="s">
        <v>60</v>
      </c>
      <c r="E323" t="s">
        <v>61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f>SUM(Table13[[#This Row],[Rank_All_Ranks_Total]:[Rank_SSPSPAddlSPCommandant]])</f>
        <v>0</v>
      </c>
    </row>
    <row r="324" spans="1:18" x14ac:dyDescent="0.3">
      <c r="A324" t="s">
        <v>37</v>
      </c>
      <c r="B324">
        <v>2010</v>
      </c>
      <c r="C324" t="str">
        <f>_xlfn.CONCAT(Table13[[#This Row],[STATE]],"-",Table13[[#This Row],[Year]])</f>
        <v>Daman &amp; Diu-2010</v>
      </c>
      <c r="D324" t="s">
        <v>60</v>
      </c>
      <c r="E324" t="s">
        <v>61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f>SUM(Table13[[#This Row],[Rank_All_Ranks_Total]:[Rank_SSPSPAddlSPCommandant]])</f>
        <v>0</v>
      </c>
    </row>
    <row r="325" spans="1:18" x14ac:dyDescent="0.3">
      <c r="A325" t="s">
        <v>38</v>
      </c>
      <c r="B325">
        <v>2010</v>
      </c>
      <c r="C325" t="str">
        <f>_xlfn.CONCAT(Table13[[#This Row],[STATE]],"-",Table13[[#This Row],[Year]])</f>
        <v>Delhi-2010</v>
      </c>
      <c r="D325" t="s">
        <v>60</v>
      </c>
      <c r="E325" t="s">
        <v>61</v>
      </c>
      <c r="F325">
        <v>6594</v>
      </c>
      <c r="G325">
        <v>223</v>
      </c>
      <c r="H325">
        <v>15</v>
      </c>
      <c r="I325">
        <v>0</v>
      </c>
      <c r="J325">
        <v>4586</v>
      </c>
      <c r="K325">
        <v>1</v>
      </c>
      <c r="L325">
        <v>2</v>
      </c>
      <c r="M325">
        <v>1474</v>
      </c>
      <c r="N325">
        <v>0</v>
      </c>
      <c r="O325">
        <v>68</v>
      </c>
      <c r="P325">
        <v>212</v>
      </c>
      <c r="Q325">
        <v>13</v>
      </c>
      <c r="R325">
        <f>SUM(Table13[[#This Row],[Rank_All_Ranks_Total]:[Rank_SSPSPAddlSPCommandant]])</f>
        <v>13188</v>
      </c>
    </row>
    <row r="326" spans="1:18" x14ac:dyDescent="0.3">
      <c r="A326" t="s">
        <v>11</v>
      </c>
      <c r="B326">
        <v>2010</v>
      </c>
      <c r="C326" t="str">
        <f>_xlfn.CONCAT(Table13[[#This Row],[STATE]],"-",Table13[[#This Row],[Year]])</f>
        <v>Goa-2010</v>
      </c>
      <c r="D326" t="s">
        <v>60</v>
      </c>
      <c r="E326" t="s">
        <v>61</v>
      </c>
      <c r="F326">
        <v>661</v>
      </c>
      <c r="G326">
        <v>5</v>
      </c>
      <c r="H326">
        <v>0</v>
      </c>
      <c r="I326">
        <v>0</v>
      </c>
      <c r="J326">
        <v>629</v>
      </c>
      <c r="K326">
        <v>0</v>
      </c>
      <c r="L326">
        <v>0</v>
      </c>
      <c r="M326">
        <v>5</v>
      </c>
      <c r="N326">
        <v>0</v>
      </c>
      <c r="O326">
        <v>0</v>
      </c>
      <c r="P326">
        <v>22</v>
      </c>
      <c r="Q326">
        <v>0</v>
      </c>
      <c r="R326">
        <f>SUM(Table13[[#This Row],[Rank_All_Ranks_Total]:[Rank_SSPSPAddlSPCommandant]])</f>
        <v>1322</v>
      </c>
    </row>
    <row r="327" spans="1:18" x14ac:dyDescent="0.3">
      <c r="A327" t="s">
        <v>12</v>
      </c>
      <c r="B327">
        <v>2010</v>
      </c>
      <c r="C327" t="str">
        <f>_xlfn.CONCAT(Table13[[#This Row],[STATE]],"-",Table13[[#This Row],[Year]])</f>
        <v>Gujarat-2010</v>
      </c>
      <c r="D327" t="s">
        <v>60</v>
      </c>
      <c r="E327" t="s">
        <v>61</v>
      </c>
      <c r="F327">
        <v>15936</v>
      </c>
      <c r="G327">
        <v>1042</v>
      </c>
      <c r="H327">
        <v>11</v>
      </c>
      <c r="I327">
        <v>0</v>
      </c>
      <c r="J327">
        <v>12854</v>
      </c>
      <c r="K327">
        <v>1</v>
      </c>
      <c r="L327">
        <v>3</v>
      </c>
      <c r="M327">
        <v>1375</v>
      </c>
      <c r="N327">
        <v>0</v>
      </c>
      <c r="O327">
        <v>112</v>
      </c>
      <c r="P327">
        <v>526</v>
      </c>
      <c r="Q327">
        <v>12</v>
      </c>
      <c r="R327">
        <f>SUM(Table13[[#This Row],[Rank_All_Ranks_Total]:[Rank_SSPSPAddlSPCommandant]])</f>
        <v>31872</v>
      </c>
    </row>
    <row r="328" spans="1:18" x14ac:dyDescent="0.3">
      <c r="A328" t="s">
        <v>13</v>
      </c>
      <c r="B328">
        <v>2010</v>
      </c>
      <c r="C328" t="str">
        <f>_xlfn.CONCAT(Table13[[#This Row],[STATE]],"-",Table13[[#This Row],[Year]])</f>
        <v>Haryana-2010</v>
      </c>
      <c r="D328" t="s">
        <v>60</v>
      </c>
      <c r="E328" t="s">
        <v>61</v>
      </c>
      <c r="F328">
        <v>4535</v>
      </c>
      <c r="G328">
        <v>215</v>
      </c>
      <c r="H328">
        <v>27</v>
      </c>
      <c r="I328">
        <v>0</v>
      </c>
      <c r="J328">
        <v>3756</v>
      </c>
      <c r="K328">
        <v>0</v>
      </c>
      <c r="L328">
        <v>0</v>
      </c>
      <c r="M328">
        <v>356</v>
      </c>
      <c r="N328">
        <v>1</v>
      </c>
      <c r="O328">
        <v>54</v>
      </c>
      <c r="P328">
        <v>113</v>
      </c>
      <c r="Q328">
        <v>13</v>
      </c>
      <c r="R328">
        <f>SUM(Table13[[#This Row],[Rank_All_Ranks_Total]:[Rank_SSPSPAddlSPCommandant]])</f>
        <v>9070</v>
      </c>
    </row>
    <row r="329" spans="1:18" x14ac:dyDescent="0.3">
      <c r="A329" t="s">
        <v>14</v>
      </c>
      <c r="B329">
        <v>2010</v>
      </c>
      <c r="C329" t="str">
        <f>_xlfn.CONCAT(Table13[[#This Row],[STATE]],"-",Table13[[#This Row],[Year]])</f>
        <v>Himachal Pradesh-2010</v>
      </c>
      <c r="D329" t="s">
        <v>60</v>
      </c>
      <c r="E329" t="s">
        <v>61</v>
      </c>
      <c r="F329">
        <v>3904</v>
      </c>
      <c r="G329">
        <v>99</v>
      </c>
      <c r="H329">
        <v>39</v>
      </c>
      <c r="I329">
        <v>0</v>
      </c>
      <c r="J329">
        <v>2705</v>
      </c>
      <c r="K329">
        <v>0</v>
      </c>
      <c r="L329">
        <v>1</v>
      </c>
      <c r="M329">
        <v>828</v>
      </c>
      <c r="N329">
        <v>0</v>
      </c>
      <c r="O329">
        <v>52</v>
      </c>
      <c r="P329">
        <v>142</v>
      </c>
      <c r="Q329">
        <v>38</v>
      </c>
      <c r="R329">
        <f>SUM(Table13[[#This Row],[Rank_All_Ranks_Total]:[Rank_SSPSPAddlSPCommandant]])</f>
        <v>7808</v>
      </c>
    </row>
    <row r="330" spans="1:18" x14ac:dyDescent="0.3">
      <c r="A330" t="s">
        <v>15</v>
      </c>
      <c r="B330">
        <v>2010</v>
      </c>
      <c r="C330" t="str">
        <f>_xlfn.CONCAT(Table13[[#This Row],[STATE]],"-",Table13[[#This Row],[Year]])</f>
        <v>Jammu &amp; Kashmir-2010</v>
      </c>
      <c r="D330" t="s">
        <v>60</v>
      </c>
      <c r="E330" t="s">
        <v>61</v>
      </c>
      <c r="F330">
        <v>29153</v>
      </c>
      <c r="G330">
        <v>541</v>
      </c>
      <c r="H330">
        <v>125</v>
      </c>
      <c r="I330">
        <v>4773</v>
      </c>
      <c r="J330">
        <v>18010</v>
      </c>
      <c r="K330">
        <v>1</v>
      </c>
      <c r="L330">
        <v>4</v>
      </c>
      <c r="M330">
        <v>4769</v>
      </c>
      <c r="N330">
        <v>2</v>
      </c>
      <c r="O330">
        <v>181</v>
      </c>
      <c r="P330">
        <v>647</v>
      </c>
      <c r="Q330">
        <v>100</v>
      </c>
      <c r="R330">
        <f>SUM(Table13[[#This Row],[Rank_All_Ranks_Total]:[Rank_SSPSPAddlSPCommandant]])</f>
        <v>58306</v>
      </c>
    </row>
    <row r="331" spans="1:18" x14ac:dyDescent="0.3">
      <c r="A331" t="s">
        <v>16</v>
      </c>
      <c r="B331">
        <v>2010</v>
      </c>
      <c r="C331" t="str">
        <f>_xlfn.CONCAT(Table13[[#This Row],[STATE]],"-",Table13[[#This Row],[Year]])</f>
        <v>Jharkhand-2010</v>
      </c>
      <c r="D331" t="s">
        <v>60</v>
      </c>
      <c r="E331" t="s">
        <v>61</v>
      </c>
      <c r="F331">
        <v>12807</v>
      </c>
      <c r="G331">
        <v>77</v>
      </c>
      <c r="H331">
        <v>45</v>
      </c>
      <c r="I331">
        <v>0</v>
      </c>
      <c r="J331">
        <v>9759</v>
      </c>
      <c r="K331">
        <v>0</v>
      </c>
      <c r="L331">
        <v>1</v>
      </c>
      <c r="M331">
        <v>2160</v>
      </c>
      <c r="N331">
        <v>0</v>
      </c>
      <c r="O331">
        <v>117</v>
      </c>
      <c r="P331">
        <v>645</v>
      </c>
      <c r="Q331">
        <v>3</v>
      </c>
      <c r="R331">
        <f>SUM(Table13[[#This Row],[Rank_All_Ranks_Total]:[Rank_SSPSPAddlSPCommandant]])</f>
        <v>25614</v>
      </c>
    </row>
    <row r="332" spans="1:18" x14ac:dyDescent="0.3">
      <c r="A332" t="s">
        <v>17</v>
      </c>
      <c r="B332">
        <v>2010</v>
      </c>
      <c r="C332" t="str">
        <f>_xlfn.CONCAT(Table13[[#This Row],[STATE]],"-",Table13[[#This Row],[Year]])</f>
        <v>Karnataka-2010</v>
      </c>
      <c r="D332" t="s">
        <v>60</v>
      </c>
      <c r="E332" t="s">
        <v>61</v>
      </c>
      <c r="F332">
        <v>7908</v>
      </c>
      <c r="G332">
        <v>84</v>
      </c>
      <c r="H332">
        <v>34</v>
      </c>
      <c r="I332">
        <v>0</v>
      </c>
      <c r="J332">
        <v>5650</v>
      </c>
      <c r="K332">
        <v>1</v>
      </c>
      <c r="L332">
        <v>1</v>
      </c>
      <c r="M332">
        <v>1915</v>
      </c>
      <c r="N332">
        <v>1</v>
      </c>
      <c r="O332">
        <v>73</v>
      </c>
      <c r="P332">
        <v>131</v>
      </c>
      <c r="Q332">
        <v>18</v>
      </c>
      <c r="R332">
        <f>SUM(Table13[[#This Row],[Rank_All_Ranks_Total]:[Rank_SSPSPAddlSPCommandant]])</f>
        <v>15816</v>
      </c>
    </row>
    <row r="333" spans="1:18" x14ac:dyDescent="0.3">
      <c r="A333" t="s">
        <v>18</v>
      </c>
      <c r="B333">
        <v>2010</v>
      </c>
      <c r="C333" t="str">
        <f>_xlfn.CONCAT(Table13[[#This Row],[STATE]],"-",Table13[[#This Row],[Year]])</f>
        <v>Kerala-2010</v>
      </c>
      <c r="D333" t="s">
        <v>60</v>
      </c>
      <c r="E333" t="s">
        <v>61</v>
      </c>
      <c r="F333">
        <v>3182</v>
      </c>
      <c r="G333">
        <v>47</v>
      </c>
      <c r="H333">
        <v>33</v>
      </c>
      <c r="I333">
        <v>0</v>
      </c>
      <c r="J333">
        <v>1867</v>
      </c>
      <c r="K333">
        <v>0</v>
      </c>
      <c r="L333">
        <v>0</v>
      </c>
      <c r="M333">
        <v>1008</v>
      </c>
      <c r="N333">
        <v>1</v>
      </c>
      <c r="O333">
        <v>59</v>
      </c>
      <c r="P333">
        <v>161</v>
      </c>
      <c r="Q333">
        <v>6</v>
      </c>
      <c r="R333">
        <f>SUM(Table13[[#This Row],[Rank_All_Ranks_Total]:[Rank_SSPSPAddlSPCommandant]])</f>
        <v>6364</v>
      </c>
    </row>
    <row r="334" spans="1:18" x14ac:dyDescent="0.3">
      <c r="A334" t="s">
        <v>39</v>
      </c>
      <c r="B334">
        <v>2010</v>
      </c>
      <c r="C334" t="str">
        <f>_xlfn.CONCAT(Table13[[#This Row],[STATE]],"-",Table13[[#This Row],[Year]])</f>
        <v>Lakshadweep-2010</v>
      </c>
      <c r="D334" t="s">
        <v>60</v>
      </c>
      <c r="E334" t="s">
        <v>61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f>SUM(Table13[[#This Row],[Rank_All_Ranks_Total]:[Rank_SSPSPAddlSPCommandant]])</f>
        <v>0</v>
      </c>
    </row>
    <row r="335" spans="1:18" x14ac:dyDescent="0.3">
      <c r="A335" t="s">
        <v>19</v>
      </c>
      <c r="B335">
        <v>2010</v>
      </c>
      <c r="C335" t="str">
        <f>_xlfn.CONCAT(Table13[[#This Row],[STATE]],"-",Table13[[#This Row],[Year]])</f>
        <v>Madhya Pradesh-2010</v>
      </c>
      <c r="D335" t="s">
        <v>60</v>
      </c>
      <c r="E335" t="s">
        <v>61</v>
      </c>
      <c r="F335">
        <v>23390</v>
      </c>
      <c r="G335">
        <v>1206</v>
      </c>
      <c r="H335">
        <v>89</v>
      </c>
      <c r="I335">
        <v>0</v>
      </c>
      <c r="J335">
        <v>17342</v>
      </c>
      <c r="K335">
        <v>1</v>
      </c>
      <c r="L335">
        <v>3</v>
      </c>
      <c r="M335">
        <v>4031</v>
      </c>
      <c r="N335">
        <v>6</v>
      </c>
      <c r="O335">
        <v>202</v>
      </c>
      <c r="P335">
        <v>499</v>
      </c>
      <c r="Q335">
        <v>11</v>
      </c>
      <c r="R335">
        <f>SUM(Table13[[#This Row],[Rank_All_Ranks_Total]:[Rank_SSPSPAddlSPCommandant]])</f>
        <v>46780</v>
      </c>
    </row>
    <row r="336" spans="1:18" x14ac:dyDescent="0.3">
      <c r="A336" t="s">
        <v>20</v>
      </c>
      <c r="B336">
        <v>2010</v>
      </c>
      <c r="C336" t="str">
        <f>_xlfn.CONCAT(Table13[[#This Row],[STATE]],"-",Table13[[#This Row],[Year]])</f>
        <v>Maharashtra-2010</v>
      </c>
      <c r="D336" t="s">
        <v>60</v>
      </c>
      <c r="E336" t="s">
        <v>61</v>
      </c>
      <c r="F336">
        <v>14215</v>
      </c>
      <c r="G336">
        <v>1199</v>
      </c>
      <c r="H336">
        <v>41</v>
      </c>
      <c r="I336">
        <v>2869</v>
      </c>
      <c r="J336">
        <v>7986</v>
      </c>
      <c r="K336">
        <v>0</v>
      </c>
      <c r="L336">
        <v>0</v>
      </c>
      <c r="M336">
        <v>2113</v>
      </c>
      <c r="N336">
        <v>0</v>
      </c>
      <c r="O336">
        <v>0</v>
      </c>
      <c r="P336">
        <v>0</v>
      </c>
      <c r="Q336">
        <v>7</v>
      </c>
      <c r="R336">
        <f>SUM(Table13[[#This Row],[Rank_All_Ranks_Total]:[Rank_SSPSPAddlSPCommandant]])</f>
        <v>28430</v>
      </c>
    </row>
    <row r="337" spans="1:18" x14ac:dyDescent="0.3">
      <c r="A337" t="s">
        <v>21</v>
      </c>
      <c r="B337">
        <v>2010</v>
      </c>
      <c r="C337" t="str">
        <f>_xlfn.CONCAT(Table13[[#This Row],[STATE]],"-",Table13[[#This Row],[Year]])</f>
        <v>Manipur-2010</v>
      </c>
      <c r="D337" t="s">
        <v>60</v>
      </c>
      <c r="E337" t="s">
        <v>61</v>
      </c>
      <c r="F337">
        <v>13274</v>
      </c>
      <c r="G337">
        <v>0</v>
      </c>
      <c r="H337">
        <v>66</v>
      </c>
      <c r="I337">
        <v>26</v>
      </c>
      <c r="J337">
        <v>10283</v>
      </c>
      <c r="K337">
        <v>0</v>
      </c>
      <c r="L337">
        <v>0</v>
      </c>
      <c r="M337">
        <v>2469</v>
      </c>
      <c r="N337">
        <v>0</v>
      </c>
      <c r="O337">
        <v>123</v>
      </c>
      <c r="P337">
        <v>284</v>
      </c>
      <c r="Q337">
        <v>23</v>
      </c>
      <c r="R337">
        <f>SUM(Table13[[#This Row],[Rank_All_Ranks_Total]:[Rank_SSPSPAddlSPCommandant]])</f>
        <v>26548</v>
      </c>
    </row>
    <row r="338" spans="1:18" x14ac:dyDescent="0.3">
      <c r="A338" t="s">
        <v>22</v>
      </c>
      <c r="B338">
        <v>2010</v>
      </c>
      <c r="C338" t="str">
        <f>_xlfn.CONCAT(Table13[[#This Row],[STATE]],"-",Table13[[#This Row],[Year]])</f>
        <v>Meghalaya-2010</v>
      </c>
      <c r="D338" t="s">
        <v>60</v>
      </c>
      <c r="E338" t="s">
        <v>61</v>
      </c>
      <c r="F338">
        <v>4349</v>
      </c>
      <c r="G338">
        <v>11</v>
      </c>
      <c r="H338">
        <v>31</v>
      </c>
      <c r="I338">
        <v>170</v>
      </c>
      <c r="J338">
        <v>3387</v>
      </c>
      <c r="K338">
        <v>0</v>
      </c>
      <c r="L338">
        <v>0</v>
      </c>
      <c r="M338">
        <v>606</v>
      </c>
      <c r="N338">
        <v>0</v>
      </c>
      <c r="O338">
        <v>41</v>
      </c>
      <c r="P338">
        <v>98</v>
      </c>
      <c r="Q338">
        <v>5</v>
      </c>
      <c r="R338">
        <f>SUM(Table13[[#This Row],[Rank_All_Ranks_Total]:[Rank_SSPSPAddlSPCommandant]])</f>
        <v>8698</v>
      </c>
    </row>
    <row r="339" spans="1:18" x14ac:dyDescent="0.3">
      <c r="A339" t="s">
        <v>23</v>
      </c>
      <c r="B339">
        <v>2010</v>
      </c>
      <c r="C339" t="str">
        <f>_xlfn.CONCAT(Table13[[#This Row],[STATE]],"-",Table13[[#This Row],[Year]])</f>
        <v>Mizoram-2010</v>
      </c>
      <c r="D339" t="s">
        <v>60</v>
      </c>
      <c r="E339" t="s">
        <v>61</v>
      </c>
      <c r="F339">
        <v>7171</v>
      </c>
      <c r="G339">
        <v>11</v>
      </c>
      <c r="H339">
        <v>27</v>
      </c>
      <c r="I339">
        <v>960</v>
      </c>
      <c r="J339">
        <v>4738</v>
      </c>
      <c r="K339">
        <v>0</v>
      </c>
      <c r="L339">
        <v>0</v>
      </c>
      <c r="M339">
        <v>1139</v>
      </c>
      <c r="N339">
        <v>0</v>
      </c>
      <c r="O339">
        <v>69</v>
      </c>
      <c r="P339">
        <v>198</v>
      </c>
      <c r="Q339">
        <v>29</v>
      </c>
      <c r="R339">
        <f>SUM(Table13[[#This Row],[Rank_All_Ranks_Total]:[Rank_SSPSPAddlSPCommandant]])</f>
        <v>14342</v>
      </c>
    </row>
    <row r="340" spans="1:18" x14ac:dyDescent="0.3">
      <c r="A340" t="s">
        <v>24</v>
      </c>
      <c r="B340">
        <v>2010</v>
      </c>
      <c r="C340" t="str">
        <f>_xlfn.CONCAT(Table13[[#This Row],[STATE]],"-",Table13[[#This Row],[Year]])</f>
        <v>Nagaland-2010</v>
      </c>
      <c r="D340" t="s">
        <v>60</v>
      </c>
      <c r="E340" t="s">
        <v>61</v>
      </c>
      <c r="F340">
        <v>4366</v>
      </c>
      <c r="G340">
        <v>1</v>
      </c>
      <c r="H340">
        <v>27</v>
      </c>
      <c r="I340">
        <v>574</v>
      </c>
      <c r="J340">
        <v>3218</v>
      </c>
      <c r="K340">
        <v>0</v>
      </c>
      <c r="L340">
        <v>0</v>
      </c>
      <c r="M340">
        <v>405</v>
      </c>
      <c r="N340">
        <v>0</v>
      </c>
      <c r="O340">
        <v>25</v>
      </c>
      <c r="P340">
        <v>109</v>
      </c>
      <c r="Q340">
        <v>7</v>
      </c>
      <c r="R340">
        <f>SUM(Table13[[#This Row],[Rank_All_Ranks_Total]:[Rank_SSPSPAddlSPCommandant]])</f>
        <v>8732</v>
      </c>
    </row>
    <row r="341" spans="1:18" x14ac:dyDescent="0.3">
      <c r="A341" t="s">
        <v>63</v>
      </c>
      <c r="B341">
        <v>2010</v>
      </c>
      <c r="C341" t="str">
        <f>_xlfn.CONCAT(Table13[[#This Row],[STATE]],"-",Table13[[#This Row],[Year]])</f>
        <v>Odisha-2010</v>
      </c>
      <c r="D341" t="s">
        <v>60</v>
      </c>
      <c r="E341" t="s">
        <v>61</v>
      </c>
      <c r="F341">
        <v>14480</v>
      </c>
      <c r="G341">
        <v>331</v>
      </c>
      <c r="H341">
        <v>95</v>
      </c>
      <c r="I341">
        <v>414</v>
      </c>
      <c r="J341">
        <v>12081</v>
      </c>
      <c r="K341">
        <v>0</v>
      </c>
      <c r="L341">
        <v>0</v>
      </c>
      <c r="M341">
        <v>1116</v>
      </c>
      <c r="N341">
        <v>0</v>
      </c>
      <c r="O341">
        <v>50</v>
      </c>
      <c r="P341">
        <v>352</v>
      </c>
      <c r="Q341">
        <v>41</v>
      </c>
      <c r="R341">
        <f>SUM(Table13[[#This Row],[Rank_All_Ranks_Total]:[Rank_SSPSPAddlSPCommandant]])</f>
        <v>28960</v>
      </c>
    </row>
    <row r="342" spans="1:18" x14ac:dyDescent="0.3">
      <c r="A342" t="s">
        <v>64</v>
      </c>
      <c r="B342">
        <v>2010</v>
      </c>
      <c r="C342" t="str">
        <f>_xlfn.CONCAT(Table13[[#This Row],[STATE]],"-",Table13[[#This Row],[Year]])</f>
        <v>Puducherry-2010</v>
      </c>
      <c r="D342" t="s">
        <v>60</v>
      </c>
      <c r="E342" t="s">
        <v>61</v>
      </c>
      <c r="F342">
        <v>553</v>
      </c>
      <c r="G342">
        <v>3</v>
      </c>
      <c r="H342">
        <v>1</v>
      </c>
      <c r="I342">
        <v>0</v>
      </c>
      <c r="J342">
        <v>431</v>
      </c>
      <c r="K342">
        <v>0</v>
      </c>
      <c r="L342">
        <v>0</v>
      </c>
      <c r="M342">
        <v>100</v>
      </c>
      <c r="N342">
        <v>0</v>
      </c>
      <c r="O342">
        <v>4</v>
      </c>
      <c r="P342">
        <v>14</v>
      </c>
      <c r="Q342">
        <v>0</v>
      </c>
      <c r="R342">
        <f>SUM(Table13[[#This Row],[Rank_All_Ranks_Total]:[Rank_SSPSPAddlSPCommandant]])</f>
        <v>1106</v>
      </c>
    </row>
    <row r="343" spans="1:18" x14ac:dyDescent="0.3">
      <c r="A343" t="s">
        <v>26</v>
      </c>
      <c r="B343">
        <v>2010</v>
      </c>
      <c r="C343" t="str">
        <f>_xlfn.CONCAT(Table13[[#This Row],[STATE]],"-",Table13[[#This Row],[Year]])</f>
        <v>Punjab-2010</v>
      </c>
      <c r="D343" t="s">
        <v>60</v>
      </c>
      <c r="E343" t="s">
        <v>61</v>
      </c>
      <c r="F343">
        <v>18678</v>
      </c>
      <c r="G343">
        <v>418</v>
      </c>
      <c r="H343">
        <v>15</v>
      </c>
      <c r="I343">
        <v>0</v>
      </c>
      <c r="J343">
        <v>13633</v>
      </c>
      <c r="K343">
        <v>1</v>
      </c>
      <c r="L343">
        <v>4</v>
      </c>
      <c r="M343">
        <v>3833</v>
      </c>
      <c r="N343">
        <v>3</v>
      </c>
      <c r="O343">
        <v>191</v>
      </c>
      <c r="P343">
        <v>548</v>
      </c>
      <c r="Q343">
        <v>32</v>
      </c>
      <c r="R343">
        <f>SUM(Table13[[#This Row],[Rank_All_Ranks_Total]:[Rank_SSPSPAddlSPCommandant]])</f>
        <v>37356</v>
      </c>
    </row>
    <row r="344" spans="1:18" x14ac:dyDescent="0.3">
      <c r="A344" t="s">
        <v>27</v>
      </c>
      <c r="B344">
        <v>2010</v>
      </c>
      <c r="C344" t="str">
        <f>_xlfn.CONCAT(Table13[[#This Row],[STATE]],"-",Table13[[#This Row],[Year]])</f>
        <v>Rajasthan-2010</v>
      </c>
      <c r="D344" t="s">
        <v>60</v>
      </c>
      <c r="E344" t="s">
        <v>61</v>
      </c>
      <c r="F344">
        <v>11962</v>
      </c>
      <c r="G344">
        <v>0</v>
      </c>
      <c r="H344">
        <v>96</v>
      </c>
      <c r="I344">
        <v>0</v>
      </c>
      <c r="J344">
        <v>9744</v>
      </c>
      <c r="K344">
        <v>1</v>
      </c>
      <c r="L344">
        <v>2</v>
      </c>
      <c r="M344">
        <v>1852</v>
      </c>
      <c r="N344">
        <v>2</v>
      </c>
      <c r="O344">
        <v>93</v>
      </c>
      <c r="P344">
        <v>162</v>
      </c>
      <c r="Q344">
        <v>10</v>
      </c>
      <c r="R344">
        <f>SUM(Table13[[#This Row],[Rank_All_Ranks_Total]:[Rank_SSPSPAddlSPCommandant]])</f>
        <v>23924</v>
      </c>
    </row>
    <row r="345" spans="1:18" x14ac:dyDescent="0.3">
      <c r="A345" t="s">
        <v>28</v>
      </c>
      <c r="B345">
        <v>2010</v>
      </c>
      <c r="C345" t="str">
        <f>_xlfn.CONCAT(Table13[[#This Row],[STATE]],"-",Table13[[#This Row],[Year]])</f>
        <v>Sikkim-2010</v>
      </c>
      <c r="D345" t="s">
        <v>60</v>
      </c>
      <c r="E345" t="s">
        <v>61</v>
      </c>
      <c r="F345">
        <v>2159</v>
      </c>
      <c r="G345">
        <v>59</v>
      </c>
      <c r="H345">
        <v>10</v>
      </c>
      <c r="I345">
        <v>251</v>
      </c>
      <c r="J345">
        <v>1703</v>
      </c>
      <c r="K345">
        <v>0</v>
      </c>
      <c r="L345">
        <v>0</v>
      </c>
      <c r="M345">
        <v>85</v>
      </c>
      <c r="N345">
        <v>1</v>
      </c>
      <c r="O345">
        <v>7</v>
      </c>
      <c r="P345">
        <v>40</v>
      </c>
      <c r="Q345">
        <v>3</v>
      </c>
      <c r="R345">
        <f>SUM(Table13[[#This Row],[Rank_All_Ranks_Total]:[Rank_SSPSPAddlSPCommandant]])</f>
        <v>4318</v>
      </c>
    </row>
    <row r="346" spans="1:18" x14ac:dyDescent="0.3">
      <c r="A346" t="s">
        <v>42</v>
      </c>
      <c r="B346">
        <v>2010</v>
      </c>
      <c r="C346" t="str">
        <f>_xlfn.CONCAT(Table13[[#This Row],[STATE]],"-",Table13[[#This Row],[Year]])</f>
        <v>Tamil Nadu-2010</v>
      </c>
      <c r="D346" t="s">
        <v>60</v>
      </c>
      <c r="E346" t="s">
        <v>61</v>
      </c>
      <c r="F346">
        <v>13869</v>
      </c>
      <c r="G346">
        <v>0</v>
      </c>
      <c r="H346">
        <v>37</v>
      </c>
      <c r="I346">
        <v>1761</v>
      </c>
      <c r="J346">
        <v>9987</v>
      </c>
      <c r="K346">
        <v>0</v>
      </c>
      <c r="L346">
        <v>0</v>
      </c>
      <c r="M346">
        <v>1418</v>
      </c>
      <c r="N346">
        <v>0</v>
      </c>
      <c r="O346">
        <v>154</v>
      </c>
      <c r="P346">
        <v>484</v>
      </c>
      <c r="Q346">
        <v>28</v>
      </c>
      <c r="R346">
        <f>SUM(Table13[[#This Row],[Rank_All_Ranks_Total]:[Rank_SSPSPAddlSPCommandant]])</f>
        <v>27738</v>
      </c>
    </row>
    <row r="347" spans="1:18" x14ac:dyDescent="0.3">
      <c r="A347" t="s">
        <v>30</v>
      </c>
      <c r="B347">
        <v>2010</v>
      </c>
      <c r="C347" t="str">
        <f>_xlfn.CONCAT(Table13[[#This Row],[STATE]],"-",Table13[[#This Row],[Year]])</f>
        <v>Tripura-2010</v>
      </c>
      <c r="D347" t="s">
        <v>60</v>
      </c>
      <c r="E347" t="s">
        <v>61</v>
      </c>
      <c r="F347">
        <v>13588</v>
      </c>
      <c r="G347">
        <v>0</v>
      </c>
      <c r="H347">
        <v>54</v>
      </c>
      <c r="I347">
        <v>1790</v>
      </c>
      <c r="J347">
        <v>10006</v>
      </c>
      <c r="K347">
        <v>0</v>
      </c>
      <c r="L347">
        <v>2</v>
      </c>
      <c r="M347">
        <v>1367</v>
      </c>
      <c r="N347">
        <v>1</v>
      </c>
      <c r="O347">
        <v>118</v>
      </c>
      <c r="P347">
        <v>239</v>
      </c>
      <c r="Q347">
        <v>11</v>
      </c>
      <c r="R347">
        <f>SUM(Table13[[#This Row],[Rank_All_Ranks_Total]:[Rank_SSPSPAddlSPCommandant]])</f>
        <v>27176</v>
      </c>
    </row>
    <row r="348" spans="1:18" x14ac:dyDescent="0.3">
      <c r="A348" t="s">
        <v>31</v>
      </c>
      <c r="B348">
        <v>2010</v>
      </c>
      <c r="C348" t="str">
        <f>_xlfn.CONCAT(Table13[[#This Row],[STATE]],"-",Table13[[#This Row],[Year]])</f>
        <v>Uttar Pradesh-2010</v>
      </c>
      <c r="D348" t="s">
        <v>60</v>
      </c>
      <c r="E348" t="s">
        <v>61</v>
      </c>
      <c r="F348">
        <v>30898</v>
      </c>
      <c r="G348">
        <v>0</v>
      </c>
      <c r="H348">
        <v>49</v>
      </c>
      <c r="I348">
        <v>0</v>
      </c>
      <c r="J348">
        <v>22729</v>
      </c>
      <c r="K348">
        <v>1</v>
      </c>
      <c r="L348">
        <v>5</v>
      </c>
      <c r="M348">
        <v>6696</v>
      </c>
      <c r="N348">
        <v>5</v>
      </c>
      <c r="O348">
        <v>279</v>
      </c>
      <c r="P348">
        <v>1082</v>
      </c>
      <c r="Q348">
        <v>52</v>
      </c>
      <c r="R348">
        <f>SUM(Table13[[#This Row],[Rank_All_Ranks_Total]:[Rank_SSPSPAddlSPCommandant]])</f>
        <v>61796</v>
      </c>
    </row>
    <row r="349" spans="1:18" x14ac:dyDescent="0.3">
      <c r="A349" t="s">
        <v>65</v>
      </c>
      <c r="B349">
        <v>2010</v>
      </c>
      <c r="C349" t="str">
        <f>_xlfn.CONCAT(Table13[[#This Row],[STATE]],"-",Table13[[#This Row],[Year]])</f>
        <v>Uttarakhand-2010</v>
      </c>
      <c r="D349" t="s">
        <v>60</v>
      </c>
      <c r="E349" t="s">
        <v>61</v>
      </c>
      <c r="F349">
        <v>4160</v>
      </c>
      <c r="G349">
        <v>0</v>
      </c>
      <c r="H349">
        <v>7</v>
      </c>
      <c r="I349">
        <v>0</v>
      </c>
      <c r="J349">
        <v>3179</v>
      </c>
      <c r="K349">
        <v>0</v>
      </c>
      <c r="L349">
        <v>1</v>
      </c>
      <c r="M349">
        <v>782</v>
      </c>
      <c r="N349">
        <v>0</v>
      </c>
      <c r="O349">
        <v>59</v>
      </c>
      <c r="P349">
        <v>123</v>
      </c>
      <c r="Q349">
        <v>9</v>
      </c>
      <c r="R349">
        <f>SUM(Table13[[#This Row],[Rank_All_Ranks_Total]:[Rank_SSPSPAddlSPCommandant]])</f>
        <v>8320</v>
      </c>
    </row>
    <row r="350" spans="1:18" x14ac:dyDescent="0.3">
      <c r="A350" t="s">
        <v>33</v>
      </c>
      <c r="B350">
        <v>2010</v>
      </c>
      <c r="C350" t="str">
        <f>_xlfn.CONCAT(Table13[[#This Row],[STATE]],"-",Table13[[#This Row],[Year]])</f>
        <v>West Bengal-2010</v>
      </c>
      <c r="D350" t="s">
        <v>60</v>
      </c>
      <c r="E350" t="s">
        <v>61</v>
      </c>
      <c r="F350">
        <v>22191</v>
      </c>
      <c r="G350">
        <v>2793</v>
      </c>
      <c r="H350">
        <v>91</v>
      </c>
      <c r="I350">
        <v>11</v>
      </c>
      <c r="J350">
        <v>18550</v>
      </c>
      <c r="K350">
        <v>1</v>
      </c>
      <c r="L350">
        <v>3</v>
      </c>
      <c r="M350">
        <v>0</v>
      </c>
      <c r="N350">
        <v>2</v>
      </c>
      <c r="O350">
        <v>275</v>
      </c>
      <c r="P350">
        <v>443</v>
      </c>
      <c r="Q350">
        <v>22</v>
      </c>
      <c r="R350">
        <f>SUM(Table13[[#This Row],[Rank_All_Ranks_Total]:[Rank_SSPSPAddlSPCommandant]])</f>
        <v>44382</v>
      </c>
    </row>
    <row r="351" spans="1:18" x14ac:dyDescent="0.3">
      <c r="A351" t="s">
        <v>59</v>
      </c>
      <c r="B351">
        <v>2001</v>
      </c>
      <c r="C351" t="str">
        <f>_xlfn.CONCAT(Table13[[#This Row],[STATE]],"-",Table13[[#This Row],[Year]])</f>
        <v>Andaman &amp; Nicobar Islands-2001</v>
      </c>
      <c r="D351" t="s">
        <v>66</v>
      </c>
      <c r="E351" t="s">
        <v>67</v>
      </c>
      <c r="F351">
        <v>2026</v>
      </c>
      <c r="G351">
        <v>192</v>
      </c>
      <c r="H351">
        <v>9</v>
      </c>
      <c r="I351">
        <v>0</v>
      </c>
      <c r="J351">
        <v>1330</v>
      </c>
      <c r="K351">
        <v>0</v>
      </c>
      <c r="L351">
        <v>1</v>
      </c>
      <c r="M351">
        <v>353</v>
      </c>
      <c r="N351">
        <v>1</v>
      </c>
      <c r="O351">
        <v>25</v>
      </c>
      <c r="P351">
        <v>114</v>
      </c>
      <c r="Q351">
        <v>1</v>
      </c>
      <c r="R351">
        <f>SUM(Table13[[#This Row],[Rank_All_Ranks_Total]:[Rank_SSPSPAddlSPCommandant]])</f>
        <v>4052</v>
      </c>
    </row>
    <row r="352" spans="1:18" x14ac:dyDescent="0.3">
      <c r="A352" t="s">
        <v>6</v>
      </c>
      <c r="B352">
        <v>2001</v>
      </c>
      <c r="C352" t="str">
        <f>_xlfn.CONCAT(Table13[[#This Row],[STATE]],"-",Table13[[#This Row],[Year]])</f>
        <v>Andhra Pradesh-2001</v>
      </c>
      <c r="D352" t="s">
        <v>66</v>
      </c>
      <c r="E352" t="s">
        <v>67</v>
      </c>
      <c r="F352">
        <v>65336</v>
      </c>
      <c r="G352">
        <v>2473</v>
      </c>
      <c r="H352">
        <v>297</v>
      </c>
      <c r="I352">
        <v>0</v>
      </c>
      <c r="J352">
        <v>47887</v>
      </c>
      <c r="K352">
        <v>8</v>
      </c>
      <c r="L352">
        <v>23</v>
      </c>
      <c r="M352">
        <v>10011</v>
      </c>
      <c r="N352">
        <v>27</v>
      </c>
      <c r="O352">
        <v>1008</v>
      </c>
      <c r="P352">
        <v>3487</v>
      </c>
      <c r="Q352">
        <v>115</v>
      </c>
      <c r="R352">
        <f>SUM(Table13[[#This Row],[Rank_All_Ranks_Total]:[Rank_SSPSPAddlSPCommandant]])</f>
        <v>130672</v>
      </c>
    </row>
    <row r="353" spans="1:18" x14ac:dyDescent="0.3">
      <c r="A353" t="s">
        <v>7</v>
      </c>
      <c r="B353">
        <v>2001</v>
      </c>
      <c r="C353" t="str">
        <f>_xlfn.CONCAT(Table13[[#This Row],[STATE]],"-",Table13[[#This Row],[Year]])</f>
        <v>Arunachal Pradesh-2001</v>
      </c>
      <c r="D353" t="s">
        <v>66</v>
      </c>
      <c r="E353" t="s">
        <v>67</v>
      </c>
      <c r="F353">
        <v>3166</v>
      </c>
      <c r="G353">
        <v>143</v>
      </c>
      <c r="H353">
        <v>20</v>
      </c>
      <c r="I353">
        <v>0</v>
      </c>
      <c r="J353">
        <v>2287</v>
      </c>
      <c r="K353">
        <v>0</v>
      </c>
      <c r="L353">
        <v>3</v>
      </c>
      <c r="M353">
        <v>345</v>
      </c>
      <c r="N353">
        <v>1</v>
      </c>
      <c r="O353">
        <v>43</v>
      </c>
      <c r="P353">
        <v>309</v>
      </c>
      <c r="Q353">
        <v>15</v>
      </c>
      <c r="R353">
        <f>SUM(Table13[[#This Row],[Rank_All_Ranks_Total]:[Rank_SSPSPAddlSPCommandant]])</f>
        <v>6332</v>
      </c>
    </row>
    <row r="354" spans="1:18" x14ac:dyDescent="0.3">
      <c r="A354" t="s">
        <v>8</v>
      </c>
      <c r="B354">
        <v>2001</v>
      </c>
      <c r="C354" t="str">
        <f>_xlfn.CONCAT(Table13[[#This Row],[STATE]],"-",Table13[[#This Row],[Year]])</f>
        <v>Assam-2001</v>
      </c>
      <c r="D354" t="s">
        <v>66</v>
      </c>
      <c r="E354" t="s">
        <v>67</v>
      </c>
      <c r="F354">
        <v>29382</v>
      </c>
      <c r="G354">
        <v>1759</v>
      </c>
      <c r="H354">
        <v>135</v>
      </c>
      <c r="I354">
        <v>891</v>
      </c>
      <c r="J354">
        <v>21434</v>
      </c>
      <c r="K354">
        <v>7</v>
      </c>
      <c r="L354">
        <v>16</v>
      </c>
      <c r="M354">
        <v>1796</v>
      </c>
      <c r="N354">
        <v>11</v>
      </c>
      <c r="O354">
        <v>487</v>
      </c>
      <c r="P354">
        <v>2712</v>
      </c>
      <c r="Q354">
        <v>134</v>
      </c>
      <c r="R354">
        <f>SUM(Table13[[#This Row],[Rank_All_Ranks_Total]:[Rank_SSPSPAddlSPCommandant]])</f>
        <v>58764</v>
      </c>
    </row>
    <row r="355" spans="1:18" x14ac:dyDescent="0.3">
      <c r="A355" t="s">
        <v>9</v>
      </c>
      <c r="B355">
        <v>2001</v>
      </c>
      <c r="C355" t="str">
        <f>_xlfn.CONCAT(Table13[[#This Row],[STATE]],"-",Table13[[#This Row],[Year]])</f>
        <v>Bihar-2001</v>
      </c>
      <c r="D355" t="s">
        <v>66</v>
      </c>
      <c r="E355" t="s">
        <v>67</v>
      </c>
      <c r="F355">
        <v>45031</v>
      </c>
      <c r="G355">
        <v>3309</v>
      </c>
      <c r="H355">
        <v>156</v>
      </c>
      <c r="I355">
        <v>259</v>
      </c>
      <c r="J355">
        <v>31716</v>
      </c>
      <c r="K355">
        <v>1</v>
      </c>
      <c r="L355">
        <v>3</v>
      </c>
      <c r="M355">
        <v>4977</v>
      </c>
      <c r="N355">
        <v>0</v>
      </c>
      <c r="O355">
        <v>331</v>
      </c>
      <c r="P355">
        <v>4232</v>
      </c>
      <c r="Q355">
        <v>47</v>
      </c>
      <c r="R355">
        <f>SUM(Table13[[#This Row],[Rank_All_Ranks_Total]:[Rank_SSPSPAddlSPCommandant]])</f>
        <v>90062</v>
      </c>
    </row>
    <row r="356" spans="1:18" x14ac:dyDescent="0.3">
      <c r="A356" t="s">
        <v>35</v>
      </c>
      <c r="B356">
        <v>2001</v>
      </c>
      <c r="C356" t="str">
        <f>_xlfn.CONCAT(Table13[[#This Row],[STATE]],"-",Table13[[#This Row],[Year]])</f>
        <v>Chandigarh-2001</v>
      </c>
      <c r="D356" t="s">
        <v>66</v>
      </c>
      <c r="E356" t="s">
        <v>67</v>
      </c>
      <c r="F356">
        <v>4002</v>
      </c>
      <c r="G356">
        <v>187</v>
      </c>
      <c r="H356">
        <v>12</v>
      </c>
      <c r="I356">
        <v>0</v>
      </c>
      <c r="J356">
        <v>2665</v>
      </c>
      <c r="K356">
        <v>0</v>
      </c>
      <c r="L356">
        <v>1</v>
      </c>
      <c r="M356">
        <v>831</v>
      </c>
      <c r="N356">
        <v>1</v>
      </c>
      <c r="O356">
        <v>51</v>
      </c>
      <c r="P356">
        <v>251</v>
      </c>
      <c r="Q356">
        <v>3</v>
      </c>
      <c r="R356">
        <f>SUM(Table13[[#This Row],[Rank_All_Ranks_Total]:[Rank_SSPSPAddlSPCommandant]])</f>
        <v>8004</v>
      </c>
    </row>
    <row r="357" spans="1:18" x14ac:dyDescent="0.3">
      <c r="A357" t="s">
        <v>10</v>
      </c>
      <c r="B357">
        <v>2001</v>
      </c>
      <c r="C357" t="str">
        <f>_xlfn.CONCAT(Table13[[#This Row],[STATE]],"-",Table13[[#This Row],[Year]])</f>
        <v>Chhattisgarh-2001</v>
      </c>
      <c r="D357" t="s">
        <v>66</v>
      </c>
      <c r="E357" t="s">
        <v>67</v>
      </c>
      <c r="F357">
        <v>10909</v>
      </c>
      <c r="G357">
        <v>505</v>
      </c>
      <c r="H357">
        <v>69</v>
      </c>
      <c r="I357">
        <v>0</v>
      </c>
      <c r="J357">
        <v>7255</v>
      </c>
      <c r="K357">
        <v>0</v>
      </c>
      <c r="L357">
        <v>0</v>
      </c>
      <c r="M357">
        <v>2274</v>
      </c>
      <c r="N357">
        <v>4</v>
      </c>
      <c r="O357">
        <v>140</v>
      </c>
      <c r="P357">
        <v>636</v>
      </c>
      <c r="Q357">
        <v>26</v>
      </c>
      <c r="R357">
        <f>SUM(Table13[[#This Row],[Rank_All_Ranks_Total]:[Rank_SSPSPAddlSPCommandant]])</f>
        <v>21818</v>
      </c>
    </row>
    <row r="358" spans="1:18" x14ac:dyDescent="0.3">
      <c r="A358" t="s">
        <v>62</v>
      </c>
      <c r="B358">
        <v>2001</v>
      </c>
      <c r="C358" t="str">
        <f>_xlfn.CONCAT(Table13[[#This Row],[STATE]],"-",Table13[[#This Row],[Year]])</f>
        <v>Dadra &amp; Nagar Haveli-2001</v>
      </c>
      <c r="D358" t="s">
        <v>66</v>
      </c>
      <c r="E358" t="s">
        <v>67</v>
      </c>
      <c r="F358">
        <v>138</v>
      </c>
      <c r="G358">
        <v>2</v>
      </c>
      <c r="H358">
        <v>1</v>
      </c>
      <c r="I358">
        <v>0</v>
      </c>
      <c r="J358">
        <v>90</v>
      </c>
      <c r="K358">
        <v>0</v>
      </c>
      <c r="L358">
        <v>0</v>
      </c>
      <c r="M358">
        <v>32</v>
      </c>
      <c r="N358">
        <v>0</v>
      </c>
      <c r="O358">
        <v>1</v>
      </c>
      <c r="P358">
        <v>11</v>
      </c>
      <c r="Q358">
        <v>1</v>
      </c>
      <c r="R358">
        <f>SUM(Table13[[#This Row],[Rank_All_Ranks_Total]:[Rank_SSPSPAddlSPCommandant]])</f>
        <v>276</v>
      </c>
    </row>
    <row r="359" spans="1:18" x14ac:dyDescent="0.3">
      <c r="A359" t="s">
        <v>37</v>
      </c>
      <c r="B359">
        <v>2001</v>
      </c>
      <c r="C359" t="str">
        <f>_xlfn.CONCAT(Table13[[#This Row],[STATE]],"-",Table13[[#This Row],[Year]])</f>
        <v>Daman &amp; Diu-2001</v>
      </c>
      <c r="D359" t="s">
        <v>66</v>
      </c>
      <c r="E359" t="s">
        <v>67</v>
      </c>
      <c r="F359">
        <v>235</v>
      </c>
      <c r="G359">
        <v>7</v>
      </c>
      <c r="H359">
        <v>2</v>
      </c>
      <c r="I359">
        <v>0</v>
      </c>
      <c r="J359">
        <v>174</v>
      </c>
      <c r="K359">
        <v>0</v>
      </c>
      <c r="L359">
        <v>0</v>
      </c>
      <c r="M359">
        <v>39</v>
      </c>
      <c r="N359">
        <v>0</v>
      </c>
      <c r="O359">
        <v>3</v>
      </c>
      <c r="P359">
        <v>9</v>
      </c>
      <c r="Q359">
        <v>1</v>
      </c>
      <c r="R359">
        <f>SUM(Table13[[#This Row],[Rank_All_Ranks_Total]:[Rank_SSPSPAddlSPCommandant]])</f>
        <v>470</v>
      </c>
    </row>
    <row r="360" spans="1:18" x14ac:dyDescent="0.3">
      <c r="A360" t="s">
        <v>38</v>
      </c>
      <c r="B360">
        <v>2001</v>
      </c>
      <c r="C360" t="str">
        <f>_xlfn.CONCAT(Table13[[#This Row],[STATE]],"-",Table13[[#This Row],[Year]])</f>
        <v>Delhi-2001</v>
      </c>
      <c r="D360" t="s">
        <v>66</v>
      </c>
      <c r="E360" t="s">
        <v>67</v>
      </c>
      <c r="F360">
        <v>46017</v>
      </c>
      <c r="G360">
        <v>5375</v>
      </c>
      <c r="H360">
        <v>227</v>
      </c>
      <c r="I360">
        <v>0</v>
      </c>
      <c r="J360">
        <v>24211</v>
      </c>
      <c r="K360">
        <v>4</v>
      </c>
      <c r="L360">
        <v>6</v>
      </c>
      <c r="M360">
        <v>11704</v>
      </c>
      <c r="N360">
        <v>15</v>
      </c>
      <c r="O360">
        <v>903</v>
      </c>
      <c r="P360">
        <v>3518</v>
      </c>
      <c r="Q360">
        <v>54</v>
      </c>
      <c r="R360">
        <f>SUM(Table13[[#This Row],[Rank_All_Ranks_Total]:[Rank_SSPSPAddlSPCommandant]])</f>
        <v>92034</v>
      </c>
    </row>
    <row r="361" spans="1:18" x14ac:dyDescent="0.3">
      <c r="A361" t="s">
        <v>11</v>
      </c>
      <c r="B361">
        <v>2001</v>
      </c>
      <c r="C361" t="str">
        <f>_xlfn.CONCAT(Table13[[#This Row],[STATE]],"-",Table13[[#This Row],[Year]])</f>
        <v>Goa-2001</v>
      </c>
      <c r="D361" t="s">
        <v>66</v>
      </c>
      <c r="E361" t="s">
        <v>67</v>
      </c>
      <c r="F361">
        <v>3074</v>
      </c>
      <c r="G361">
        <v>116</v>
      </c>
      <c r="H361">
        <v>18</v>
      </c>
      <c r="I361">
        <v>0</v>
      </c>
      <c r="J361">
        <v>2241</v>
      </c>
      <c r="K361">
        <v>1</v>
      </c>
      <c r="L361">
        <v>2</v>
      </c>
      <c r="M361">
        <v>575</v>
      </c>
      <c r="N361">
        <v>0</v>
      </c>
      <c r="O361">
        <v>44</v>
      </c>
      <c r="P361">
        <v>72</v>
      </c>
      <c r="Q361">
        <v>5</v>
      </c>
      <c r="R361">
        <f>SUM(Table13[[#This Row],[Rank_All_Ranks_Total]:[Rank_SSPSPAddlSPCommandant]])</f>
        <v>6148</v>
      </c>
    </row>
    <row r="362" spans="1:18" x14ac:dyDescent="0.3">
      <c r="A362" t="s">
        <v>12</v>
      </c>
      <c r="B362">
        <v>2001</v>
      </c>
      <c r="C362" t="str">
        <f>_xlfn.CONCAT(Table13[[#This Row],[STATE]],"-",Table13[[#This Row],[Year]])</f>
        <v>Gujarat-2001</v>
      </c>
      <c r="D362" t="s">
        <v>66</v>
      </c>
      <c r="E362" t="s">
        <v>67</v>
      </c>
      <c r="F362">
        <v>48747</v>
      </c>
      <c r="G362">
        <v>6398</v>
      </c>
      <c r="H362">
        <v>189</v>
      </c>
      <c r="I362">
        <v>0</v>
      </c>
      <c r="J362">
        <v>30956</v>
      </c>
      <c r="K362">
        <v>17</v>
      </c>
      <c r="L362">
        <v>17</v>
      </c>
      <c r="M362">
        <v>8832</v>
      </c>
      <c r="N362">
        <v>21</v>
      </c>
      <c r="O362">
        <v>695</v>
      </c>
      <c r="P362">
        <v>1552</v>
      </c>
      <c r="Q362">
        <v>70</v>
      </c>
      <c r="R362">
        <f>SUM(Table13[[#This Row],[Rank_All_Ranks_Total]:[Rank_SSPSPAddlSPCommandant]])</f>
        <v>97494</v>
      </c>
    </row>
    <row r="363" spans="1:18" x14ac:dyDescent="0.3">
      <c r="A363" t="s">
        <v>13</v>
      </c>
      <c r="B363">
        <v>2001</v>
      </c>
      <c r="C363" t="str">
        <f>_xlfn.CONCAT(Table13[[#This Row],[STATE]],"-",Table13[[#This Row],[Year]])</f>
        <v>Haryana-2001</v>
      </c>
      <c r="D363" t="s">
        <v>66</v>
      </c>
      <c r="E363" t="s">
        <v>67</v>
      </c>
      <c r="F363">
        <v>27387</v>
      </c>
      <c r="G363">
        <v>2027</v>
      </c>
      <c r="H363">
        <v>132</v>
      </c>
      <c r="I363">
        <v>0</v>
      </c>
      <c r="J363">
        <v>19434</v>
      </c>
      <c r="K363">
        <v>6</v>
      </c>
      <c r="L363">
        <v>9</v>
      </c>
      <c r="M363">
        <v>4457</v>
      </c>
      <c r="N363">
        <v>12</v>
      </c>
      <c r="O363">
        <v>357</v>
      </c>
      <c r="P363">
        <v>901</v>
      </c>
      <c r="Q363">
        <v>52</v>
      </c>
      <c r="R363">
        <f>SUM(Table13[[#This Row],[Rank_All_Ranks_Total]:[Rank_SSPSPAddlSPCommandant]])</f>
        <v>54774</v>
      </c>
    </row>
    <row r="364" spans="1:18" x14ac:dyDescent="0.3">
      <c r="A364" t="s">
        <v>14</v>
      </c>
      <c r="B364">
        <v>2001</v>
      </c>
      <c r="C364" t="str">
        <f>_xlfn.CONCAT(Table13[[#This Row],[STATE]],"-",Table13[[#This Row],[Year]])</f>
        <v>Himachal Pradesh-2001</v>
      </c>
      <c r="D364" t="s">
        <v>66</v>
      </c>
      <c r="E364" t="s">
        <v>67</v>
      </c>
      <c r="F364">
        <v>8457</v>
      </c>
      <c r="G364">
        <v>721</v>
      </c>
      <c r="H364">
        <v>73</v>
      </c>
      <c r="I364">
        <v>1300</v>
      </c>
      <c r="J364">
        <v>4381</v>
      </c>
      <c r="K364">
        <v>8</v>
      </c>
      <c r="L364">
        <v>11</v>
      </c>
      <c r="M364">
        <v>1380</v>
      </c>
      <c r="N364">
        <v>13</v>
      </c>
      <c r="O364">
        <v>152</v>
      </c>
      <c r="P364">
        <v>364</v>
      </c>
      <c r="Q364">
        <v>54</v>
      </c>
      <c r="R364">
        <f>SUM(Table13[[#This Row],[Rank_All_Ranks_Total]:[Rank_SSPSPAddlSPCommandant]])</f>
        <v>16914</v>
      </c>
    </row>
    <row r="365" spans="1:18" x14ac:dyDescent="0.3">
      <c r="A365" t="s">
        <v>15</v>
      </c>
      <c r="B365">
        <v>2001</v>
      </c>
      <c r="C365" t="str">
        <f>_xlfn.CONCAT(Table13[[#This Row],[STATE]],"-",Table13[[#This Row],[Year]])</f>
        <v>Jammu &amp; Kashmir-2001</v>
      </c>
      <c r="D365" t="s">
        <v>66</v>
      </c>
      <c r="E365" t="s">
        <v>67</v>
      </c>
      <c r="F365">
        <v>40278</v>
      </c>
      <c r="G365">
        <v>2617</v>
      </c>
      <c r="H365">
        <v>223</v>
      </c>
      <c r="I365">
        <v>0</v>
      </c>
      <c r="J365">
        <v>28212</v>
      </c>
      <c r="K365">
        <v>3</v>
      </c>
      <c r="L365">
        <v>19</v>
      </c>
      <c r="M365">
        <v>6892</v>
      </c>
      <c r="N365">
        <v>13</v>
      </c>
      <c r="O365">
        <v>554</v>
      </c>
      <c r="P365">
        <v>1639</v>
      </c>
      <c r="Q365">
        <v>106</v>
      </c>
      <c r="R365">
        <f>SUM(Table13[[#This Row],[Rank_All_Ranks_Total]:[Rank_SSPSPAddlSPCommandant]])</f>
        <v>80556</v>
      </c>
    </row>
    <row r="366" spans="1:18" x14ac:dyDescent="0.3">
      <c r="A366" t="s">
        <v>17</v>
      </c>
      <c r="B366">
        <v>2001</v>
      </c>
      <c r="C366" t="str">
        <f>_xlfn.CONCAT(Table13[[#This Row],[STATE]],"-",Table13[[#This Row],[Year]])</f>
        <v>Karnataka-2001</v>
      </c>
      <c r="D366" t="s">
        <v>66</v>
      </c>
      <c r="E366" t="s">
        <v>67</v>
      </c>
      <c r="F366">
        <v>49354</v>
      </c>
      <c r="G366">
        <v>2487</v>
      </c>
      <c r="H366">
        <v>171</v>
      </c>
      <c r="I366">
        <v>0</v>
      </c>
      <c r="J366">
        <v>33621</v>
      </c>
      <c r="K366">
        <v>2</v>
      </c>
      <c r="L366">
        <v>4</v>
      </c>
      <c r="M366">
        <v>10791</v>
      </c>
      <c r="N366">
        <v>3</v>
      </c>
      <c r="O366">
        <v>572</v>
      </c>
      <c r="P366">
        <v>1639</v>
      </c>
      <c r="Q366">
        <v>64</v>
      </c>
      <c r="R366">
        <f>SUM(Table13[[#This Row],[Rank_All_Ranks_Total]:[Rank_SSPSPAddlSPCommandant]])</f>
        <v>98708</v>
      </c>
    </row>
    <row r="367" spans="1:18" x14ac:dyDescent="0.3">
      <c r="A367" t="s">
        <v>18</v>
      </c>
      <c r="B367">
        <v>2001</v>
      </c>
      <c r="C367" t="str">
        <f>_xlfn.CONCAT(Table13[[#This Row],[STATE]],"-",Table13[[#This Row],[Year]])</f>
        <v>Kerala-2001</v>
      </c>
      <c r="D367" t="s">
        <v>66</v>
      </c>
      <c r="E367" t="s">
        <v>67</v>
      </c>
      <c r="F367">
        <v>35666</v>
      </c>
      <c r="G367">
        <v>1611</v>
      </c>
      <c r="H367">
        <v>255</v>
      </c>
      <c r="I367">
        <v>0</v>
      </c>
      <c r="J367">
        <v>24518</v>
      </c>
      <c r="K367">
        <v>6</v>
      </c>
      <c r="L367">
        <v>11</v>
      </c>
      <c r="M367">
        <v>7321</v>
      </c>
      <c r="N367">
        <v>6</v>
      </c>
      <c r="O367">
        <v>386</v>
      </c>
      <c r="P367">
        <v>1490</v>
      </c>
      <c r="Q367">
        <v>62</v>
      </c>
      <c r="R367">
        <f>SUM(Table13[[#This Row],[Rank_All_Ranks_Total]:[Rank_SSPSPAddlSPCommandant]])</f>
        <v>71332</v>
      </c>
    </row>
    <row r="368" spans="1:18" x14ac:dyDescent="0.3">
      <c r="A368" t="s">
        <v>39</v>
      </c>
      <c r="B368">
        <v>2001</v>
      </c>
      <c r="C368" t="str">
        <f>_xlfn.CONCAT(Table13[[#This Row],[STATE]],"-",Table13[[#This Row],[Year]])</f>
        <v>Lakshadweep-2001</v>
      </c>
      <c r="D368" t="s">
        <v>66</v>
      </c>
      <c r="E368" t="s">
        <v>67</v>
      </c>
      <c r="F368">
        <v>324</v>
      </c>
      <c r="G368">
        <v>26</v>
      </c>
      <c r="H368">
        <v>1</v>
      </c>
      <c r="I368">
        <v>0</v>
      </c>
      <c r="J368">
        <v>214</v>
      </c>
      <c r="K368">
        <v>0</v>
      </c>
      <c r="L368">
        <v>0</v>
      </c>
      <c r="M368">
        <v>60</v>
      </c>
      <c r="N368">
        <v>0</v>
      </c>
      <c r="O368">
        <v>4</v>
      </c>
      <c r="P368">
        <v>18</v>
      </c>
      <c r="Q368">
        <v>1</v>
      </c>
      <c r="R368">
        <f>SUM(Table13[[#This Row],[Rank_All_Ranks_Total]:[Rank_SSPSPAddlSPCommandant]])</f>
        <v>648</v>
      </c>
    </row>
    <row r="369" spans="1:18" x14ac:dyDescent="0.3">
      <c r="A369" t="s">
        <v>19</v>
      </c>
      <c r="B369">
        <v>2001</v>
      </c>
      <c r="C369" t="str">
        <f>_xlfn.CONCAT(Table13[[#This Row],[STATE]],"-",Table13[[#This Row],[Year]])</f>
        <v>Madhya Pradesh-2001</v>
      </c>
      <c r="D369" t="s">
        <v>66</v>
      </c>
      <c r="E369" t="s">
        <v>67</v>
      </c>
      <c r="F369">
        <v>69246</v>
      </c>
      <c r="G369">
        <v>5410</v>
      </c>
      <c r="H369">
        <v>587</v>
      </c>
      <c r="I369">
        <v>44513</v>
      </c>
      <c r="J369">
        <v>0</v>
      </c>
      <c r="K369">
        <v>25</v>
      </c>
      <c r="L369">
        <v>34</v>
      </c>
      <c r="M369">
        <v>12562</v>
      </c>
      <c r="N369">
        <v>20</v>
      </c>
      <c r="O369">
        <v>1883</v>
      </c>
      <c r="P369">
        <v>3999</v>
      </c>
      <c r="Q369">
        <v>213</v>
      </c>
      <c r="R369">
        <f>SUM(Table13[[#This Row],[Rank_All_Ranks_Total]:[Rank_SSPSPAddlSPCommandant]])</f>
        <v>138492</v>
      </c>
    </row>
    <row r="370" spans="1:18" x14ac:dyDescent="0.3">
      <c r="A370" t="s">
        <v>20</v>
      </c>
      <c r="B370">
        <v>2001</v>
      </c>
      <c r="C370" t="str">
        <f>_xlfn.CONCAT(Table13[[#This Row],[STATE]],"-",Table13[[#This Row],[Year]])</f>
        <v>Maharashtra-2001</v>
      </c>
      <c r="D370" t="s">
        <v>66</v>
      </c>
      <c r="E370" t="s">
        <v>67</v>
      </c>
      <c r="F370">
        <v>118076</v>
      </c>
      <c r="G370">
        <v>10275</v>
      </c>
      <c r="H370">
        <v>460</v>
      </c>
      <c r="I370">
        <v>18248</v>
      </c>
      <c r="J370">
        <v>56962</v>
      </c>
      <c r="K370">
        <v>24</v>
      </c>
      <c r="L370">
        <v>39</v>
      </c>
      <c r="M370">
        <v>23074</v>
      </c>
      <c r="N370">
        <v>36</v>
      </c>
      <c r="O370">
        <v>2315</v>
      </c>
      <c r="P370">
        <v>6454</v>
      </c>
      <c r="Q370">
        <v>189</v>
      </c>
      <c r="R370">
        <f>SUM(Table13[[#This Row],[Rank_All_Ranks_Total]:[Rank_SSPSPAddlSPCommandant]])</f>
        <v>236152</v>
      </c>
    </row>
    <row r="371" spans="1:18" x14ac:dyDescent="0.3">
      <c r="A371" t="s">
        <v>21</v>
      </c>
      <c r="B371">
        <v>2001</v>
      </c>
      <c r="C371" t="str">
        <f>_xlfn.CONCAT(Table13[[#This Row],[STATE]],"-",Table13[[#This Row],[Year]])</f>
        <v>Manipur-2001</v>
      </c>
      <c r="D371" t="s">
        <v>66</v>
      </c>
      <c r="E371" t="s">
        <v>67</v>
      </c>
      <c r="F371">
        <v>5075</v>
      </c>
      <c r="G371">
        <v>429</v>
      </c>
      <c r="H371">
        <v>52</v>
      </c>
      <c r="I371">
        <v>107</v>
      </c>
      <c r="J371">
        <v>3629</v>
      </c>
      <c r="K371">
        <v>2</v>
      </c>
      <c r="L371">
        <v>5</v>
      </c>
      <c r="M371">
        <v>318</v>
      </c>
      <c r="N371">
        <v>3</v>
      </c>
      <c r="O371">
        <v>96</v>
      </c>
      <c r="P371">
        <v>393</v>
      </c>
      <c r="Q371">
        <v>41</v>
      </c>
      <c r="R371">
        <f>SUM(Table13[[#This Row],[Rank_All_Ranks_Total]:[Rank_SSPSPAddlSPCommandant]])</f>
        <v>10150</v>
      </c>
    </row>
    <row r="372" spans="1:18" x14ac:dyDescent="0.3">
      <c r="A372" t="s">
        <v>22</v>
      </c>
      <c r="B372">
        <v>2001</v>
      </c>
      <c r="C372" t="str">
        <f>_xlfn.CONCAT(Table13[[#This Row],[STATE]],"-",Table13[[#This Row],[Year]])</f>
        <v>Meghalaya-2001</v>
      </c>
      <c r="D372" t="s">
        <v>66</v>
      </c>
      <c r="E372" t="s">
        <v>67</v>
      </c>
      <c r="F372">
        <v>5745</v>
      </c>
      <c r="G372">
        <v>494</v>
      </c>
      <c r="H372">
        <v>18</v>
      </c>
      <c r="I372">
        <v>96</v>
      </c>
      <c r="J372">
        <v>4261</v>
      </c>
      <c r="K372">
        <v>2</v>
      </c>
      <c r="L372">
        <v>3</v>
      </c>
      <c r="M372">
        <v>409</v>
      </c>
      <c r="N372">
        <v>5</v>
      </c>
      <c r="O372">
        <v>88</v>
      </c>
      <c r="P372">
        <v>345</v>
      </c>
      <c r="Q372">
        <v>24</v>
      </c>
      <c r="R372">
        <f>SUM(Table13[[#This Row],[Rank_All_Ranks_Total]:[Rank_SSPSPAddlSPCommandant]])</f>
        <v>11490</v>
      </c>
    </row>
    <row r="373" spans="1:18" x14ac:dyDescent="0.3">
      <c r="A373" t="s">
        <v>23</v>
      </c>
      <c r="B373">
        <v>2001</v>
      </c>
      <c r="C373" t="str">
        <f>_xlfn.CONCAT(Table13[[#This Row],[STATE]],"-",Table13[[#This Row],[Year]])</f>
        <v>Mizoram-2001</v>
      </c>
      <c r="D373" t="s">
        <v>66</v>
      </c>
      <c r="E373" t="s">
        <v>67</v>
      </c>
      <c r="F373">
        <v>2686</v>
      </c>
      <c r="G373">
        <v>302</v>
      </c>
      <c r="H373">
        <v>38</v>
      </c>
      <c r="I373">
        <v>188</v>
      </c>
      <c r="J373">
        <v>1333</v>
      </c>
      <c r="K373">
        <v>1</v>
      </c>
      <c r="L373">
        <v>3</v>
      </c>
      <c r="M373">
        <v>487</v>
      </c>
      <c r="N373">
        <v>1</v>
      </c>
      <c r="O373">
        <v>88</v>
      </c>
      <c r="P373">
        <v>220</v>
      </c>
      <c r="Q373">
        <v>25</v>
      </c>
      <c r="R373">
        <f>SUM(Table13[[#This Row],[Rank_All_Ranks_Total]:[Rank_SSPSPAddlSPCommandant]])</f>
        <v>5372</v>
      </c>
    </row>
    <row r="374" spans="1:18" x14ac:dyDescent="0.3">
      <c r="A374" t="s">
        <v>24</v>
      </c>
      <c r="B374">
        <v>2001</v>
      </c>
      <c r="C374" t="str">
        <f>_xlfn.CONCAT(Table13[[#This Row],[STATE]],"-",Table13[[#This Row],[Year]])</f>
        <v>Nagaland-2001</v>
      </c>
      <c r="D374" t="s">
        <v>66</v>
      </c>
      <c r="E374" t="s">
        <v>67</v>
      </c>
      <c r="F374">
        <v>4987</v>
      </c>
      <c r="G374">
        <v>196</v>
      </c>
      <c r="H374">
        <v>24</v>
      </c>
      <c r="I374">
        <v>470</v>
      </c>
      <c r="J374">
        <v>3591</v>
      </c>
      <c r="K374">
        <v>3</v>
      </c>
      <c r="L374">
        <v>7</v>
      </c>
      <c r="M374">
        <v>425</v>
      </c>
      <c r="N374">
        <v>5</v>
      </c>
      <c r="O374">
        <v>42</v>
      </c>
      <c r="P374">
        <v>194</v>
      </c>
      <c r="Q374">
        <v>30</v>
      </c>
      <c r="R374">
        <f>SUM(Table13[[#This Row],[Rank_All_Ranks_Total]:[Rank_SSPSPAddlSPCommandant]])</f>
        <v>9974</v>
      </c>
    </row>
    <row r="375" spans="1:18" x14ac:dyDescent="0.3">
      <c r="A375" t="s">
        <v>63</v>
      </c>
      <c r="B375">
        <v>2001</v>
      </c>
      <c r="C375" t="str">
        <f>_xlfn.CONCAT(Table13[[#This Row],[STATE]],"-",Table13[[#This Row],[Year]])</f>
        <v>Odisha-2001</v>
      </c>
      <c r="D375" t="s">
        <v>66</v>
      </c>
      <c r="E375" t="s">
        <v>67</v>
      </c>
      <c r="F375">
        <v>26601</v>
      </c>
      <c r="G375">
        <v>2417</v>
      </c>
      <c r="H375">
        <v>165</v>
      </c>
      <c r="I375">
        <v>315</v>
      </c>
      <c r="J375">
        <v>18503</v>
      </c>
      <c r="K375">
        <v>7</v>
      </c>
      <c r="L375">
        <v>17</v>
      </c>
      <c r="M375">
        <v>2527</v>
      </c>
      <c r="N375">
        <v>13</v>
      </c>
      <c r="O375">
        <v>528</v>
      </c>
      <c r="P375">
        <v>2001</v>
      </c>
      <c r="Q375">
        <v>108</v>
      </c>
      <c r="R375">
        <f>SUM(Table13[[#This Row],[Rank_All_Ranks_Total]:[Rank_SSPSPAddlSPCommandant]])</f>
        <v>53202</v>
      </c>
    </row>
    <row r="376" spans="1:18" x14ac:dyDescent="0.3">
      <c r="A376" t="s">
        <v>64</v>
      </c>
      <c r="B376">
        <v>2001</v>
      </c>
      <c r="C376" t="str">
        <f>_xlfn.CONCAT(Table13[[#This Row],[STATE]],"-",Table13[[#This Row],[Year]])</f>
        <v>Puducherry-2001</v>
      </c>
      <c r="D376" t="s">
        <v>66</v>
      </c>
      <c r="E376" t="s">
        <v>67</v>
      </c>
      <c r="F376">
        <v>921</v>
      </c>
      <c r="G376">
        <v>21</v>
      </c>
      <c r="H376">
        <v>16</v>
      </c>
      <c r="I376">
        <v>0</v>
      </c>
      <c r="J376">
        <v>677</v>
      </c>
      <c r="K376">
        <v>0</v>
      </c>
      <c r="L376">
        <v>0</v>
      </c>
      <c r="M376">
        <v>125</v>
      </c>
      <c r="N376">
        <v>1</v>
      </c>
      <c r="O376">
        <v>29</v>
      </c>
      <c r="P376">
        <v>50</v>
      </c>
      <c r="Q376">
        <v>2</v>
      </c>
      <c r="R376">
        <f>SUM(Table13[[#This Row],[Rank_All_Ranks_Total]:[Rank_SSPSPAddlSPCommandant]])</f>
        <v>1842</v>
      </c>
    </row>
    <row r="377" spans="1:18" x14ac:dyDescent="0.3">
      <c r="A377" t="s">
        <v>26</v>
      </c>
      <c r="B377">
        <v>2001</v>
      </c>
      <c r="C377" t="str">
        <f>_xlfn.CONCAT(Table13[[#This Row],[STATE]],"-",Table13[[#This Row],[Year]])</f>
        <v>Punjab-2001</v>
      </c>
      <c r="D377" t="s">
        <v>66</v>
      </c>
      <c r="E377" t="s">
        <v>67</v>
      </c>
      <c r="F377">
        <v>51715</v>
      </c>
      <c r="G377">
        <v>3588</v>
      </c>
      <c r="H377">
        <v>295</v>
      </c>
      <c r="I377">
        <v>0</v>
      </c>
      <c r="J377">
        <v>36539</v>
      </c>
      <c r="K377">
        <v>13</v>
      </c>
      <c r="L377">
        <v>13</v>
      </c>
      <c r="M377">
        <v>9301</v>
      </c>
      <c r="N377">
        <v>17</v>
      </c>
      <c r="O377">
        <v>442</v>
      </c>
      <c r="P377">
        <v>1361</v>
      </c>
      <c r="Q377">
        <v>146</v>
      </c>
      <c r="R377">
        <f>SUM(Table13[[#This Row],[Rank_All_Ranks_Total]:[Rank_SSPSPAddlSPCommandant]])</f>
        <v>103430</v>
      </c>
    </row>
    <row r="378" spans="1:18" x14ac:dyDescent="0.3">
      <c r="A378" t="s">
        <v>27</v>
      </c>
      <c r="B378">
        <v>2001</v>
      </c>
      <c r="C378" t="str">
        <f>_xlfn.CONCAT(Table13[[#This Row],[STATE]],"-",Table13[[#This Row],[Year]])</f>
        <v>Rajasthan-2001</v>
      </c>
      <c r="D378" t="s">
        <v>66</v>
      </c>
      <c r="E378" t="s">
        <v>67</v>
      </c>
      <c r="F378">
        <v>51805</v>
      </c>
      <c r="G378">
        <v>3351</v>
      </c>
      <c r="H378">
        <v>334</v>
      </c>
      <c r="I378">
        <v>0</v>
      </c>
      <c r="J378">
        <v>38802</v>
      </c>
      <c r="K378">
        <v>5</v>
      </c>
      <c r="L378">
        <v>19</v>
      </c>
      <c r="M378">
        <v>6158</v>
      </c>
      <c r="N378">
        <v>12</v>
      </c>
      <c r="O378">
        <v>709</v>
      </c>
      <c r="P378">
        <v>2246</v>
      </c>
      <c r="Q378">
        <v>169</v>
      </c>
      <c r="R378">
        <f>SUM(Table13[[#This Row],[Rank_All_Ranks_Total]:[Rank_SSPSPAddlSPCommandant]])</f>
        <v>103610</v>
      </c>
    </row>
    <row r="379" spans="1:18" x14ac:dyDescent="0.3">
      <c r="A379" t="s">
        <v>28</v>
      </c>
      <c r="B379">
        <v>2001</v>
      </c>
      <c r="C379" t="str">
        <f>_xlfn.CONCAT(Table13[[#This Row],[STATE]],"-",Table13[[#This Row],[Year]])</f>
        <v>Sikkim-2001</v>
      </c>
      <c r="D379" t="s">
        <v>66</v>
      </c>
      <c r="E379" t="s">
        <v>67</v>
      </c>
      <c r="F379">
        <v>2776</v>
      </c>
      <c r="G379">
        <v>0</v>
      </c>
      <c r="H379">
        <v>25</v>
      </c>
      <c r="I379">
        <v>2445</v>
      </c>
      <c r="J379">
        <v>0</v>
      </c>
      <c r="K379">
        <v>3</v>
      </c>
      <c r="L379">
        <v>2</v>
      </c>
      <c r="M379">
        <v>0</v>
      </c>
      <c r="N379">
        <v>6</v>
      </c>
      <c r="O379">
        <v>51</v>
      </c>
      <c r="P379">
        <v>218</v>
      </c>
      <c r="Q379">
        <v>26</v>
      </c>
      <c r="R379">
        <f>SUM(Table13[[#This Row],[Rank_All_Ranks_Total]:[Rank_SSPSPAddlSPCommandant]])</f>
        <v>5552</v>
      </c>
    </row>
    <row r="380" spans="1:18" x14ac:dyDescent="0.3">
      <c r="A380" t="s">
        <v>42</v>
      </c>
      <c r="B380">
        <v>2001</v>
      </c>
      <c r="C380" t="str">
        <f>_xlfn.CONCAT(Table13[[#This Row],[STATE]],"-",Table13[[#This Row],[Year]])</f>
        <v>Tamil Nadu-2001</v>
      </c>
      <c r="D380" t="s">
        <v>66</v>
      </c>
      <c r="E380" t="s">
        <v>67</v>
      </c>
      <c r="F380">
        <v>69517</v>
      </c>
      <c r="G380">
        <v>0</v>
      </c>
      <c r="H380">
        <v>533</v>
      </c>
      <c r="I380">
        <v>26140</v>
      </c>
      <c r="J380">
        <v>24293</v>
      </c>
      <c r="K380">
        <v>20</v>
      </c>
      <c r="L380">
        <v>29</v>
      </c>
      <c r="M380">
        <v>10787</v>
      </c>
      <c r="N380">
        <v>19</v>
      </c>
      <c r="O380">
        <v>2365</v>
      </c>
      <c r="P380">
        <v>5164</v>
      </c>
      <c r="Q380">
        <v>167</v>
      </c>
      <c r="R380">
        <f>SUM(Table13[[#This Row],[Rank_All_Ranks_Total]:[Rank_SSPSPAddlSPCommandant]])</f>
        <v>139034</v>
      </c>
    </row>
    <row r="381" spans="1:18" x14ac:dyDescent="0.3">
      <c r="A381" t="s">
        <v>30</v>
      </c>
      <c r="B381">
        <v>2001</v>
      </c>
      <c r="C381" t="str">
        <f>_xlfn.CONCAT(Table13[[#This Row],[STATE]],"-",Table13[[#This Row],[Year]])</f>
        <v>Tripura-2001</v>
      </c>
      <c r="D381" t="s">
        <v>66</v>
      </c>
      <c r="E381" t="s">
        <v>67</v>
      </c>
      <c r="F381">
        <v>8130</v>
      </c>
      <c r="G381">
        <v>406</v>
      </c>
      <c r="H381">
        <v>108</v>
      </c>
      <c r="I381">
        <v>271</v>
      </c>
      <c r="J381">
        <v>5911</v>
      </c>
      <c r="K381">
        <v>2</v>
      </c>
      <c r="L381">
        <v>9</v>
      </c>
      <c r="M381">
        <v>692</v>
      </c>
      <c r="N381">
        <v>3</v>
      </c>
      <c r="O381">
        <v>135</v>
      </c>
      <c r="P381">
        <v>559</v>
      </c>
      <c r="Q381">
        <v>34</v>
      </c>
      <c r="R381">
        <f>SUM(Table13[[#This Row],[Rank_All_Ranks_Total]:[Rank_SSPSPAddlSPCommandant]])</f>
        <v>16260</v>
      </c>
    </row>
    <row r="382" spans="1:18" x14ac:dyDescent="0.3">
      <c r="A382" t="s">
        <v>31</v>
      </c>
      <c r="B382">
        <v>2001</v>
      </c>
      <c r="C382" t="str">
        <f>_xlfn.CONCAT(Table13[[#This Row],[STATE]],"-",Table13[[#This Row],[Year]])</f>
        <v>Uttar Pradesh-2001</v>
      </c>
      <c r="D382" t="s">
        <v>66</v>
      </c>
      <c r="E382" t="s">
        <v>67</v>
      </c>
      <c r="F382">
        <v>123050</v>
      </c>
      <c r="G382">
        <v>0</v>
      </c>
      <c r="H382">
        <v>936</v>
      </c>
      <c r="I382">
        <v>0</v>
      </c>
      <c r="J382">
        <v>93259</v>
      </c>
      <c r="K382">
        <v>24</v>
      </c>
      <c r="L382">
        <v>47</v>
      </c>
      <c r="M382">
        <v>16247</v>
      </c>
      <c r="N382">
        <v>56</v>
      </c>
      <c r="O382">
        <v>1042</v>
      </c>
      <c r="P382">
        <v>11249</v>
      </c>
      <c r="Q382">
        <v>190</v>
      </c>
      <c r="R382">
        <f>SUM(Table13[[#This Row],[Rank_All_Ranks_Total]:[Rank_SSPSPAddlSPCommandant]])</f>
        <v>246100</v>
      </c>
    </row>
    <row r="383" spans="1:18" x14ac:dyDescent="0.3">
      <c r="A383" t="s">
        <v>65</v>
      </c>
      <c r="B383">
        <v>2001</v>
      </c>
      <c r="C383" t="str">
        <f>_xlfn.CONCAT(Table13[[#This Row],[STATE]],"-",Table13[[#This Row],[Year]])</f>
        <v>Uttarakhand-2001</v>
      </c>
      <c r="D383" t="s">
        <v>66</v>
      </c>
      <c r="E383" t="s">
        <v>67</v>
      </c>
      <c r="F383">
        <v>9531</v>
      </c>
      <c r="G383">
        <v>0</v>
      </c>
      <c r="H383">
        <v>56</v>
      </c>
      <c r="I383">
        <v>0</v>
      </c>
      <c r="J383">
        <v>7735</v>
      </c>
      <c r="K383">
        <v>2</v>
      </c>
      <c r="L383">
        <v>3</v>
      </c>
      <c r="M383">
        <v>1149</v>
      </c>
      <c r="N383">
        <v>4</v>
      </c>
      <c r="O383">
        <v>38</v>
      </c>
      <c r="P383">
        <v>523</v>
      </c>
      <c r="Q383">
        <v>21</v>
      </c>
      <c r="R383">
        <f>SUM(Table13[[#This Row],[Rank_All_Ranks_Total]:[Rank_SSPSPAddlSPCommandant]])</f>
        <v>19062</v>
      </c>
    </row>
    <row r="384" spans="1:18" x14ac:dyDescent="0.3">
      <c r="A384" t="s">
        <v>33</v>
      </c>
      <c r="B384">
        <v>2001</v>
      </c>
      <c r="C384" t="str">
        <f>_xlfn.CONCAT(Table13[[#This Row],[STATE]],"-",Table13[[#This Row],[Year]])</f>
        <v>West Bengal-2001</v>
      </c>
      <c r="D384" t="s">
        <v>66</v>
      </c>
      <c r="E384" t="s">
        <v>67</v>
      </c>
      <c r="F384">
        <v>61579</v>
      </c>
      <c r="G384">
        <v>6568</v>
      </c>
      <c r="H384">
        <v>287</v>
      </c>
      <c r="I384">
        <v>1610</v>
      </c>
      <c r="J384">
        <v>43149</v>
      </c>
      <c r="K384">
        <v>21</v>
      </c>
      <c r="L384">
        <v>30</v>
      </c>
      <c r="M384">
        <v>2768</v>
      </c>
      <c r="N384">
        <v>38</v>
      </c>
      <c r="O384">
        <v>1056</v>
      </c>
      <c r="P384">
        <v>5935</v>
      </c>
      <c r="Q384">
        <v>117</v>
      </c>
      <c r="R384">
        <f>SUM(Table13[[#This Row],[Rank_All_Ranks_Total]:[Rank_SSPSPAddlSPCommandant]])</f>
        <v>123158</v>
      </c>
    </row>
    <row r="385" spans="1:18" x14ac:dyDescent="0.3">
      <c r="A385" t="s">
        <v>59</v>
      </c>
      <c r="B385">
        <v>2002</v>
      </c>
      <c r="C385" t="str">
        <f>_xlfn.CONCAT(Table13[[#This Row],[STATE]],"-",Table13[[#This Row],[Year]])</f>
        <v>Andaman &amp; Nicobar Islands-2002</v>
      </c>
      <c r="D385" t="s">
        <v>66</v>
      </c>
      <c r="E385" t="s">
        <v>67</v>
      </c>
      <c r="F385">
        <v>2234</v>
      </c>
      <c r="G385">
        <v>194</v>
      </c>
      <c r="H385">
        <v>13</v>
      </c>
      <c r="I385">
        <v>0</v>
      </c>
      <c r="J385">
        <v>1478</v>
      </c>
      <c r="K385">
        <v>0</v>
      </c>
      <c r="L385">
        <v>0</v>
      </c>
      <c r="M385">
        <v>403</v>
      </c>
      <c r="N385">
        <v>1</v>
      </c>
      <c r="O385">
        <v>30</v>
      </c>
      <c r="P385">
        <v>113</v>
      </c>
      <c r="Q385">
        <v>2</v>
      </c>
      <c r="R385">
        <f>SUM(Table13[[#This Row],[Rank_All_Ranks_Total]:[Rank_SSPSPAddlSPCommandant]])</f>
        <v>4468</v>
      </c>
    </row>
    <row r="386" spans="1:18" x14ac:dyDescent="0.3">
      <c r="A386" t="s">
        <v>6</v>
      </c>
      <c r="B386">
        <v>2002</v>
      </c>
      <c r="C386" t="str">
        <f>_xlfn.CONCAT(Table13[[#This Row],[STATE]],"-",Table13[[#This Row],[Year]])</f>
        <v>Andhra Pradesh-2002</v>
      </c>
      <c r="D386" t="s">
        <v>66</v>
      </c>
      <c r="E386" t="s">
        <v>67</v>
      </c>
      <c r="F386">
        <v>47961</v>
      </c>
      <c r="G386">
        <v>2046</v>
      </c>
      <c r="H386">
        <v>253</v>
      </c>
      <c r="I386">
        <v>0</v>
      </c>
      <c r="J386">
        <v>35201</v>
      </c>
      <c r="K386">
        <v>12</v>
      </c>
      <c r="L386">
        <v>23</v>
      </c>
      <c r="M386">
        <v>6478</v>
      </c>
      <c r="N386">
        <v>23</v>
      </c>
      <c r="O386">
        <v>877</v>
      </c>
      <c r="P386">
        <v>2930</v>
      </c>
      <c r="Q386">
        <v>118</v>
      </c>
      <c r="R386">
        <f>SUM(Table13[[#This Row],[Rank_All_Ranks_Total]:[Rank_SSPSPAddlSPCommandant]])</f>
        <v>95922</v>
      </c>
    </row>
    <row r="387" spans="1:18" x14ac:dyDescent="0.3">
      <c r="A387" t="s">
        <v>7</v>
      </c>
      <c r="B387">
        <v>2002</v>
      </c>
      <c r="C387" t="str">
        <f>_xlfn.CONCAT(Table13[[#This Row],[STATE]],"-",Table13[[#This Row],[Year]])</f>
        <v>Arunachal Pradesh-2002</v>
      </c>
      <c r="D387" t="s">
        <v>66</v>
      </c>
      <c r="E387" t="s">
        <v>67</v>
      </c>
      <c r="F387">
        <v>3191</v>
      </c>
      <c r="G387">
        <v>143</v>
      </c>
      <c r="H387">
        <v>40</v>
      </c>
      <c r="I387">
        <v>0</v>
      </c>
      <c r="J387">
        <v>2287</v>
      </c>
      <c r="K387">
        <v>1</v>
      </c>
      <c r="L387">
        <v>3</v>
      </c>
      <c r="M387">
        <v>345</v>
      </c>
      <c r="N387">
        <v>1</v>
      </c>
      <c r="O387">
        <v>43</v>
      </c>
      <c r="P387">
        <v>309</v>
      </c>
      <c r="Q387">
        <v>19</v>
      </c>
      <c r="R387">
        <f>SUM(Table13[[#This Row],[Rank_All_Ranks_Total]:[Rank_SSPSPAddlSPCommandant]])</f>
        <v>6382</v>
      </c>
    </row>
    <row r="388" spans="1:18" x14ac:dyDescent="0.3">
      <c r="A388" t="s">
        <v>8</v>
      </c>
      <c r="B388">
        <v>2002</v>
      </c>
      <c r="C388" t="str">
        <f>_xlfn.CONCAT(Table13[[#This Row],[STATE]],"-",Table13[[#This Row],[Year]])</f>
        <v>Assam-2002</v>
      </c>
      <c r="D388" t="s">
        <v>66</v>
      </c>
      <c r="E388" t="s">
        <v>67</v>
      </c>
      <c r="F388">
        <v>29652</v>
      </c>
      <c r="G388">
        <v>1729</v>
      </c>
      <c r="H388">
        <v>135</v>
      </c>
      <c r="I388">
        <v>891</v>
      </c>
      <c r="J388">
        <v>21734</v>
      </c>
      <c r="K388">
        <v>7</v>
      </c>
      <c r="L388">
        <v>16</v>
      </c>
      <c r="M388">
        <v>1796</v>
      </c>
      <c r="N388">
        <v>11</v>
      </c>
      <c r="O388">
        <v>487</v>
      </c>
      <c r="P388">
        <v>2712</v>
      </c>
      <c r="Q388">
        <v>134</v>
      </c>
      <c r="R388">
        <f>SUM(Table13[[#This Row],[Rank_All_Ranks_Total]:[Rank_SSPSPAddlSPCommandant]])</f>
        <v>59304</v>
      </c>
    </row>
    <row r="389" spans="1:18" x14ac:dyDescent="0.3">
      <c r="A389" t="s">
        <v>9</v>
      </c>
      <c r="B389">
        <v>2002</v>
      </c>
      <c r="C389" t="str">
        <f>_xlfn.CONCAT(Table13[[#This Row],[STATE]],"-",Table13[[#This Row],[Year]])</f>
        <v>Bihar-2002</v>
      </c>
      <c r="D389" t="s">
        <v>66</v>
      </c>
      <c r="E389" t="s">
        <v>67</v>
      </c>
      <c r="F389">
        <v>48968</v>
      </c>
      <c r="G389">
        <v>4271</v>
      </c>
      <c r="H389">
        <v>237</v>
      </c>
      <c r="I389">
        <v>0</v>
      </c>
      <c r="J389">
        <v>34407</v>
      </c>
      <c r="K389">
        <v>8</v>
      </c>
      <c r="L389">
        <v>41</v>
      </c>
      <c r="M389">
        <v>7410</v>
      </c>
      <c r="N389">
        <v>17</v>
      </c>
      <c r="O389">
        <v>564</v>
      </c>
      <c r="P389">
        <v>1873</v>
      </c>
      <c r="Q389">
        <v>140</v>
      </c>
      <c r="R389">
        <f>SUM(Table13[[#This Row],[Rank_All_Ranks_Total]:[Rank_SSPSPAddlSPCommandant]])</f>
        <v>97936</v>
      </c>
    </row>
    <row r="390" spans="1:18" x14ac:dyDescent="0.3">
      <c r="A390" t="s">
        <v>35</v>
      </c>
      <c r="B390">
        <v>2002</v>
      </c>
      <c r="C390" t="str">
        <f>_xlfn.CONCAT(Table13[[#This Row],[STATE]],"-",Table13[[#This Row],[Year]])</f>
        <v>Chandigarh-2002</v>
      </c>
      <c r="D390" t="s">
        <v>66</v>
      </c>
      <c r="E390" t="s">
        <v>67</v>
      </c>
      <c r="F390">
        <v>3539</v>
      </c>
      <c r="G390">
        <v>188</v>
      </c>
      <c r="H390">
        <v>11</v>
      </c>
      <c r="I390">
        <v>0</v>
      </c>
      <c r="J390">
        <v>2274</v>
      </c>
      <c r="K390">
        <v>0</v>
      </c>
      <c r="L390">
        <v>1</v>
      </c>
      <c r="M390">
        <v>775</v>
      </c>
      <c r="N390">
        <v>1</v>
      </c>
      <c r="O390">
        <v>48</v>
      </c>
      <c r="P390">
        <v>237</v>
      </c>
      <c r="Q390">
        <v>4</v>
      </c>
      <c r="R390">
        <f>SUM(Table13[[#This Row],[Rank_All_Ranks_Total]:[Rank_SSPSPAddlSPCommandant]])</f>
        <v>7078</v>
      </c>
    </row>
    <row r="391" spans="1:18" x14ac:dyDescent="0.3">
      <c r="A391" t="s">
        <v>10</v>
      </c>
      <c r="B391">
        <v>2002</v>
      </c>
      <c r="C391" t="str">
        <f>_xlfn.CONCAT(Table13[[#This Row],[STATE]],"-",Table13[[#This Row],[Year]])</f>
        <v>Chhattisgarh-2002</v>
      </c>
      <c r="D391" t="s">
        <v>66</v>
      </c>
      <c r="E391" t="s">
        <v>67</v>
      </c>
      <c r="F391">
        <v>10909</v>
      </c>
      <c r="G391">
        <v>505</v>
      </c>
      <c r="H391">
        <v>69</v>
      </c>
      <c r="I391">
        <v>0</v>
      </c>
      <c r="J391">
        <v>7255</v>
      </c>
      <c r="K391">
        <v>0</v>
      </c>
      <c r="L391">
        <v>0</v>
      </c>
      <c r="M391">
        <v>2274</v>
      </c>
      <c r="N391">
        <v>4</v>
      </c>
      <c r="O391">
        <v>140</v>
      </c>
      <c r="P391">
        <v>636</v>
      </c>
      <c r="Q391">
        <v>26</v>
      </c>
      <c r="R391">
        <f>SUM(Table13[[#This Row],[Rank_All_Ranks_Total]:[Rank_SSPSPAddlSPCommandant]])</f>
        <v>21818</v>
      </c>
    </row>
    <row r="392" spans="1:18" x14ac:dyDescent="0.3">
      <c r="A392" t="s">
        <v>62</v>
      </c>
      <c r="B392">
        <v>2002</v>
      </c>
      <c r="C392" t="str">
        <f>_xlfn.CONCAT(Table13[[#This Row],[STATE]],"-",Table13[[#This Row],[Year]])</f>
        <v>Dadra &amp; Nagar Haveli-2002</v>
      </c>
      <c r="D392" t="s">
        <v>66</v>
      </c>
      <c r="E392" t="s">
        <v>67</v>
      </c>
      <c r="F392">
        <v>135</v>
      </c>
      <c r="G392">
        <v>1</v>
      </c>
      <c r="H392">
        <v>1</v>
      </c>
      <c r="I392">
        <v>0</v>
      </c>
      <c r="J392">
        <v>90</v>
      </c>
      <c r="K392">
        <v>0</v>
      </c>
      <c r="L392">
        <v>0</v>
      </c>
      <c r="M392">
        <v>32</v>
      </c>
      <c r="N392">
        <v>0</v>
      </c>
      <c r="O392">
        <v>0</v>
      </c>
      <c r="P392">
        <v>11</v>
      </c>
      <c r="Q392">
        <v>0</v>
      </c>
      <c r="R392">
        <f>SUM(Table13[[#This Row],[Rank_All_Ranks_Total]:[Rank_SSPSPAddlSPCommandant]])</f>
        <v>270</v>
      </c>
    </row>
    <row r="393" spans="1:18" x14ac:dyDescent="0.3">
      <c r="A393" t="s">
        <v>37</v>
      </c>
      <c r="B393">
        <v>2002</v>
      </c>
      <c r="C393" t="str">
        <f>_xlfn.CONCAT(Table13[[#This Row],[STATE]],"-",Table13[[#This Row],[Year]])</f>
        <v>Daman &amp; Diu-2002</v>
      </c>
      <c r="D393" t="s">
        <v>66</v>
      </c>
      <c r="E393" t="s">
        <v>67</v>
      </c>
      <c r="F393">
        <v>248</v>
      </c>
      <c r="G393">
        <v>11</v>
      </c>
      <c r="H393">
        <v>2</v>
      </c>
      <c r="I393">
        <v>0</v>
      </c>
      <c r="J393">
        <v>180</v>
      </c>
      <c r="K393">
        <v>0</v>
      </c>
      <c r="L393">
        <v>0</v>
      </c>
      <c r="M393">
        <v>41</v>
      </c>
      <c r="N393">
        <v>0</v>
      </c>
      <c r="O393">
        <v>4</v>
      </c>
      <c r="P393">
        <v>9</v>
      </c>
      <c r="Q393">
        <v>1</v>
      </c>
      <c r="R393">
        <f>SUM(Table13[[#This Row],[Rank_All_Ranks_Total]:[Rank_SSPSPAddlSPCommandant]])</f>
        <v>496</v>
      </c>
    </row>
    <row r="394" spans="1:18" x14ac:dyDescent="0.3">
      <c r="A394" t="s">
        <v>38</v>
      </c>
      <c r="B394">
        <v>2002</v>
      </c>
      <c r="C394" t="str">
        <f>_xlfn.CONCAT(Table13[[#This Row],[STATE]],"-",Table13[[#This Row],[Year]])</f>
        <v>Delhi-2002</v>
      </c>
      <c r="D394" t="s">
        <v>66</v>
      </c>
      <c r="E394" t="s">
        <v>67</v>
      </c>
      <c r="F394">
        <v>44587</v>
      </c>
      <c r="G394">
        <v>5131</v>
      </c>
      <c r="H394">
        <v>228</v>
      </c>
      <c r="I394">
        <v>0</v>
      </c>
      <c r="J394">
        <v>23448</v>
      </c>
      <c r="K394">
        <v>3</v>
      </c>
      <c r="L394">
        <v>6</v>
      </c>
      <c r="M394">
        <v>11225</v>
      </c>
      <c r="N394">
        <v>16</v>
      </c>
      <c r="O394">
        <v>906</v>
      </c>
      <c r="P394">
        <v>3569</v>
      </c>
      <c r="Q394">
        <v>55</v>
      </c>
      <c r="R394">
        <f>SUM(Table13[[#This Row],[Rank_All_Ranks_Total]:[Rank_SSPSPAddlSPCommandant]])</f>
        <v>89174</v>
      </c>
    </row>
    <row r="395" spans="1:18" x14ac:dyDescent="0.3">
      <c r="A395" t="s">
        <v>11</v>
      </c>
      <c r="B395">
        <v>2002</v>
      </c>
      <c r="C395" t="str">
        <f>_xlfn.CONCAT(Table13[[#This Row],[STATE]],"-",Table13[[#This Row],[Year]])</f>
        <v>Goa-2002</v>
      </c>
      <c r="D395" t="s">
        <v>66</v>
      </c>
      <c r="E395" t="s">
        <v>67</v>
      </c>
      <c r="F395">
        <v>2969</v>
      </c>
      <c r="G395">
        <v>118</v>
      </c>
      <c r="H395">
        <v>20</v>
      </c>
      <c r="I395">
        <v>0</v>
      </c>
      <c r="J395">
        <v>2116</v>
      </c>
      <c r="K395">
        <v>1</v>
      </c>
      <c r="L395">
        <v>1</v>
      </c>
      <c r="M395">
        <v>569</v>
      </c>
      <c r="N395">
        <v>0</v>
      </c>
      <c r="O395">
        <v>45</v>
      </c>
      <c r="P395">
        <v>93</v>
      </c>
      <c r="Q395">
        <v>6</v>
      </c>
      <c r="R395">
        <f>SUM(Table13[[#This Row],[Rank_All_Ranks_Total]:[Rank_SSPSPAddlSPCommandant]])</f>
        <v>5938</v>
      </c>
    </row>
    <row r="396" spans="1:18" x14ac:dyDescent="0.3">
      <c r="A396" t="s">
        <v>12</v>
      </c>
      <c r="B396">
        <v>2002</v>
      </c>
      <c r="C396" t="str">
        <f>_xlfn.CONCAT(Table13[[#This Row],[STATE]],"-",Table13[[#This Row],[Year]])</f>
        <v>Gujarat-2002</v>
      </c>
      <c r="D396" t="s">
        <v>66</v>
      </c>
      <c r="E396" t="s">
        <v>67</v>
      </c>
      <c r="F396">
        <v>47750</v>
      </c>
      <c r="G396">
        <v>6213</v>
      </c>
      <c r="H396">
        <v>164</v>
      </c>
      <c r="I396">
        <v>0</v>
      </c>
      <c r="J396">
        <v>29950</v>
      </c>
      <c r="K396">
        <v>17</v>
      </c>
      <c r="L396">
        <v>13</v>
      </c>
      <c r="M396">
        <v>9019</v>
      </c>
      <c r="N396">
        <v>26</v>
      </c>
      <c r="O396">
        <v>674</v>
      </c>
      <c r="P396">
        <v>1610</v>
      </c>
      <c r="Q396">
        <v>64</v>
      </c>
      <c r="R396">
        <f>SUM(Table13[[#This Row],[Rank_All_Ranks_Total]:[Rank_SSPSPAddlSPCommandant]])</f>
        <v>95500</v>
      </c>
    </row>
    <row r="397" spans="1:18" x14ac:dyDescent="0.3">
      <c r="A397" t="s">
        <v>13</v>
      </c>
      <c r="B397">
        <v>2002</v>
      </c>
      <c r="C397" t="str">
        <f>_xlfn.CONCAT(Table13[[#This Row],[STATE]],"-",Table13[[#This Row],[Year]])</f>
        <v>Haryana-2002</v>
      </c>
      <c r="D397" t="s">
        <v>66</v>
      </c>
      <c r="E397" t="s">
        <v>67</v>
      </c>
      <c r="F397">
        <v>27754</v>
      </c>
      <c r="G397">
        <v>2043</v>
      </c>
      <c r="H397">
        <v>99</v>
      </c>
      <c r="I397">
        <v>0</v>
      </c>
      <c r="J397">
        <v>17190</v>
      </c>
      <c r="K397">
        <v>5</v>
      </c>
      <c r="L397">
        <v>18</v>
      </c>
      <c r="M397">
        <v>7010</v>
      </c>
      <c r="N397">
        <v>22</v>
      </c>
      <c r="O397">
        <v>330</v>
      </c>
      <c r="P397">
        <v>977</v>
      </c>
      <c r="Q397">
        <v>60</v>
      </c>
      <c r="R397">
        <f>SUM(Table13[[#This Row],[Rank_All_Ranks_Total]:[Rank_SSPSPAddlSPCommandant]])</f>
        <v>55508</v>
      </c>
    </row>
    <row r="398" spans="1:18" x14ac:dyDescent="0.3">
      <c r="A398" t="s">
        <v>14</v>
      </c>
      <c r="B398">
        <v>2002</v>
      </c>
      <c r="C398" t="str">
        <f>_xlfn.CONCAT(Table13[[#This Row],[STATE]],"-",Table13[[#This Row],[Year]])</f>
        <v>Himachal Pradesh-2002</v>
      </c>
      <c r="D398" t="s">
        <v>66</v>
      </c>
      <c r="E398" t="s">
        <v>67</v>
      </c>
      <c r="F398">
        <v>7970</v>
      </c>
      <c r="G398">
        <v>710</v>
      </c>
      <c r="H398">
        <v>66</v>
      </c>
      <c r="I398">
        <v>1674</v>
      </c>
      <c r="J398">
        <v>3607</v>
      </c>
      <c r="K398">
        <v>8</v>
      </c>
      <c r="L398">
        <v>10</v>
      </c>
      <c r="M398">
        <v>1315</v>
      </c>
      <c r="N398">
        <v>16</v>
      </c>
      <c r="O398">
        <v>151</v>
      </c>
      <c r="P398">
        <v>362</v>
      </c>
      <c r="Q398">
        <v>51</v>
      </c>
      <c r="R398">
        <f>SUM(Table13[[#This Row],[Rank_All_Ranks_Total]:[Rank_SSPSPAddlSPCommandant]])</f>
        <v>15940</v>
      </c>
    </row>
    <row r="399" spans="1:18" x14ac:dyDescent="0.3">
      <c r="A399" t="s">
        <v>15</v>
      </c>
      <c r="B399">
        <v>2002</v>
      </c>
      <c r="C399" t="str">
        <f>_xlfn.CONCAT(Table13[[#This Row],[STATE]],"-",Table13[[#This Row],[Year]])</f>
        <v>Jammu &amp; Kashmir-2002</v>
      </c>
      <c r="D399" t="s">
        <v>66</v>
      </c>
      <c r="E399" t="s">
        <v>67</v>
      </c>
      <c r="F399">
        <v>40278</v>
      </c>
      <c r="G399">
        <v>2617</v>
      </c>
      <c r="H399">
        <v>223</v>
      </c>
      <c r="I399">
        <v>0</v>
      </c>
      <c r="J399">
        <v>28212</v>
      </c>
      <c r="K399">
        <v>3</v>
      </c>
      <c r="L399">
        <v>19</v>
      </c>
      <c r="M399">
        <v>6892</v>
      </c>
      <c r="N399">
        <v>13</v>
      </c>
      <c r="O399">
        <v>554</v>
      </c>
      <c r="P399">
        <v>1639</v>
      </c>
      <c r="Q399">
        <v>106</v>
      </c>
      <c r="R399">
        <f>SUM(Table13[[#This Row],[Rank_All_Ranks_Total]:[Rank_SSPSPAddlSPCommandant]])</f>
        <v>80556</v>
      </c>
    </row>
    <row r="400" spans="1:18" x14ac:dyDescent="0.3">
      <c r="A400" t="s">
        <v>16</v>
      </c>
      <c r="B400">
        <v>2002</v>
      </c>
      <c r="C400" t="str">
        <f>_xlfn.CONCAT(Table13[[#This Row],[STATE]],"-",Table13[[#This Row],[Year]])</f>
        <v>Jharkhand-2002</v>
      </c>
      <c r="D400" t="s">
        <v>66</v>
      </c>
      <c r="E400" t="s">
        <v>67</v>
      </c>
      <c r="F400">
        <v>8930</v>
      </c>
      <c r="G400">
        <v>1120</v>
      </c>
      <c r="H400">
        <v>154</v>
      </c>
      <c r="I400">
        <v>0</v>
      </c>
      <c r="J400">
        <v>0</v>
      </c>
      <c r="K400">
        <v>6</v>
      </c>
      <c r="L400">
        <v>17</v>
      </c>
      <c r="M400">
        <v>5030</v>
      </c>
      <c r="N400">
        <v>8</v>
      </c>
      <c r="O400">
        <v>417</v>
      </c>
      <c r="P400">
        <v>2132</v>
      </c>
      <c r="Q400">
        <v>46</v>
      </c>
      <c r="R400">
        <f>SUM(Table13[[#This Row],[Rank_All_Ranks_Total]:[Rank_SSPSPAddlSPCommandant]])</f>
        <v>17860</v>
      </c>
    </row>
    <row r="401" spans="1:18" x14ac:dyDescent="0.3">
      <c r="A401" t="s">
        <v>17</v>
      </c>
      <c r="B401">
        <v>2002</v>
      </c>
      <c r="C401" t="str">
        <f>_xlfn.CONCAT(Table13[[#This Row],[STATE]],"-",Table13[[#This Row],[Year]])</f>
        <v>Karnataka-2002</v>
      </c>
      <c r="D401" t="s">
        <v>66</v>
      </c>
      <c r="E401" t="s">
        <v>67</v>
      </c>
      <c r="F401">
        <v>49685</v>
      </c>
      <c r="G401">
        <v>2504</v>
      </c>
      <c r="H401">
        <v>175</v>
      </c>
      <c r="I401">
        <v>0</v>
      </c>
      <c r="J401">
        <v>33679</v>
      </c>
      <c r="K401">
        <v>2</v>
      </c>
      <c r="L401">
        <v>3</v>
      </c>
      <c r="M401">
        <v>11010</v>
      </c>
      <c r="N401">
        <v>5</v>
      </c>
      <c r="O401">
        <v>618</v>
      </c>
      <c r="P401">
        <v>1623</v>
      </c>
      <c r="Q401">
        <v>66</v>
      </c>
      <c r="R401">
        <f>SUM(Table13[[#This Row],[Rank_All_Ranks_Total]:[Rank_SSPSPAddlSPCommandant]])</f>
        <v>99370</v>
      </c>
    </row>
    <row r="402" spans="1:18" x14ac:dyDescent="0.3">
      <c r="A402" t="s">
        <v>18</v>
      </c>
      <c r="B402">
        <v>2002</v>
      </c>
      <c r="C402" t="str">
        <f>_xlfn.CONCAT(Table13[[#This Row],[STATE]],"-",Table13[[#This Row],[Year]])</f>
        <v>Kerala-2002</v>
      </c>
      <c r="D402" t="s">
        <v>66</v>
      </c>
      <c r="E402" t="s">
        <v>67</v>
      </c>
      <c r="F402">
        <v>35366</v>
      </c>
      <c r="G402">
        <v>1611</v>
      </c>
      <c r="H402">
        <v>255</v>
      </c>
      <c r="I402">
        <v>0</v>
      </c>
      <c r="J402">
        <v>24218</v>
      </c>
      <c r="K402">
        <v>6</v>
      </c>
      <c r="L402">
        <v>11</v>
      </c>
      <c r="M402">
        <v>7321</v>
      </c>
      <c r="N402">
        <v>6</v>
      </c>
      <c r="O402">
        <v>386</v>
      </c>
      <c r="P402">
        <v>1490</v>
      </c>
      <c r="Q402">
        <v>62</v>
      </c>
      <c r="R402">
        <f>SUM(Table13[[#This Row],[Rank_All_Ranks_Total]:[Rank_SSPSPAddlSPCommandant]])</f>
        <v>70732</v>
      </c>
    </row>
    <row r="403" spans="1:18" x14ac:dyDescent="0.3">
      <c r="A403" t="s">
        <v>39</v>
      </c>
      <c r="B403">
        <v>2002</v>
      </c>
      <c r="C403" t="str">
        <f>_xlfn.CONCAT(Table13[[#This Row],[STATE]],"-",Table13[[#This Row],[Year]])</f>
        <v>Lakshadweep-2002</v>
      </c>
      <c r="D403" t="s">
        <v>66</v>
      </c>
      <c r="E403" t="s">
        <v>67</v>
      </c>
      <c r="F403">
        <v>318</v>
      </c>
      <c r="G403">
        <v>24</v>
      </c>
      <c r="H403">
        <v>1</v>
      </c>
      <c r="I403">
        <v>0</v>
      </c>
      <c r="J403">
        <v>212</v>
      </c>
      <c r="K403">
        <v>0</v>
      </c>
      <c r="L403">
        <v>0</v>
      </c>
      <c r="M403">
        <v>60</v>
      </c>
      <c r="N403">
        <v>0</v>
      </c>
      <c r="O403">
        <v>4</v>
      </c>
      <c r="P403">
        <v>16</v>
      </c>
      <c r="Q403">
        <v>1</v>
      </c>
      <c r="R403">
        <f>SUM(Table13[[#This Row],[Rank_All_Ranks_Total]:[Rank_SSPSPAddlSPCommandant]])</f>
        <v>636</v>
      </c>
    </row>
    <row r="404" spans="1:18" x14ac:dyDescent="0.3">
      <c r="A404" t="s">
        <v>19</v>
      </c>
      <c r="B404">
        <v>2002</v>
      </c>
      <c r="C404" t="str">
        <f>_xlfn.CONCAT(Table13[[#This Row],[STATE]],"-",Table13[[#This Row],[Year]])</f>
        <v>Madhya Pradesh-2002</v>
      </c>
      <c r="D404" t="s">
        <v>66</v>
      </c>
      <c r="E404" t="s">
        <v>67</v>
      </c>
      <c r="F404">
        <v>44578</v>
      </c>
      <c r="G404">
        <v>2400</v>
      </c>
      <c r="H404">
        <v>474</v>
      </c>
      <c r="I404">
        <v>0</v>
      </c>
      <c r="J404">
        <v>30908</v>
      </c>
      <c r="K404">
        <v>26</v>
      </c>
      <c r="L404">
        <v>48</v>
      </c>
      <c r="M404">
        <v>7623</v>
      </c>
      <c r="N404">
        <v>33</v>
      </c>
      <c r="O404">
        <v>785</v>
      </c>
      <c r="P404">
        <v>2076</v>
      </c>
      <c r="Q404">
        <v>205</v>
      </c>
      <c r="R404">
        <f>SUM(Table13[[#This Row],[Rank_All_Ranks_Total]:[Rank_SSPSPAddlSPCommandant]])</f>
        <v>89156</v>
      </c>
    </row>
    <row r="405" spans="1:18" x14ac:dyDescent="0.3">
      <c r="A405" t="s">
        <v>20</v>
      </c>
      <c r="B405">
        <v>2002</v>
      </c>
      <c r="C405" t="str">
        <f>_xlfn.CONCAT(Table13[[#This Row],[STATE]],"-",Table13[[#This Row],[Year]])</f>
        <v>Maharashtra-2002</v>
      </c>
      <c r="D405" t="s">
        <v>66</v>
      </c>
      <c r="E405" t="s">
        <v>67</v>
      </c>
      <c r="F405">
        <v>133507</v>
      </c>
      <c r="G405">
        <v>11772</v>
      </c>
      <c r="H405">
        <v>448</v>
      </c>
      <c r="I405">
        <v>21158</v>
      </c>
      <c r="J405">
        <v>63283</v>
      </c>
      <c r="K405">
        <v>26</v>
      </c>
      <c r="L405">
        <v>44</v>
      </c>
      <c r="M405">
        <v>27271</v>
      </c>
      <c r="N405">
        <v>33</v>
      </c>
      <c r="O405">
        <v>2272</v>
      </c>
      <c r="P405">
        <v>7006</v>
      </c>
      <c r="Q405">
        <v>194</v>
      </c>
      <c r="R405">
        <f>SUM(Table13[[#This Row],[Rank_All_Ranks_Total]:[Rank_SSPSPAddlSPCommandant]])</f>
        <v>267014</v>
      </c>
    </row>
    <row r="406" spans="1:18" x14ac:dyDescent="0.3">
      <c r="A406" t="s">
        <v>21</v>
      </c>
      <c r="B406">
        <v>2002</v>
      </c>
      <c r="C406" t="str">
        <f>_xlfn.CONCAT(Table13[[#This Row],[STATE]],"-",Table13[[#This Row],[Year]])</f>
        <v>Manipur-2002</v>
      </c>
      <c r="D406" t="s">
        <v>66</v>
      </c>
      <c r="E406" t="s">
        <v>67</v>
      </c>
      <c r="F406">
        <v>4897</v>
      </c>
      <c r="G406">
        <v>410</v>
      </c>
      <c r="H406">
        <v>50</v>
      </c>
      <c r="I406">
        <v>101</v>
      </c>
      <c r="J406">
        <v>3500</v>
      </c>
      <c r="K406">
        <v>2</v>
      </c>
      <c r="L406">
        <v>5</v>
      </c>
      <c r="M406">
        <v>314</v>
      </c>
      <c r="N406">
        <v>3</v>
      </c>
      <c r="O406">
        <v>91</v>
      </c>
      <c r="P406">
        <v>382</v>
      </c>
      <c r="Q406">
        <v>39</v>
      </c>
      <c r="R406">
        <f>SUM(Table13[[#This Row],[Rank_All_Ranks_Total]:[Rank_SSPSPAddlSPCommandant]])</f>
        <v>9794</v>
      </c>
    </row>
    <row r="407" spans="1:18" x14ac:dyDescent="0.3">
      <c r="A407" t="s">
        <v>22</v>
      </c>
      <c r="B407">
        <v>2002</v>
      </c>
      <c r="C407" t="str">
        <f>_xlfn.CONCAT(Table13[[#This Row],[STATE]],"-",Table13[[#This Row],[Year]])</f>
        <v>Meghalaya-2002</v>
      </c>
      <c r="D407" t="s">
        <v>66</v>
      </c>
      <c r="E407" t="s">
        <v>67</v>
      </c>
      <c r="F407">
        <v>5899</v>
      </c>
      <c r="G407">
        <v>493</v>
      </c>
      <c r="H407">
        <v>16</v>
      </c>
      <c r="I407">
        <v>95</v>
      </c>
      <c r="J407">
        <v>4439</v>
      </c>
      <c r="K407">
        <v>2</v>
      </c>
      <c r="L407">
        <v>6</v>
      </c>
      <c r="M407">
        <v>416</v>
      </c>
      <c r="N407">
        <v>5</v>
      </c>
      <c r="O407">
        <v>89</v>
      </c>
      <c r="P407">
        <v>313</v>
      </c>
      <c r="Q407">
        <v>25</v>
      </c>
      <c r="R407">
        <f>SUM(Table13[[#This Row],[Rank_All_Ranks_Total]:[Rank_SSPSPAddlSPCommandant]])</f>
        <v>11798</v>
      </c>
    </row>
    <row r="408" spans="1:18" x14ac:dyDescent="0.3">
      <c r="A408" t="s">
        <v>23</v>
      </c>
      <c r="B408">
        <v>2002</v>
      </c>
      <c r="C408" t="str">
        <f>_xlfn.CONCAT(Table13[[#This Row],[STATE]],"-",Table13[[#This Row],[Year]])</f>
        <v>Mizoram-2002</v>
      </c>
      <c r="D408" t="s">
        <v>66</v>
      </c>
      <c r="E408" t="s">
        <v>67</v>
      </c>
      <c r="F408">
        <v>2111</v>
      </c>
      <c r="G408">
        <v>252</v>
      </c>
      <c r="H408">
        <v>17</v>
      </c>
      <c r="I408">
        <v>209</v>
      </c>
      <c r="J408">
        <v>1127</v>
      </c>
      <c r="K408">
        <v>0</v>
      </c>
      <c r="L408">
        <v>0</v>
      </c>
      <c r="M408">
        <v>232</v>
      </c>
      <c r="N408">
        <v>0</v>
      </c>
      <c r="O408">
        <v>55</v>
      </c>
      <c r="P408">
        <v>203</v>
      </c>
      <c r="Q408">
        <v>16</v>
      </c>
      <c r="R408">
        <f>SUM(Table13[[#This Row],[Rank_All_Ranks_Total]:[Rank_SSPSPAddlSPCommandant]])</f>
        <v>4222</v>
      </c>
    </row>
    <row r="409" spans="1:18" x14ac:dyDescent="0.3">
      <c r="A409" t="s">
        <v>24</v>
      </c>
      <c r="B409">
        <v>2002</v>
      </c>
      <c r="C409" t="str">
        <f>_xlfn.CONCAT(Table13[[#This Row],[STATE]],"-",Table13[[#This Row],[Year]])</f>
        <v>Nagaland-2002</v>
      </c>
      <c r="D409" t="s">
        <v>66</v>
      </c>
      <c r="E409" t="s">
        <v>67</v>
      </c>
      <c r="F409">
        <v>5795</v>
      </c>
      <c r="G409">
        <v>200</v>
      </c>
      <c r="H409">
        <v>32</v>
      </c>
      <c r="I409">
        <v>572</v>
      </c>
      <c r="J409">
        <v>4282</v>
      </c>
      <c r="K409">
        <v>3</v>
      </c>
      <c r="L409">
        <v>11</v>
      </c>
      <c r="M409">
        <v>389</v>
      </c>
      <c r="N409">
        <v>7</v>
      </c>
      <c r="O409">
        <v>48</v>
      </c>
      <c r="P409">
        <v>214</v>
      </c>
      <c r="Q409">
        <v>37</v>
      </c>
      <c r="R409">
        <f>SUM(Table13[[#This Row],[Rank_All_Ranks_Total]:[Rank_SSPSPAddlSPCommandant]])</f>
        <v>11590</v>
      </c>
    </row>
    <row r="410" spans="1:18" x14ac:dyDescent="0.3">
      <c r="A410" t="s">
        <v>63</v>
      </c>
      <c r="B410">
        <v>2002</v>
      </c>
      <c r="C410" t="str">
        <f>_xlfn.CONCAT(Table13[[#This Row],[STATE]],"-",Table13[[#This Row],[Year]])</f>
        <v>Odisha-2002</v>
      </c>
      <c r="D410" t="s">
        <v>66</v>
      </c>
      <c r="E410" t="s">
        <v>67</v>
      </c>
      <c r="F410">
        <v>27392</v>
      </c>
      <c r="G410">
        <v>2424</v>
      </c>
      <c r="H410">
        <v>163</v>
      </c>
      <c r="I410">
        <v>288</v>
      </c>
      <c r="J410">
        <v>19409</v>
      </c>
      <c r="K410">
        <v>7</v>
      </c>
      <c r="L410">
        <v>18</v>
      </c>
      <c r="M410">
        <v>2508</v>
      </c>
      <c r="N410">
        <v>9</v>
      </c>
      <c r="O410">
        <v>522</v>
      </c>
      <c r="P410">
        <v>1927</v>
      </c>
      <c r="Q410">
        <v>117</v>
      </c>
      <c r="R410">
        <f>SUM(Table13[[#This Row],[Rank_All_Ranks_Total]:[Rank_SSPSPAddlSPCommandant]])</f>
        <v>54784</v>
      </c>
    </row>
    <row r="411" spans="1:18" x14ac:dyDescent="0.3">
      <c r="A411" t="s">
        <v>64</v>
      </c>
      <c r="B411">
        <v>2002</v>
      </c>
      <c r="C411" t="str">
        <f>_xlfn.CONCAT(Table13[[#This Row],[STATE]],"-",Table13[[#This Row],[Year]])</f>
        <v>Puducherry-2002</v>
      </c>
      <c r="D411" t="s">
        <v>66</v>
      </c>
      <c r="E411" t="s">
        <v>67</v>
      </c>
      <c r="F411">
        <v>1459</v>
      </c>
      <c r="G411">
        <v>86</v>
      </c>
      <c r="H411">
        <v>16</v>
      </c>
      <c r="I411">
        <v>0</v>
      </c>
      <c r="J411">
        <v>1023</v>
      </c>
      <c r="K411">
        <v>0</v>
      </c>
      <c r="L411">
        <v>0</v>
      </c>
      <c r="M411">
        <v>216</v>
      </c>
      <c r="N411">
        <v>1</v>
      </c>
      <c r="O411">
        <v>35</v>
      </c>
      <c r="P411">
        <v>80</v>
      </c>
      <c r="Q411">
        <v>2</v>
      </c>
      <c r="R411">
        <f>SUM(Table13[[#This Row],[Rank_All_Ranks_Total]:[Rank_SSPSPAddlSPCommandant]])</f>
        <v>2918</v>
      </c>
    </row>
    <row r="412" spans="1:18" x14ac:dyDescent="0.3">
      <c r="A412" t="s">
        <v>26</v>
      </c>
      <c r="B412">
        <v>2002</v>
      </c>
      <c r="C412" t="str">
        <f>_xlfn.CONCAT(Table13[[#This Row],[STATE]],"-",Table13[[#This Row],[Year]])</f>
        <v>Punjab-2002</v>
      </c>
      <c r="D412" t="s">
        <v>66</v>
      </c>
      <c r="E412" t="s">
        <v>67</v>
      </c>
      <c r="F412">
        <v>51715</v>
      </c>
      <c r="G412">
        <v>3588</v>
      </c>
      <c r="H412">
        <v>295</v>
      </c>
      <c r="I412">
        <v>0</v>
      </c>
      <c r="J412">
        <v>36539</v>
      </c>
      <c r="K412">
        <v>13</v>
      </c>
      <c r="L412">
        <v>13</v>
      </c>
      <c r="M412">
        <v>9301</v>
      </c>
      <c r="N412">
        <v>17</v>
      </c>
      <c r="O412">
        <v>442</v>
      </c>
      <c r="P412">
        <v>1361</v>
      </c>
      <c r="Q412">
        <v>146</v>
      </c>
      <c r="R412">
        <f>SUM(Table13[[#This Row],[Rank_All_Ranks_Total]:[Rank_SSPSPAddlSPCommandant]])</f>
        <v>103430</v>
      </c>
    </row>
    <row r="413" spans="1:18" x14ac:dyDescent="0.3">
      <c r="A413" t="s">
        <v>27</v>
      </c>
      <c r="B413">
        <v>2002</v>
      </c>
      <c r="C413" t="str">
        <f>_xlfn.CONCAT(Table13[[#This Row],[STATE]],"-",Table13[[#This Row],[Year]])</f>
        <v>Rajasthan-2002</v>
      </c>
      <c r="D413" t="s">
        <v>66</v>
      </c>
      <c r="E413" t="s">
        <v>67</v>
      </c>
      <c r="F413">
        <v>51128</v>
      </c>
      <c r="G413">
        <v>3089</v>
      </c>
      <c r="H413">
        <v>329</v>
      </c>
      <c r="I413">
        <v>0</v>
      </c>
      <c r="J413">
        <v>38221</v>
      </c>
      <c r="K413">
        <v>6</v>
      </c>
      <c r="L413">
        <v>17</v>
      </c>
      <c r="M413">
        <v>6185</v>
      </c>
      <c r="N413">
        <v>15</v>
      </c>
      <c r="O413">
        <v>750</v>
      </c>
      <c r="P413">
        <v>2369</v>
      </c>
      <c r="Q413">
        <v>147</v>
      </c>
      <c r="R413">
        <f>SUM(Table13[[#This Row],[Rank_All_Ranks_Total]:[Rank_SSPSPAddlSPCommandant]])</f>
        <v>102256</v>
      </c>
    </row>
    <row r="414" spans="1:18" x14ac:dyDescent="0.3">
      <c r="A414" t="s">
        <v>28</v>
      </c>
      <c r="B414">
        <v>2002</v>
      </c>
      <c r="C414" t="str">
        <f>_xlfn.CONCAT(Table13[[#This Row],[STATE]],"-",Table13[[#This Row],[Year]])</f>
        <v>Sikkim-2002</v>
      </c>
      <c r="D414" t="s">
        <v>66</v>
      </c>
      <c r="E414" t="s">
        <v>67</v>
      </c>
      <c r="F414">
        <v>1650</v>
      </c>
      <c r="G414">
        <v>106</v>
      </c>
      <c r="H414">
        <v>23</v>
      </c>
      <c r="I414">
        <v>239</v>
      </c>
      <c r="J414">
        <v>872</v>
      </c>
      <c r="K414">
        <v>2</v>
      </c>
      <c r="L414">
        <v>7</v>
      </c>
      <c r="M414">
        <v>227</v>
      </c>
      <c r="N414">
        <v>7</v>
      </c>
      <c r="O414">
        <v>46</v>
      </c>
      <c r="P414">
        <v>107</v>
      </c>
      <c r="Q414">
        <v>14</v>
      </c>
      <c r="R414">
        <f>SUM(Table13[[#This Row],[Rank_All_Ranks_Total]:[Rank_SSPSPAddlSPCommandant]])</f>
        <v>3300</v>
      </c>
    </row>
    <row r="415" spans="1:18" x14ac:dyDescent="0.3">
      <c r="A415" t="s">
        <v>42</v>
      </c>
      <c r="B415">
        <v>2002</v>
      </c>
      <c r="C415" t="str">
        <f>_xlfn.CONCAT(Table13[[#This Row],[STATE]],"-",Table13[[#This Row],[Year]])</f>
        <v>Tamil Nadu-2002</v>
      </c>
      <c r="D415" t="s">
        <v>66</v>
      </c>
      <c r="E415" t="s">
        <v>67</v>
      </c>
      <c r="F415">
        <v>70302</v>
      </c>
      <c r="G415">
        <v>0</v>
      </c>
      <c r="H415">
        <v>507</v>
      </c>
      <c r="I415">
        <v>6881</v>
      </c>
      <c r="J415">
        <v>44964</v>
      </c>
      <c r="K415">
        <v>25</v>
      </c>
      <c r="L415">
        <v>28</v>
      </c>
      <c r="M415">
        <v>10685</v>
      </c>
      <c r="N415">
        <v>20</v>
      </c>
      <c r="O415">
        <v>2408</v>
      </c>
      <c r="P415">
        <v>4618</v>
      </c>
      <c r="Q415">
        <v>166</v>
      </c>
      <c r="R415">
        <f>SUM(Table13[[#This Row],[Rank_All_Ranks_Total]:[Rank_SSPSPAddlSPCommandant]])</f>
        <v>140604</v>
      </c>
    </row>
    <row r="416" spans="1:18" x14ac:dyDescent="0.3">
      <c r="A416" t="s">
        <v>30</v>
      </c>
      <c r="B416">
        <v>2002</v>
      </c>
      <c r="C416" t="str">
        <f>_xlfn.CONCAT(Table13[[#This Row],[STATE]],"-",Table13[[#This Row],[Year]])</f>
        <v>Tripura-2002</v>
      </c>
      <c r="D416" t="s">
        <v>66</v>
      </c>
      <c r="E416" t="s">
        <v>67</v>
      </c>
      <c r="F416">
        <v>8667</v>
      </c>
      <c r="G416">
        <v>483</v>
      </c>
      <c r="H416">
        <v>110</v>
      </c>
      <c r="I416">
        <v>245</v>
      </c>
      <c r="J416">
        <v>6321</v>
      </c>
      <c r="K416">
        <v>2</v>
      </c>
      <c r="L416">
        <v>10</v>
      </c>
      <c r="M416">
        <v>759</v>
      </c>
      <c r="N416">
        <v>5</v>
      </c>
      <c r="O416">
        <v>121</v>
      </c>
      <c r="P416">
        <v>584</v>
      </c>
      <c r="Q416">
        <v>27</v>
      </c>
      <c r="R416">
        <f>SUM(Table13[[#This Row],[Rank_All_Ranks_Total]:[Rank_SSPSPAddlSPCommandant]])</f>
        <v>17334</v>
      </c>
    </row>
    <row r="417" spans="1:18" x14ac:dyDescent="0.3">
      <c r="A417" t="s">
        <v>31</v>
      </c>
      <c r="B417">
        <v>2002</v>
      </c>
      <c r="C417" t="str">
        <f>_xlfn.CONCAT(Table13[[#This Row],[STATE]],"-",Table13[[#This Row],[Year]])</f>
        <v>Uttar Pradesh-2002</v>
      </c>
      <c r="D417" t="s">
        <v>66</v>
      </c>
      <c r="E417" t="s">
        <v>67</v>
      </c>
      <c r="F417">
        <v>123053</v>
      </c>
      <c r="G417">
        <v>0</v>
      </c>
      <c r="H417">
        <v>936</v>
      </c>
      <c r="I417">
        <v>0</v>
      </c>
      <c r="J417">
        <v>93259</v>
      </c>
      <c r="K417">
        <v>24</v>
      </c>
      <c r="L417">
        <v>47</v>
      </c>
      <c r="M417">
        <v>16247</v>
      </c>
      <c r="N417">
        <v>56</v>
      </c>
      <c r="O417">
        <v>1042</v>
      </c>
      <c r="P417">
        <v>11249</v>
      </c>
      <c r="Q417">
        <v>193</v>
      </c>
      <c r="R417">
        <f>SUM(Table13[[#This Row],[Rank_All_Ranks_Total]:[Rank_SSPSPAddlSPCommandant]])</f>
        <v>246106</v>
      </c>
    </row>
    <row r="418" spans="1:18" x14ac:dyDescent="0.3">
      <c r="A418" t="s">
        <v>65</v>
      </c>
      <c r="B418">
        <v>2002</v>
      </c>
      <c r="C418" t="str">
        <f>_xlfn.CONCAT(Table13[[#This Row],[STATE]],"-",Table13[[#This Row],[Year]])</f>
        <v>Uttarakhand-2002</v>
      </c>
      <c r="D418" t="s">
        <v>66</v>
      </c>
      <c r="E418" t="s">
        <v>67</v>
      </c>
      <c r="F418">
        <v>9092</v>
      </c>
      <c r="G418">
        <v>0</v>
      </c>
      <c r="H418">
        <v>36</v>
      </c>
      <c r="I418">
        <v>0</v>
      </c>
      <c r="J418">
        <v>7217</v>
      </c>
      <c r="K418">
        <v>3</v>
      </c>
      <c r="L418">
        <v>3</v>
      </c>
      <c r="M418">
        <v>1218</v>
      </c>
      <c r="N418">
        <v>5</v>
      </c>
      <c r="O418">
        <v>40</v>
      </c>
      <c r="P418">
        <v>556</v>
      </c>
      <c r="Q418">
        <v>14</v>
      </c>
      <c r="R418">
        <f>SUM(Table13[[#This Row],[Rank_All_Ranks_Total]:[Rank_SSPSPAddlSPCommandant]])</f>
        <v>18184</v>
      </c>
    </row>
    <row r="419" spans="1:18" x14ac:dyDescent="0.3">
      <c r="A419" t="s">
        <v>33</v>
      </c>
      <c r="B419">
        <v>2002</v>
      </c>
      <c r="C419" t="str">
        <f>_xlfn.CONCAT(Table13[[#This Row],[STATE]],"-",Table13[[#This Row],[Year]])</f>
        <v>West Bengal-2002</v>
      </c>
      <c r="D419" t="s">
        <v>66</v>
      </c>
      <c r="E419" t="s">
        <v>67</v>
      </c>
      <c r="F419">
        <v>61727</v>
      </c>
      <c r="G419">
        <v>6466</v>
      </c>
      <c r="H419">
        <v>264</v>
      </c>
      <c r="I419">
        <v>1647</v>
      </c>
      <c r="J419">
        <v>43542</v>
      </c>
      <c r="K419">
        <v>19</v>
      </c>
      <c r="L419">
        <v>23</v>
      </c>
      <c r="M419">
        <v>2742</v>
      </c>
      <c r="N419">
        <v>36</v>
      </c>
      <c r="O419">
        <v>1018</v>
      </c>
      <c r="P419">
        <v>5876</v>
      </c>
      <c r="Q419">
        <v>94</v>
      </c>
      <c r="R419">
        <f>SUM(Table13[[#This Row],[Rank_All_Ranks_Total]:[Rank_SSPSPAddlSPCommandant]])</f>
        <v>123454</v>
      </c>
    </row>
    <row r="420" spans="1:18" x14ac:dyDescent="0.3">
      <c r="A420" t="s">
        <v>59</v>
      </c>
      <c r="B420">
        <v>2003</v>
      </c>
      <c r="C420" t="str">
        <f>_xlfn.CONCAT(Table13[[#This Row],[STATE]],"-",Table13[[#This Row],[Year]])</f>
        <v>Andaman &amp; Nicobar Islands-2003</v>
      </c>
      <c r="D420" t="s">
        <v>66</v>
      </c>
      <c r="E420" t="s">
        <v>67</v>
      </c>
      <c r="F420">
        <v>2230</v>
      </c>
      <c r="G420">
        <v>193</v>
      </c>
      <c r="H420">
        <v>10</v>
      </c>
      <c r="I420">
        <v>0</v>
      </c>
      <c r="J420">
        <v>1478</v>
      </c>
      <c r="K420">
        <v>0</v>
      </c>
      <c r="L420">
        <v>0</v>
      </c>
      <c r="M420">
        <v>403</v>
      </c>
      <c r="N420">
        <v>1</v>
      </c>
      <c r="O420">
        <v>30</v>
      </c>
      <c r="P420">
        <v>113</v>
      </c>
      <c r="Q420">
        <v>2</v>
      </c>
      <c r="R420">
        <f>SUM(Table13[[#This Row],[Rank_All_Ranks_Total]:[Rank_SSPSPAddlSPCommandant]])</f>
        <v>4460</v>
      </c>
    </row>
    <row r="421" spans="1:18" x14ac:dyDescent="0.3">
      <c r="A421" t="s">
        <v>6</v>
      </c>
      <c r="B421">
        <v>2003</v>
      </c>
      <c r="C421" t="str">
        <f>_xlfn.CONCAT(Table13[[#This Row],[STATE]],"-",Table13[[#This Row],[Year]])</f>
        <v>Andhra Pradesh-2003</v>
      </c>
      <c r="D421" t="s">
        <v>66</v>
      </c>
      <c r="E421" t="s">
        <v>67</v>
      </c>
      <c r="F421">
        <v>61363</v>
      </c>
      <c r="G421">
        <v>2395</v>
      </c>
      <c r="H421">
        <v>208</v>
      </c>
      <c r="I421">
        <v>0</v>
      </c>
      <c r="J421">
        <v>45868</v>
      </c>
      <c r="K421">
        <v>15</v>
      </c>
      <c r="L421">
        <v>26</v>
      </c>
      <c r="M421">
        <v>9049</v>
      </c>
      <c r="N421">
        <v>22</v>
      </c>
      <c r="O421">
        <v>780</v>
      </c>
      <c r="P421">
        <v>2891</v>
      </c>
      <c r="Q421">
        <v>109</v>
      </c>
      <c r="R421">
        <f>SUM(Table13[[#This Row],[Rank_All_Ranks_Total]:[Rank_SSPSPAddlSPCommandant]])</f>
        <v>122726</v>
      </c>
    </row>
    <row r="422" spans="1:18" x14ac:dyDescent="0.3">
      <c r="A422" t="s">
        <v>7</v>
      </c>
      <c r="B422">
        <v>2003</v>
      </c>
      <c r="C422" t="str">
        <f>_xlfn.CONCAT(Table13[[#This Row],[STATE]],"-",Table13[[#This Row],[Year]])</f>
        <v>Arunachal Pradesh-2003</v>
      </c>
      <c r="D422" t="s">
        <v>66</v>
      </c>
      <c r="E422" t="s">
        <v>67</v>
      </c>
      <c r="F422">
        <v>3191</v>
      </c>
      <c r="G422">
        <v>143</v>
      </c>
      <c r="H422">
        <v>40</v>
      </c>
      <c r="I422">
        <v>0</v>
      </c>
      <c r="J422">
        <v>2287</v>
      </c>
      <c r="K422">
        <v>1</v>
      </c>
      <c r="L422">
        <v>3</v>
      </c>
      <c r="M422">
        <v>345</v>
      </c>
      <c r="N422">
        <v>1</v>
      </c>
      <c r="O422">
        <v>43</v>
      </c>
      <c r="P422">
        <v>309</v>
      </c>
      <c r="Q422">
        <v>19</v>
      </c>
      <c r="R422">
        <f>SUM(Table13[[#This Row],[Rank_All_Ranks_Total]:[Rank_SSPSPAddlSPCommandant]])</f>
        <v>6382</v>
      </c>
    </row>
    <row r="423" spans="1:18" x14ac:dyDescent="0.3">
      <c r="A423" t="s">
        <v>8</v>
      </c>
      <c r="B423">
        <v>2003</v>
      </c>
      <c r="C423" t="str">
        <f>_xlfn.CONCAT(Table13[[#This Row],[STATE]],"-",Table13[[#This Row],[Year]])</f>
        <v>Assam-2003</v>
      </c>
      <c r="D423" t="s">
        <v>66</v>
      </c>
      <c r="E423" t="s">
        <v>67</v>
      </c>
      <c r="F423">
        <v>28341</v>
      </c>
      <c r="G423">
        <v>1779</v>
      </c>
      <c r="H423">
        <v>135</v>
      </c>
      <c r="I423">
        <v>901</v>
      </c>
      <c r="J423">
        <v>20469</v>
      </c>
      <c r="K423">
        <v>7</v>
      </c>
      <c r="L423">
        <v>16</v>
      </c>
      <c r="M423">
        <v>1792</v>
      </c>
      <c r="N423">
        <v>11</v>
      </c>
      <c r="O423">
        <v>487</v>
      </c>
      <c r="P423">
        <v>2610</v>
      </c>
      <c r="Q423">
        <v>134</v>
      </c>
      <c r="R423">
        <f>SUM(Table13[[#This Row],[Rank_All_Ranks_Total]:[Rank_SSPSPAddlSPCommandant]])</f>
        <v>56682</v>
      </c>
    </row>
    <row r="424" spans="1:18" x14ac:dyDescent="0.3">
      <c r="A424" t="s">
        <v>9</v>
      </c>
      <c r="B424">
        <v>2003</v>
      </c>
      <c r="C424" t="str">
        <f>_xlfn.CONCAT(Table13[[#This Row],[STATE]],"-",Table13[[#This Row],[Year]])</f>
        <v>Bihar-2003</v>
      </c>
      <c r="D424" t="s">
        <v>66</v>
      </c>
      <c r="E424" t="s">
        <v>67</v>
      </c>
      <c r="F424">
        <v>42707</v>
      </c>
      <c r="G424">
        <v>3872</v>
      </c>
      <c r="H424">
        <v>248</v>
      </c>
      <c r="I424">
        <v>0</v>
      </c>
      <c r="J424">
        <v>29005</v>
      </c>
      <c r="K424">
        <v>8</v>
      </c>
      <c r="L424">
        <v>27</v>
      </c>
      <c r="M424">
        <v>4579</v>
      </c>
      <c r="N424">
        <v>18</v>
      </c>
      <c r="O424">
        <v>563</v>
      </c>
      <c r="P424">
        <v>4334</v>
      </c>
      <c r="Q424">
        <v>53</v>
      </c>
      <c r="R424">
        <f>SUM(Table13[[#This Row],[Rank_All_Ranks_Total]:[Rank_SSPSPAddlSPCommandant]])</f>
        <v>85414</v>
      </c>
    </row>
    <row r="425" spans="1:18" x14ac:dyDescent="0.3">
      <c r="A425" t="s">
        <v>35</v>
      </c>
      <c r="B425">
        <v>2003</v>
      </c>
      <c r="C425" t="str">
        <f>_xlfn.CONCAT(Table13[[#This Row],[STATE]],"-",Table13[[#This Row],[Year]])</f>
        <v>Chandigarh-2003</v>
      </c>
      <c r="D425" t="s">
        <v>66</v>
      </c>
      <c r="E425" t="s">
        <v>67</v>
      </c>
      <c r="F425">
        <v>3504</v>
      </c>
      <c r="G425">
        <v>185</v>
      </c>
      <c r="H425">
        <v>10</v>
      </c>
      <c r="I425">
        <v>0</v>
      </c>
      <c r="J425">
        <v>2239</v>
      </c>
      <c r="K425">
        <v>0</v>
      </c>
      <c r="L425">
        <v>0</v>
      </c>
      <c r="M425">
        <v>781</v>
      </c>
      <c r="N425">
        <v>1</v>
      </c>
      <c r="O425">
        <v>46</v>
      </c>
      <c r="P425">
        <v>238</v>
      </c>
      <c r="Q425">
        <v>4</v>
      </c>
      <c r="R425">
        <f>SUM(Table13[[#This Row],[Rank_All_Ranks_Total]:[Rank_SSPSPAddlSPCommandant]])</f>
        <v>7008</v>
      </c>
    </row>
    <row r="426" spans="1:18" x14ac:dyDescent="0.3">
      <c r="A426" t="s">
        <v>10</v>
      </c>
      <c r="B426">
        <v>2003</v>
      </c>
      <c r="C426" t="str">
        <f>_xlfn.CONCAT(Table13[[#This Row],[STATE]],"-",Table13[[#This Row],[Year]])</f>
        <v>Chhattisgarh-2003</v>
      </c>
      <c r="D426" t="s">
        <v>66</v>
      </c>
      <c r="E426" t="s">
        <v>67</v>
      </c>
      <c r="F426">
        <v>12715</v>
      </c>
      <c r="G426">
        <v>667</v>
      </c>
      <c r="H426">
        <v>133</v>
      </c>
      <c r="I426">
        <v>0</v>
      </c>
      <c r="J426">
        <v>8935</v>
      </c>
      <c r="K426">
        <v>9</v>
      </c>
      <c r="L426">
        <v>14</v>
      </c>
      <c r="M426">
        <v>1999</v>
      </c>
      <c r="N426">
        <v>8</v>
      </c>
      <c r="O426">
        <v>248</v>
      </c>
      <c r="P426">
        <v>638</v>
      </c>
      <c r="Q426">
        <v>64</v>
      </c>
      <c r="R426">
        <f>SUM(Table13[[#This Row],[Rank_All_Ranks_Total]:[Rank_SSPSPAddlSPCommandant]])</f>
        <v>25430</v>
      </c>
    </row>
    <row r="427" spans="1:18" x14ac:dyDescent="0.3">
      <c r="A427" t="s">
        <v>62</v>
      </c>
      <c r="B427">
        <v>2003</v>
      </c>
      <c r="C427" t="str">
        <f>_xlfn.CONCAT(Table13[[#This Row],[STATE]],"-",Table13[[#This Row],[Year]])</f>
        <v>Dadra &amp; Nagar Haveli-2003</v>
      </c>
      <c r="D427" t="s">
        <v>66</v>
      </c>
      <c r="E427" t="s">
        <v>67</v>
      </c>
      <c r="F427">
        <v>207</v>
      </c>
      <c r="G427">
        <v>3</v>
      </c>
      <c r="H427">
        <v>1</v>
      </c>
      <c r="I427">
        <v>0</v>
      </c>
      <c r="J427">
        <v>143</v>
      </c>
      <c r="K427">
        <v>0</v>
      </c>
      <c r="L427">
        <v>0</v>
      </c>
      <c r="M427">
        <v>48</v>
      </c>
      <c r="N427">
        <v>0</v>
      </c>
      <c r="O427">
        <v>1</v>
      </c>
      <c r="P427">
        <v>11</v>
      </c>
      <c r="Q427">
        <v>0</v>
      </c>
      <c r="R427">
        <f>SUM(Table13[[#This Row],[Rank_All_Ranks_Total]:[Rank_SSPSPAddlSPCommandant]])</f>
        <v>414</v>
      </c>
    </row>
    <row r="428" spans="1:18" x14ac:dyDescent="0.3">
      <c r="A428" t="s">
        <v>37</v>
      </c>
      <c r="B428">
        <v>2003</v>
      </c>
      <c r="C428" t="str">
        <f>_xlfn.CONCAT(Table13[[#This Row],[STATE]],"-",Table13[[#This Row],[Year]])</f>
        <v>Daman &amp; Diu-2003</v>
      </c>
      <c r="D428" t="s">
        <v>66</v>
      </c>
      <c r="E428" t="s">
        <v>67</v>
      </c>
      <c r="F428">
        <v>248</v>
      </c>
      <c r="G428">
        <v>11</v>
      </c>
      <c r="H428">
        <v>2</v>
      </c>
      <c r="I428">
        <v>0</v>
      </c>
      <c r="J428">
        <v>180</v>
      </c>
      <c r="K428">
        <v>0</v>
      </c>
      <c r="L428">
        <v>0</v>
      </c>
      <c r="M428">
        <v>41</v>
      </c>
      <c r="N428">
        <v>0</v>
      </c>
      <c r="O428">
        <v>4</v>
      </c>
      <c r="P428">
        <v>9</v>
      </c>
      <c r="Q428">
        <v>1</v>
      </c>
      <c r="R428">
        <f>SUM(Table13[[#This Row],[Rank_All_Ranks_Total]:[Rank_SSPSPAddlSPCommandant]])</f>
        <v>496</v>
      </c>
    </row>
    <row r="429" spans="1:18" x14ac:dyDescent="0.3">
      <c r="A429" t="s">
        <v>38</v>
      </c>
      <c r="B429">
        <v>2003</v>
      </c>
      <c r="C429" t="str">
        <f>_xlfn.CONCAT(Table13[[#This Row],[STATE]],"-",Table13[[#This Row],[Year]])</f>
        <v>Delhi-2003</v>
      </c>
      <c r="D429" t="s">
        <v>66</v>
      </c>
      <c r="E429" t="s">
        <v>67</v>
      </c>
      <c r="F429">
        <v>45041</v>
      </c>
      <c r="G429">
        <v>4859</v>
      </c>
      <c r="H429">
        <v>209</v>
      </c>
      <c r="I429">
        <v>0</v>
      </c>
      <c r="J429">
        <v>23919</v>
      </c>
      <c r="K429">
        <v>4</v>
      </c>
      <c r="L429">
        <v>5</v>
      </c>
      <c r="M429">
        <v>11590</v>
      </c>
      <c r="N429">
        <v>16</v>
      </c>
      <c r="O429">
        <v>917</v>
      </c>
      <c r="P429">
        <v>3465</v>
      </c>
      <c r="Q429">
        <v>57</v>
      </c>
      <c r="R429">
        <f>SUM(Table13[[#This Row],[Rank_All_Ranks_Total]:[Rank_SSPSPAddlSPCommandant]])</f>
        <v>90082</v>
      </c>
    </row>
    <row r="430" spans="1:18" x14ac:dyDescent="0.3">
      <c r="A430" t="s">
        <v>11</v>
      </c>
      <c r="B430">
        <v>2003</v>
      </c>
      <c r="C430" t="str">
        <f>_xlfn.CONCAT(Table13[[#This Row],[STATE]],"-",Table13[[#This Row],[Year]])</f>
        <v>Goa-2003</v>
      </c>
      <c r="D430" t="s">
        <v>66</v>
      </c>
      <c r="E430" t="s">
        <v>67</v>
      </c>
      <c r="F430">
        <v>3021</v>
      </c>
      <c r="G430">
        <v>115</v>
      </c>
      <c r="H430">
        <v>18</v>
      </c>
      <c r="I430">
        <v>0</v>
      </c>
      <c r="J430">
        <v>2162</v>
      </c>
      <c r="K430">
        <v>1</v>
      </c>
      <c r="L430">
        <v>1</v>
      </c>
      <c r="M430">
        <v>585</v>
      </c>
      <c r="N430">
        <v>0</v>
      </c>
      <c r="O430">
        <v>43</v>
      </c>
      <c r="P430">
        <v>86</v>
      </c>
      <c r="Q430">
        <v>10</v>
      </c>
      <c r="R430">
        <f>SUM(Table13[[#This Row],[Rank_All_Ranks_Total]:[Rank_SSPSPAddlSPCommandant]])</f>
        <v>6042</v>
      </c>
    </row>
    <row r="431" spans="1:18" x14ac:dyDescent="0.3">
      <c r="A431" t="s">
        <v>12</v>
      </c>
      <c r="B431">
        <v>2003</v>
      </c>
      <c r="C431" t="str">
        <f>_xlfn.CONCAT(Table13[[#This Row],[STATE]],"-",Table13[[#This Row],[Year]])</f>
        <v>Gujarat-2003</v>
      </c>
      <c r="D431" t="s">
        <v>66</v>
      </c>
      <c r="E431" t="s">
        <v>67</v>
      </c>
      <c r="F431">
        <v>46752</v>
      </c>
      <c r="G431">
        <v>6405</v>
      </c>
      <c r="H431">
        <v>176</v>
      </c>
      <c r="I431">
        <v>0</v>
      </c>
      <c r="J431">
        <v>28647</v>
      </c>
      <c r="K431">
        <v>18</v>
      </c>
      <c r="L431">
        <v>16</v>
      </c>
      <c r="M431">
        <v>9065</v>
      </c>
      <c r="N431">
        <v>18</v>
      </c>
      <c r="O431">
        <v>670</v>
      </c>
      <c r="P431">
        <v>1672</v>
      </c>
      <c r="Q431">
        <v>65</v>
      </c>
      <c r="R431">
        <f>SUM(Table13[[#This Row],[Rank_All_Ranks_Total]:[Rank_SSPSPAddlSPCommandant]])</f>
        <v>93504</v>
      </c>
    </row>
    <row r="432" spans="1:18" x14ac:dyDescent="0.3">
      <c r="A432" t="s">
        <v>13</v>
      </c>
      <c r="B432">
        <v>2003</v>
      </c>
      <c r="C432" t="str">
        <f>_xlfn.CONCAT(Table13[[#This Row],[STATE]],"-",Table13[[#This Row],[Year]])</f>
        <v>Haryana-2003</v>
      </c>
      <c r="D432" t="s">
        <v>66</v>
      </c>
      <c r="E432" t="s">
        <v>67</v>
      </c>
      <c r="F432">
        <v>25767</v>
      </c>
      <c r="G432">
        <v>2145</v>
      </c>
      <c r="H432">
        <v>112</v>
      </c>
      <c r="I432">
        <v>0</v>
      </c>
      <c r="J432">
        <v>16410</v>
      </c>
      <c r="K432">
        <v>9</v>
      </c>
      <c r="L432">
        <v>7</v>
      </c>
      <c r="M432">
        <v>5865</v>
      </c>
      <c r="N432">
        <v>19</v>
      </c>
      <c r="O432">
        <v>330</v>
      </c>
      <c r="P432">
        <v>832</v>
      </c>
      <c r="Q432">
        <v>38</v>
      </c>
      <c r="R432">
        <f>SUM(Table13[[#This Row],[Rank_All_Ranks_Total]:[Rank_SSPSPAddlSPCommandant]])</f>
        <v>51534</v>
      </c>
    </row>
    <row r="433" spans="1:18" x14ac:dyDescent="0.3">
      <c r="A433" t="s">
        <v>14</v>
      </c>
      <c r="B433">
        <v>2003</v>
      </c>
      <c r="C433" t="str">
        <f>_xlfn.CONCAT(Table13[[#This Row],[STATE]],"-",Table13[[#This Row],[Year]])</f>
        <v>Himachal Pradesh-2003</v>
      </c>
      <c r="D433" t="s">
        <v>66</v>
      </c>
      <c r="E433" t="s">
        <v>67</v>
      </c>
      <c r="F433">
        <v>8387</v>
      </c>
      <c r="G433">
        <v>724</v>
      </c>
      <c r="H433">
        <v>89</v>
      </c>
      <c r="I433">
        <v>0</v>
      </c>
      <c r="J433">
        <v>5633</v>
      </c>
      <c r="K433">
        <v>14</v>
      </c>
      <c r="L433">
        <v>13</v>
      </c>
      <c r="M433">
        <v>1357</v>
      </c>
      <c r="N433">
        <v>6</v>
      </c>
      <c r="O433">
        <v>152</v>
      </c>
      <c r="P433">
        <v>367</v>
      </c>
      <c r="Q433">
        <v>32</v>
      </c>
      <c r="R433">
        <f>SUM(Table13[[#This Row],[Rank_All_Ranks_Total]:[Rank_SSPSPAddlSPCommandant]])</f>
        <v>16774</v>
      </c>
    </row>
    <row r="434" spans="1:18" x14ac:dyDescent="0.3">
      <c r="A434" t="s">
        <v>15</v>
      </c>
      <c r="B434">
        <v>2003</v>
      </c>
      <c r="C434" t="str">
        <f>_xlfn.CONCAT(Table13[[#This Row],[STATE]],"-",Table13[[#This Row],[Year]])</f>
        <v>Jammu &amp; Kashmir-2003</v>
      </c>
      <c r="D434" t="s">
        <v>66</v>
      </c>
      <c r="E434" t="s">
        <v>67</v>
      </c>
      <c r="F434">
        <v>40278</v>
      </c>
      <c r="G434">
        <v>2617</v>
      </c>
      <c r="H434">
        <v>223</v>
      </c>
      <c r="I434">
        <v>0</v>
      </c>
      <c r="J434">
        <v>28212</v>
      </c>
      <c r="K434">
        <v>3</v>
      </c>
      <c r="L434">
        <v>19</v>
      </c>
      <c r="M434">
        <v>6892</v>
      </c>
      <c r="N434">
        <v>13</v>
      </c>
      <c r="O434">
        <v>554</v>
      </c>
      <c r="P434">
        <v>1639</v>
      </c>
      <c r="Q434">
        <v>106</v>
      </c>
      <c r="R434">
        <f>SUM(Table13[[#This Row],[Rank_All_Ranks_Total]:[Rank_SSPSPAddlSPCommandant]])</f>
        <v>80556</v>
      </c>
    </row>
    <row r="435" spans="1:18" x14ac:dyDescent="0.3">
      <c r="A435" t="s">
        <v>16</v>
      </c>
      <c r="B435">
        <v>2003</v>
      </c>
      <c r="C435" t="str">
        <f>_xlfn.CONCAT(Table13[[#This Row],[STATE]],"-",Table13[[#This Row],[Year]])</f>
        <v>Jharkhand-2003</v>
      </c>
      <c r="D435" t="s">
        <v>66</v>
      </c>
      <c r="E435" t="s">
        <v>67</v>
      </c>
      <c r="F435">
        <v>17659</v>
      </c>
      <c r="G435">
        <v>1145</v>
      </c>
      <c r="H435">
        <v>71</v>
      </c>
      <c r="I435">
        <v>804</v>
      </c>
      <c r="J435">
        <v>11827</v>
      </c>
      <c r="K435">
        <v>0</v>
      </c>
      <c r="L435">
        <v>0</v>
      </c>
      <c r="M435">
        <v>2008</v>
      </c>
      <c r="N435">
        <v>0</v>
      </c>
      <c r="O435">
        <v>156</v>
      </c>
      <c r="P435">
        <v>1623</v>
      </c>
      <c r="Q435">
        <v>25</v>
      </c>
      <c r="R435">
        <f>SUM(Table13[[#This Row],[Rank_All_Ranks_Total]:[Rank_SSPSPAddlSPCommandant]])</f>
        <v>35318</v>
      </c>
    </row>
    <row r="436" spans="1:18" x14ac:dyDescent="0.3">
      <c r="A436" t="s">
        <v>17</v>
      </c>
      <c r="B436">
        <v>2003</v>
      </c>
      <c r="C436" t="str">
        <f>_xlfn.CONCAT(Table13[[#This Row],[STATE]],"-",Table13[[#This Row],[Year]])</f>
        <v>Karnataka-2003</v>
      </c>
      <c r="D436" t="s">
        <v>66</v>
      </c>
      <c r="E436" t="s">
        <v>67</v>
      </c>
      <c r="F436">
        <v>48942</v>
      </c>
      <c r="G436">
        <v>2567</v>
      </c>
      <c r="H436">
        <v>174</v>
      </c>
      <c r="I436">
        <v>0</v>
      </c>
      <c r="J436">
        <v>33208</v>
      </c>
      <c r="K436">
        <v>2</v>
      </c>
      <c r="L436">
        <v>4</v>
      </c>
      <c r="M436">
        <v>10704</v>
      </c>
      <c r="N436">
        <v>5</v>
      </c>
      <c r="O436">
        <v>622</v>
      </c>
      <c r="P436">
        <v>1590</v>
      </c>
      <c r="Q436">
        <v>66</v>
      </c>
      <c r="R436">
        <f>SUM(Table13[[#This Row],[Rank_All_Ranks_Total]:[Rank_SSPSPAddlSPCommandant]])</f>
        <v>97884</v>
      </c>
    </row>
    <row r="437" spans="1:18" x14ac:dyDescent="0.3">
      <c r="A437" t="s">
        <v>18</v>
      </c>
      <c r="B437">
        <v>2003</v>
      </c>
      <c r="C437" t="str">
        <f>_xlfn.CONCAT(Table13[[#This Row],[STATE]],"-",Table13[[#This Row],[Year]])</f>
        <v>Kerala-2003</v>
      </c>
      <c r="D437" t="s">
        <v>66</v>
      </c>
      <c r="E437" t="s">
        <v>67</v>
      </c>
      <c r="F437">
        <v>35830</v>
      </c>
      <c r="G437">
        <v>1611</v>
      </c>
      <c r="H437">
        <v>250</v>
      </c>
      <c r="I437">
        <v>0</v>
      </c>
      <c r="J437">
        <v>24801</v>
      </c>
      <c r="K437">
        <v>5</v>
      </c>
      <c r="L437">
        <v>12</v>
      </c>
      <c r="M437">
        <v>7301</v>
      </c>
      <c r="N437">
        <v>6</v>
      </c>
      <c r="O437">
        <v>386</v>
      </c>
      <c r="P437">
        <v>1400</v>
      </c>
      <c r="Q437">
        <v>58</v>
      </c>
      <c r="R437">
        <f>SUM(Table13[[#This Row],[Rank_All_Ranks_Total]:[Rank_SSPSPAddlSPCommandant]])</f>
        <v>71660</v>
      </c>
    </row>
    <row r="438" spans="1:18" x14ac:dyDescent="0.3">
      <c r="A438" t="s">
        <v>39</v>
      </c>
      <c r="B438">
        <v>2003</v>
      </c>
      <c r="C438" t="str">
        <f>_xlfn.CONCAT(Table13[[#This Row],[STATE]],"-",Table13[[#This Row],[Year]])</f>
        <v>Lakshadweep-2003</v>
      </c>
      <c r="D438" t="s">
        <v>66</v>
      </c>
      <c r="E438" t="s">
        <v>67</v>
      </c>
      <c r="F438">
        <v>324</v>
      </c>
      <c r="G438">
        <v>23</v>
      </c>
      <c r="H438">
        <v>1</v>
      </c>
      <c r="I438">
        <v>0</v>
      </c>
      <c r="J438">
        <v>213</v>
      </c>
      <c r="K438">
        <v>0</v>
      </c>
      <c r="L438">
        <v>0</v>
      </c>
      <c r="M438">
        <v>64</v>
      </c>
      <c r="N438">
        <v>0</v>
      </c>
      <c r="O438">
        <v>5</v>
      </c>
      <c r="P438">
        <v>17</v>
      </c>
      <c r="Q438">
        <v>1</v>
      </c>
      <c r="R438">
        <f>SUM(Table13[[#This Row],[Rank_All_Ranks_Total]:[Rank_SSPSPAddlSPCommandant]])</f>
        <v>648</v>
      </c>
    </row>
    <row r="439" spans="1:18" x14ac:dyDescent="0.3">
      <c r="A439" t="s">
        <v>19</v>
      </c>
      <c r="B439">
        <v>2003</v>
      </c>
      <c r="C439" t="str">
        <f>_xlfn.CONCAT(Table13[[#This Row],[STATE]],"-",Table13[[#This Row],[Year]])</f>
        <v>Madhya Pradesh-2003</v>
      </c>
      <c r="D439" t="s">
        <v>66</v>
      </c>
      <c r="E439" t="s">
        <v>67</v>
      </c>
      <c r="F439">
        <v>44099</v>
      </c>
      <c r="G439">
        <v>2267</v>
      </c>
      <c r="H439">
        <v>488</v>
      </c>
      <c r="I439">
        <v>0</v>
      </c>
      <c r="J439">
        <v>30881</v>
      </c>
      <c r="K439">
        <v>21</v>
      </c>
      <c r="L439">
        <v>25</v>
      </c>
      <c r="M439">
        <v>7638</v>
      </c>
      <c r="N439">
        <v>30</v>
      </c>
      <c r="O439">
        <v>748</v>
      </c>
      <c r="P439">
        <v>1931</v>
      </c>
      <c r="Q439">
        <v>70</v>
      </c>
      <c r="R439">
        <f>SUM(Table13[[#This Row],[Rank_All_Ranks_Total]:[Rank_SSPSPAddlSPCommandant]])</f>
        <v>88198</v>
      </c>
    </row>
    <row r="440" spans="1:18" x14ac:dyDescent="0.3">
      <c r="A440" t="s">
        <v>20</v>
      </c>
      <c r="B440">
        <v>2003</v>
      </c>
      <c r="C440" t="str">
        <f>_xlfn.CONCAT(Table13[[#This Row],[STATE]],"-",Table13[[#This Row],[Year]])</f>
        <v>Maharashtra-2003</v>
      </c>
      <c r="D440" t="s">
        <v>66</v>
      </c>
      <c r="E440" t="s">
        <v>67</v>
      </c>
      <c r="F440">
        <v>125287</v>
      </c>
      <c r="G440">
        <v>11181</v>
      </c>
      <c r="H440">
        <v>403</v>
      </c>
      <c r="I440">
        <v>19468</v>
      </c>
      <c r="J440">
        <v>58233</v>
      </c>
      <c r="K440">
        <v>12</v>
      </c>
      <c r="L440">
        <v>28</v>
      </c>
      <c r="M440">
        <v>26338</v>
      </c>
      <c r="N440">
        <v>24</v>
      </c>
      <c r="O440">
        <v>2361</v>
      </c>
      <c r="P440">
        <v>7063</v>
      </c>
      <c r="Q440">
        <v>176</v>
      </c>
      <c r="R440">
        <f>SUM(Table13[[#This Row],[Rank_All_Ranks_Total]:[Rank_SSPSPAddlSPCommandant]])</f>
        <v>250574</v>
      </c>
    </row>
    <row r="441" spans="1:18" x14ac:dyDescent="0.3">
      <c r="A441" t="s">
        <v>21</v>
      </c>
      <c r="B441">
        <v>2003</v>
      </c>
      <c r="C441" t="str">
        <f>_xlfn.CONCAT(Table13[[#This Row],[STATE]],"-",Table13[[#This Row],[Year]])</f>
        <v>Manipur-2003</v>
      </c>
      <c r="D441" t="s">
        <v>66</v>
      </c>
      <c r="E441" t="s">
        <v>67</v>
      </c>
      <c r="F441">
        <v>4879</v>
      </c>
      <c r="G441">
        <v>391</v>
      </c>
      <c r="H441">
        <v>48</v>
      </c>
      <c r="I441">
        <v>51</v>
      </c>
      <c r="J441">
        <v>3436</v>
      </c>
      <c r="K441">
        <v>2</v>
      </c>
      <c r="L441">
        <v>5</v>
      </c>
      <c r="M441">
        <v>409</v>
      </c>
      <c r="N441">
        <v>4</v>
      </c>
      <c r="O441">
        <v>133</v>
      </c>
      <c r="P441">
        <v>372</v>
      </c>
      <c r="Q441">
        <v>28</v>
      </c>
      <c r="R441">
        <f>SUM(Table13[[#This Row],[Rank_All_Ranks_Total]:[Rank_SSPSPAddlSPCommandant]])</f>
        <v>9758</v>
      </c>
    </row>
    <row r="442" spans="1:18" x14ac:dyDescent="0.3">
      <c r="A442" t="s">
        <v>22</v>
      </c>
      <c r="B442">
        <v>2003</v>
      </c>
      <c r="C442" t="str">
        <f>_xlfn.CONCAT(Table13[[#This Row],[STATE]],"-",Table13[[#This Row],[Year]])</f>
        <v>Meghalaya-2003</v>
      </c>
      <c r="D442" t="s">
        <v>66</v>
      </c>
      <c r="E442" t="s">
        <v>67</v>
      </c>
      <c r="F442">
        <v>5274</v>
      </c>
      <c r="G442">
        <v>473</v>
      </c>
      <c r="H442">
        <v>15</v>
      </c>
      <c r="I442">
        <v>121</v>
      </c>
      <c r="J442">
        <v>3868</v>
      </c>
      <c r="K442">
        <v>5</v>
      </c>
      <c r="L442">
        <v>6</v>
      </c>
      <c r="M442">
        <v>313</v>
      </c>
      <c r="N442">
        <v>1</v>
      </c>
      <c r="O442">
        <v>96</v>
      </c>
      <c r="P442">
        <v>353</v>
      </c>
      <c r="Q442">
        <v>23</v>
      </c>
      <c r="R442">
        <f>SUM(Table13[[#This Row],[Rank_All_Ranks_Total]:[Rank_SSPSPAddlSPCommandant]])</f>
        <v>10548</v>
      </c>
    </row>
    <row r="443" spans="1:18" x14ac:dyDescent="0.3">
      <c r="A443" t="s">
        <v>23</v>
      </c>
      <c r="B443">
        <v>2003</v>
      </c>
      <c r="C443" t="str">
        <f>_xlfn.CONCAT(Table13[[#This Row],[STATE]],"-",Table13[[#This Row],[Year]])</f>
        <v>Mizoram-2003</v>
      </c>
      <c r="D443" t="s">
        <v>66</v>
      </c>
      <c r="E443" t="s">
        <v>67</v>
      </c>
      <c r="F443">
        <v>2965</v>
      </c>
      <c r="G443">
        <v>350</v>
      </c>
      <c r="H443">
        <v>30</v>
      </c>
      <c r="I443">
        <v>127</v>
      </c>
      <c r="J443">
        <v>1323</v>
      </c>
      <c r="K443">
        <v>1</v>
      </c>
      <c r="L443">
        <v>4</v>
      </c>
      <c r="M443">
        <v>711</v>
      </c>
      <c r="N443">
        <v>1</v>
      </c>
      <c r="O443">
        <v>102</v>
      </c>
      <c r="P443">
        <v>283</v>
      </c>
      <c r="Q443">
        <v>33</v>
      </c>
      <c r="R443">
        <f>SUM(Table13[[#This Row],[Rank_All_Ranks_Total]:[Rank_SSPSPAddlSPCommandant]])</f>
        <v>5930</v>
      </c>
    </row>
    <row r="444" spans="1:18" x14ac:dyDescent="0.3">
      <c r="A444" t="s">
        <v>24</v>
      </c>
      <c r="B444">
        <v>2003</v>
      </c>
      <c r="C444" t="str">
        <f>_xlfn.CONCAT(Table13[[#This Row],[STATE]],"-",Table13[[#This Row],[Year]])</f>
        <v>Nagaland-2003</v>
      </c>
      <c r="D444" t="s">
        <v>66</v>
      </c>
      <c r="E444" t="s">
        <v>67</v>
      </c>
      <c r="F444">
        <v>5782</v>
      </c>
      <c r="G444">
        <v>197</v>
      </c>
      <c r="H444">
        <v>32</v>
      </c>
      <c r="I444">
        <v>572</v>
      </c>
      <c r="J444">
        <v>4285</v>
      </c>
      <c r="K444">
        <v>4</v>
      </c>
      <c r="L444">
        <v>11</v>
      </c>
      <c r="M444">
        <v>375</v>
      </c>
      <c r="N444">
        <v>7</v>
      </c>
      <c r="O444">
        <v>48</v>
      </c>
      <c r="P444">
        <v>214</v>
      </c>
      <c r="Q444">
        <v>37</v>
      </c>
      <c r="R444">
        <f>SUM(Table13[[#This Row],[Rank_All_Ranks_Total]:[Rank_SSPSPAddlSPCommandant]])</f>
        <v>11564</v>
      </c>
    </row>
    <row r="445" spans="1:18" x14ac:dyDescent="0.3">
      <c r="A445" t="s">
        <v>63</v>
      </c>
      <c r="B445">
        <v>2003</v>
      </c>
      <c r="C445" t="str">
        <f>_xlfn.CONCAT(Table13[[#This Row],[STATE]],"-",Table13[[#This Row],[Year]])</f>
        <v>Odisha-2003</v>
      </c>
      <c r="D445" t="s">
        <v>66</v>
      </c>
      <c r="E445" t="s">
        <v>67</v>
      </c>
      <c r="F445">
        <v>27044</v>
      </c>
      <c r="G445">
        <v>2384</v>
      </c>
      <c r="H445">
        <v>161</v>
      </c>
      <c r="I445">
        <v>273</v>
      </c>
      <c r="J445">
        <v>19196</v>
      </c>
      <c r="K445">
        <v>7</v>
      </c>
      <c r="L445">
        <v>17</v>
      </c>
      <c r="M445">
        <v>2488</v>
      </c>
      <c r="N445">
        <v>10</v>
      </c>
      <c r="O445">
        <v>530</v>
      </c>
      <c r="P445">
        <v>1862</v>
      </c>
      <c r="Q445">
        <v>116</v>
      </c>
      <c r="R445">
        <f>SUM(Table13[[#This Row],[Rank_All_Ranks_Total]:[Rank_SSPSPAddlSPCommandant]])</f>
        <v>54088</v>
      </c>
    </row>
    <row r="446" spans="1:18" x14ac:dyDescent="0.3">
      <c r="A446" t="s">
        <v>64</v>
      </c>
      <c r="B446">
        <v>2003</v>
      </c>
      <c r="C446" t="str">
        <f>_xlfn.CONCAT(Table13[[#This Row],[STATE]],"-",Table13[[#This Row],[Year]])</f>
        <v>Puducherry-2003</v>
      </c>
      <c r="D446" t="s">
        <v>66</v>
      </c>
      <c r="E446" t="s">
        <v>67</v>
      </c>
      <c r="F446">
        <v>1495</v>
      </c>
      <c r="G446">
        <v>99</v>
      </c>
      <c r="H446">
        <v>18</v>
      </c>
      <c r="I446">
        <v>0</v>
      </c>
      <c r="J446">
        <v>1010</v>
      </c>
      <c r="K446">
        <v>0</v>
      </c>
      <c r="L446">
        <v>0</v>
      </c>
      <c r="M446">
        <v>217</v>
      </c>
      <c r="N446">
        <v>1</v>
      </c>
      <c r="O446">
        <v>42</v>
      </c>
      <c r="P446">
        <v>106</v>
      </c>
      <c r="Q446">
        <v>2</v>
      </c>
      <c r="R446">
        <f>SUM(Table13[[#This Row],[Rank_All_Ranks_Total]:[Rank_SSPSPAddlSPCommandant]])</f>
        <v>2990</v>
      </c>
    </row>
    <row r="447" spans="1:18" x14ac:dyDescent="0.3">
      <c r="A447" t="s">
        <v>26</v>
      </c>
      <c r="B447">
        <v>2003</v>
      </c>
      <c r="C447" t="str">
        <f>_xlfn.CONCAT(Table13[[#This Row],[STATE]],"-",Table13[[#This Row],[Year]])</f>
        <v>Punjab-2003</v>
      </c>
      <c r="D447" t="s">
        <v>66</v>
      </c>
      <c r="E447" t="s">
        <v>67</v>
      </c>
      <c r="F447">
        <v>51715</v>
      </c>
      <c r="G447">
        <v>3588</v>
      </c>
      <c r="H447">
        <v>295</v>
      </c>
      <c r="I447">
        <v>0</v>
      </c>
      <c r="J447">
        <v>36539</v>
      </c>
      <c r="K447">
        <v>13</v>
      </c>
      <c r="L447">
        <v>13</v>
      </c>
      <c r="M447">
        <v>9301</v>
      </c>
      <c r="N447">
        <v>17</v>
      </c>
      <c r="O447">
        <v>442</v>
      </c>
      <c r="P447">
        <v>1361</v>
      </c>
      <c r="Q447">
        <v>146</v>
      </c>
      <c r="R447">
        <f>SUM(Table13[[#This Row],[Rank_All_Ranks_Total]:[Rank_SSPSPAddlSPCommandant]])</f>
        <v>103430</v>
      </c>
    </row>
    <row r="448" spans="1:18" x14ac:dyDescent="0.3">
      <c r="A448" t="s">
        <v>27</v>
      </c>
      <c r="B448">
        <v>2003</v>
      </c>
      <c r="C448" t="str">
        <f>_xlfn.CONCAT(Table13[[#This Row],[STATE]],"-",Table13[[#This Row],[Year]])</f>
        <v>Rajasthan-2003</v>
      </c>
      <c r="D448" t="s">
        <v>66</v>
      </c>
      <c r="E448" t="s">
        <v>67</v>
      </c>
      <c r="F448">
        <v>52450</v>
      </c>
      <c r="G448">
        <v>2944</v>
      </c>
      <c r="H448">
        <v>312</v>
      </c>
      <c r="I448">
        <v>0</v>
      </c>
      <c r="J448">
        <v>39476</v>
      </c>
      <c r="K448">
        <v>13</v>
      </c>
      <c r="L448">
        <v>3</v>
      </c>
      <c r="M448">
        <v>6236</v>
      </c>
      <c r="N448">
        <v>15</v>
      </c>
      <c r="O448">
        <v>686</v>
      </c>
      <c r="P448">
        <v>2539</v>
      </c>
      <c r="Q448">
        <v>226</v>
      </c>
      <c r="R448">
        <f>SUM(Table13[[#This Row],[Rank_All_Ranks_Total]:[Rank_SSPSPAddlSPCommandant]])</f>
        <v>104900</v>
      </c>
    </row>
    <row r="449" spans="1:18" x14ac:dyDescent="0.3">
      <c r="A449" t="s">
        <v>28</v>
      </c>
      <c r="B449">
        <v>2003</v>
      </c>
      <c r="C449" t="str">
        <f>_xlfn.CONCAT(Table13[[#This Row],[STATE]],"-",Table13[[#This Row],[Year]])</f>
        <v>Sikkim-2003</v>
      </c>
      <c r="D449" t="s">
        <v>66</v>
      </c>
      <c r="E449" t="s">
        <v>67</v>
      </c>
      <c r="F449">
        <v>1651</v>
      </c>
      <c r="G449">
        <v>106</v>
      </c>
      <c r="H449">
        <v>23</v>
      </c>
      <c r="I449">
        <v>239</v>
      </c>
      <c r="J449">
        <v>872</v>
      </c>
      <c r="K449">
        <v>2</v>
      </c>
      <c r="L449">
        <v>8</v>
      </c>
      <c r="M449">
        <v>227</v>
      </c>
      <c r="N449">
        <v>7</v>
      </c>
      <c r="O449">
        <v>46</v>
      </c>
      <c r="P449">
        <v>107</v>
      </c>
      <c r="Q449">
        <v>14</v>
      </c>
      <c r="R449">
        <f>SUM(Table13[[#This Row],[Rank_All_Ranks_Total]:[Rank_SSPSPAddlSPCommandant]])</f>
        <v>3302</v>
      </c>
    </row>
    <row r="450" spans="1:18" x14ac:dyDescent="0.3">
      <c r="A450" t="s">
        <v>42</v>
      </c>
      <c r="B450">
        <v>2003</v>
      </c>
      <c r="C450" t="str">
        <f>_xlfn.CONCAT(Table13[[#This Row],[STATE]],"-",Table13[[#This Row],[Year]])</f>
        <v>Tamil Nadu-2003</v>
      </c>
      <c r="D450" t="s">
        <v>66</v>
      </c>
      <c r="E450" t="s">
        <v>67</v>
      </c>
      <c r="F450">
        <v>68859</v>
      </c>
      <c r="G450">
        <v>0</v>
      </c>
      <c r="H450">
        <v>503</v>
      </c>
      <c r="I450">
        <v>6439</v>
      </c>
      <c r="J450">
        <v>42860</v>
      </c>
      <c r="K450">
        <v>25</v>
      </c>
      <c r="L450">
        <v>27</v>
      </c>
      <c r="M450">
        <v>11489</v>
      </c>
      <c r="N450">
        <v>22</v>
      </c>
      <c r="O450">
        <v>2380</v>
      </c>
      <c r="P450">
        <v>4926</v>
      </c>
      <c r="Q450">
        <v>188</v>
      </c>
      <c r="R450">
        <f>SUM(Table13[[#This Row],[Rank_All_Ranks_Total]:[Rank_SSPSPAddlSPCommandant]])</f>
        <v>137718</v>
      </c>
    </row>
    <row r="451" spans="1:18" x14ac:dyDescent="0.3">
      <c r="A451" t="s">
        <v>30</v>
      </c>
      <c r="B451">
        <v>2003</v>
      </c>
      <c r="C451" t="str">
        <f>_xlfn.CONCAT(Table13[[#This Row],[STATE]],"-",Table13[[#This Row],[Year]])</f>
        <v>Tripura-2003</v>
      </c>
      <c r="D451" t="s">
        <v>66</v>
      </c>
      <c r="E451" t="s">
        <v>67</v>
      </c>
      <c r="F451">
        <v>8667</v>
      </c>
      <c r="G451">
        <v>483</v>
      </c>
      <c r="H451">
        <v>110</v>
      </c>
      <c r="I451">
        <v>245</v>
      </c>
      <c r="J451">
        <v>6321</v>
      </c>
      <c r="K451">
        <v>2</v>
      </c>
      <c r="L451">
        <v>10</v>
      </c>
      <c r="M451">
        <v>759</v>
      </c>
      <c r="N451">
        <v>5</v>
      </c>
      <c r="O451">
        <v>121</v>
      </c>
      <c r="P451">
        <v>584</v>
      </c>
      <c r="Q451">
        <v>27</v>
      </c>
      <c r="R451">
        <f>SUM(Table13[[#This Row],[Rank_All_Ranks_Total]:[Rank_SSPSPAddlSPCommandant]])</f>
        <v>17334</v>
      </c>
    </row>
    <row r="452" spans="1:18" x14ac:dyDescent="0.3">
      <c r="A452" t="s">
        <v>31</v>
      </c>
      <c r="B452">
        <v>2003</v>
      </c>
      <c r="C452" t="str">
        <f>_xlfn.CONCAT(Table13[[#This Row],[STATE]],"-",Table13[[#This Row],[Year]])</f>
        <v>Uttar Pradesh-2003</v>
      </c>
      <c r="D452" t="s">
        <v>66</v>
      </c>
      <c r="E452" t="s">
        <v>67</v>
      </c>
      <c r="F452">
        <v>126387</v>
      </c>
      <c r="G452">
        <v>0</v>
      </c>
      <c r="H452">
        <v>936</v>
      </c>
      <c r="I452">
        <v>0</v>
      </c>
      <c r="J452">
        <v>94400</v>
      </c>
      <c r="K452">
        <v>24</v>
      </c>
      <c r="L452">
        <v>48</v>
      </c>
      <c r="M452">
        <v>18045</v>
      </c>
      <c r="N452">
        <v>49</v>
      </c>
      <c r="O452">
        <v>1098</v>
      </c>
      <c r="P452">
        <v>11590</v>
      </c>
      <c r="Q452">
        <v>197</v>
      </c>
      <c r="R452">
        <f>SUM(Table13[[#This Row],[Rank_All_Ranks_Total]:[Rank_SSPSPAddlSPCommandant]])</f>
        <v>252774</v>
      </c>
    </row>
    <row r="453" spans="1:18" x14ac:dyDescent="0.3">
      <c r="A453" t="s">
        <v>65</v>
      </c>
      <c r="B453">
        <v>2003</v>
      </c>
      <c r="C453" t="str">
        <f>_xlfn.CONCAT(Table13[[#This Row],[STATE]],"-",Table13[[#This Row],[Year]])</f>
        <v>Uttarakhand-2003</v>
      </c>
      <c r="D453" t="s">
        <v>66</v>
      </c>
      <c r="E453" t="s">
        <v>67</v>
      </c>
      <c r="F453">
        <v>10373</v>
      </c>
      <c r="G453">
        <v>0</v>
      </c>
      <c r="H453">
        <v>30</v>
      </c>
      <c r="I453">
        <v>0</v>
      </c>
      <c r="J453">
        <v>8328</v>
      </c>
      <c r="K453">
        <v>7</v>
      </c>
      <c r="L453">
        <v>6</v>
      </c>
      <c r="M453">
        <v>1370</v>
      </c>
      <c r="N453">
        <v>3</v>
      </c>
      <c r="O453">
        <v>39</v>
      </c>
      <c r="P453">
        <v>574</v>
      </c>
      <c r="Q453">
        <v>16</v>
      </c>
      <c r="R453">
        <f>SUM(Table13[[#This Row],[Rank_All_Ranks_Total]:[Rank_SSPSPAddlSPCommandant]])</f>
        <v>20746</v>
      </c>
    </row>
    <row r="454" spans="1:18" x14ac:dyDescent="0.3">
      <c r="A454" t="s">
        <v>33</v>
      </c>
      <c r="B454">
        <v>2003</v>
      </c>
      <c r="C454" t="str">
        <f>_xlfn.CONCAT(Table13[[#This Row],[STATE]],"-",Table13[[#This Row],[Year]])</f>
        <v>West Bengal-2003</v>
      </c>
      <c r="D454" t="s">
        <v>66</v>
      </c>
      <c r="E454" t="s">
        <v>67</v>
      </c>
      <c r="F454">
        <v>62343</v>
      </c>
      <c r="G454">
        <v>7108</v>
      </c>
      <c r="H454">
        <v>265</v>
      </c>
      <c r="I454">
        <v>1594</v>
      </c>
      <c r="J454">
        <v>43547</v>
      </c>
      <c r="K454">
        <v>18</v>
      </c>
      <c r="L454">
        <v>23</v>
      </c>
      <c r="M454">
        <v>2758</v>
      </c>
      <c r="N454">
        <v>37</v>
      </c>
      <c r="O454">
        <v>1010</v>
      </c>
      <c r="P454">
        <v>5905</v>
      </c>
      <c r="Q454">
        <v>78</v>
      </c>
      <c r="R454">
        <f>SUM(Table13[[#This Row],[Rank_All_Ranks_Total]:[Rank_SSPSPAddlSPCommandant]])</f>
        <v>124686</v>
      </c>
    </row>
    <row r="455" spans="1:18" x14ac:dyDescent="0.3">
      <c r="A455" t="s">
        <v>59</v>
      </c>
      <c r="B455">
        <v>2004</v>
      </c>
      <c r="C455" t="str">
        <f>_xlfn.CONCAT(Table13[[#This Row],[STATE]],"-",Table13[[#This Row],[Year]])</f>
        <v>Andaman &amp; Nicobar Islands-2004</v>
      </c>
      <c r="D455" t="s">
        <v>66</v>
      </c>
      <c r="E455" t="s">
        <v>67</v>
      </c>
      <c r="F455">
        <v>2227</v>
      </c>
      <c r="G455">
        <v>190</v>
      </c>
      <c r="H455">
        <v>9</v>
      </c>
      <c r="I455">
        <v>0</v>
      </c>
      <c r="J455">
        <v>1478</v>
      </c>
      <c r="K455">
        <v>0</v>
      </c>
      <c r="L455">
        <v>0</v>
      </c>
      <c r="M455">
        <v>403</v>
      </c>
      <c r="N455">
        <v>1</v>
      </c>
      <c r="O455">
        <v>31</v>
      </c>
      <c r="P455">
        <v>113</v>
      </c>
      <c r="Q455">
        <v>2</v>
      </c>
      <c r="R455">
        <f>SUM(Table13[[#This Row],[Rank_All_Ranks_Total]:[Rank_SSPSPAddlSPCommandant]])</f>
        <v>4454</v>
      </c>
    </row>
    <row r="456" spans="1:18" x14ac:dyDescent="0.3">
      <c r="A456" t="s">
        <v>6</v>
      </c>
      <c r="B456">
        <v>2004</v>
      </c>
      <c r="C456" t="str">
        <f>_xlfn.CONCAT(Table13[[#This Row],[STATE]],"-",Table13[[#This Row],[Year]])</f>
        <v>Andhra Pradesh-2004</v>
      </c>
      <c r="D456" t="s">
        <v>66</v>
      </c>
      <c r="E456" t="s">
        <v>67</v>
      </c>
      <c r="F456">
        <v>65407</v>
      </c>
      <c r="G456">
        <v>2377</v>
      </c>
      <c r="H456">
        <v>301</v>
      </c>
      <c r="I456">
        <v>0</v>
      </c>
      <c r="J456">
        <v>48186</v>
      </c>
      <c r="K456">
        <v>21</v>
      </c>
      <c r="L456">
        <v>27</v>
      </c>
      <c r="M456">
        <v>10063</v>
      </c>
      <c r="N456">
        <v>18</v>
      </c>
      <c r="O456">
        <v>1010</v>
      </c>
      <c r="P456">
        <v>3271</v>
      </c>
      <c r="Q456">
        <v>133</v>
      </c>
      <c r="R456">
        <f>SUM(Table13[[#This Row],[Rank_All_Ranks_Total]:[Rank_SSPSPAddlSPCommandant]])</f>
        <v>130814</v>
      </c>
    </row>
    <row r="457" spans="1:18" x14ac:dyDescent="0.3">
      <c r="A457" t="s">
        <v>7</v>
      </c>
      <c r="B457">
        <v>2004</v>
      </c>
      <c r="C457" t="str">
        <f>_xlfn.CONCAT(Table13[[#This Row],[STATE]],"-",Table13[[#This Row],[Year]])</f>
        <v>Arunachal Pradesh-2004</v>
      </c>
      <c r="D457" t="s">
        <v>66</v>
      </c>
      <c r="E457" t="s">
        <v>67</v>
      </c>
      <c r="F457">
        <v>3191</v>
      </c>
      <c r="G457">
        <v>143</v>
      </c>
      <c r="H457">
        <v>40</v>
      </c>
      <c r="I457">
        <v>0</v>
      </c>
      <c r="J457">
        <v>2287</v>
      </c>
      <c r="K457">
        <v>1</v>
      </c>
      <c r="L457">
        <v>3</v>
      </c>
      <c r="M457">
        <v>345</v>
      </c>
      <c r="N457">
        <v>1</v>
      </c>
      <c r="O457">
        <v>43</v>
      </c>
      <c r="P457">
        <v>309</v>
      </c>
      <c r="Q457">
        <v>19</v>
      </c>
      <c r="R457">
        <f>SUM(Table13[[#This Row],[Rank_All_Ranks_Total]:[Rank_SSPSPAddlSPCommandant]])</f>
        <v>6382</v>
      </c>
    </row>
    <row r="458" spans="1:18" x14ac:dyDescent="0.3">
      <c r="A458" t="s">
        <v>8</v>
      </c>
      <c r="B458">
        <v>2004</v>
      </c>
      <c r="C458" t="str">
        <f>_xlfn.CONCAT(Table13[[#This Row],[STATE]],"-",Table13[[#This Row],[Year]])</f>
        <v>Assam-2004</v>
      </c>
      <c r="D458" t="s">
        <v>66</v>
      </c>
      <c r="E458" t="s">
        <v>67</v>
      </c>
      <c r="F458">
        <v>28341</v>
      </c>
      <c r="G458">
        <v>1779</v>
      </c>
      <c r="H458">
        <v>135</v>
      </c>
      <c r="I458">
        <v>901</v>
      </c>
      <c r="J458">
        <v>20469</v>
      </c>
      <c r="K458">
        <v>7</v>
      </c>
      <c r="L458">
        <v>16</v>
      </c>
      <c r="M458">
        <v>1792</v>
      </c>
      <c r="N458">
        <v>11</v>
      </c>
      <c r="O458">
        <v>487</v>
      </c>
      <c r="P458">
        <v>2610</v>
      </c>
      <c r="Q458">
        <v>134</v>
      </c>
      <c r="R458">
        <f>SUM(Table13[[#This Row],[Rank_All_Ranks_Total]:[Rank_SSPSPAddlSPCommandant]])</f>
        <v>56682</v>
      </c>
    </row>
    <row r="459" spans="1:18" x14ac:dyDescent="0.3">
      <c r="A459" t="s">
        <v>9</v>
      </c>
      <c r="B459">
        <v>2004</v>
      </c>
      <c r="C459" t="str">
        <f>_xlfn.CONCAT(Table13[[#This Row],[STATE]],"-",Table13[[#This Row],[Year]])</f>
        <v>Bihar-2004</v>
      </c>
      <c r="D459" t="s">
        <v>66</v>
      </c>
      <c r="E459" t="s">
        <v>67</v>
      </c>
      <c r="F459">
        <v>39978</v>
      </c>
      <c r="G459">
        <v>3845</v>
      </c>
      <c r="H459">
        <v>140</v>
      </c>
      <c r="I459">
        <v>0</v>
      </c>
      <c r="J459">
        <v>27580</v>
      </c>
      <c r="K459">
        <v>8</v>
      </c>
      <c r="L459">
        <v>17</v>
      </c>
      <c r="M459">
        <v>4427</v>
      </c>
      <c r="N459">
        <v>19</v>
      </c>
      <c r="O459">
        <v>447</v>
      </c>
      <c r="P459">
        <v>3450</v>
      </c>
      <c r="Q459">
        <v>45</v>
      </c>
      <c r="R459">
        <f>SUM(Table13[[#This Row],[Rank_All_Ranks_Total]:[Rank_SSPSPAddlSPCommandant]])</f>
        <v>79956</v>
      </c>
    </row>
    <row r="460" spans="1:18" x14ac:dyDescent="0.3">
      <c r="A460" t="s">
        <v>35</v>
      </c>
      <c r="B460">
        <v>2004</v>
      </c>
      <c r="C460" t="str">
        <f>_xlfn.CONCAT(Table13[[#This Row],[STATE]],"-",Table13[[#This Row],[Year]])</f>
        <v>Chandigarh-2004</v>
      </c>
      <c r="D460" t="s">
        <v>66</v>
      </c>
      <c r="E460" t="s">
        <v>67</v>
      </c>
      <c r="F460">
        <v>3504</v>
      </c>
      <c r="G460">
        <v>185</v>
      </c>
      <c r="H460">
        <v>10</v>
      </c>
      <c r="I460">
        <v>0</v>
      </c>
      <c r="J460">
        <v>2239</v>
      </c>
      <c r="K460">
        <v>0</v>
      </c>
      <c r="L460">
        <v>0</v>
      </c>
      <c r="M460">
        <v>781</v>
      </c>
      <c r="N460">
        <v>1</v>
      </c>
      <c r="O460">
        <v>46</v>
      </c>
      <c r="P460">
        <v>238</v>
      </c>
      <c r="Q460">
        <v>4</v>
      </c>
      <c r="R460">
        <f>SUM(Table13[[#This Row],[Rank_All_Ranks_Total]:[Rank_SSPSPAddlSPCommandant]])</f>
        <v>7008</v>
      </c>
    </row>
    <row r="461" spans="1:18" x14ac:dyDescent="0.3">
      <c r="A461" t="s">
        <v>10</v>
      </c>
      <c r="B461">
        <v>2004</v>
      </c>
      <c r="C461" t="str">
        <f>_xlfn.CONCAT(Table13[[#This Row],[STATE]],"-",Table13[[#This Row],[Year]])</f>
        <v>Chhattisgarh-2004</v>
      </c>
      <c r="D461" t="s">
        <v>66</v>
      </c>
      <c r="E461" t="s">
        <v>67</v>
      </c>
      <c r="F461">
        <v>11841</v>
      </c>
      <c r="G461">
        <v>664</v>
      </c>
      <c r="H461">
        <v>96</v>
      </c>
      <c r="I461">
        <v>0</v>
      </c>
      <c r="J461">
        <v>8427</v>
      </c>
      <c r="K461">
        <v>0</v>
      </c>
      <c r="L461">
        <v>3</v>
      </c>
      <c r="M461">
        <v>1847</v>
      </c>
      <c r="N461">
        <v>4</v>
      </c>
      <c r="O461">
        <v>194</v>
      </c>
      <c r="P461">
        <v>578</v>
      </c>
      <c r="Q461">
        <v>28</v>
      </c>
      <c r="R461">
        <f>SUM(Table13[[#This Row],[Rank_All_Ranks_Total]:[Rank_SSPSPAddlSPCommandant]])</f>
        <v>23682</v>
      </c>
    </row>
    <row r="462" spans="1:18" x14ac:dyDescent="0.3">
      <c r="A462" t="s">
        <v>62</v>
      </c>
      <c r="B462">
        <v>2004</v>
      </c>
      <c r="C462" t="str">
        <f>_xlfn.CONCAT(Table13[[#This Row],[STATE]],"-",Table13[[#This Row],[Year]])</f>
        <v>Dadra &amp; Nagar Haveli-2004</v>
      </c>
      <c r="D462" t="s">
        <v>66</v>
      </c>
      <c r="E462" t="s">
        <v>67</v>
      </c>
      <c r="F462">
        <v>224</v>
      </c>
      <c r="G462">
        <v>2</v>
      </c>
      <c r="H462">
        <v>1</v>
      </c>
      <c r="I462">
        <v>0</v>
      </c>
      <c r="J462">
        <v>157</v>
      </c>
      <c r="K462">
        <v>0</v>
      </c>
      <c r="L462">
        <v>0</v>
      </c>
      <c r="M462">
        <v>51</v>
      </c>
      <c r="N462">
        <v>0</v>
      </c>
      <c r="O462">
        <v>1</v>
      </c>
      <c r="P462">
        <v>11</v>
      </c>
      <c r="Q462">
        <v>1</v>
      </c>
      <c r="R462">
        <f>SUM(Table13[[#This Row],[Rank_All_Ranks_Total]:[Rank_SSPSPAddlSPCommandant]])</f>
        <v>448</v>
      </c>
    </row>
    <row r="463" spans="1:18" x14ac:dyDescent="0.3">
      <c r="A463" t="s">
        <v>37</v>
      </c>
      <c r="B463">
        <v>2004</v>
      </c>
      <c r="C463" t="str">
        <f>_xlfn.CONCAT(Table13[[#This Row],[STATE]],"-",Table13[[#This Row],[Year]])</f>
        <v>Daman &amp; Diu-2004</v>
      </c>
      <c r="D463" t="s">
        <v>66</v>
      </c>
      <c r="E463" t="s">
        <v>67</v>
      </c>
      <c r="F463">
        <v>242</v>
      </c>
      <c r="G463">
        <v>8</v>
      </c>
      <c r="H463">
        <v>3</v>
      </c>
      <c r="I463">
        <v>0</v>
      </c>
      <c r="J463">
        <v>177</v>
      </c>
      <c r="K463">
        <v>0</v>
      </c>
      <c r="L463">
        <v>0</v>
      </c>
      <c r="M463">
        <v>40</v>
      </c>
      <c r="N463">
        <v>0</v>
      </c>
      <c r="O463">
        <v>3</v>
      </c>
      <c r="P463">
        <v>10</v>
      </c>
      <c r="Q463">
        <v>1</v>
      </c>
      <c r="R463">
        <f>SUM(Table13[[#This Row],[Rank_All_Ranks_Total]:[Rank_SSPSPAddlSPCommandant]])</f>
        <v>484</v>
      </c>
    </row>
    <row r="464" spans="1:18" x14ac:dyDescent="0.3">
      <c r="A464" t="s">
        <v>38</v>
      </c>
      <c r="B464">
        <v>2004</v>
      </c>
      <c r="C464" t="str">
        <f>_xlfn.CONCAT(Table13[[#This Row],[STATE]],"-",Table13[[#This Row],[Year]])</f>
        <v>Delhi-2004</v>
      </c>
      <c r="D464" t="s">
        <v>66</v>
      </c>
      <c r="E464" t="s">
        <v>67</v>
      </c>
      <c r="F464">
        <v>44616</v>
      </c>
      <c r="G464">
        <v>5210</v>
      </c>
      <c r="H464">
        <v>209</v>
      </c>
      <c r="I464">
        <v>0</v>
      </c>
      <c r="J464">
        <v>23069</v>
      </c>
      <c r="K464">
        <v>4</v>
      </c>
      <c r="L464">
        <v>5</v>
      </c>
      <c r="M464">
        <v>11680</v>
      </c>
      <c r="N464">
        <v>15</v>
      </c>
      <c r="O464">
        <v>883</v>
      </c>
      <c r="P464">
        <v>3494</v>
      </c>
      <c r="Q464">
        <v>47</v>
      </c>
      <c r="R464">
        <f>SUM(Table13[[#This Row],[Rank_All_Ranks_Total]:[Rank_SSPSPAddlSPCommandant]])</f>
        <v>89232</v>
      </c>
    </row>
    <row r="465" spans="1:18" x14ac:dyDescent="0.3">
      <c r="A465" t="s">
        <v>11</v>
      </c>
      <c r="B465">
        <v>2004</v>
      </c>
      <c r="C465" t="str">
        <f>_xlfn.CONCAT(Table13[[#This Row],[STATE]],"-",Table13[[#This Row],[Year]])</f>
        <v>Goa-2004</v>
      </c>
      <c r="D465" t="s">
        <v>66</v>
      </c>
      <c r="E465" t="s">
        <v>67</v>
      </c>
      <c r="F465">
        <v>2881</v>
      </c>
      <c r="G465">
        <v>116</v>
      </c>
      <c r="H465">
        <v>20</v>
      </c>
      <c r="I465">
        <v>0</v>
      </c>
      <c r="J465">
        <v>2070</v>
      </c>
      <c r="K465">
        <v>1</v>
      </c>
      <c r="L465">
        <v>1</v>
      </c>
      <c r="M465">
        <v>554</v>
      </c>
      <c r="N465">
        <v>0</v>
      </c>
      <c r="O465">
        <v>37</v>
      </c>
      <c r="P465">
        <v>76</v>
      </c>
      <c r="Q465">
        <v>6</v>
      </c>
      <c r="R465">
        <f>SUM(Table13[[#This Row],[Rank_All_Ranks_Total]:[Rank_SSPSPAddlSPCommandant]])</f>
        <v>5762</v>
      </c>
    </row>
    <row r="466" spans="1:18" x14ac:dyDescent="0.3">
      <c r="A466" t="s">
        <v>12</v>
      </c>
      <c r="B466">
        <v>2004</v>
      </c>
      <c r="C466" t="str">
        <f>_xlfn.CONCAT(Table13[[#This Row],[STATE]],"-",Table13[[#This Row],[Year]])</f>
        <v>Gujarat-2004</v>
      </c>
      <c r="D466" t="s">
        <v>66</v>
      </c>
      <c r="E466" t="s">
        <v>67</v>
      </c>
      <c r="F466">
        <v>46752</v>
      </c>
      <c r="G466">
        <v>6405</v>
      </c>
      <c r="H466">
        <v>176</v>
      </c>
      <c r="I466">
        <v>0</v>
      </c>
      <c r="J466">
        <v>28647</v>
      </c>
      <c r="K466">
        <v>18</v>
      </c>
      <c r="L466">
        <v>16</v>
      </c>
      <c r="M466">
        <v>9065</v>
      </c>
      <c r="N466">
        <v>18</v>
      </c>
      <c r="O466">
        <v>670</v>
      </c>
      <c r="P466">
        <v>1672</v>
      </c>
      <c r="Q466">
        <v>65</v>
      </c>
      <c r="R466">
        <f>SUM(Table13[[#This Row],[Rank_All_Ranks_Total]:[Rank_SSPSPAddlSPCommandant]])</f>
        <v>93504</v>
      </c>
    </row>
    <row r="467" spans="1:18" x14ac:dyDescent="0.3">
      <c r="A467" t="s">
        <v>13</v>
      </c>
      <c r="B467">
        <v>2004</v>
      </c>
      <c r="C467" t="str">
        <f>_xlfn.CONCAT(Table13[[#This Row],[STATE]],"-",Table13[[#This Row],[Year]])</f>
        <v>Haryana-2004</v>
      </c>
      <c r="D467" t="s">
        <v>66</v>
      </c>
      <c r="E467" t="s">
        <v>67</v>
      </c>
      <c r="F467">
        <v>34619</v>
      </c>
      <c r="G467">
        <v>2883</v>
      </c>
      <c r="H467">
        <v>112</v>
      </c>
      <c r="I467">
        <v>0</v>
      </c>
      <c r="J467">
        <v>25073</v>
      </c>
      <c r="K467">
        <v>9</v>
      </c>
      <c r="L467">
        <v>9</v>
      </c>
      <c r="M467">
        <v>4860</v>
      </c>
      <c r="N467">
        <v>22</v>
      </c>
      <c r="O467">
        <v>380</v>
      </c>
      <c r="P467">
        <v>1216</v>
      </c>
      <c r="Q467">
        <v>55</v>
      </c>
      <c r="R467">
        <f>SUM(Table13[[#This Row],[Rank_All_Ranks_Total]:[Rank_SSPSPAddlSPCommandant]])</f>
        <v>69238</v>
      </c>
    </row>
    <row r="468" spans="1:18" x14ac:dyDescent="0.3">
      <c r="A468" t="s">
        <v>14</v>
      </c>
      <c r="B468">
        <v>2004</v>
      </c>
      <c r="C468" t="str">
        <f>_xlfn.CONCAT(Table13[[#This Row],[STATE]],"-",Table13[[#This Row],[Year]])</f>
        <v>Himachal Pradesh-2004</v>
      </c>
      <c r="D468" t="s">
        <v>66</v>
      </c>
      <c r="E468" t="s">
        <v>67</v>
      </c>
      <c r="F468">
        <v>8212</v>
      </c>
      <c r="G468">
        <v>704</v>
      </c>
      <c r="H468">
        <v>71</v>
      </c>
      <c r="I468">
        <v>0</v>
      </c>
      <c r="J468">
        <v>5534</v>
      </c>
      <c r="K468">
        <v>13</v>
      </c>
      <c r="L468">
        <v>13</v>
      </c>
      <c r="M468">
        <v>1320</v>
      </c>
      <c r="N468">
        <v>8</v>
      </c>
      <c r="O468">
        <v>148</v>
      </c>
      <c r="P468">
        <v>353</v>
      </c>
      <c r="Q468">
        <v>48</v>
      </c>
      <c r="R468">
        <f>SUM(Table13[[#This Row],[Rank_All_Ranks_Total]:[Rank_SSPSPAddlSPCommandant]])</f>
        <v>16424</v>
      </c>
    </row>
    <row r="469" spans="1:18" x14ac:dyDescent="0.3">
      <c r="A469" t="s">
        <v>15</v>
      </c>
      <c r="B469">
        <v>2004</v>
      </c>
      <c r="C469" t="str">
        <f>_xlfn.CONCAT(Table13[[#This Row],[STATE]],"-",Table13[[#This Row],[Year]])</f>
        <v>Jammu &amp; Kashmir-2004</v>
      </c>
      <c r="D469" t="s">
        <v>66</v>
      </c>
      <c r="E469" t="s">
        <v>67</v>
      </c>
      <c r="F469">
        <v>40278</v>
      </c>
      <c r="G469">
        <v>2617</v>
      </c>
      <c r="H469">
        <v>223</v>
      </c>
      <c r="I469">
        <v>0</v>
      </c>
      <c r="J469">
        <v>28212</v>
      </c>
      <c r="K469">
        <v>3</v>
      </c>
      <c r="L469">
        <v>19</v>
      </c>
      <c r="M469">
        <v>6892</v>
      </c>
      <c r="N469">
        <v>13</v>
      </c>
      <c r="O469">
        <v>554</v>
      </c>
      <c r="P469">
        <v>1639</v>
      </c>
      <c r="Q469">
        <v>106</v>
      </c>
      <c r="R469">
        <f>SUM(Table13[[#This Row],[Rank_All_Ranks_Total]:[Rank_SSPSPAddlSPCommandant]])</f>
        <v>80556</v>
      </c>
    </row>
    <row r="470" spans="1:18" x14ac:dyDescent="0.3">
      <c r="A470" t="s">
        <v>16</v>
      </c>
      <c r="B470">
        <v>2004</v>
      </c>
      <c r="C470" t="str">
        <f>_xlfn.CONCAT(Table13[[#This Row],[STATE]],"-",Table13[[#This Row],[Year]])</f>
        <v>Jharkhand-2004</v>
      </c>
      <c r="D470" t="s">
        <v>66</v>
      </c>
      <c r="E470" t="s">
        <v>67</v>
      </c>
      <c r="F470">
        <v>17659</v>
      </c>
      <c r="G470">
        <v>1145</v>
      </c>
      <c r="H470">
        <v>71</v>
      </c>
      <c r="I470">
        <v>804</v>
      </c>
      <c r="J470">
        <v>11827</v>
      </c>
      <c r="K470">
        <v>0</v>
      </c>
      <c r="L470">
        <v>0</v>
      </c>
      <c r="M470">
        <v>2008</v>
      </c>
      <c r="N470">
        <v>0</v>
      </c>
      <c r="O470">
        <v>156</v>
      </c>
      <c r="P470">
        <v>1623</v>
      </c>
      <c r="Q470">
        <v>25</v>
      </c>
      <c r="R470">
        <f>SUM(Table13[[#This Row],[Rank_All_Ranks_Total]:[Rank_SSPSPAddlSPCommandant]])</f>
        <v>35318</v>
      </c>
    </row>
    <row r="471" spans="1:18" x14ac:dyDescent="0.3">
      <c r="A471" t="s">
        <v>17</v>
      </c>
      <c r="B471">
        <v>2004</v>
      </c>
      <c r="C471" t="str">
        <f>_xlfn.CONCAT(Table13[[#This Row],[STATE]],"-",Table13[[#This Row],[Year]])</f>
        <v>Karnataka-2004</v>
      </c>
      <c r="D471" t="s">
        <v>66</v>
      </c>
      <c r="E471" t="s">
        <v>67</v>
      </c>
      <c r="F471">
        <v>49727</v>
      </c>
      <c r="G471">
        <v>2600</v>
      </c>
      <c r="H471">
        <v>172</v>
      </c>
      <c r="I471">
        <v>0</v>
      </c>
      <c r="J471">
        <v>33768</v>
      </c>
      <c r="K471">
        <v>2</v>
      </c>
      <c r="L471">
        <v>3</v>
      </c>
      <c r="M471">
        <v>10850</v>
      </c>
      <c r="N471">
        <v>6</v>
      </c>
      <c r="O471">
        <v>610</v>
      </c>
      <c r="P471">
        <v>1649</v>
      </c>
      <c r="Q471">
        <v>67</v>
      </c>
      <c r="R471">
        <f>SUM(Table13[[#This Row],[Rank_All_Ranks_Total]:[Rank_SSPSPAddlSPCommandant]])</f>
        <v>99454</v>
      </c>
    </row>
    <row r="472" spans="1:18" x14ac:dyDescent="0.3">
      <c r="A472" t="s">
        <v>18</v>
      </c>
      <c r="B472">
        <v>2004</v>
      </c>
      <c r="C472" t="str">
        <f>_xlfn.CONCAT(Table13[[#This Row],[STATE]],"-",Table13[[#This Row],[Year]])</f>
        <v>Kerala-2004</v>
      </c>
      <c r="D472" t="s">
        <v>66</v>
      </c>
      <c r="E472" t="s">
        <v>67</v>
      </c>
      <c r="F472">
        <v>35566</v>
      </c>
      <c r="G472">
        <v>1611</v>
      </c>
      <c r="H472">
        <v>217</v>
      </c>
      <c r="I472">
        <v>0</v>
      </c>
      <c r="J472">
        <v>24612</v>
      </c>
      <c r="K472">
        <v>8</v>
      </c>
      <c r="L472">
        <v>10</v>
      </c>
      <c r="M472">
        <v>7208</v>
      </c>
      <c r="N472">
        <v>7</v>
      </c>
      <c r="O472">
        <v>356</v>
      </c>
      <c r="P472">
        <v>1481</v>
      </c>
      <c r="Q472">
        <v>56</v>
      </c>
      <c r="R472">
        <f>SUM(Table13[[#This Row],[Rank_All_Ranks_Total]:[Rank_SSPSPAddlSPCommandant]])</f>
        <v>71132</v>
      </c>
    </row>
    <row r="473" spans="1:18" x14ac:dyDescent="0.3">
      <c r="A473" t="s">
        <v>39</v>
      </c>
      <c r="B473">
        <v>2004</v>
      </c>
      <c r="C473" t="str">
        <f>_xlfn.CONCAT(Table13[[#This Row],[STATE]],"-",Table13[[#This Row],[Year]])</f>
        <v>Lakshadweep-2004</v>
      </c>
      <c r="D473" t="s">
        <v>66</v>
      </c>
      <c r="E473" t="s">
        <v>67</v>
      </c>
      <c r="F473">
        <v>324</v>
      </c>
      <c r="G473">
        <v>23</v>
      </c>
      <c r="H473">
        <v>1</v>
      </c>
      <c r="I473">
        <v>0</v>
      </c>
      <c r="J473">
        <v>213</v>
      </c>
      <c r="K473">
        <v>0</v>
      </c>
      <c r="L473">
        <v>0</v>
      </c>
      <c r="M473">
        <v>64</v>
      </c>
      <c r="N473">
        <v>0</v>
      </c>
      <c r="O473">
        <v>5</v>
      </c>
      <c r="P473">
        <v>17</v>
      </c>
      <c r="Q473">
        <v>1</v>
      </c>
      <c r="R473">
        <f>SUM(Table13[[#This Row],[Rank_All_Ranks_Total]:[Rank_SSPSPAddlSPCommandant]])</f>
        <v>648</v>
      </c>
    </row>
    <row r="474" spans="1:18" x14ac:dyDescent="0.3">
      <c r="A474" t="s">
        <v>19</v>
      </c>
      <c r="B474">
        <v>2004</v>
      </c>
      <c r="C474" t="str">
        <f>_xlfn.CONCAT(Table13[[#This Row],[STATE]],"-",Table13[[#This Row],[Year]])</f>
        <v>Madhya Pradesh-2004</v>
      </c>
      <c r="D474" t="s">
        <v>66</v>
      </c>
      <c r="E474" t="s">
        <v>67</v>
      </c>
      <c r="F474">
        <v>52934</v>
      </c>
      <c r="G474">
        <v>3062</v>
      </c>
      <c r="H474">
        <v>672</v>
      </c>
      <c r="I474">
        <v>0</v>
      </c>
      <c r="J474">
        <v>35688</v>
      </c>
      <c r="K474">
        <v>10</v>
      </c>
      <c r="L474">
        <v>30</v>
      </c>
      <c r="M474">
        <v>9919</v>
      </c>
      <c r="N474">
        <v>20</v>
      </c>
      <c r="O474">
        <v>863</v>
      </c>
      <c r="P474">
        <v>2604</v>
      </c>
      <c r="Q474">
        <v>66</v>
      </c>
      <c r="R474">
        <f>SUM(Table13[[#This Row],[Rank_All_Ranks_Total]:[Rank_SSPSPAddlSPCommandant]])</f>
        <v>105868</v>
      </c>
    </row>
    <row r="475" spans="1:18" x14ac:dyDescent="0.3">
      <c r="A475" t="s">
        <v>20</v>
      </c>
      <c r="B475">
        <v>2004</v>
      </c>
      <c r="C475" t="str">
        <f>_xlfn.CONCAT(Table13[[#This Row],[STATE]],"-",Table13[[#This Row],[Year]])</f>
        <v>Maharashtra-2004</v>
      </c>
      <c r="D475" t="s">
        <v>66</v>
      </c>
      <c r="E475" t="s">
        <v>67</v>
      </c>
      <c r="F475">
        <v>122536</v>
      </c>
      <c r="G475">
        <v>10841</v>
      </c>
      <c r="H475">
        <v>431</v>
      </c>
      <c r="I475">
        <v>18713</v>
      </c>
      <c r="J475">
        <v>56204</v>
      </c>
      <c r="K475">
        <v>12</v>
      </c>
      <c r="L475">
        <v>29</v>
      </c>
      <c r="M475">
        <v>25918</v>
      </c>
      <c r="N475">
        <v>25</v>
      </c>
      <c r="O475">
        <v>2479</v>
      </c>
      <c r="P475">
        <v>7726</v>
      </c>
      <c r="Q475">
        <v>158</v>
      </c>
      <c r="R475">
        <f>SUM(Table13[[#This Row],[Rank_All_Ranks_Total]:[Rank_SSPSPAddlSPCommandant]])</f>
        <v>245072</v>
      </c>
    </row>
    <row r="476" spans="1:18" x14ac:dyDescent="0.3">
      <c r="A476" t="s">
        <v>21</v>
      </c>
      <c r="B476">
        <v>2004</v>
      </c>
      <c r="C476" t="str">
        <f>_xlfn.CONCAT(Table13[[#This Row],[STATE]],"-",Table13[[#This Row],[Year]])</f>
        <v>Manipur-2004</v>
      </c>
      <c r="D476" t="s">
        <v>66</v>
      </c>
      <c r="E476" t="s">
        <v>67</v>
      </c>
      <c r="F476">
        <v>4765</v>
      </c>
      <c r="G476">
        <v>429</v>
      </c>
      <c r="H476">
        <v>41</v>
      </c>
      <c r="I476">
        <v>39</v>
      </c>
      <c r="J476">
        <v>3358</v>
      </c>
      <c r="K476">
        <v>2</v>
      </c>
      <c r="L476">
        <v>5</v>
      </c>
      <c r="M476">
        <v>369</v>
      </c>
      <c r="N476">
        <v>5</v>
      </c>
      <c r="O476">
        <v>96</v>
      </c>
      <c r="P476">
        <v>393</v>
      </c>
      <c r="Q476">
        <v>28</v>
      </c>
      <c r="R476">
        <f>SUM(Table13[[#This Row],[Rank_All_Ranks_Total]:[Rank_SSPSPAddlSPCommandant]])</f>
        <v>9530</v>
      </c>
    </row>
    <row r="477" spans="1:18" x14ac:dyDescent="0.3">
      <c r="A477" t="s">
        <v>22</v>
      </c>
      <c r="B477">
        <v>2004</v>
      </c>
      <c r="C477" t="str">
        <f>_xlfn.CONCAT(Table13[[#This Row],[STATE]],"-",Table13[[#This Row],[Year]])</f>
        <v>Meghalaya-2004</v>
      </c>
      <c r="D477" t="s">
        <v>66</v>
      </c>
      <c r="E477" t="s">
        <v>67</v>
      </c>
      <c r="F477">
        <v>5773</v>
      </c>
      <c r="G477">
        <v>171</v>
      </c>
      <c r="H477">
        <v>20</v>
      </c>
      <c r="I477">
        <v>88</v>
      </c>
      <c r="J477">
        <v>4278</v>
      </c>
      <c r="K477">
        <v>4</v>
      </c>
      <c r="L477">
        <v>1</v>
      </c>
      <c r="M477">
        <v>459</v>
      </c>
      <c r="N477">
        <v>4</v>
      </c>
      <c r="O477">
        <v>96</v>
      </c>
      <c r="P477">
        <v>629</v>
      </c>
      <c r="Q477">
        <v>23</v>
      </c>
      <c r="R477">
        <f>SUM(Table13[[#This Row],[Rank_All_Ranks_Total]:[Rank_SSPSPAddlSPCommandant]])</f>
        <v>11546</v>
      </c>
    </row>
    <row r="478" spans="1:18" x14ac:dyDescent="0.3">
      <c r="A478" t="s">
        <v>23</v>
      </c>
      <c r="B478">
        <v>2004</v>
      </c>
      <c r="C478" t="str">
        <f>_xlfn.CONCAT(Table13[[#This Row],[STATE]],"-",Table13[[#This Row],[Year]])</f>
        <v>Mizoram-2004</v>
      </c>
      <c r="D478" t="s">
        <v>66</v>
      </c>
      <c r="E478" t="s">
        <v>67</v>
      </c>
      <c r="F478">
        <v>2965</v>
      </c>
      <c r="G478">
        <v>350</v>
      </c>
      <c r="H478">
        <v>30</v>
      </c>
      <c r="I478">
        <v>127</v>
      </c>
      <c r="J478">
        <v>1323</v>
      </c>
      <c r="K478">
        <v>1</v>
      </c>
      <c r="L478">
        <v>4</v>
      </c>
      <c r="M478">
        <v>711</v>
      </c>
      <c r="N478">
        <v>1</v>
      </c>
      <c r="O478">
        <v>102</v>
      </c>
      <c r="P478">
        <v>283</v>
      </c>
      <c r="Q478">
        <v>33</v>
      </c>
      <c r="R478">
        <f>SUM(Table13[[#This Row],[Rank_All_Ranks_Total]:[Rank_SSPSPAddlSPCommandant]])</f>
        <v>5930</v>
      </c>
    </row>
    <row r="479" spans="1:18" x14ac:dyDescent="0.3">
      <c r="A479" t="s">
        <v>24</v>
      </c>
      <c r="B479">
        <v>2004</v>
      </c>
      <c r="C479" t="str">
        <f>_xlfn.CONCAT(Table13[[#This Row],[STATE]],"-",Table13[[#This Row],[Year]])</f>
        <v>Nagaland-2004</v>
      </c>
      <c r="D479" t="s">
        <v>66</v>
      </c>
      <c r="E479" t="s">
        <v>67</v>
      </c>
      <c r="F479">
        <v>5568</v>
      </c>
      <c r="G479">
        <v>206</v>
      </c>
      <c r="H479">
        <v>33</v>
      </c>
      <c r="I479">
        <v>523</v>
      </c>
      <c r="J479">
        <v>4108</v>
      </c>
      <c r="K479">
        <v>4</v>
      </c>
      <c r="L479">
        <v>11</v>
      </c>
      <c r="M479">
        <v>384</v>
      </c>
      <c r="N479">
        <v>7</v>
      </c>
      <c r="O479">
        <v>47</v>
      </c>
      <c r="P479">
        <v>208</v>
      </c>
      <c r="Q479">
        <v>37</v>
      </c>
      <c r="R479">
        <f>SUM(Table13[[#This Row],[Rank_All_Ranks_Total]:[Rank_SSPSPAddlSPCommandant]])</f>
        <v>11136</v>
      </c>
    </row>
    <row r="480" spans="1:18" x14ac:dyDescent="0.3">
      <c r="A480" t="s">
        <v>63</v>
      </c>
      <c r="B480">
        <v>2004</v>
      </c>
      <c r="C480" t="str">
        <f>_xlfn.CONCAT(Table13[[#This Row],[STATE]],"-",Table13[[#This Row],[Year]])</f>
        <v>Odisha-2004</v>
      </c>
      <c r="D480" t="s">
        <v>66</v>
      </c>
      <c r="E480" t="s">
        <v>67</v>
      </c>
      <c r="F480">
        <v>26959</v>
      </c>
      <c r="G480">
        <v>2276</v>
      </c>
      <c r="H480">
        <v>151</v>
      </c>
      <c r="I480">
        <v>323</v>
      </c>
      <c r="J480">
        <v>19198</v>
      </c>
      <c r="K480">
        <v>6</v>
      </c>
      <c r="L480">
        <v>14</v>
      </c>
      <c r="M480">
        <v>2538</v>
      </c>
      <c r="N480">
        <v>10</v>
      </c>
      <c r="O480">
        <v>524</v>
      </c>
      <c r="P480">
        <v>1806</v>
      </c>
      <c r="Q480">
        <v>113</v>
      </c>
      <c r="R480">
        <f>SUM(Table13[[#This Row],[Rank_All_Ranks_Total]:[Rank_SSPSPAddlSPCommandant]])</f>
        <v>53918</v>
      </c>
    </row>
    <row r="481" spans="1:18" x14ac:dyDescent="0.3">
      <c r="A481" t="s">
        <v>64</v>
      </c>
      <c r="B481">
        <v>2004</v>
      </c>
      <c r="C481" t="str">
        <f>_xlfn.CONCAT(Table13[[#This Row],[STATE]],"-",Table13[[#This Row],[Year]])</f>
        <v>Puducherry-2004</v>
      </c>
      <c r="D481" t="s">
        <v>66</v>
      </c>
      <c r="E481" t="s">
        <v>67</v>
      </c>
      <c r="F481">
        <v>1541</v>
      </c>
      <c r="G481">
        <v>87</v>
      </c>
      <c r="H481">
        <v>16</v>
      </c>
      <c r="I481">
        <v>0</v>
      </c>
      <c r="J481">
        <v>989</v>
      </c>
      <c r="K481">
        <v>0</v>
      </c>
      <c r="L481">
        <v>0</v>
      </c>
      <c r="M481">
        <v>282</v>
      </c>
      <c r="N481">
        <v>1</v>
      </c>
      <c r="O481">
        <v>43</v>
      </c>
      <c r="P481">
        <v>121</v>
      </c>
      <c r="Q481">
        <v>2</v>
      </c>
      <c r="R481">
        <f>SUM(Table13[[#This Row],[Rank_All_Ranks_Total]:[Rank_SSPSPAddlSPCommandant]])</f>
        <v>3082</v>
      </c>
    </row>
    <row r="482" spans="1:18" x14ac:dyDescent="0.3">
      <c r="A482" t="s">
        <v>26</v>
      </c>
      <c r="B482">
        <v>2004</v>
      </c>
      <c r="C482" t="str">
        <f>_xlfn.CONCAT(Table13[[#This Row],[STATE]],"-",Table13[[#This Row],[Year]])</f>
        <v>Punjab-2004</v>
      </c>
      <c r="D482" t="s">
        <v>66</v>
      </c>
      <c r="E482" t="s">
        <v>67</v>
      </c>
      <c r="F482">
        <v>52142</v>
      </c>
      <c r="G482">
        <v>3914</v>
      </c>
      <c r="H482">
        <v>262</v>
      </c>
      <c r="I482">
        <v>0</v>
      </c>
      <c r="J482">
        <v>37339</v>
      </c>
      <c r="K482">
        <v>11</v>
      </c>
      <c r="L482">
        <v>17</v>
      </c>
      <c r="M482">
        <v>8259</v>
      </c>
      <c r="N482">
        <v>11</v>
      </c>
      <c r="O482">
        <v>611</v>
      </c>
      <c r="P482">
        <v>1602</v>
      </c>
      <c r="Q482">
        <v>116</v>
      </c>
      <c r="R482">
        <f>SUM(Table13[[#This Row],[Rank_All_Ranks_Total]:[Rank_SSPSPAddlSPCommandant]])</f>
        <v>104284</v>
      </c>
    </row>
    <row r="483" spans="1:18" x14ac:dyDescent="0.3">
      <c r="A483" t="s">
        <v>27</v>
      </c>
      <c r="B483">
        <v>2004</v>
      </c>
      <c r="C483" t="str">
        <f>_xlfn.CONCAT(Table13[[#This Row],[STATE]],"-",Table13[[#This Row],[Year]])</f>
        <v>Rajasthan-2004</v>
      </c>
      <c r="D483" t="s">
        <v>66</v>
      </c>
      <c r="E483" t="s">
        <v>67</v>
      </c>
      <c r="F483">
        <v>49026</v>
      </c>
      <c r="G483">
        <v>3087</v>
      </c>
      <c r="H483">
        <v>301</v>
      </c>
      <c r="I483">
        <v>0</v>
      </c>
      <c r="J483">
        <v>38810</v>
      </c>
      <c r="K483">
        <v>10</v>
      </c>
      <c r="L483">
        <v>9</v>
      </c>
      <c r="M483">
        <v>3426</v>
      </c>
      <c r="N483">
        <v>22</v>
      </c>
      <c r="O483">
        <v>701</v>
      </c>
      <c r="P483">
        <v>2460</v>
      </c>
      <c r="Q483">
        <v>200</v>
      </c>
      <c r="R483">
        <f>SUM(Table13[[#This Row],[Rank_All_Ranks_Total]:[Rank_SSPSPAddlSPCommandant]])</f>
        <v>98052</v>
      </c>
    </row>
    <row r="484" spans="1:18" x14ac:dyDescent="0.3">
      <c r="A484" t="s">
        <v>28</v>
      </c>
      <c r="B484">
        <v>2004</v>
      </c>
      <c r="C484" t="str">
        <f>_xlfn.CONCAT(Table13[[#This Row],[STATE]],"-",Table13[[#This Row],[Year]])</f>
        <v>Sikkim-2004</v>
      </c>
      <c r="D484" t="s">
        <v>66</v>
      </c>
      <c r="E484" t="s">
        <v>67</v>
      </c>
      <c r="F484">
        <v>1960</v>
      </c>
      <c r="G484">
        <v>118</v>
      </c>
      <c r="H484">
        <v>25</v>
      </c>
      <c r="I484">
        <v>207</v>
      </c>
      <c r="J484">
        <v>1108</v>
      </c>
      <c r="K484">
        <v>3</v>
      </c>
      <c r="L484">
        <v>6</v>
      </c>
      <c r="M484">
        <v>241</v>
      </c>
      <c r="N484">
        <v>5</v>
      </c>
      <c r="O484">
        <v>52</v>
      </c>
      <c r="P484">
        <v>178</v>
      </c>
      <c r="Q484">
        <v>17</v>
      </c>
      <c r="R484">
        <f>SUM(Table13[[#This Row],[Rank_All_Ranks_Total]:[Rank_SSPSPAddlSPCommandant]])</f>
        <v>3920</v>
      </c>
    </row>
    <row r="485" spans="1:18" x14ac:dyDescent="0.3">
      <c r="A485" t="s">
        <v>42</v>
      </c>
      <c r="B485">
        <v>2004</v>
      </c>
      <c r="C485" t="str">
        <f>_xlfn.CONCAT(Table13[[#This Row],[STATE]],"-",Table13[[#This Row],[Year]])</f>
        <v>Tamil Nadu-2004</v>
      </c>
      <c r="D485" t="s">
        <v>66</v>
      </c>
      <c r="E485" t="s">
        <v>67</v>
      </c>
      <c r="F485">
        <v>76357</v>
      </c>
      <c r="G485">
        <v>0</v>
      </c>
      <c r="H485">
        <v>486</v>
      </c>
      <c r="I485">
        <v>11652</v>
      </c>
      <c r="J485">
        <v>44906</v>
      </c>
      <c r="K485">
        <v>23</v>
      </c>
      <c r="L485">
        <v>29</v>
      </c>
      <c r="M485">
        <v>11105</v>
      </c>
      <c r="N485">
        <v>20</v>
      </c>
      <c r="O485">
        <v>2414</v>
      </c>
      <c r="P485">
        <v>5521</v>
      </c>
      <c r="Q485">
        <v>201</v>
      </c>
      <c r="R485">
        <f>SUM(Table13[[#This Row],[Rank_All_Ranks_Total]:[Rank_SSPSPAddlSPCommandant]])</f>
        <v>152714</v>
      </c>
    </row>
    <row r="486" spans="1:18" x14ac:dyDescent="0.3">
      <c r="A486" t="s">
        <v>30</v>
      </c>
      <c r="B486">
        <v>2004</v>
      </c>
      <c r="C486" t="str">
        <f>_xlfn.CONCAT(Table13[[#This Row],[STATE]],"-",Table13[[#This Row],[Year]])</f>
        <v>Tripura-2004</v>
      </c>
      <c r="D486" t="s">
        <v>66</v>
      </c>
      <c r="E486" t="s">
        <v>67</v>
      </c>
      <c r="F486">
        <v>9381</v>
      </c>
      <c r="G486">
        <v>652</v>
      </c>
      <c r="H486">
        <v>93</v>
      </c>
      <c r="I486">
        <v>247</v>
      </c>
      <c r="J486">
        <v>6706</v>
      </c>
      <c r="K486">
        <v>3</v>
      </c>
      <c r="L486">
        <v>5</v>
      </c>
      <c r="M486">
        <v>812</v>
      </c>
      <c r="N486">
        <v>6</v>
      </c>
      <c r="O486">
        <v>163</v>
      </c>
      <c r="P486">
        <v>676</v>
      </c>
      <c r="Q486">
        <v>18</v>
      </c>
      <c r="R486">
        <f>SUM(Table13[[#This Row],[Rank_All_Ranks_Total]:[Rank_SSPSPAddlSPCommandant]])</f>
        <v>18762</v>
      </c>
    </row>
    <row r="487" spans="1:18" x14ac:dyDescent="0.3">
      <c r="A487" t="s">
        <v>31</v>
      </c>
      <c r="B487">
        <v>2004</v>
      </c>
      <c r="C487" t="str">
        <f>_xlfn.CONCAT(Table13[[#This Row],[STATE]],"-",Table13[[#This Row],[Year]])</f>
        <v>Uttar Pradesh-2004</v>
      </c>
      <c r="D487" t="s">
        <v>66</v>
      </c>
      <c r="E487" t="s">
        <v>67</v>
      </c>
      <c r="F487">
        <v>126249</v>
      </c>
      <c r="G487">
        <v>0</v>
      </c>
      <c r="H487">
        <v>676</v>
      </c>
      <c r="I487">
        <v>0</v>
      </c>
      <c r="J487">
        <v>94400</v>
      </c>
      <c r="K487">
        <v>25</v>
      </c>
      <c r="L487">
        <v>47</v>
      </c>
      <c r="M487">
        <v>18045</v>
      </c>
      <c r="N487">
        <v>52</v>
      </c>
      <c r="O487">
        <v>1089</v>
      </c>
      <c r="P487">
        <v>11590</v>
      </c>
      <c r="Q487">
        <v>325</v>
      </c>
      <c r="R487">
        <f>SUM(Table13[[#This Row],[Rank_All_Ranks_Total]:[Rank_SSPSPAddlSPCommandant]])</f>
        <v>252498</v>
      </c>
    </row>
    <row r="488" spans="1:18" x14ac:dyDescent="0.3">
      <c r="A488" t="s">
        <v>65</v>
      </c>
      <c r="B488">
        <v>2004</v>
      </c>
      <c r="C488" t="str">
        <f>_xlfn.CONCAT(Table13[[#This Row],[STATE]],"-",Table13[[#This Row],[Year]])</f>
        <v>Uttarakhand-2004</v>
      </c>
      <c r="D488" t="s">
        <v>66</v>
      </c>
      <c r="E488" t="s">
        <v>67</v>
      </c>
      <c r="F488">
        <v>9475</v>
      </c>
      <c r="G488">
        <v>0</v>
      </c>
      <c r="H488">
        <v>40</v>
      </c>
      <c r="I488">
        <v>0</v>
      </c>
      <c r="J488">
        <v>7683</v>
      </c>
      <c r="K488">
        <v>9</v>
      </c>
      <c r="L488">
        <v>4</v>
      </c>
      <c r="M488">
        <v>1186</v>
      </c>
      <c r="N488">
        <v>4</v>
      </c>
      <c r="O488">
        <v>51</v>
      </c>
      <c r="P488">
        <v>477</v>
      </c>
      <c r="Q488">
        <v>21</v>
      </c>
      <c r="R488">
        <f>SUM(Table13[[#This Row],[Rank_All_Ranks_Total]:[Rank_SSPSPAddlSPCommandant]])</f>
        <v>18950</v>
      </c>
    </row>
    <row r="489" spans="1:18" x14ac:dyDescent="0.3">
      <c r="A489" t="s">
        <v>33</v>
      </c>
      <c r="B489">
        <v>2004</v>
      </c>
      <c r="C489" t="str">
        <f>_xlfn.CONCAT(Table13[[#This Row],[STATE]],"-",Table13[[#This Row],[Year]])</f>
        <v>West Bengal-2004</v>
      </c>
      <c r="D489" t="s">
        <v>66</v>
      </c>
      <c r="E489" t="s">
        <v>67</v>
      </c>
      <c r="F489">
        <v>59624</v>
      </c>
      <c r="G489">
        <v>7622</v>
      </c>
      <c r="H489">
        <v>285</v>
      </c>
      <c r="I489">
        <v>1598</v>
      </c>
      <c r="J489">
        <v>40328</v>
      </c>
      <c r="K489">
        <v>22</v>
      </c>
      <c r="L489">
        <v>30</v>
      </c>
      <c r="M489">
        <v>2611</v>
      </c>
      <c r="N489">
        <v>36</v>
      </c>
      <c r="O489">
        <v>1066</v>
      </c>
      <c r="P489">
        <v>5909</v>
      </c>
      <c r="Q489">
        <v>117</v>
      </c>
      <c r="R489">
        <f>SUM(Table13[[#This Row],[Rank_All_Ranks_Total]:[Rank_SSPSPAddlSPCommandant]])</f>
        <v>119248</v>
      </c>
    </row>
    <row r="490" spans="1:18" x14ac:dyDescent="0.3">
      <c r="A490" t="s">
        <v>59</v>
      </c>
      <c r="B490">
        <v>2005</v>
      </c>
      <c r="C490" t="str">
        <f>_xlfn.CONCAT(Table13[[#This Row],[STATE]],"-",Table13[[#This Row],[Year]])</f>
        <v>Andaman &amp; Nicobar Islands-2005</v>
      </c>
      <c r="D490" t="s">
        <v>66</v>
      </c>
      <c r="E490" t="s">
        <v>67</v>
      </c>
      <c r="F490">
        <v>2232</v>
      </c>
      <c r="G490">
        <v>190</v>
      </c>
      <c r="H490">
        <v>11</v>
      </c>
      <c r="I490">
        <v>0</v>
      </c>
      <c r="J490">
        <v>1478</v>
      </c>
      <c r="K490">
        <v>0</v>
      </c>
      <c r="L490">
        <v>1</v>
      </c>
      <c r="M490">
        <v>403</v>
      </c>
      <c r="N490">
        <v>1</v>
      </c>
      <c r="O490">
        <v>31</v>
      </c>
      <c r="P490">
        <v>113</v>
      </c>
      <c r="Q490">
        <v>4</v>
      </c>
      <c r="R490">
        <f>SUM(Table13[[#This Row],[Rank_All_Ranks_Total]:[Rank_SSPSPAddlSPCommandant]])</f>
        <v>4464</v>
      </c>
    </row>
    <row r="491" spans="1:18" x14ac:dyDescent="0.3">
      <c r="A491" t="s">
        <v>6</v>
      </c>
      <c r="B491">
        <v>2005</v>
      </c>
      <c r="C491" t="str">
        <f>_xlfn.CONCAT(Table13[[#This Row],[STATE]],"-",Table13[[#This Row],[Year]])</f>
        <v>Andhra Pradesh-2005</v>
      </c>
      <c r="D491" t="s">
        <v>66</v>
      </c>
      <c r="E491" t="s">
        <v>67</v>
      </c>
      <c r="F491">
        <v>65564</v>
      </c>
      <c r="G491">
        <v>2456</v>
      </c>
      <c r="H491">
        <v>281</v>
      </c>
      <c r="I491">
        <v>0</v>
      </c>
      <c r="J491">
        <v>48076</v>
      </c>
      <c r="K491">
        <v>21</v>
      </c>
      <c r="L491">
        <v>26</v>
      </c>
      <c r="M491">
        <v>10227</v>
      </c>
      <c r="N491">
        <v>20</v>
      </c>
      <c r="O491">
        <v>994</v>
      </c>
      <c r="P491">
        <v>3333</v>
      </c>
      <c r="Q491">
        <v>130</v>
      </c>
      <c r="R491">
        <f>SUM(Table13[[#This Row],[Rank_All_Ranks_Total]:[Rank_SSPSPAddlSPCommandant]])</f>
        <v>131128</v>
      </c>
    </row>
    <row r="492" spans="1:18" x14ac:dyDescent="0.3">
      <c r="A492" t="s">
        <v>7</v>
      </c>
      <c r="B492">
        <v>2005</v>
      </c>
      <c r="C492" t="str">
        <f>_xlfn.CONCAT(Table13[[#This Row],[STATE]],"-",Table13[[#This Row],[Year]])</f>
        <v>Arunachal Pradesh-2005</v>
      </c>
      <c r="D492" t="s">
        <v>66</v>
      </c>
      <c r="E492" t="s">
        <v>67</v>
      </c>
      <c r="F492">
        <v>3189</v>
      </c>
      <c r="G492">
        <v>143</v>
      </c>
      <c r="H492">
        <v>40</v>
      </c>
      <c r="I492">
        <v>0</v>
      </c>
      <c r="J492">
        <v>2287</v>
      </c>
      <c r="K492">
        <v>1</v>
      </c>
      <c r="L492">
        <v>2</v>
      </c>
      <c r="M492">
        <v>345</v>
      </c>
      <c r="N492">
        <v>0</v>
      </c>
      <c r="O492">
        <v>43</v>
      </c>
      <c r="P492">
        <v>309</v>
      </c>
      <c r="Q492">
        <v>19</v>
      </c>
      <c r="R492">
        <f>SUM(Table13[[#This Row],[Rank_All_Ranks_Total]:[Rank_SSPSPAddlSPCommandant]])</f>
        <v>6378</v>
      </c>
    </row>
    <row r="493" spans="1:18" x14ac:dyDescent="0.3">
      <c r="A493" t="s">
        <v>8</v>
      </c>
      <c r="B493">
        <v>2005</v>
      </c>
      <c r="C493" t="str">
        <f>_xlfn.CONCAT(Table13[[#This Row],[STATE]],"-",Table13[[#This Row],[Year]])</f>
        <v>Assam-2005</v>
      </c>
      <c r="D493" t="s">
        <v>66</v>
      </c>
      <c r="E493" t="s">
        <v>67</v>
      </c>
      <c r="F493">
        <v>28341</v>
      </c>
      <c r="G493">
        <v>1779</v>
      </c>
      <c r="H493">
        <v>135</v>
      </c>
      <c r="I493">
        <v>901</v>
      </c>
      <c r="J493">
        <v>20469</v>
      </c>
      <c r="K493">
        <v>7</v>
      </c>
      <c r="L493">
        <v>16</v>
      </c>
      <c r="M493">
        <v>1792</v>
      </c>
      <c r="N493">
        <v>11</v>
      </c>
      <c r="O493">
        <v>487</v>
      </c>
      <c r="P493">
        <v>2610</v>
      </c>
      <c r="Q493">
        <v>134</v>
      </c>
      <c r="R493">
        <f>SUM(Table13[[#This Row],[Rank_All_Ranks_Total]:[Rank_SSPSPAddlSPCommandant]])</f>
        <v>56682</v>
      </c>
    </row>
    <row r="494" spans="1:18" x14ac:dyDescent="0.3">
      <c r="A494" t="s">
        <v>9</v>
      </c>
      <c r="B494">
        <v>2005</v>
      </c>
      <c r="C494" t="str">
        <f>_xlfn.CONCAT(Table13[[#This Row],[STATE]],"-",Table13[[#This Row],[Year]])</f>
        <v>Bihar-2005</v>
      </c>
      <c r="D494" t="s">
        <v>66</v>
      </c>
      <c r="E494" t="s">
        <v>67</v>
      </c>
      <c r="F494">
        <v>42213</v>
      </c>
      <c r="G494">
        <v>4051</v>
      </c>
      <c r="H494">
        <v>140</v>
      </c>
      <c r="I494">
        <v>0</v>
      </c>
      <c r="J494">
        <v>29278</v>
      </c>
      <c r="K494">
        <v>8</v>
      </c>
      <c r="L494">
        <v>16</v>
      </c>
      <c r="M494">
        <v>4458</v>
      </c>
      <c r="N494">
        <v>22</v>
      </c>
      <c r="O494">
        <v>453</v>
      </c>
      <c r="P494">
        <v>3727</v>
      </c>
      <c r="Q494">
        <v>60</v>
      </c>
      <c r="R494">
        <f>SUM(Table13[[#This Row],[Rank_All_Ranks_Total]:[Rank_SSPSPAddlSPCommandant]])</f>
        <v>84426</v>
      </c>
    </row>
    <row r="495" spans="1:18" x14ac:dyDescent="0.3">
      <c r="A495" t="s">
        <v>35</v>
      </c>
      <c r="B495">
        <v>2005</v>
      </c>
      <c r="C495" t="str">
        <f>_xlfn.CONCAT(Table13[[#This Row],[STATE]],"-",Table13[[#This Row],[Year]])</f>
        <v>Chandigarh-2005</v>
      </c>
      <c r="D495" t="s">
        <v>66</v>
      </c>
      <c r="E495" t="s">
        <v>67</v>
      </c>
      <c r="F495">
        <v>3644</v>
      </c>
      <c r="G495">
        <v>164</v>
      </c>
      <c r="H495">
        <v>12</v>
      </c>
      <c r="I495">
        <v>0</v>
      </c>
      <c r="J495">
        <v>2395</v>
      </c>
      <c r="K495">
        <v>0</v>
      </c>
      <c r="L495">
        <v>0</v>
      </c>
      <c r="M495">
        <v>787</v>
      </c>
      <c r="N495">
        <v>1</v>
      </c>
      <c r="O495">
        <v>48</v>
      </c>
      <c r="P495">
        <v>233</v>
      </c>
      <c r="Q495">
        <v>4</v>
      </c>
      <c r="R495">
        <f>SUM(Table13[[#This Row],[Rank_All_Ranks_Total]:[Rank_SSPSPAddlSPCommandant]])</f>
        <v>7288</v>
      </c>
    </row>
    <row r="496" spans="1:18" x14ac:dyDescent="0.3">
      <c r="A496" t="s">
        <v>10</v>
      </c>
      <c r="B496">
        <v>2005</v>
      </c>
      <c r="C496" t="str">
        <f>_xlfn.CONCAT(Table13[[#This Row],[STATE]],"-",Table13[[#This Row],[Year]])</f>
        <v>Chhattisgarh-2005</v>
      </c>
      <c r="D496" t="s">
        <v>66</v>
      </c>
      <c r="E496" t="s">
        <v>67</v>
      </c>
      <c r="F496">
        <v>13487</v>
      </c>
      <c r="G496">
        <v>559</v>
      </c>
      <c r="H496">
        <v>158</v>
      </c>
      <c r="I496">
        <v>0</v>
      </c>
      <c r="J496">
        <v>9750</v>
      </c>
      <c r="K496">
        <v>8</v>
      </c>
      <c r="L496">
        <v>11</v>
      </c>
      <c r="M496">
        <v>2090</v>
      </c>
      <c r="N496">
        <v>13</v>
      </c>
      <c r="O496">
        <v>291</v>
      </c>
      <c r="P496">
        <v>542</v>
      </c>
      <c r="Q496">
        <v>65</v>
      </c>
      <c r="R496">
        <f>SUM(Table13[[#This Row],[Rank_All_Ranks_Total]:[Rank_SSPSPAddlSPCommandant]])</f>
        <v>26974</v>
      </c>
    </row>
    <row r="497" spans="1:18" x14ac:dyDescent="0.3">
      <c r="A497" t="s">
        <v>62</v>
      </c>
      <c r="B497">
        <v>2005</v>
      </c>
      <c r="C497" t="str">
        <f>_xlfn.CONCAT(Table13[[#This Row],[STATE]],"-",Table13[[#This Row],[Year]])</f>
        <v>Dadra &amp; Nagar Haveli-2005</v>
      </c>
      <c r="D497" t="s">
        <v>66</v>
      </c>
      <c r="E497" t="s">
        <v>67</v>
      </c>
      <c r="F497">
        <v>223</v>
      </c>
      <c r="G497">
        <v>1</v>
      </c>
      <c r="H497">
        <v>1</v>
      </c>
      <c r="I497">
        <v>0</v>
      </c>
      <c r="J497">
        <v>157</v>
      </c>
      <c r="K497">
        <v>0</v>
      </c>
      <c r="L497">
        <v>0</v>
      </c>
      <c r="M497">
        <v>51</v>
      </c>
      <c r="N497">
        <v>0</v>
      </c>
      <c r="O497">
        <v>1</v>
      </c>
      <c r="P497">
        <v>11</v>
      </c>
      <c r="Q497">
        <v>1</v>
      </c>
      <c r="R497">
        <f>SUM(Table13[[#This Row],[Rank_All_Ranks_Total]:[Rank_SSPSPAddlSPCommandant]])</f>
        <v>446</v>
      </c>
    </row>
    <row r="498" spans="1:18" x14ac:dyDescent="0.3">
      <c r="A498" t="s">
        <v>37</v>
      </c>
      <c r="B498">
        <v>2005</v>
      </c>
      <c r="C498" t="str">
        <f>_xlfn.CONCAT(Table13[[#This Row],[STATE]],"-",Table13[[#This Row],[Year]])</f>
        <v>Daman &amp; Diu-2005</v>
      </c>
      <c r="D498" t="s">
        <v>66</v>
      </c>
      <c r="E498" t="s">
        <v>67</v>
      </c>
      <c r="F498">
        <v>244</v>
      </c>
      <c r="G498">
        <v>9</v>
      </c>
      <c r="H498">
        <v>2</v>
      </c>
      <c r="I498">
        <v>0</v>
      </c>
      <c r="J498">
        <v>176</v>
      </c>
      <c r="K498">
        <v>0</v>
      </c>
      <c r="L498">
        <v>1</v>
      </c>
      <c r="M498">
        <v>40</v>
      </c>
      <c r="N498">
        <v>0</v>
      </c>
      <c r="O498">
        <v>4</v>
      </c>
      <c r="P498">
        <v>10</v>
      </c>
      <c r="Q498">
        <v>2</v>
      </c>
      <c r="R498">
        <f>SUM(Table13[[#This Row],[Rank_All_Ranks_Total]:[Rank_SSPSPAddlSPCommandant]])</f>
        <v>488</v>
      </c>
    </row>
    <row r="499" spans="1:18" x14ac:dyDescent="0.3">
      <c r="A499" t="s">
        <v>38</v>
      </c>
      <c r="B499">
        <v>2005</v>
      </c>
      <c r="C499" t="str">
        <f>_xlfn.CONCAT(Table13[[#This Row],[STATE]],"-",Table13[[#This Row],[Year]])</f>
        <v>Delhi-2005</v>
      </c>
      <c r="D499" t="s">
        <v>66</v>
      </c>
      <c r="E499" t="s">
        <v>67</v>
      </c>
      <c r="F499">
        <v>43723</v>
      </c>
      <c r="G499">
        <v>5136</v>
      </c>
      <c r="H499">
        <v>211</v>
      </c>
      <c r="I499">
        <v>0</v>
      </c>
      <c r="J499">
        <v>22319</v>
      </c>
      <c r="K499">
        <v>4</v>
      </c>
      <c r="L499">
        <v>9</v>
      </c>
      <c r="M499">
        <v>11699</v>
      </c>
      <c r="N499">
        <v>16</v>
      </c>
      <c r="O499">
        <v>837</v>
      </c>
      <c r="P499">
        <v>3441</v>
      </c>
      <c r="Q499">
        <v>51</v>
      </c>
      <c r="R499">
        <f>SUM(Table13[[#This Row],[Rank_All_Ranks_Total]:[Rank_SSPSPAddlSPCommandant]])</f>
        <v>87446</v>
      </c>
    </row>
    <row r="500" spans="1:18" x14ac:dyDescent="0.3">
      <c r="A500" t="s">
        <v>11</v>
      </c>
      <c r="B500">
        <v>2005</v>
      </c>
      <c r="C500" t="str">
        <f>_xlfn.CONCAT(Table13[[#This Row],[STATE]],"-",Table13[[#This Row],[Year]])</f>
        <v>Goa-2005</v>
      </c>
      <c r="D500" t="s">
        <v>66</v>
      </c>
      <c r="E500" t="s">
        <v>67</v>
      </c>
      <c r="F500">
        <v>3002</v>
      </c>
      <c r="G500">
        <v>116</v>
      </c>
      <c r="H500">
        <v>20</v>
      </c>
      <c r="I500">
        <v>0</v>
      </c>
      <c r="J500">
        <v>2139</v>
      </c>
      <c r="K500">
        <v>1</v>
      </c>
      <c r="L500">
        <v>2</v>
      </c>
      <c r="M500">
        <v>589</v>
      </c>
      <c r="N500">
        <v>0</v>
      </c>
      <c r="O500">
        <v>44</v>
      </c>
      <c r="P500">
        <v>85</v>
      </c>
      <c r="Q500">
        <v>6</v>
      </c>
      <c r="R500">
        <f>SUM(Table13[[#This Row],[Rank_All_Ranks_Total]:[Rank_SSPSPAddlSPCommandant]])</f>
        <v>6004</v>
      </c>
    </row>
    <row r="501" spans="1:18" x14ac:dyDescent="0.3">
      <c r="A501" t="s">
        <v>12</v>
      </c>
      <c r="B501">
        <v>2005</v>
      </c>
      <c r="C501" t="str">
        <f>_xlfn.CONCAT(Table13[[#This Row],[STATE]],"-",Table13[[#This Row],[Year]])</f>
        <v>Gujarat-2005</v>
      </c>
      <c r="D501" t="s">
        <v>66</v>
      </c>
      <c r="E501" t="s">
        <v>67</v>
      </c>
      <c r="F501">
        <v>46752</v>
      </c>
      <c r="G501">
        <v>6405</v>
      </c>
      <c r="H501">
        <v>176</v>
      </c>
      <c r="I501">
        <v>0</v>
      </c>
      <c r="J501">
        <v>28647</v>
      </c>
      <c r="K501">
        <v>18</v>
      </c>
      <c r="L501">
        <v>16</v>
      </c>
      <c r="M501">
        <v>9065</v>
      </c>
      <c r="N501">
        <v>18</v>
      </c>
      <c r="O501">
        <v>670</v>
      </c>
      <c r="P501">
        <v>1672</v>
      </c>
      <c r="Q501">
        <v>65</v>
      </c>
      <c r="R501">
        <f>SUM(Table13[[#This Row],[Rank_All_Ranks_Total]:[Rank_SSPSPAddlSPCommandant]])</f>
        <v>93504</v>
      </c>
    </row>
    <row r="502" spans="1:18" x14ac:dyDescent="0.3">
      <c r="A502" t="s">
        <v>13</v>
      </c>
      <c r="B502">
        <v>2005</v>
      </c>
      <c r="C502" t="str">
        <f>_xlfn.CONCAT(Table13[[#This Row],[STATE]],"-",Table13[[#This Row],[Year]])</f>
        <v>Haryana-2005</v>
      </c>
      <c r="D502" t="s">
        <v>66</v>
      </c>
      <c r="E502" t="s">
        <v>67</v>
      </c>
      <c r="F502">
        <v>30419</v>
      </c>
      <c r="G502">
        <v>2617</v>
      </c>
      <c r="H502">
        <v>141</v>
      </c>
      <c r="I502">
        <v>0</v>
      </c>
      <c r="J502">
        <v>21327</v>
      </c>
      <c r="K502">
        <v>20</v>
      </c>
      <c r="L502">
        <v>15</v>
      </c>
      <c r="M502">
        <v>4998</v>
      </c>
      <c r="N502">
        <v>20</v>
      </c>
      <c r="O502">
        <v>309</v>
      </c>
      <c r="P502">
        <v>919</v>
      </c>
      <c r="Q502">
        <v>53</v>
      </c>
      <c r="R502">
        <f>SUM(Table13[[#This Row],[Rank_All_Ranks_Total]:[Rank_SSPSPAddlSPCommandant]])</f>
        <v>60838</v>
      </c>
    </row>
    <row r="503" spans="1:18" x14ac:dyDescent="0.3">
      <c r="A503" t="s">
        <v>14</v>
      </c>
      <c r="B503">
        <v>2005</v>
      </c>
      <c r="C503" t="str">
        <f>_xlfn.CONCAT(Table13[[#This Row],[STATE]],"-",Table13[[#This Row],[Year]])</f>
        <v>Himachal Pradesh-2005</v>
      </c>
      <c r="D503" t="s">
        <v>66</v>
      </c>
      <c r="E503" t="s">
        <v>67</v>
      </c>
      <c r="F503">
        <v>8053</v>
      </c>
      <c r="G503">
        <v>684</v>
      </c>
      <c r="H503">
        <v>65</v>
      </c>
      <c r="I503">
        <v>0</v>
      </c>
      <c r="J503">
        <v>5378</v>
      </c>
      <c r="K503">
        <v>12</v>
      </c>
      <c r="L503">
        <v>13</v>
      </c>
      <c r="M503">
        <v>1357</v>
      </c>
      <c r="N503">
        <v>8</v>
      </c>
      <c r="O503">
        <v>148</v>
      </c>
      <c r="P503">
        <v>342</v>
      </c>
      <c r="Q503">
        <v>46</v>
      </c>
      <c r="R503">
        <f>SUM(Table13[[#This Row],[Rank_All_Ranks_Total]:[Rank_SSPSPAddlSPCommandant]])</f>
        <v>16106</v>
      </c>
    </row>
    <row r="504" spans="1:18" x14ac:dyDescent="0.3">
      <c r="A504" t="s">
        <v>15</v>
      </c>
      <c r="B504">
        <v>2005</v>
      </c>
      <c r="C504" t="str">
        <f>_xlfn.CONCAT(Table13[[#This Row],[STATE]],"-",Table13[[#This Row],[Year]])</f>
        <v>Jammu &amp; Kashmir-2005</v>
      </c>
      <c r="D504" t="s">
        <v>66</v>
      </c>
      <c r="E504" t="s">
        <v>67</v>
      </c>
      <c r="F504">
        <v>46553</v>
      </c>
      <c r="G504">
        <v>3888</v>
      </c>
      <c r="H504">
        <v>378</v>
      </c>
      <c r="I504">
        <v>8016</v>
      </c>
      <c r="J504">
        <v>25969</v>
      </c>
      <c r="K504">
        <v>10</v>
      </c>
      <c r="L504">
        <v>17</v>
      </c>
      <c r="M504">
        <v>5714</v>
      </c>
      <c r="N504">
        <v>11</v>
      </c>
      <c r="O504">
        <v>681</v>
      </c>
      <c r="P504">
        <v>1711</v>
      </c>
      <c r="Q504">
        <v>158</v>
      </c>
      <c r="R504">
        <f>SUM(Table13[[#This Row],[Rank_All_Ranks_Total]:[Rank_SSPSPAddlSPCommandant]])</f>
        <v>93106</v>
      </c>
    </row>
    <row r="505" spans="1:18" x14ac:dyDescent="0.3">
      <c r="A505" t="s">
        <v>16</v>
      </c>
      <c r="B505">
        <v>2005</v>
      </c>
      <c r="C505" t="str">
        <f>_xlfn.CONCAT(Table13[[#This Row],[STATE]],"-",Table13[[#This Row],[Year]])</f>
        <v>Jharkhand-2005</v>
      </c>
      <c r="D505" t="s">
        <v>66</v>
      </c>
      <c r="E505" t="s">
        <v>67</v>
      </c>
      <c r="F505">
        <v>22151</v>
      </c>
      <c r="G505">
        <v>940</v>
      </c>
      <c r="H505">
        <v>52</v>
      </c>
      <c r="I505">
        <v>89</v>
      </c>
      <c r="J505">
        <v>16757</v>
      </c>
      <c r="K505">
        <v>0</v>
      </c>
      <c r="L505">
        <v>0</v>
      </c>
      <c r="M505">
        <v>2806</v>
      </c>
      <c r="N505">
        <v>0</v>
      </c>
      <c r="O505">
        <v>123</v>
      </c>
      <c r="P505">
        <v>1359</v>
      </c>
      <c r="Q505">
        <v>25</v>
      </c>
      <c r="R505">
        <f>SUM(Table13[[#This Row],[Rank_All_Ranks_Total]:[Rank_SSPSPAddlSPCommandant]])</f>
        <v>44302</v>
      </c>
    </row>
    <row r="506" spans="1:18" x14ac:dyDescent="0.3">
      <c r="A506" t="s">
        <v>17</v>
      </c>
      <c r="B506">
        <v>2005</v>
      </c>
      <c r="C506" t="str">
        <f>_xlfn.CONCAT(Table13[[#This Row],[STATE]],"-",Table13[[#This Row],[Year]])</f>
        <v>Karnataka-2005</v>
      </c>
      <c r="D506" t="s">
        <v>66</v>
      </c>
      <c r="E506" t="s">
        <v>67</v>
      </c>
      <c r="F506">
        <v>50634</v>
      </c>
      <c r="G506">
        <v>2636</v>
      </c>
      <c r="H506">
        <v>174</v>
      </c>
      <c r="I506">
        <v>0</v>
      </c>
      <c r="J506">
        <v>34543</v>
      </c>
      <c r="K506">
        <v>1</v>
      </c>
      <c r="L506">
        <v>4</v>
      </c>
      <c r="M506">
        <v>10908</v>
      </c>
      <c r="N506">
        <v>6</v>
      </c>
      <c r="O506">
        <v>606</v>
      </c>
      <c r="P506">
        <v>1688</v>
      </c>
      <c r="Q506">
        <v>68</v>
      </c>
      <c r="R506">
        <f>SUM(Table13[[#This Row],[Rank_All_Ranks_Total]:[Rank_SSPSPAddlSPCommandant]])</f>
        <v>101268</v>
      </c>
    </row>
    <row r="507" spans="1:18" x14ac:dyDescent="0.3">
      <c r="A507" t="s">
        <v>18</v>
      </c>
      <c r="B507">
        <v>2005</v>
      </c>
      <c r="C507" t="str">
        <f>_xlfn.CONCAT(Table13[[#This Row],[STATE]],"-",Table13[[#This Row],[Year]])</f>
        <v>Kerala-2005</v>
      </c>
      <c r="D507" t="s">
        <v>66</v>
      </c>
      <c r="E507" t="s">
        <v>67</v>
      </c>
      <c r="F507">
        <v>35216</v>
      </c>
      <c r="G507">
        <v>1587</v>
      </c>
      <c r="H507">
        <v>265</v>
      </c>
      <c r="I507">
        <v>0</v>
      </c>
      <c r="J507">
        <v>24193</v>
      </c>
      <c r="K507">
        <v>9</v>
      </c>
      <c r="L507">
        <v>9</v>
      </c>
      <c r="M507">
        <v>7258</v>
      </c>
      <c r="N507">
        <v>8</v>
      </c>
      <c r="O507">
        <v>348</v>
      </c>
      <c r="P507">
        <v>1489</v>
      </c>
      <c r="Q507">
        <v>50</v>
      </c>
      <c r="R507">
        <f>SUM(Table13[[#This Row],[Rank_All_Ranks_Total]:[Rank_SSPSPAddlSPCommandant]])</f>
        <v>70432</v>
      </c>
    </row>
    <row r="508" spans="1:18" x14ac:dyDescent="0.3">
      <c r="A508" t="s">
        <v>39</v>
      </c>
      <c r="B508">
        <v>2005</v>
      </c>
      <c r="C508" t="str">
        <f>_xlfn.CONCAT(Table13[[#This Row],[STATE]],"-",Table13[[#This Row],[Year]])</f>
        <v>Lakshadweep-2005</v>
      </c>
      <c r="D508" t="s">
        <v>66</v>
      </c>
      <c r="E508" t="s">
        <v>67</v>
      </c>
      <c r="F508">
        <v>273</v>
      </c>
      <c r="G508">
        <v>21</v>
      </c>
      <c r="H508">
        <v>1</v>
      </c>
      <c r="I508">
        <v>0</v>
      </c>
      <c r="J508">
        <v>165</v>
      </c>
      <c r="K508">
        <v>0</v>
      </c>
      <c r="L508">
        <v>0</v>
      </c>
      <c r="M508">
        <v>63</v>
      </c>
      <c r="N508">
        <v>0</v>
      </c>
      <c r="O508">
        <v>5</v>
      </c>
      <c r="P508">
        <v>17</v>
      </c>
      <c r="Q508">
        <v>1</v>
      </c>
      <c r="R508">
        <f>SUM(Table13[[#This Row],[Rank_All_Ranks_Total]:[Rank_SSPSPAddlSPCommandant]])</f>
        <v>546</v>
      </c>
    </row>
    <row r="509" spans="1:18" x14ac:dyDescent="0.3">
      <c r="A509" t="s">
        <v>19</v>
      </c>
      <c r="B509">
        <v>2005</v>
      </c>
      <c r="C509" t="str">
        <f>_xlfn.CONCAT(Table13[[#This Row],[STATE]],"-",Table13[[#This Row],[Year]])</f>
        <v>Madhya Pradesh-2005</v>
      </c>
      <c r="D509" t="s">
        <v>66</v>
      </c>
      <c r="E509" t="s">
        <v>67</v>
      </c>
      <c r="F509">
        <v>54125</v>
      </c>
      <c r="G509">
        <v>3037</v>
      </c>
      <c r="H509">
        <v>567</v>
      </c>
      <c r="I509">
        <v>0</v>
      </c>
      <c r="J509">
        <v>36484</v>
      </c>
      <c r="K509">
        <v>10</v>
      </c>
      <c r="L509">
        <v>30</v>
      </c>
      <c r="M509">
        <v>10089</v>
      </c>
      <c r="N509">
        <v>20</v>
      </c>
      <c r="O509">
        <v>1112</v>
      </c>
      <c r="P509">
        <v>2594</v>
      </c>
      <c r="Q509">
        <v>182</v>
      </c>
      <c r="R509">
        <f>SUM(Table13[[#This Row],[Rank_All_Ranks_Total]:[Rank_SSPSPAddlSPCommandant]])</f>
        <v>108250</v>
      </c>
    </row>
    <row r="510" spans="1:18" x14ac:dyDescent="0.3">
      <c r="A510" t="s">
        <v>20</v>
      </c>
      <c r="B510">
        <v>2005</v>
      </c>
      <c r="C510" t="str">
        <f>_xlfn.CONCAT(Table13[[#This Row],[STATE]],"-",Table13[[#This Row],[Year]])</f>
        <v>Maharashtra-2005</v>
      </c>
      <c r="D510" t="s">
        <v>66</v>
      </c>
      <c r="E510" t="s">
        <v>67</v>
      </c>
      <c r="F510">
        <v>122536</v>
      </c>
      <c r="G510">
        <v>10841</v>
      </c>
      <c r="H510">
        <v>431</v>
      </c>
      <c r="I510">
        <v>18713</v>
      </c>
      <c r="J510">
        <v>56204</v>
      </c>
      <c r="K510">
        <v>12</v>
      </c>
      <c r="L510">
        <v>29</v>
      </c>
      <c r="M510">
        <v>25918</v>
      </c>
      <c r="N510">
        <v>25</v>
      </c>
      <c r="O510">
        <v>2479</v>
      </c>
      <c r="P510">
        <v>7726</v>
      </c>
      <c r="Q510">
        <v>158</v>
      </c>
      <c r="R510">
        <f>SUM(Table13[[#This Row],[Rank_All_Ranks_Total]:[Rank_SSPSPAddlSPCommandant]])</f>
        <v>245072</v>
      </c>
    </row>
    <row r="511" spans="1:18" x14ac:dyDescent="0.3">
      <c r="A511" t="s">
        <v>21</v>
      </c>
      <c r="B511">
        <v>2005</v>
      </c>
      <c r="C511" t="str">
        <f>_xlfn.CONCAT(Table13[[#This Row],[STATE]],"-",Table13[[#This Row],[Year]])</f>
        <v>Manipur-2005</v>
      </c>
      <c r="D511" t="s">
        <v>66</v>
      </c>
      <c r="E511" t="s">
        <v>67</v>
      </c>
      <c r="F511">
        <v>4768</v>
      </c>
      <c r="G511">
        <v>427</v>
      </c>
      <c r="H511">
        <v>33</v>
      </c>
      <c r="I511">
        <v>3</v>
      </c>
      <c r="J511">
        <v>3219</v>
      </c>
      <c r="K511">
        <v>2</v>
      </c>
      <c r="L511">
        <v>6</v>
      </c>
      <c r="M511">
        <v>525</v>
      </c>
      <c r="N511">
        <v>4</v>
      </c>
      <c r="O511">
        <v>131</v>
      </c>
      <c r="P511">
        <v>396</v>
      </c>
      <c r="Q511">
        <v>22</v>
      </c>
      <c r="R511">
        <f>SUM(Table13[[#This Row],[Rank_All_Ranks_Total]:[Rank_SSPSPAddlSPCommandant]])</f>
        <v>9536</v>
      </c>
    </row>
    <row r="512" spans="1:18" x14ac:dyDescent="0.3">
      <c r="A512" t="s">
        <v>22</v>
      </c>
      <c r="B512">
        <v>2005</v>
      </c>
      <c r="C512" t="str">
        <f>_xlfn.CONCAT(Table13[[#This Row],[STATE]],"-",Table13[[#This Row],[Year]])</f>
        <v>Meghalaya-2005</v>
      </c>
      <c r="D512" t="s">
        <v>66</v>
      </c>
      <c r="E512" t="s">
        <v>67</v>
      </c>
      <c r="F512">
        <v>5634</v>
      </c>
      <c r="G512">
        <v>154</v>
      </c>
      <c r="H512">
        <v>27</v>
      </c>
      <c r="I512">
        <v>127</v>
      </c>
      <c r="J512">
        <v>4163</v>
      </c>
      <c r="K512">
        <v>4</v>
      </c>
      <c r="L512">
        <v>2</v>
      </c>
      <c r="M512">
        <v>398</v>
      </c>
      <c r="N512">
        <v>4</v>
      </c>
      <c r="O512">
        <v>118</v>
      </c>
      <c r="P512">
        <v>615</v>
      </c>
      <c r="Q512">
        <v>22</v>
      </c>
      <c r="R512">
        <f>SUM(Table13[[#This Row],[Rank_All_Ranks_Total]:[Rank_SSPSPAddlSPCommandant]])</f>
        <v>11268</v>
      </c>
    </row>
    <row r="513" spans="1:18" x14ac:dyDescent="0.3">
      <c r="A513" t="s">
        <v>23</v>
      </c>
      <c r="B513">
        <v>2005</v>
      </c>
      <c r="C513" t="str">
        <f>_xlfn.CONCAT(Table13[[#This Row],[STATE]],"-",Table13[[#This Row],[Year]])</f>
        <v>Mizoram-2005</v>
      </c>
      <c r="D513" t="s">
        <v>66</v>
      </c>
      <c r="E513" t="s">
        <v>67</v>
      </c>
      <c r="F513">
        <v>3616</v>
      </c>
      <c r="G513">
        <v>470</v>
      </c>
      <c r="H513">
        <v>43</v>
      </c>
      <c r="I513">
        <v>548</v>
      </c>
      <c r="J513">
        <v>1311</v>
      </c>
      <c r="K513">
        <v>1</v>
      </c>
      <c r="L513">
        <v>4</v>
      </c>
      <c r="M513">
        <v>660</v>
      </c>
      <c r="N513">
        <v>1</v>
      </c>
      <c r="O513">
        <v>137</v>
      </c>
      <c r="P513">
        <v>406</v>
      </c>
      <c r="Q513">
        <v>35</v>
      </c>
      <c r="R513">
        <f>SUM(Table13[[#This Row],[Rank_All_Ranks_Total]:[Rank_SSPSPAddlSPCommandant]])</f>
        <v>7232</v>
      </c>
    </row>
    <row r="514" spans="1:18" x14ac:dyDescent="0.3">
      <c r="A514" t="s">
        <v>24</v>
      </c>
      <c r="B514">
        <v>2005</v>
      </c>
      <c r="C514" t="str">
        <f>_xlfn.CONCAT(Table13[[#This Row],[STATE]],"-",Table13[[#This Row],[Year]])</f>
        <v>Nagaland-2005</v>
      </c>
      <c r="D514" t="s">
        <v>66</v>
      </c>
      <c r="E514" t="s">
        <v>67</v>
      </c>
      <c r="F514">
        <v>5500</v>
      </c>
      <c r="G514">
        <v>205</v>
      </c>
      <c r="H514">
        <v>34</v>
      </c>
      <c r="I514">
        <v>520</v>
      </c>
      <c r="J514">
        <v>4052</v>
      </c>
      <c r="K514">
        <v>4</v>
      </c>
      <c r="L514">
        <v>11</v>
      </c>
      <c r="M514">
        <v>375</v>
      </c>
      <c r="N514">
        <v>7</v>
      </c>
      <c r="O514">
        <v>47</v>
      </c>
      <c r="P514">
        <v>208</v>
      </c>
      <c r="Q514">
        <v>37</v>
      </c>
      <c r="R514">
        <f>SUM(Table13[[#This Row],[Rank_All_Ranks_Total]:[Rank_SSPSPAddlSPCommandant]])</f>
        <v>11000</v>
      </c>
    </row>
    <row r="515" spans="1:18" x14ac:dyDescent="0.3">
      <c r="A515" t="s">
        <v>63</v>
      </c>
      <c r="B515">
        <v>2005</v>
      </c>
      <c r="C515" t="str">
        <f>_xlfn.CONCAT(Table13[[#This Row],[STATE]],"-",Table13[[#This Row],[Year]])</f>
        <v>Odisha-2005</v>
      </c>
      <c r="D515" t="s">
        <v>66</v>
      </c>
      <c r="E515" t="s">
        <v>67</v>
      </c>
      <c r="F515">
        <v>26484</v>
      </c>
      <c r="G515">
        <v>2276</v>
      </c>
      <c r="H515">
        <v>152</v>
      </c>
      <c r="I515">
        <v>282</v>
      </c>
      <c r="J515">
        <v>18699</v>
      </c>
      <c r="K515">
        <v>4</v>
      </c>
      <c r="L515">
        <v>16</v>
      </c>
      <c r="M515">
        <v>2482</v>
      </c>
      <c r="N515">
        <v>9</v>
      </c>
      <c r="O515">
        <v>530</v>
      </c>
      <c r="P515">
        <v>1915</v>
      </c>
      <c r="Q515">
        <v>119</v>
      </c>
      <c r="R515">
        <f>SUM(Table13[[#This Row],[Rank_All_Ranks_Total]:[Rank_SSPSPAddlSPCommandant]])</f>
        <v>52968</v>
      </c>
    </row>
    <row r="516" spans="1:18" x14ac:dyDescent="0.3">
      <c r="A516" t="s">
        <v>64</v>
      </c>
      <c r="B516">
        <v>2005</v>
      </c>
      <c r="C516" t="str">
        <f>_xlfn.CONCAT(Table13[[#This Row],[STATE]],"-",Table13[[#This Row],[Year]])</f>
        <v>Puducherry-2005</v>
      </c>
      <c r="D516" t="s">
        <v>66</v>
      </c>
      <c r="E516" t="s">
        <v>67</v>
      </c>
      <c r="F516">
        <v>1520</v>
      </c>
      <c r="G516">
        <v>85</v>
      </c>
      <c r="H516">
        <v>17</v>
      </c>
      <c r="I516">
        <v>0</v>
      </c>
      <c r="J516">
        <v>964</v>
      </c>
      <c r="K516">
        <v>0</v>
      </c>
      <c r="L516">
        <v>1</v>
      </c>
      <c r="M516">
        <v>315</v>
      </c>
      <c r="N516">
        <v>1</v>
      </c>
      <c r="O516">
        <v>47</v>
      </c>
      <c r="P516">
        <v>88</v>
      </c>
      <c r="Q516">
        <v>2</v>
      </c>
      <c r="R516">
        <f>SUM(Table13[[#This Row],[Rank_All_Ranks_Total]:[Rank_SSPSPAddlSPCommandant]])</f>
        <v>3040</v>
      </c>
    </row>
    <row r="517" spans="1:18" x14ac:dyDescent="0.3">
      <c r="A517" t="s">
        <v>26</v>
      </c>
      <c r="B517">
        <v>2005</v>
      </c>
      <c r="C517" t="str">
        <f>_xlfn.CONCAT(Table13[[#This Row],[STATE]],"-",Table13[[#This Row],[Year]])</f>
        <v>Punjab-2005</v>
      </c>
      <c r="D517" t="s">
        <v>66</v>
      </c>
      <c r="E517" t="s">
        <v>67</v>
      </c>
      <c r="F517">
        <v>52142</v>
      </c>
      <c r="G517">
        <v>3914</v>
      </c>
      <c r="H517">
        <v>262</v>
      </c>
      <c r="I517">
        <v>0</v>
      </c>
      <c r="J517">
        <v>37339</v>
      </c>
      <c r="K517">
        <v>11</v>
      </c>
      <c r="L517">
        <v>17</v>
      </c>
      <c r="M517">
        <v>8259</v>
      </c>
      <c r="N517">
        <v>11</v>
      </c>
      <c r="O517">
        <v>611</v>
      </c>
      <c r="P517">
        <v>1602</v>
      </c>
      <c r="Q517">
        <v>116</v>
      </c>
      <c r="R517">
        <f>SUM(Table13[[#This Row],[Rank_All_Ranks_Total]:[Rank_SSPSPAddlSPCommandant]])</f>
        <v>104284</v>
      </c>
    </row>
    <row r="518" spans="1:18" x14ac:dyDescent="0.3">
      <c r="A518" t="s">
        <v>27</v>
      </c>
      <c r="B518">
        <v>2005</v>
      </c>
      <c r="C518" t="str">
        <f>_xlfn.CONCAT(Table13[[#This Row],[STATE]],"-",Table13[[#This Row],[Year]])</f>
        <v>Rajasthan-2005</v>
      </c>
      <c r="D518" t="s">
        <v>66</v>
      </c>
      <c r="E518" t="s">
        <v>67</v>
      </c>
      <c r="F518">
        <v>51880</v>
      </c>
      <c r="G518">
        <v>3255</v>
      </c>
      <c r="H518">
        <v>377</v>
      </c>
      <c r="I518">
        <v>0</v>
      </c>
      <c r="J518">
        <v>38085</v>
      </c>
      <c r="K518">
        <v>8</v>
      </c>
      <c r="L518">
        <v>9</v>
      </c>
      <c r="M518">
        <v>6475</v>
      </c>
      <c r="N518">
        <v>30</v>
      </c>
      <c r="O518">
        <v>676</v>
      </c>
      <c r="P518">
        <v>2737</v>
      </c>
      <c r="Q518">
        <v>228</v>
      </c>
      <c r="R518">
        <f>SUM(Table13[[#This Row],[Rank_All_Ranks_Total]:[Rank_SSPSPAddlSPCommandant]])</f>
        <v>103760</v>
      </c>
    </row>
    <row r="519" spans="1:18" x14ac:dyDescent="0.3">
      <c r="A519" t="s">
        <v>28</v>
      </c>
      <c r="B519">
        <v>2005</v>
      </c>
      <c r="C519" t="str">
        <f>_xlfn.CONCAT(Table13[[#This Row],[STATE]],"-",Table13[[#This Row],[Year]])</f>
        <v>Sikkim-2005</v>
      </c>
      <c r="D519" t="s">
        <v>66</v>
      </c>
      <c r="E519" t="s">
        <v>67</v>
      </c>
      <c r="F519">
        <v>1922</v>
      </c>
      <c r="G519">
        <v>183</v>
      </c>
      <c r="H519">
        <v>54</v>
      </c>
      <c r="I519">
        <v>441</v>
      </c>
      <c r="J519">
        <v>736</v>
      </c>
      <c r="K519">
        <v>4</v>
      </c>
      <c r="L519">
        <v>5</v>
      </c>
      <c r="M519">
        <v>268</v>
      </c>
      <c r="N519">
        <v>7</v>
      </c>
      <c r="O519">
        <v>60</v>
      </c>
      <c r="P519">
        <v>147</v>
      </c>
      <c r="Q519">
        <v>17</v>
      </c>
      <c r="R519">
        <f>SUM(Table13[[#This Row],[Rank_All_Ranks_Total]:[Rank_SSPSPAddlSPCommandant]])</f>
        <v>3844</v>
      </c>
    </row>
    <row r="520" spans="1:18" x14ac:dyDescent="0.3">
      <c r="A520" t="s">
        <v>42</v>
      </c>
      <c r="B520">
        <v>2005</v>
      </c>
      <c r="C520" t="str">
        <f>_xlfn.CONCAT(Table13[[#This Row],[STATE]],"-",Table13[[#This Row],[Year]])</f>
        <v>Tamil Nadu-2005</v>
      </c>
      <c r="D520" t="s">
        <v>66</v>
      </c>
      <c r="E520" t="s">
        <v>67</v>
      </c>
      <c r="F520">
        <v>70900</v>
      </c>
      <c r="G520">
        <v>0</v>
      </c>
      <c r="H520">
        <v>637</v>
      </c>
      <c r="I520">
        <v>11684</v>
      </c>
      <c r="J520">
        <v>41513</v>
      </c>
      <c r="K520">
        <v>27</v>
      </c>
      <c r="L520">
        <v>27</v>
      </c>
      <c r="M520">
        <v>9470</v>
      </c>
      <c r="N520">
        <v>23</v>
      </c>
      <c r="O520">
        <v>2233</v>
      </c>
      <c r="P520">
        <v>5119</v>
      </c>
      <c r="Q520">
        <v>167</v>
      </c>
      <c r="R520">
        <f>SUM(Table13[[#This Row],[Rank_All_Ranks_Total]:[Rank_SSPSPAddlSPCommandant]])</f>
        <v>141800</v>
      </c>
    </row>
    <row r="521" spans="1:18" x14ac:dyDescent="0.3">
      <c r="A521" t="s">
        <v>30</v>
      </c>
      <c r="B521">
        <v>2005</v>
      </c>
      <c r="C521" t="str">
        <f>_xlfn.CONCAT(Table13[[#This Row],[STATE]],"-",Table13[[#This Row],[Year]])</f>
        <v>Tripura-2005</v>
      </c>
      <c r="D521" t="s">
        <v>66</v>
      </c>
      <c r="E521" t="s">
        <v>67</v>
      </c>
      <c r="F521">
        <v>9381</v>
      </c>
      <c r="G521">
        <v>652</v>
      </c>
      <c r="H521">
        <v>93</v>
      </c>
      <c r="I521">
        <v>247</v>
      </c>
      <c r="J521">
        <v>6706</v>
      </c>
      <c r="K521">
        <v>3</v>
      </c>
      <c r="L521">
        <v>5</v>
      </c>
      <c r="M521">
        <v>812</v>
      </c>
      <c r="N521">
        <v>6</v>
      </c>
      <c r="O521">
        <v>163</v>
      </c>
      <c r="P521">
        <v>676</v>
      </c>
      <c r="Q521">
        <v>18</v>
      </c>
      <c r="R521">
        <f>SUM(Table13[[#This Row],[Rank_All_Ranks_Total]:[Rank_SSPSPAddlSPCommandant]])</f>
        <v>18762</v>
      </c>
    </row>
    <row r="522" spans="1:18" x14ac:dyDescent="0.3">
      <c r="A522" t="s">
        <v>31</v>
      </c>
      <c r="B522">
        <v>2005</v>
      </c>
      <c r="C522" t="str">
        <f>_xlfn.CONCAT(Table13[[#This Row],[STATE]],"-",Table13[[#This Row],[Year]])</f>
        <v>Uttar Pradesh-2005</v>
      </c>
      <c r="D522" t="s">
        <v>66</v>
      </c>
      <c r="E522" t="s">
        <v>67</v>
      </c>
      <c r="F522">
        <v>120139</v>
      </c>
      <c r="G522">
        <v>0</v>
      </c>
      <c r="H522">
        <v>693</v>
      </c>
      <c r="I522">
        <v>0</v>
      </c>
      <c r="J522">
        <v>91305</v>
      </c>
      <c r="K522">
        <v>37</v>
      </c>
      <c r="L522">
        <v>54</v>
      </c>
      <c r="M522">
        <v>14937</v>
      </c>
      <c r="N522">
        <v>53</v>
      </c>
      <c r="O522">
        <v>1022</v>
      </c>
      <c r="P522">
        <v>11721</v>
      </c>
      <c r="Q522">
        <v>317</v>
      </c>
      <c r="R522">
        <f>SUM(Table13[[#This Row],[Rank_All_Ranks_Total]:[Rank_SSPSPAddlSPCommandant]])</f>
        <v>240278</v>
      </c>
    </row>
    <row r="523" spans="1:18" x14ac:dyDescent="0.3">
      <c r="A523" t="s">
        <v>65</v>
      </c>
      <c r="B523">
        <v>2005</v>
      </c>
      <c r="C523" t="str">
        <f>_xlfn.CONCAT(Table13[[#This Row],[STATE]],"-",Table13[[#This Row],[Year]])</f>
        <v>Uttarakhand-2005</v>
      </c>
      <c r="D523" t="s">
        <v>66</v>
      </c>
      <c r="E523" t="s">
        <v>67</v>
      </c>
      <c r="F523">
        <v>9143</v>
      </c>
      <c r="G523">
        <v>0</v>
      </c>
      <c r="H523">
        <v>36</v>
      </c>
      <c r="I523">
        <v>0</v>
      </c>
      <c r="J523">
        <v>7035</v>
      </c>
      <c r="K523">
        <v>8</v>
      </c>
      <c r="L523">
        <v>3</v>
      </c>
      <c r="M523">
        <v>1320</v>
      </c>
      <c r="N523">
        <v>2</v>
      </c>
      <c r="O523">
        <v>52</v>
      </c>
      <c r="P523">
        <v>669</v>
      </c>
      <c r="Q523">
        <v>18</v>
      </c>
      <c r="R523">
        <f>SUM(Table13[[#This Row],[Rank_All_Ranks_Total]:[Rank_SSPSPAddlSPCommandant]])</f>
        <v>18286</v>
      </c>
    </row>
    <row r="524" spans="1:18" x14ac:dyDescent="0.3">
      <c r="A524" t="s">
        <v>33</v>
      </c>
      <c r="B524">
        <v>2005</v>
      </c>
      <c r="C524" t="str">
        <f>_xlfn.CONCAT(Table13[[#This Row],[STATE]],"-",Table13[[#This Row],[Year]])</f>
        <v>West Bengal-2005</v>
      </c>
      <c r="D524" t="s">
        <v>66</v>
      </c>
      <c r="E524" t="s">
        <v>67</v>
      </c>
      <c r="F524">
        <v>60972</v>
      </c>
      <c r="G524">
        <v>9866</v>
      </c>
      <c r="H524">
        <v>284</v>
      </c>
      <c r="I524">
        <v>1510</v>
      </c>
      <c r="J524">
        <v>41077</v>
      </c>
      <c r="K524">
        <v>23</v>
      </c>
      <c r="L524">
        <v>31</v>
      </c>
      <c r="M524">
        <v>753</v>
      </c>
      <c r="N524">
        <v>36</v>
      </c>
      <c r="O524">
        <v>1125</v>
      </c>
      <c r="P524">
        <v>6156</v>
      </c>
      <c r="Q524">
        <v>111</v>
      </c>
      <c r="R524">
        <f>SUM(Table13[[#This Row],[Rank_All_Ranks_Total]:[Rank_SSPSPAddlSPCommandant]])</f>
        <v>121944</v>
      </c>
    </row>
    <row r="525" spans="1:18" x14ac:dyDescent="0.3">
      <c r="A525" t="s">
        <v>59</v>
      </c>
      <c r="B525">
        <v>2006</v>
      </c>
      <c r="C525" t="str">
        <f>_xlfn.CONCAT(Table13[[#This Row],[STATE]],"-",Table13[[#This Row],[Year]])</f>
        <v>Andaman &amp; Nicobar Islands-2006</v>
      </c>
      <c r="D525" t="s">
        <v>66</v>
      </c>
      <c r="E525" t="s">
        <v>67</v>
      </c>
      <c r="F525">
        <v>2204</v>
      </c>
      <c r="G525">
        <v>190</v>
      </c>
      <c r="H525">
        <v>10</v>
      </c>
      <c r="I525">
        <v>0</v>
      </c>
      <c r="J525">
        <v>1422</v>
      </c>
      <c r="K525">
        <v>0</v>
      </c>
      <c r="L525">
        <v>1</v>
      </c>
      <c r="M525">
        <v>434</v>
      </c>
      <c r="N525">
        <v>1</v>
      </c>
      <c r="O525">
        <v>31</v>
      </c>
      <c r="P525">
        <v>113</v>
      </c>
      <c r="Q525">
        <v>2</v>
      </c>
      <c r="R525">
        <f>SUM(Table13[[#This Row],[Rank_All_Ranks_Total]:[Rank_SSPSPAddlSPCommandant]])</f>
        <v>4408</v>
      </c>
    </row>
    <row r="526" spans="1:18" x14ac:dyDescent="0.3">
      <c r="A526" t="s">
        <v>6</v>
      </c>
      <c r="B526">
        <v>2006</v>
      </c>
      <c r="C526" t="str">
        <f>_xlfn.CONCAT(Table13[[#This Row],[STATE]],"-",Table13[[#This Row],[Year]])</f>
        <v>Andhra Pradesh-2006</v>
      </c>
      <c r="D526" t="s">
        <v>66</v>
      </c>
      <c r="E526" t="s">
        <v>67</v>
      </c>
      <c r="F526">
        <v>66643</v>
      </c>
      <c r="G526">
        <v>2459</v>
      </c>
      <c r="H526">
        <v>281</v>
      </c>
      <c r="I526">
        <v>0</v>
      </c>
      <c r="J526">
        <v>48939</v>
      </c>
      <c r="K526">
        <v>21</v>
      </c>
      <c r="L526">
        <v>28</v>
      </c>
      <c r="M526">
        <v>10438</v>
      </c>
      <c r="N526">
        <v>21</v>
      </c>
      <c r="O526">
        <v>1052</v>
      </c>
      <c r="P526">
        <v>3268</v>
      </c>
      <c r="Q526">
        <v>136</v>
      </c>
      <c r="R526">
        <f>SUM(Table13[[#This Row],[Rank_All_Ranks_Total]:[Rank_SSPSPAddlSPCommandant]])</f>
        <v>133286</v>
      </c>
    </row>
    <row r="527" spans="1:18" x14ac:dyDescent="0.3">
      <c r="A527" t="s">
        <v>7</v>
      </c>
      <c r="B527">
        <v>2006</v>
      </c>
      <c r="C527" t="str">
        <f>_xlfn.CONCAT(Table13[[#This Row],[STATE]],"-",Table13[[#This Row],[Year]])</f>
        <v>Arunachal Pradesh-2006</v>
      </c>
      <c r="D527" t="s">
        <v>66</v>
      </c>
      <c r="E527" t="s">
        <v>67</v>
      </c>
      <c r="F527">
        <v>2961</v>
      </c>
      <c r="G527">
        <v>140</v>
      </c>
      <c r="H527">
        <v>37</v>
      </c>
      <c r="I527">
        <v>0</v>
      </c>
      <c r="J527">
        <v>2120</v>
      </c>
      <c r="K527">
        <v>0</v>
      </c>
      <c r="L527">
        <v>4</v>
      </c>
      <c r="M527">
        <v>323</v>
      </c>
      <c r="N527">
        <v>1</v>
      </c>
      <c r="O527">
        <v>71</v>
      </c>
      <c r="P527">
        <v>255</v>
      </c>
      <c r="Q527">
        <v>10</v>
      </c>
      <c r="R527">
        <f>SUM(Table13[[#This Row],[Rank_All_Ranks_Total]:[Rank_SSPSPAddlSPCommandant]])</f>
        <v>5922</v>
      </c>
    </row>
    <row r="528" spans="1:18" x14ac:dyDescent="0.3">
      <c r="A528" t="s">
        <v>8</v>
      </c>
      <c r="B528">
        <v>2006</v>
      </c>
      <c r="C528" t="str">
        <f>_xlfn.CONCAT(Table13[[#This Row],[STATE]],"-",Table13[[#This Row],[Year]])</f>
        <v>Assam-2006</v>
      </c>
      <c r="D528" t="s">
        <v>66</v>
      </c>
      <c r="E528" t="s">
        <v>67</v>
      </c>
      <c r="F528">
        <v>28341</v>
      </c>
      <c r="G528">
        <v>1779</v>
      </c>
      <c r="H528">
        <v>135</v>
      </c>
      <c r="I528">
        <v>901</v>
      </c>
      <c r="J528">
        <v>20469</v>
      </c>
      <c r="K528">
        <v>7</v>
      </c>
      <c r="L528">
        <v>16</v>
      </c>
      <c r="M528">
        <v>1792</v>
      </c>
      <c r="N528">
        <v>11</v>
      </c>
      <c r="O528">
        <v>487</v>
      </c>
      <c r="P528">
        <v>2610</v>
      </c>
      <c r="Q528">
        <v>134</v>
      </c>
      <c r="R528">
        <f>SUM(Table13[[#This Row],[Rank_All_Ranks_Total]:[Rank_SSPSPAddlSPCommandant]])</f>
        <v>56682</v>
      </c>
    </row>
    <row r="529" spans="1:18" x14ac:dyDescent="0.3">
      <c r="A529" t="s">
        <v>9</v>
      </c>
      <c r="B529">
        <v>2006</v>
      </c>
      <c r="C529" t="str">
        <f>_xlfn.CONCAT(Table13[[#This Row],[STATE]],"-",Table13[[#This Row],[Year]])</f>
        <v>Bihar-2006</v>
      </c>
      <c r="D529" t="s">
        <v>66</v>
      </c>
      <c r="E529" t="s">
        <v>67</v>
      </c>
      <c r="F529">
        <v>43273</v>
      </c>
      <c r="G529">
        <v>3482</v>
      </c>
      <c r="H529">
        <v>244</v>
      </c>
      <c r="I529">
        <v>0</v>
      </c>
      <c r="J529">
        <v>29871</v>
      </c>
      <c r="K529">
        <v>9</v>
      </c>
      <c r="L529">
        <v>19</v>
      </c>
      <c r="M529">
        <v>4602</v>
      </c>
      <c r="N529">
        <v>25</v>
      </c>
      <c r="O529">
        <v>448</v>
      </c>
      <c r="P529">
        <v>4514</v>
      </c>
      <c r="Q529">
        <v>59</v>
      </c>
      <c r="R529">
        <f>SUM(Table13[[#This Row],[Rank_All_Ranks_Total]:[Rank_SSPSPAddlSPCommandant]])</f>
        <v>86546</v>
      </c>
    </row>
    <row r="530" spans="1:18" x14ac:dyDescent="0.3">
      <c r="A530" t="s">
        <v>35</v>
      </c>
      <c r="B530">
        <v>2006</v>
      </c>
      <c r="C530" t="str">
        <f>_xlfn.CONCAT(Table13[[#This Row],[STATE]],"-",Table13[[#This Row],[Year]])</f>
        <v>Chandigarh-2006</v>
      </c>
      <c r="D530" t="s">
        <v>66</v>
      </c>
      <c r="E530" t="s">
        <v>67</v>
      </c>
      <c r="F530">
        <v>3644</v>
      </c>
      <c r="G530">
        <v>164</v>
      </c>
      <c r="H530">
        <v>12</v>
      </c>
      <c r="I530">
        <v>0</v>
      </c>
      <c r="J530">
        <v>2395</v>
      </c>
      <c r="K530">
        <v>0</v>
      </c>
      <c r="L530">
        <v>0</v>
      </c>
      <c r="M530">
        <v>787</v>
      </c>
      <c r="N530">
        <v>1</v>
      </c>
      <c r="O530">
        <v>48</v>
      </c>
      <c r="P530">
        <v>233</v>
      </c>
      <c r="Q530">
        <v>4</v>
      </c>
      <c r="R530">
        <f>SUM(Table13[[#This Row],[Rank_All_Ranks_Total]:[Rank_SSPSPAddlSPCommandant]])</f>
        <v>7288</v>
      </c>
    </row>
    <row r="531" spans="1:18" x14ac:dyDescent="0.3">
      <c r="A531" t="s">
        <v>10</v>
      </c>
      <c r="B531">
        <v>2006</v>
      </c>
      <c r="C531" t="str">
        <f>_xlfn.CONCAT(Table13[[#This Row],[STATE]],"-",Table13[[#This Row],[Year]])</f>
        <v>Chhattisgarh-2006</v>
      </c>
      <c r="D531" t="s">
        <v>66</v>
      </c>
      <c r="E531" t="s">
        <v>67</v>
      </c>
      <c r="F531">
        <v>18147</v>
      </c>
      <c r="G531">
        <v>679</v>
      </c>
      <c r="H531">
        <v>94</v>
      </c>
      <c r="I531">
        <v>0</v>
      </c>
      <c r="J531">
        <v>13666</v>
      </c>
      <c r="K531">
        <v>6</v>
      </c>
      <c r="L531">
        <v>9</v>
      </c>
      <c r="M531">
        <v>2844</v>
      </c>
      <c r="N531">
        <v>13</v>
      </c>
      <c r="O531">
        <v>263</v>
      </c>
      <c r="P531">
        <v>521</v>
      </c>
      <c r="Q531">
        <v>52</v>
      </c>
      <c r="R531">
        <f>SUM(Table13[[#This Row],[Rank_All_Ranks_Total]:[Rank_SSPSPAddlSPCommandant]])</f>
        <v>36294</v>
      </c>
    </row>
    <row r="532" spans="1:18" x14ac:dyDescent="0.3">
      <c r="A532" t="s">
        <v>62</v>
      </c>
      <c r="B532">
        <v>2006</v>
      </c>
      <c r="C532" t="str">
        <f>_xlfn.CONCAT(Table13[[#This Row],[STATE]],"-",Table13[[#This Row],[Year]])</f>
        <v>Dadra &amp; Nagar Haveli-2006</v>
      </c>
      <c r="D532" t="s">
        <v>66</v>
      </c>
      <c r="E532" t="s">
        <v>67</v>
      </c>
      <c r="F532">
        <v>217</v>
      </c>
      <c r="G532">
        <v>2</v>
      </c>
      <c r="H532">
        <v>1</v>
      </c>
      <c r="I532">
        <v>0</v>
      </c>
      <c r="J532">
        <v>154</v>
      </c>
      <c r="K532">
        <v>0</v>
      </c>
      <c r="L532">
        <v>0</v>
      </c>
      <c r="M532">
        <v>46</v>
      </c>
      <c r="N532">
        <v>0</v>
      </c>
      <c r="O532">
        <v>1</v>
      </c>
      <c r="P532">
        <v>12</v>
      </c>
      <c r="Q532">
        <v>1</v>
      </c>
      <c r="R532">
        <f>SUM(Table13[[#This Row],[Rank_All_Ranks_Total]:[Rank_SSPSPAddlSPCommandant]])</f>
        <v>434</v>
      </c>
    </row>
    <row r="533" spans="1:18" x14ac:dyDescent="0.3">
      <c r="A533" t="s">
        <v>37</v>
      </c>
      <c r="B533">
        <v>2006</v>
      </c>
      <c r="C533" t="str">
        <f>_xlfn.CONCAT(Table13[[#This Row],[STATE]],"-",Table13[[#This Row],[Year]])</f>
        <v>Daman &amp; Diu-2006</v>
      </c>
      <c r="D533" t="s">
        <v>66</v>
      </c>
      <c r="E533" t="s">
        <v>67</v>
      </c>
      <c r="F533">
        <v>222</v>
      </c>
      <c r="G533">
        <v>6</v>
      </c>
      <c r="H533">
        <v>2</v>
      </c>
      <c r="I533">
        <v>0</v>
      </c>
      <c r="J533">
        <v>166</v>
      </c>
      <c r="K533">
        <v>0</v>
      </c>
      <c r="L533">
        <v>1</v>
      </c>
      <c r="M533">
        <v>34</v>
      </c>
      <c r="N533">
        <v>0</v>
      </c>
      <c r="O533">
        <v>3</v>
      </c>
      <c r="P533">
        <v>10</v>
      </c>
      <c r="Q533">
        <v>0</v>
      </c>
      <c r="R533">
        <f>SUM(Table13[[#This Row],[Rank_All_Ranks_Total]:[Rank_SSPSPAddlSPCommandant]])</f>
        <v>444</v>
      </c>
    </row>
    <row r="534" spans="1:18" x14ac:dyDescent="0.3">
      <c r="A534" t="s">
        <v>38</v>
      </c>
      <c r="B534">
        <v>2006</v>
      </c>
      <c r="C534" t="str">
        <f>_xlfn.CONCAT(Table13[[#This Row],[STATE]],"-",Table13[[#This Row],[Year]])</f>
        <v>Delhi-2006</v>
      </c>
      <c r="D534" t="s">
        <v>66</v>
      </c>
      <c r="E534" t="s">
        <v>67</v>
      </c>
      <c r="F534">
        <v>46694</v>
      </c>
      <c r="G534">
        <v>5191</v>
      </c>
      <c r="H534">
        <v>213</v>
      </c>
      <c r="I534">
        <v>0</v>
      </c>
      <c r="J534">
        <v>24227</v>
      </c>
      <c r="K534">
        <v>6</v>
      </c>
      <c r="L534">
        <v>10</v>
      </c>
      <c r="M534">
        <v>12892</v>
      </c>
      <c r="N534">
        <v>18</v>
      </c>
      <c r="O534">
        <v>988</v>
      </c>
      <c r="P534">
        <v>3092</v>
      </c>
      <c r="Q534">
        <v>57</v>
      </c>
      <c r="R534">
        <f>SUM(Table13[[#This Row],[Rank_All_Ranks_Total]:[Rank_SSPSPAddlSPCommandant]])</f>
        <v>93388</v>
      </c>
    </row>
    <row r="535" spans="1:18" x14ac:dyDescent="0.3">
      <c r="A535" t="s">
        <v>11</v>
      </c>
      <c r="B535">
        <v>2006</v>
      </c>
      <c r="C535" t="str">
        <f>_xlfn.CONCAT(Table13[[#This Row],[STATE]],"-",Table13[[#This Row],[Year]])</f>
        <v>Goa-2006</v>
      </c>
      <c r="D535" t="s">
        <v>66</v>
      </c>
      <c r="E535" t="s">
        <v>67</v>
      </c>
      <c r="F535">
        <v>3077</v>
      </c>
      <c r="G535">
        <v>131</v>
      </c>
      <c r="H535">
        <v>21</v>
      </c>
      <c r="I535">
        <v>0</v>
      </c>
      <c r="J535">
        <v>2109</v>
      </c>
      <c r="K535">
        <v>1</v>
      </c>
      <c r="L535">
        <v>1</v>
      </c>
      <c r="M535">
        <v>611</v>
      </c>
      <c r="N535">
        <v>1</v>
      </c>
      <c r="O535">
        <v>51</v>
      </c>
      <c r="P535">
        <v>145</v>
      </c>
      <c r="Q535">
        <v>6</v>
      </c>
      <c r="R535">
        <f>SUM(Table13[[#This Row],[Rank_All_Ranks_Total]:[Rank_SSPSPAddlSPCommandant]])</f>
        <v>6154</v>
      </c>
    </row>
    <row r="536" spans="1:18" x14ac:dyDescent="0.3">
      <c r="A536" t="s">
        <v>12</v>
      </c>
      <c r="B536">
        <v>2006</v>
      </c>
      <c r="C536" t="str">
        <f>_xlfn.CONCAT(Table13[[#This Row],[STATE]],"-",Table13[[#This Row],[Year]])</f>
        <v>Gujarat-2006</v>
      </c>
      <c r="D536" t="s">
        <v>66</v>
      </c>
      <c r="E536" t="s">
        <v>67</v>
      </c>
      <c r="F536">
        <v>67761</v>
      </c>
      <c r="G536">
        <v>6972</v>
      </c>
      <c r="H536">
        <v>236</v>
      </c>
      <c r="I536">
        <v>0</v>
      </c>
      <c r="J536">
        <v>40664</v>
      </c>
      <c r="K536">
        <v>18</v>
      </c>
      <c r="L536">
        <v>16</v>
      </c>
      <c r="M536">
        <v>16388</v>
      </c>
      <c r="N536">
        <v>18</v>
      </c>
      <c r="O536">
        <v>794</v>
      </c>
      <c r="P536">
        <v>2590</v>
      </c>
      <c r="Q536">
        <v>65</v>
      </c>
      <c r="R536">
        <f>SUM(Table13[[#This Row],[Rank_All_Ranks_Total]:[Rank_SSPSPAddlSPCommandant]])</f>
        <v>135522</v>
      </c>
    </row>
    <row r="537" spans="1:18" x14ac:dyDescent="0.3">
      <c r="A537" t="s">
        <v>13</v>
      </c>
      <c r="B537">
        <v>2006</v>
      </c>
      <c r="C537" t="str">
        <f>_xlfn.CONCAT(Table13[[#This Row],[STATE]],"-",Table13[[#This Row],[Year]])</f>
        <v>Haryana-2006</v>
      </c>
      <c r="D537" t="s">
        <v>66</v>
      </c>
      <c r="E537" t="s">
        <v>67</v>
      </c>
      <c r="F537">
        <v>29201</v>
      </c>
      <c r="G537">
        <v>2498</v>
      </c>
      <c r="H537">
        <v>124</v>
      </c>
      <c r="I537">
        <v>0</v>
      </c>
      <c r="J537">
        <v>21085</v>
      </c>
      <c r="K537">
        <v>8</v>
      </c>
      <c r="L537">
        <v>5</v>
      </c>
      <c r="M537">
        <v>4542</v>
      </c>
      <c r="N537">
        <v>12</v>
      </c>
      <c r="O537">
        <v>138</v>
      </c>
      <c r="P537">
        <v>751</v>
      </c>
      <c r="Q537">
        <v>38</v>
      </c>
      <c r="R537">
        <f>SUM(Table13[[#This Row],[Rank_All_Ranks_Total]:[Rank_SSPSPAddlSPCommandant]])</f>
        <v>58402</v>
      </c>
    </row>
    <row r="538" spans="1:18" x14ac:dyDescent="0.3">
      <c r="A538" t="s">
        <v>14</v>
      </c>
      <c r="B538">
        <v>2006</v>
      </c>
      <c r="C538" t="str">
        <f>_xlfn.CONCAT(Table13[[#This Row],[STATE]],"-",Table13[[#This Row],[Year]])</f>
        <v>Himachal Pradesh-2006</v>
      </c>
      <c r="D538" t="s">
        <v>66</v>
      </c>
      <c r="E538" t="s">
        <v>67</v>
      </c>
      <c r="F538">
        <v>8818</v>
      </c>
      <c r="G538">
        <v>701</v>
      </c>
      <c r="H538">
        <v>63</v>
      </c>
      <c r="I538">
        <v>0</v>
      </c>
      <c r="J538">
        <v>5680</v>
      </c>
      <c r="K538">
        <v>10</v>
      </c>
      <c r="L538">
        <v>17</v>
      </c>
      <c r="M538">
        <v>1742</v>
      </c>
      <c r="N538">
        <v>8</v>
      </c>
      <c r="O538">
        <v>174</v>
      </c>
      <c r="P538">
        <v>376</v>
      </c>
      <c r="Q538">
        <v>47</v>
      </c>
      <c r="R538">
        <f>SUM(Table13[[#This Row],[Rank_All_Ranks_Total]:[Rank_SSPSPAddlSPCommandant]])</f>
        <v>17636</v>
      </c>
    </row>
    <row r="539" spans="1:18" x14ac:dyDescent="0.3">
      <c r="A539" t="s">
        <v>15</v>
      </c>
      <c r="B539">
        <v>2006</v>
      </c>
      <c r="C539" t="str">
        <f>_xlfn.CONCAT(Table13[[#This Row],[STATE]],"-",Table13[[#This Row],[Year]])</f>
        <v>Jammu &amp; Kashmir-2006</v>
      </c>
      <c r="D539" t="s">
        <v>66</v>
      </c>
      <c r="E539" t="s">
        <v>67</v>
      </c>
      <c r="F539">
        <v>39103</v>
      </c>
      <c r="G539">
        <v>2394</v>
      </c>
      <c r="H539">
        <v>205</v>
      </c>
      <c r="I539">
        <v>26648</v>
      </c>
      <c r="J539">
        <v>1521</v>
      </c>
      <c r="K539">
        <v>3</v>
      </c>
      <c r="L539">
        <v>8</v>
      </c>
      <c r="M539">
        <v>6038</v>
      </c>
      <c r="N539">
        <v>12</v>
      </c>
      <c r="O539">
        <v>572</v>
      </c>
      <c r="P539">
        <v>1590</v>
      </c>
      <c r="Q539">
        <v>112</v>
      </c>
      <c r="R539">
        <f>SUM(Table13[[#This Row],[Rank_All_Ranks_Total]:[Rank_SSPSPAddlSPCommandant]])</f>
        <v>78206</v>
      </c>
    </row>
    <row r="540" spans="1:18" x14ac:dyDescent="0.3">
      <c r="A540" t="s">
        <v>16</v>
      </c>
      <c r="B540">
        <v>2006</v>
      </c>
      <c r="C540" t="str">
        <f>_xlfn.CONCAT(Table13[[#This Row],[STATE]],"-",Table13[[#This Row],[Year]])</f>
        <v>Jharkhand-2006</v>
      </c>
      <c r="D540" t="s">
        <v>66</v>
      </c>
      <c r="E540" t="s">
        <v>67</v>
      </c>
      <c r="F540">
        <v>25730</v>
      </c>
      <c r="G540">
        <v>1376</v>
      </c>
      <c r="H540">
        <v>62</v>
      </c>
      <c r="I540">
        <v>0</v>
      </c>
      <c r="J540">
        <v>19549</v>
      </c>
      <c r="K540">
        <v>0</v>
      </c>
      <c r="L540">
        <v>0</v>
      </c>
      <c r="M540">
        <v>2787</v>
      </c>
      <c r="N540">
        <v>0</v>
      </c>
      <c r="O540">
        <v>178</v>
      </c>
      <c r="P540">
        <v>1750</v>
      </c>
      <c r="Q540">
        <v>28</v>
      </c>
      <c r="R540">
        <f>SUM(Table13[[#This Row],[Rank_All_Ranks_Total]:[Rank_SSPSPAddlSPCommandant]])</f>
        <v>51460</v>
      </c>
    </row>
    <row r="541" spans="1:18" x14ac:dyDescent="0.3">
      <c r="A541" t="s">
        <v>17</v>
      </c>
      <c r="B541">
        <v>2006</v>
      </c>
      <c r="C541" t="str">
        <f>_xlfn.CONCAT(Table13[[#This Row],[STATE]],"-",Table13[[#This Row],[Year]])</f>
        <v>Karnataka-2006</v>
      </c>
      <c r="D541" t="s">
        <v>66</v>
      </c>
      <c r="E541" t="s">
        <v>67</v>
      </c>
      <c r="F541">
        <v>48011</v>
      </c>
      <c r="G541">
        <v>2595</v>
      </c>
      <c r="H541">
        <v>167</v>
      </c>
      <c r="I541">
        <v>0</v>
      </c>
      <c r="J541">
        <v>32160</v>
      </c>
      <c r="K541">
        <v>1</v>
      </c>
      <c r="L541">
        <v>2</v>
      </c>
      <c r="M541">
        <v>10748</v>
      </c>
      <c r="N541">
        <v>8</v>
      </c>
      <c r="O541">
        <v>597</v>
      </c>
      <c r="P541">
        <v>1667</v>
      </c>
      <c r="Q541">
        <v>66</v>
      </c>
      <c r="R541">
        <f>SUM(Table13[[#This Row],[Rank_All_Ranks_Total]:[Rank_SSPSPAddlSPCommandant]])</f>
        <v>96022</v>
      </c>
    </row>
    <row r="542" spans="1:18" x14ac:dyDescent="0.3">
      <c r="A542" t="s">
        <v>18</v>
      </c>
      <c r="B542">
        <v>2006</v>
      </c>
      <c r="C542" t="str">
        <f>_xlfn.CONCAT(Table13[[#This Row],[STATE]],"-",Table13[[#This Row],[Year]])</f>
        <v>Kerala-2006</v>
      </c>
      <c r="D542" t="s">
        <v>66</v>
      </c>
      <c r="E542" t="s">
        <v>67</v>
      </c>
      <c r="F542">
        <v>35687</v>
      </c>
      <c r="G542">
        <v>1300</v>
      </c>
      <c r="H542">
        <v>272</v>
      </c>
      <c r="I542">
        <v>0</v>
      </c>
      <c r="J542">
        <v>24807</v>
      </c>
      <c r="K542">
        <v>8</v>
      </c>
      <c r="L542">
        <v>7</v>
      </c>
      <c r="M542">
        <v>7289</v>
      </c>
      <c r="N542">
        <v>10</v>
      </c>
      <c r="O542">
        <v>393</v>
      </c>
      <c r="P542">
        <v>1550</v>
      </c>
      <c r="Q542">
        <v>51</v>
      </c>
      <c r="R542">
        <f>SUM(Table13[[#This Row],[Rank_All_Ranks_Total]:[Rank_SSPSPAddlSPCommandant]])</f>
        <v>71374</v>
      </c>
    </row>
    <row r="543" spans="1:18" x14ac:dyDescent="0.3">
      <c r="A543" t="s">
        <v>39</v>
      </c>
      <c r="B543">
        <v>2006</v>
      </c>
      <c r="C543" t="str">
        <f>_xlfn.CONCAT(Table13[[#This Row],[STATE]],"-",Table13[[#This Row],[Year]])</f>
        <v>Lakshadweep-2006</v>
      </c>
      <c r="D543" t="s">
        <v>66</v>
      </c>
      <c r="E543" t="s">
        <v>67</v>
      </c>
      <c r="F543">
        <v>310</v>
      </c>
      <c r="G543">
        <v>17</v>
      </c>
      <c r="H543">
        <v>1</v>
      </c>
      <c r="I543">
        <v>0</v>
      </c>
      <c r="J543">
        <v>210</v>
      </c>
      <c r="K543">
        <v>0</v>
      </c>
      <c r="L543">
        <v>0</v>
      </c>
      <c r="M543">
        <v>63</v>
      </c>
      <c r="N543">
        <v>0</v>
      </c>
      <c r="O543">
        <v>5</v>
      </c>
      <c r="P543">
        <v>13</v>
      </c>
      <c r="Q543">
        <v>1</v>
      </c>
      <c r="R543">
        <f>SUM(Table13[[#This Row],[Rank_All_Ranks_Total]:[Rank_SSPSPAddlSPCommandant]])</f>
        <v>620</v>
      </c>
    </row>
    <row r="544" spans="1:18" x14ac:dyDescent="0.3">
      <c r="A544" t="s">
        <v>19</v>
      </c>
      <c r="B544">
        <v>2006</v>
      </c>
      <c r="C544" t="str">
        <f>_xlfn.CONCAT(Table13[[#This Row],[STATE]],"-",Table13[[#This Row],[Year]])</f>
        <v>Madhya Pradesh-2006</v>
      </c>
      <c r="D544" t="s">
        <v>66</v>
      </c>
      <c r="E544" t="s">
        <v>67</v>
      </c>
      <c r="F544">
        <v>55298</v>
      </c>
      <c r="G544">
        <v>3202</v>
      </c>
      <c r="H544">
        <v>682</v>
      </c>
      <c r="I544">
        <v>0</v>
      </c>
      <c r="J544">
        <v>37096</v>
      </c>
      <c r="K544">
        <v>10</v>
      </c>
      <c r="L544">
        <v>30</v>
      </c>
      <c r="M544">
        <v>10259</v>
      </c>
      <c r="N544">
        <v>20</v>
      </c>
      <c r="O544">
        <v>1126</v>
      </c>
      <c r="P544">
        <v>2701</v>
      </c>
      <c r="Q544">
        <v>172</v>
      </c>
      <c r="R544">
        <f>SUM(Table13[[#This Row],[Rank_All_Ranks_Total]:[Rank_SSPSPAddlSPCommandant]])</f>
        <v>110596</v>
      </c>
    </row>
    <row r="545" spans="1:18" x14ac:dyDescent="0.3">
      <c r="A545" t="s">
        <v>20</v>
      </c>
      <c r="B545">
        <v>2006</v>
      </c>
      <c r="C545" t="str">
        <f>_xlfn.CONCAT(Table13[[#This Row],[STATE]],"-",Table13[[#This Row],[Year]])</f>
        <v>Maharashtra-2006</v>
      </c>
      <c r="D545" t="s">
        <v>66</v>
      </c>
      <c r="E545" t="s">
        <v>67</v>
      </c>
      <c r="F545">
        <v>140089</v>
      </c>
      <c r="G545">
        <v>11593</v>
      </c>
      <c r="H545">
        <v>483</v>
      </c>
      <c r="I545">
        <v>22504</v>
      </c>
      <c r="J545">
        <v>65854</v>
      </c>
      <c r="K545">
        <v>22</v>
      </c>
      <c r="L545">
        <v>45</v>
      </c>
      <c r="M545">
        <v>28723</v>
      </c>
      <c r="N545">
        <v>37</v>
      </c>
      <c r="O545">
        <v>2527</v>
      </c>
      <c r="P545">
        <v>8073</v>
      </c>
      <c r="Q545">
        <v>228</v>
      </c>
      <c r="R545">
        <f>SUM(Table13[[#This Row],[Rank_All_Ranks_Total]:[Rank_SSPSPAddlSPCommandant]])</f>
        <v>280178</v>
      </c>
    </row>
    <row r="546" spans="1:18" x14ac:dyDescent="0.3">
      <c r="A546" t="s">
        <v>21</v>
      </c>
      <c r="B546">
        <v>2006</v>
      </c>
      <c r="C546" t="str">
        <f>_xlfn.CONCAT(Table13[[#This Row],[STATE]],"-",Table13[[#This Row],[Year]])</f>
        <v>Manipur-2006</v>
      </c>
      <c r="D546" t="s">
        <v>66</v>
      </c>
      <c r="E546" t="s">
        <v>67</v>
      </c>
      <c r="F546">
        <v>5204</v>
      </c>
      <c r="G546">
        <v>470</v>
      </c>
      <c r="H546">
        <v>34</v>
      </c>
      <c r="I546">
        <v>0</v>
      </c>
      <c r="J546">
        <v>3635</v>
      </c>
      <c r="K546">
        <v>2</v>
      </c>
      <c r="L546">
        <v>4</v>
      </c>
      <c r="M546">
        <v>533</v>
      </c>
      <c r="N546">
        <v>6</v>
      </c>
      <c r="O546">
        <v>132</v>
      </c>
      <c r="P546">
        <v>363</v>
      </c>
      <c r="Q546">
        <v>25</v>
      </c>
      <c r="R546">
        <f>SUM(Table13[[#This Row],[Rank_All_Ranks_Total]:[Rank_SSPSPAddlSPCommandant]])</f>
        <v>10408</v>
      </c>
    </row>
    <row r="547" spans="1:18" x14ac:dyDescent="0.3">
      <c r="A547" t="s">
        <v>22</v>
      </c>
      <c r="B547">
        <v>2006</v>
      </c>
      <c r="C547" t="str">
        <f>_xlfn.CONCAT(Table13[[#This Row],[STATE]],"-",Table13[[#This Row],[Year]])</f>
        <v>Meghalaya-2006</v>
      </c>
      <c r="D547" t="s">
        <v>66</v>
      </c>
      <c r="E547" t="s">
        <v>67</v>
      </c>
      <c r="F547">
        <v>5635</v>
      </c>
      <c r="G547">
        <v>154</v>
      </c>
      <c r="H547">
        <v>27</v>
      </c>
      <c r="I547">
        <v>127</v>
      </c>
      <c r="J547">
        <v>4163</v>
      </c>
      <c r="K547">
        <v>4</v>
      </c>
      <c r="L547">
        <v>3</v>
      </c>
      <c r="M547">
        <v>398</v>
      </c>
      <c r="N547">
        <v>4</v>
      </c>
      <c r="O547">
        <v>118</v>
      </c>
      <c r="P547">
        <v>615</v>
      </c>
      <c r="Q547">
        <v>22</v>
      </c>
      <c r="R547">
        <f>SUM(Table13[[#This Row],[Rank_All_Ranks_Total]:[Rank_SSPSPAddlSPCommandant]])</f>
        <v>11270</v>
      </c>
    </row>
    <row r="548" spans="1:18" x14ac:dyDescent="0.3">
      <c r="A548" t="s">
        <v>23</v>
      </c>
      <c r="B548">
        <v>2006</v>
      </c>
      <c r="C548" t="str">
        <f>_xlfn.CONCAT(Table13[[#This Row],[STATE]],"-",Table13[[#This Row],[Year]])</f>
        <v>Mizoram-2006</v>
      </c>
      <c r="D548" t="s">
        <v>66</v>
      </c>
      <c r="E548" t="s">
        <v>67</v>
      </c>
      <c r="F548">
        <v>2953</v>
      </c>
      <c r="G548">
        <v>400</v>
      </c>
      <c r="H548">
        <v>52</v>
      </c>
      <c r="I548">
        <v>6</v>
      </c>
      <c r="J548">
        <v>1325</v>
      </c>
      <c r="K548">
        <v>1</v>
      </c>
      <c r="L548">
        <v>2</v>
      </c>
      <c r="M548">
        <v>638</v>
      </c>
      <c r="N548">
        <v>1</v>
      </c>
      <c r="O548">
        <v>134</v>
      </c>
      <c r="P548">
        <v>378</v>
      </c>
      <c r="Q548">
        <v>16</v>
      </c>
      <c r="R548">
        <f>SUM(Table13[[#This Row],[Rank_All_Ranks_Total]:[Rank_SSPSPAddlSPCommandant]])</f>
        <v>5906</v>
      </c>
    </row>
    <row r="549" spans="1:18" x14ac:dyDescent="0.3">
      <c r="A549" t="s">
        <v>24</v>
      </c>
      <c r="B549">
        <v>2006</v>
      </c>
      <c r="C549" t="str">
        <f>_xlfn.CONCAT(Table13[[#This Row],[STATE]],"-",Table13[[#This Row],[Year]])</f>
        <v>Nagaland-2006</v>
      </c>
      <c r="D549" t="s">
        <v>66</v>
      </c>
      <c r="E549" t="s">
        <v>67</v>
      </c>
      <c r="F549">
        <v>5497</v>
      </c>
      <c r="G549">
        <v>203</v>
      </c>
      <c r="H549">
        <v>34</v>
      </c>
      <c r="I549">
        <v>520</v>
      </c>
      <c r="J549">
        <v>4054</v>
      </c>
      <c r="K549">
        <v>4</v>
      </c>
      <c r="L549">
        <v>11</v>
      </c>
      <c r="M549">
        <v>373</v>
      </c>
      <c r="N549">
        <v>7</v>
      </c>
      <c r="O549">
        <v>47</v>
      </c>
      <c r="P549">
        <v>207</v>
      </c>
      <c r="Q549">
        <v>37</v>
      </c>
      <c r="R549">
        <f>SUM(Table13[[#This Row],[Rank_All_Ranks_Total]:[Rank_SSPSPAddlSPCommandant]])</f>
        <v>10994</v>
      </c>
    </row>
    <row r="550" spans="1:18" x14ac:dyDescent="0.3">
      <c r="A550" t="s">
        <v>63</v>
      </c>
      <c r="B550">
        <v>2006</v>
      </c>
      <c r="C550" t="str">
        <f>_xlfn.CONCAT(Table13[[#This Row],[STATE]],"-",Table13[[#This Row],[Year]])</f>
        <v>Odisha-2006</v>
      </c>
      <c r="D550" t="s">
        <v>66</v>
      </c>
      <c r="E550" t="s">
        <v>67</v>
      </c>
      <c r="F550">
        <v>27913</v>
      </c>
      <c r="G550">
        <v>2241</v>
      </c>
      <c r="H550">
        <v>132</v>
      </c>
      <c r="I550">
        <v>290</v>
      </c>
      <c r="J550">
        <v>20323</v>
      </c>
      <c r="K550">
        <v>4</v>
      </c>
      <c r="L550">
        <v>12</v>
      </c>
      <c r="M550">
        <v>2480</v>
      </c>
      <c r="N550">
        <v>10</v>
      </c>
      <c r="O550">
        <v>602</v>
      </c>
      <c r="P550">
        <v>1699</v>
      </c>
      <c r="Q550">
        <v>120</v>
      </c>
      <c r="R550">
        <f>SUM(Table13[[#This Row],[Rank_All_Ranks_Total]:[Rank_SSPSPAddlSPCommandant]])</f>
        <v>55826</v>
      </c>
    </row>
    <row r="551" spans="1:18" x14ac:dyDescent="0.3">
      <c r="A551" t="s">
        <v>64</v>
      </c>
      <c r="B551">
        <v>2006</v>
      </c>
      <c r="C551" t="str">
        <f>_xlfn.CONCAT(Table13[[#This Row],[STATE]],"-",Table13[[#This Row],[Year]])</f>
        <v>Puducherry-2006</v>
      </c>
      <c r="D551" t="s">
        <v>66</v>
      </c>
      <c r="E551" t="s">
        <v>67</v>
      </c>
      <c r="F551">
        <v>1437</v>
      </c>
      <c r="G551">
        <v>75</v>
      </c>
      <c r="H551">
        <v>12</v>
      </c>
      <c r="I551">
        <v>0</v>
      </c>
      <c r="J551">
        <v>904</v>
      </c>
      <c r="K551">
        <v>0</v>
      </c>
      <c r="L551">
        <v>1</v>
      </c>
      <c r="M551">
        <v>312</v>
      </c>
      <c r="N551">
        <v>1</v>
      </c>
      <c r="O551">
        <v>46</v>
      </c>
      <c r="P551">
        <v>83</v>
      </c>
      <c r="Q551">
        <v>3</v>
      </c>
      <c r="R551">
        <f>SUM(Table13[[#This Row],[Rank_All_Ranks_Total]:[Rank_SSPSPAddlSPCommandant]])</f>
        <v>2874</v>
      </c>
    </row>
    <row r="552" spans="1:18" x14ac:dyDescent="0.3">
      <c r="A552" t="s">
        <v>26</v>
      </c>
      <c r="B552">
        <v>2006</v>
      </c>
      <c r="C552" t="str">
        <f>_xlfn.CONCAT(Table13[[#This Row],[STATE]],"-",Table13[[#This Row],[Year]])</f>
        <v>Punjab-2006</v>
      </c>
      <c r="D552" t="s">
        <v>66</v>
      </c>
      <c r="E552" t="s">
        <v>67</v>
      </c>
      <c r="F552">
        <v>52196</v>
      </c>
      <c r="G552">
        <v>3914</v>
      </c>
      <c r="H552">
        <v>272</v>
      </c>
      <c r="I552">
        <v>0</v>
      </c>
      <c r="J552">
        <v>37365</v>
      </c>
      <c r="K552">
        <v>10</v>
      </c>
      <c r="L552">
        <v>20</v>
      </c>
      <c r="M552">
        <v>8263</v>
      </c>
      <c r="N552">
        <v>14</v>
      </c>
      <c r="O552">
        <v>612</v>
      </c>
      <c r="P552">
        <v>1604</v>
      </c>
      <c r="Q552">
        <v>122</v>
      </c>
      <c r="R552">
        <f>SUM(Table13[[#This Row],[Rank_All_Ranks_Total]:[Rank_SSPSPAddlSPCommandant]])</f>
        <v>104392</v>
      </c>
    </row>
    <row r="553" spans="1:18" x14ac:dyDescent="0.3">
      <c r="A553" t="s">
        <v>27</v>
      </c>
      <c r="B553">
        <v>2006</v>
      </c>
      <c r="C553" t="str">
        <f>_xlfn.CONCAT(Table13[[#This Row],[STATE]],"-",Table13[[#This Row],[Year]])</f>
        <v>Rajasthan-2006</v>
      </c>
      <c r="D553" t="s">
        <v>66</v>
      </c>
      <c r="E553" t="s">
        <v>67</v>
      </c>
      <c r="F553">
        <v>54766</v>
      </c>
      <c r="G553">
        <v>4268</v>
      </c>
      <c r="H553">
        <v>395</v>
      </c>
      <c r="I553">
        <v>0</v>
      </c>
      <c r="J553">
        <v>40038</v>
      </c>
      <c r="K553">
        <v>8</v>
      </c>
      <c r="L553">
        <v>6</v>
      </c>
      <c r="M553">
        <v>6471</v>
      </c>
      <c r="N553">
        <v>28</v>
      </c>
      <c r="O553">
        <v>680</v>
      </c>
      <c r="P553">
        <v>2650</v>
      </c>
      <c r="Q553">
        <v>222</v>
      </c>
      <c r="R553">
        <f>SUM(Table13[[#This Row],[Rank_All_Ranks_Total]:[Rank_SSPSPAddlSPCommandant]])</f>
        <v>109532</v>
      </c>
    </row>
    <row r="554" spans="1:18" x14ac:dyDescent="0.3">
      <c r="A554" t="s">
        <v>28</v>
      </c>
      <c r="B554">
        <v>2006</v>
      </c>
      <c r="C554" t="str">
        <f>_xlfn.CONCAT(Table13[[#This Row],[STATE]],"-",Table13[[#This Row],[Year]])</f>
        <v>Sikkim-2006</v>
      </c>
      <c r="D554" t="s">
        <v>66</v>
      </c>
      <c r="E554" t="s">
        <v>67</v>
      </c>
      <c r="F554">
        <v>1984</v>
      </c>
      <c r="G554">
        <v>185</v>
      </c>
      <c r="H554">
        <v>28</v>
      </c>
      <c r="I554">
        <v>437</v>
      </c>
      <c r="J554">
        <v>834</v>
      </c>
      <c r="K554">
        <v>4</v>
      </c>
      <c r="L554">
        <v>5</v>
      </c>
      <c r="M554">
        <v>251</v>
      </c>
      <c r="N554">
        <v>7</v>
      </c>
      <c r="O554">
        <v>58</v>
      </c>
      <c r="P554">
        <v>144</v>
      </c>
      <c r="Q554">
        <v>31</v>
      </c>
      <c r="R554">
        <f>SUM(Table13[[#This Row],[Rank_All_Ranks_Total]:[Rank_SSPSPAddlSPCommandant]])</f>
        <v>3968</v>
      </c>
    </row>
    <row r="555" spans="1:18" x14ac:dyDescent="0.3">
      <c r="A555" t="s">
        <v>42</v>
      </c>
      <c r="B555">
        <v>2006</v>
      </c>
      <c r="C555" t="str">
        <f>_xlfn.CONCAT(Table13[[#This Row],[STATE]],"-",Table13[[#This Row],[Year]])</f>
        <v>Tamil Nadu-2006</v>
      </c>
      <c r="D555" t="s">
        <v>66</v>
      </c>
      <c r="E555" t="s">
        <v>67</v>
      </c>
      <c r="F555">
        <v>69913</v>
      </c>
      <c r="G555">
        <v>0</v>
      </c>
      <c r="H555">
        <v>561</v>
      </c>
      <c r="I555">
        <v>9384</v>
      </c>
      <c r="J555">
        <v>18577</v>
      </c>
      <c r="K555">
        <v>27</v>
      </c>
      <c r="L555">
        <v>29</v>
      </c>
      <c r="M555">
        <v>32531</v>
      </c>
      <c r="N555">
        <v>30</v>
      </c>
      <c r="O555">
        <v>2288</v>
      </c>
      <c r="P555">
        <v>6281</v>
      </c>
      <c r="Q555">
        <v>205</v>
      </c>
      <c r="R555">
        <f>SUM(Table13[[#This Row],[Rank_All_Ranks_Total]:[Rank_SSPSPAddlSPCommandant]])</f>
        <v>139826</v>
      </c>
    </row>
    <row r="556" spans="1:18" x14ac:dyDescent="0.3">
      <c r="A556" t="s">
        <v>30</v>
      </c>
      <c r="B556">
        <v>2006</v>
      </c>
      <c r="C556" t="str">
        <f>_xlfn.CONCAT(Table13[[#This Row],[STATE]],"-",Table13[[#This Row],[Year]])</f>
        <v>Tripura-2006</v>
      </c>
      <c r="D556" t="s">
        <v>66</v>
      </c>
      <c r="E556" t="s">
        <v>67</v>
      </c>
      <c r="F556">
        <v>8166</v>
      </c>
      <c r="G556">
        <v>420</v>
      </c>
      <c r="H556">
        <v>97</v>
      </c>
      <c r="I556">
        <v>252</v>
      </c>
      <c r="J556">
        <v>6041</v>
      </c>
      <c r="K556">
        <v>3</v>
      </c>
      <c r="L556">
        <v>2</v>
      </c>
      <c r="M556">
        <v>690</v>
      </c>
      <c r="N556">
        <v>5</v>
      </c>
      <c r="O556">
        <v>110</v>
      </c>
      <c r="P556">
        <v>532</v>
      </c>
      <c r="Q556">
        <v>14</v>
      </c>
      <c r="R556">
        <f>SUM(Table13[[#This Row],[Rank_All_Ranks_Total]:[Rank_SSPSPAddlSPCommandant]])</f>
        <v>16332</v>
      </c>
    </row>
    <row r="557" spans="1:18" x14ac:dyDescent="0.3">
      <c r="A557" t="s">
        <v>31</v>
      </c>
      <c r="B557">
        <v>2006</v>
      </c>
      <c r="C557" t="str">
        <f>_xlfn.CONCAT(Table13[[#This Row],[STATE]],"-",Table13[[#This Row],[Year]])</f>
        <v>Uttar Pradesh-2006</v>
      </c>
      <c r="D557" t="s">
        <v>66</v>
      </c>
      <c r="E557" t="s">
        <v>67</v>
      </c>
      <c r="F557">
        <v>119893</v>
      </c>
      <c r="G557">
        <v>0</v>
      </c>
      <c r="H557">
        <v>745</v>
      </c>
      <c r="I557">
        <v>0</v>
      </c>
      <c r="J557">
        <v>91113</v>
      </c>
      <c r="K557">
        <v>37</v>
      </c>
      <c r="L557">
        <v>54</v>
      </c>
      <c r="M557">
        <v>14907</v>
      </c>
      <c r="N557">
        <v>53</v>
      </c>
      <c r="O557">
        <v>968</v>
      </c>
      <c r="P557">
        <v>11699</v>
      </c>
      <c r="Q557">
        <v>317</v>
      </c>
      <c r="R557">
        <f>SUM(Table13[[#This Row],[Rank_All_Ranks_Total]:[Rank_SSPSPAddlSPCommandant]])</f>
        <v>239786</v>
      </c>
    </row>
    <row r="558" spans="1:18" x14ac:dyDescent="0.3">
      <c r="A558" t="s">
        <v>65</v>
      </c>
      <c r="B558">
        <v>2006</v>
      </c>
      <c r="C558" t="str">
        <f>_xlfn.CONCAT(Table13[[#This Row],[STATE]],"-",Table13[[#This Row],[Year]])</f>
        <v>Uttarakhand-2006</v>
      </c>
      <c r="D558" t="s">
        <v>66</v>
      </c>
      <c r="E558" t="s">
        <v>67</v>
      </c>
      <c r="F558">
        <v>9518</v>
      </c>
      <c r="G558">
        <v>0</v>
      </c>
      <c r="H558">
        <v>74</v>
      </c>
      <c r="I558">
        <v>0</v>
      </c>
      <c r="J558">
        <v>7286</v>
      </c>
      <c r="K558">
        <v>6</v>
      </c>
      <c r="L558">
        <v>3</v>
      </c>
      <c r="M558">
        <v>1458</v>
      </c>
      <c r="N558">
        <v>3</v>
      </c>
      <c r="O558">
        <v>95</v>
      </c>
      <c r="P558">
        <v>574</v>
      </c>
      <c r="Q558">
        <v>19</v>
      </c>
      <c r="R558">
        <f>SUM(Table13[[#This Row],[Rank_All_Ranks_Total]:[Rank_SSPSPAddlSPCommandant]])</f>
        <v>19036</v>
      </c>
    </row>
    <row r="559" spans="1:18" x14ac:dyDescent="0.3">
      <c r="A559" t="s">
        <v>33</v>
      </c>
      <c r="B559">
        <v>2006</v>
      </c>
      <c r="C559" t="str">
        <f>_xlfn.CONCAT(Table13[[#This Row],[STATE]],"-",Table13[[#This Row],[Year]])</f>
        <v>West Bengal-2006</v>
      </c>
      <c r="D559" t="s">
        <v>66</v>
      </c>
      <c r="E559" t="s">
        <v>67</v>
      </c>
      <c r="F559">
        <v>61393</v>
      </c>
      <c r="G559">
        <v>10182</v>
      </c>
      <c r="H559">
        <v>287</v>
      </c>
      <c r="I559">
        <v>1510</v>
      </c>
      <c r="J559">
        <v>41169</v>
      </c>
      <c r="K559">
        <v>22</v>
      </c>
      <c r="L559">
        <v>26</v>
      </c>
      <c r="M559">
        <v>753</v>
      </c>
      <c r="N559">
        <v>46</v>
      </c>
      <c r="O559">
        <v>1123</v>
      </c>
      <c r="P559">
        <v>6164</v>
      </c>
      <c r="Q559">
        <v>111</v>
      </c>
      <c r="R559">
        <f>SUM(Table13[[#This Row],[Rank_All_Ranks_Total]:[Rank_SSPSPAddlSPCommandant]])</f>
        <v>122786</v>
      </c>
    </row>
    <row r="560" spans="1:18" x14ac:dyDescent="0.3">
      <c r="A560" t="s">
        <v>59</v>
      </c>
      <c r="B560">
        <v>2007</v>
      </c>
      <c r="C560" t="str">
        <f>_xlfn.CONCAT(Table13[[#This Row],[STATE]],"-",Table13[[#This Row],[Year]])</f>
        <v>Andaman &amp; Nicobar Islands-2007</v>
      </c>
      <c r="D560" t="s">
        <v>66</v>
      </c>
      <c r="E560" t="s">
        <v>67</v>
      </c>
      <c r="F560">
        <v>2195</v>
      </c>
      <c r="G560">
        <v>184</v>
      </c>
      <c r="H560">
        <v>10</v>
      </c>
      <c r="I560">
        <v>0</v>
      </c>
      <c r="J560">
        <v>1422</v>
      </c>
      <c r="K560">
        <v>1</v>
      </c>
      <c r="L560">
        <v>1</v>
      </c>
      <c r="M560">
        <v>420</v>
      </c>
      <c r="N560">
        <v>0</v>
      </c>
      <c r="O560">
        <v>31</v>
      </c>
      <c r="P560">
        <v>124</v>
      </c>
      <c r="Q560">
        <v>2</v>
      </c>
      <c r="R560">
        <f>SUM(Table13[[#This Row],[Rank_All_Ranks_Total]:[Rank_SSPSPAddlSPCommandant]])</f>
        <v>4390</v>
      </c>
    </row>
    <row r="561" spans="1:18" x14ac:dyDescent="0.3">
      <c r="A561" t="s">
        <v>6</v>
      </c>
      <c r="B561">
        <v>2007</v>
      </c>
      <c r="C561" t="str">
        <f>_xlfn.CONCAT(Table13[[#This Row],[STATE]],"-",Table13[[#This Row],[Year]])</f>
        <v>Andhra Pradesh-2007</v>
      </c>
      <c r="D561" t="s">
        <v>66</v>
      </c>
      <c r="E561" t="s">
        <v>67</v>
      </c>
      <c r="F561">
        <v>65826</v>
      </c>
      <c r="G561">
        <v>2435</v>
      </c>
      <c r="H561">
        <v>268</v>
      </c>
      <c r="I561">
        <v>0</v>
      </c>
      <c r="J561">
        <v>48441</v>
      </c>
      <c r="K561">
        <v>19</v>
      </c>
      <c r="L561">
        <v>22</v>
      </c>
      <c r="M561">
        <v>10262</v>
      </c>
      <c r="N561">
        <v>21</v>
      </c>
      <c r="O561">
        <v>1039</v>
      </c>
      <c r="P561">
        <v>3186</v>
      </c>
      <c r="Q561">
        <v>133</v>
      </c>
      <c r="R561">
        <f>SUM(Table13[[#This Row],[Rank_All_Ranks_Total]:[Rank_SSPSPAddlSPCommandant]])</f>
        <v>131652</v>
      </c>
    </row>
    <row r="562" spans="1:18" x14ac:dyDescent="0.3">
      <c r="A562" t="s">
        <v>7</v>
      </c>
      <c r="B562">
        <v>2007</v>
      </c>
      <c r="C562" t="str">
        <f>_xlfn.CONCAT(Table13[[#This Row],[STATE]],"-",Table13[[#This Row],[Year]])</f>
        <v>Arunachal Pradesh-2007</v>
      </c>
      <c r="D562" t="s">
        <v>66</v>
      </c>
      <c r="E562" t="s">
        <v>67</v>
      </c>
      <c r="F562">
        <v>2969</v>
      </c>
      <c r="G562">
        <v>140</v>
      </c>
      <c r="H562">
        <v>37</v>
      </c>
      <c r="I562">
        <v>0</v>
      </c>
      <c r="J562">
        <v>2124</v>
      </c>
      <c r="K562">
        <v>0</v>
      </c>
      <c r="L562">
        <v>4</v>
      </c>
      <c r="M562">
        <v>323</v>
      </c>
      <c r="N562">
        <v>1</v>
      </c>
      <c r="O562">
        <v>71</v>
      </c>
      <c r="P562">
        <v>259</v>
      </c>
      <c r="Q562">
        <v>10</v>
      </c>
      <c r="R562">
        <f>SUM(Table13[[#This Row],[Rank_All_Ranks_Total]:[Rank_SSPSPAddlSPCommandant]])</f>
        <v>5938</v>
      </c>
    </row>
    <row r="563" spans="1:18" x14ac:dyDescent="0.3">
      <c r="A563" t="s">
        <v>8</v>
      </c>
      <c r="B563">
        <v>2007</v>
      </c>
      <c r="C563" t="str">
        <f>_xlfn.CONCAT(Table13[[#This Row],[STATE]],"-",Table13[[#This Row],[Year]])</f>
        <v>Assam-2007</v>
      </c>
      <c r="D563" t="s">
        <v>66</v>
      </c>
      <c r="E563" t="s">
        <v>67</v>
      </c>
      <c r="F563">
        <v>28341</v>
      </c>
      <c r="G563">
        <v>1779</v>
      </c>
      <c r="H563">
        <v>135</v>
      </c>
      <c r="I563">
        <v>901</v>
      </c>
      <c r="J563">
        <v>20469</v>
      </c>
      <c r="K563">
        <v>7</v>
      </c>
      <c r="L563">
        <v>16</v>
      </c>
      <c r="M563">
        <v>1792</v>
      </c>
      <c r="N563">
        <v>11</v>
      </c>
      <c r="O563">
        <v>487</v>
      </c>
      <c r="P563">
        <v>2610</v>
      </c>
      <c r="Q563">
        <v>134</v>
      </c>
      <c r="R563">
        <f>SUM(Table13[[#This Row],[Rank_All_Ranks_Total]:[Rank_SSPSPAddlSPCommandant]])</f>
        <v>56682</v>
      </c>
    </row>
    <row r="564" spans="1:18" x14ac:dyDescent="0.3">
      <c r="A564" t="s">
        <v>9</v>
      </c>
      <c r="B564">
        <v>2007</v>
      </c>
      <c r="C564" t="str">
        <f>_xlfn.CONCAT(Table13[[#This Row],[STATE]],"-",Table13[[#This Row],[Year]])</f>
        <v>Bihar-2007</v>
      </c>
      <c r="D564" t="s">
        <v>66</v>
      </c>
      <c r="E564" t="s">
        <v>67</v>
      </c>
      <c r="F564">
        <v>45670</v>
      </c>
      <c r="G564">
        <v>2844</v>
      </c>
      <c r="H564">
        <v>232</v>
      </c>
      <c r="I564">
        <v>0</v>
      </c>
      <c r="J564">
        <v>32298</v>
      </c>
      <c r="K564">
        <v>9</v>
      </c>
      <c r="L564">
        <v>20</v>
      </c>
      <c r="M564">
        <v>4666</v>
      </c>
      <c r="N564">
        <v>25</v>
      </c>
      <c r="O564">
        <v>561</v>
      </c>
      <c r="P564">
        <v>4953</v>
      </c>
      <c r="Q564">
        <v>62</v>
      </c>
      <c r="R564">
        <f>SUM(Table13[[#This Row],[Rank_All_Ranks_Total]:[Rank_SSPSPAddlSPCommandant]])</f>
        <v>91340</v>
      </c>
    </row>
    <row r="565" spans="1:18" x14ac:dyDescent="0.3">
      <c r="A565" t="s">
        <v>35</v>
      </c>
      <c r="B565">
        <v>2007</v>
      </c>
      <c r="C565" t="str">
        <f>_xlfn.CONCAT(Table13[[#This Row],[STATE]],"-",Table13[[#This Row],[Year]])</f>
        <v>Chandigarh-2007</v>
      </c>
      <c r="D565" t="s">
        <v>66</v>
      </c>
      <c r="E565" t="s">
        <v>67</v>
      </c>
      <c r="F565">
        <v>3644</v>
      </c>
      <c r="G565">
        <v>164</v>
      </c>
      <c r="H565">
        <v>12</v>
      </c>
      <c r="I565">
        <v>0</v>
      </c>
      <c r="J565">
        <v>2395</v>
      </c>
      <c r="K565">
        <v>0</v>
      </c>
      <c r="L565">
        <v>0</v>
      </c>
      <c r="M565">
        <v>787</v>
      </c>
      <c r="N565">
        <v>1</v>
      </c>
      <c r="O565">
        <v>48</v>
      </c>
      <c r="P565">
        <v>233</v>
      </c>
      <c r="Q565">
        <v>4</v>
      </c>
      <c r="R565">
        <f>SUM(Table13[[#This Row],[Rank_All_Ranks_Total]:[Rank_SSPSPAddlSPCommandant]])</f>
        <v>7288</v>
      </c>
    </row>
    <row r="566" spans="1:18" x14ac:dyDescent="0.3">
      <c r="A566" t="s">
        <v>10</v>
      </c>
      <c r="B566">
        <v>2007</v>
      </c>
      <c r="C566" t="str">
        <f>_xlfn.CONCAT(Table13[[#This Row],[STATE]],"-",Table13[[#This Row],[Year]])</f>
        <v>Chhattisgarh-2007</v>
      </c>
      <c r="D566" t="s">
        <v>66</v>
      </c>
      <c r="E566" t="s">
        <v>67</v>
      </c>
      <c r="F566">
        <v>18710</v>
      </c>
      <c r="G566">
        <v>854</v>
      </c>
      <c r="H566">
        <v>220</v>
      </c>
      <c r="I566">
        <v>0</v>
      </c>
      <c r="J566">
        <v>13803</v>
      </c>
      <c r="K566">
        <v>7</v>
      </c>
      <c r="L566">
        <v>11</v>
      </c>
      <c r="M566">
        <v>2864</v>
      </c>
      <c r="N566">
        <v>15</v>
      </c>
      <c r="O566">
        <v>356</v>
      </c>
      <c r="P566">
        <v>513</v>
      </c>
      <c r="Q566">
        <v>67</v>
      </c>
      <c r="R566">
        <f>SUM(Table13[[#This Row],[Rank_All_Ranks_Total]:[Rank_SSPSPAddlSPCommandant]])</f>
        <v>37420</v>
      </c>
    </row>
    <row r="567" spans="1:18" x14ac:dyDescent="0.3">
      <c r="A567" t="s">
        <v>62</v>
      </c>
      <c r="B567">
        <v>2007</v>
      </c>
      <c r="C567" t="str">
        <f>_xlfn.CONCAT(Table13[[#This Row],[STATE]],"-",Table13[[#This Row],[Year]])</f>
        <v>Dadra &amp; Nagar Haveli-2007</v>
      </c>
      <c r="D567" t="s">
        <v>66</v>
      </c>
      <c r="E567" t="s">
        <v>67</v>
      </c>
      <c r="F567">
        <v>218</v>
      </c>
      <c r="G567">
        <v>2</v>
      </c>
      <c r="H567">
        <v>1</v>
      </c>
      <c r="I567">
        <v>0</v>
      </c>
      <c r="J567">
        <v>154</v>
      </c>
      <c r="K567">
        <v>0</v>
      </c>
      <c r="L567">
        <v>0</v>
      </c>
      <c r="M567">
        <v>46</v>
      </c>
      <c r="N567">
        <v>0</v>
      </c>
      <c r="O567">
        <v>1</v>
      </c>
      <c r="P567">
        <v>12</v>
      </c>
      <c r="Q567">
        <v>2</v>
      </c>
      <c r="R567">
        <f>SUM(Table13[[#This Row],[Rank_All_Ranks_Total]:[Rank_SSPSPAddlSPCommandant]])</f>
        <v>436</v>
      </c>
    </row>
    <row r="568" spans="1:18" x14ac:dyDescent="0.3">
      <c r="A568" t="s">
        <v>37</v>
      </c>
      <c r="B568">
        <v>2007</v>
      </c>
      <c r="C568" t="str">
        <f>_xlfn.CONCAT(Table13[[#This Row],[STATE]],"-",Table13[[#This Row],[Year]])</f>
        <v>Daman &amp; Diu-2007</v>
      </c>
      <c r="D568" t="s">
        <v>66</v>
      </c>
      <c r="E568" t="s">
        <v>67</v>
      </c>
      <c r="F568">
        <v>216</v>
      </c>
      <c r="G568">
        <v>6</v>
      </c>
      <c r="H568">
        <v>2</v>
      </c>
      <c r="I568">
        <v>0</v>
      </c>
      <c r="J568">
        <v>161</v>
      </c>
      <c r="K568">
        <v>0</v>
      </c>
      <c r="L568">
        <v>1</v>
      </c>
      <c r="M568">
        <v>33</v>
      </c>
      <c r="N568">
        <v>0</v>
      </c>
      <c r="O568" t="s">
        <v>68</v>
      </c>
      <c r="P568">
        <v>9</v>
      </c>
      <c r="Q568">
        <v>1</v>
      </c>
      <c r="R568">
        <f>SUM(Table13[[#This Row],[Rank_All_Ranks_Total]:[Rank_SSPSPAddlSPCommandant]])</f>
        <v>429</v>
      </c>
    </row>
    <row r="569" spans="1:18" x14ac:dyDescent="0.3">
      <c r="A569" t="s">
        <v>38</v>
      </c>
      <c r="B569">
        <v>2007</v>
      </c>
      <c r="C569" t="str">
        <f>_xlfn.CONCAT(Table13[[#This Row],[STATE]],"-",Table13[[#This Row],[Year]])</f>
        <v>Delhi-2007</v>
      </c>
      <c r="D569" t="s">
        <v>66</v>
      </c>
      <c r="E569" t="s">
        <v>67</v>
      </c>
      <c r="F569">
        <v>49999</v>
      </c>
      <c r="G569">
        <v>5770</v>
      </c>
      <c r="H569">
        <v>236</v>
      </c>
      <c r="I569">
        <v>0</v>
      </c>
      <c r="J569">
        <v>25940</v>
      </c>
      <c r="K569">
        <v>6</v>
      </c>
      <c r="L569">
        <v>11</v>
      </c>
      <c r="M569">
        <v>13442</v>
      </c>
      <c r="N569">
        <v>17</v>
      </c>
      <c r="O569">
        <v>1066</v>
      </c>
      <c r="P569">
        <v>3461</v>
      </c>
      <c r="Q569">
        <v>50</v>
      </c>
      <c r="R569">
        <f>SUM(Table13[[#This Row],[Rank_All_Ranks_Total]:[Rank_SSPSPAddlSPCommandant]])</f>
        <v>99998</v>
      </c>
    </row>
    <row r="570" spans="1:18" x14ac:dyDescent="0.3">
      <c r="A570" t="s">
        <v>11</v>
      </c>
      <c r="B570">
        <v>2007</v>
      </c>
      <c r="C570" t="str">
        <f>_xlfn.CONCAT(Table13[[#This Row],[STATE]],"-",Table13[[#This Row],[Year]])</f>
        <v>Goa-2007</v>
      </c>
      <c r="D570" t="s">
        <v>66</v>
      </c>
      <c r="E570" t="s">
        <v>67</v>
      </c>
      <c r="F570">
        <v>4020</v>
      </c>
      <c r="G570">
        <v>174</v>
      </c>
      <c r="H570">
        <v>17</v>
      </c>
      <c r="I570">
        <v>0</v>
      </c>
      <c r="J570">
        <v>2821</v>
      </c>
      <c r="K570">
        <v>1</v>
      </c>
      <c r="L570">
        <v>1</v>
      </c>
      <c r="M570">
        <v>762</v>
      </c>
      <c r="N570">
        <v>1</v>
      </c>
      <c r="O570">
        <v>58</v>
      </c>
      <c r="P570">
        <v>171</v>
      </c>
      <c r="Q570">
        <v>14</v>
      </c>
      <c r="R570">
        <f>SUM(Table13[[#This Row],[Rank_All_Ranks_Total]:[Rank_SSPSPAddlSPCommandant]])</f>
        <v>8040</v>
      </c>
    </row>
    <row r="571" spans="1:18" x14ac:dyDescent="0.3">
      <c r="A571" t="s">
        <v>12</v>
      </c>
      <c r="B571">
        <v>2007</v>
      </c>
      <c r="C571" t="str">
        <f>_xlfn.CONCAT(Table13[[#This Row],[STATE]],"-",Table13[[#This Row],[Year]])</f>
        <v>Gujarat-2007</v>
      </c>
      <c r="D571" t="s">
        <v>66</v>
      </c>
      <c r="E571" t="s">
        <v>67</v>
      </c>
      <c r="F571">
        <v>63069</v>
      </c>
      <c r="G571">
        <v>6756</v>
      </c>
      <c r="H571">
        <v>170</v>
      </c>
      <c r="I571">
        <v>0</v>
      </c>
      <c r="J571">
        <v>37578</v>
      </c>
      <c r="K571">
        <v>13</v>
      </c>
      <c r="L571">
        <v>14</v>
      </c>
      <c r="M571">
        <v>16172</v>
      </c>
      <c r="N571">
        <v>27</v>
      </c>
      <c r="O571">
        <v>575</v>
      </c>
      <c r="P571">
        <v>1715</v>
      </c>
      <c r="Q571">
        <v>49</v>
      </c>
      <c r="R571">
        <f>SUM(Table13[[#This Row],[Rank_All_Ranks_Total]:[Rank_SSPSPAddlSPCommandant]])</f>
        <v>126138</v>
      </c>
    </row>
    <row r="572" spans="1:18" x14ac:dyDescent="0.3">
      <c r="A572" t="s">
        <v>13</v>
      </c>
      <c r="B572">
        <v>2007</v>
      </c>
      <c r="C572" t="str">
        <f>_xlfn.CONCAT(Table13[[#This Row],[STATE]],"-",Table13[[#This Row],[Year]])</f>
        <v>Haryana-2007</v>
      </c>
      <c r="D572" t="s">
        <v>66</v>
      </c>
      <c r="E572" t="s">
        <v>67</v>
      </c>
      <c r="F572">
        <v>36559</v>
      </c>
      <c r="G572">
        <v>3396</v>
      </c>
      <c r="H572">
        <v>140</v>
      </c>
      <c r="I572">
        <v>0</v>
      </c>
      <c r="J572">
        <v>25430</v>
      </c>
      <c r="K572">
        <v>11</v>
      </c>
      <c r="L572">
        <v>17</v>
      </c>
      <c r="M572">
        <v>5831</v>
      </c>
      <c r="N572">
        <v>10</v>
      </c>
      <c r="O572">
        <v>491</v>
      </c>
      <c r="P572">
        <v>1191</v>
      </c>
      <c r="Q572">
        <v>42</v>
      </c>
      <c r="R572">
        <f>SUM(Table13[[#This Row],[Rank_All_Ranks_Total]:[Rank_SSPSPAddlSPCommandant]])</f>
        <v>73118</v>
      </c>
    </row>
    <row r="573" spans="1:18" x14ac:dyDescent="0.3">
      <c r="A573" t="s">
        <v>14</v>
      </c>
      <c r="B573">
        <v>2007</v>
      </c>
      <c r="C573" t="str">
        <f>_xlfn.CONCAT(Table13[[#This Row],[STATE]],"-",Table13[[#This Row],[Year]])</f>
        <v>Himachal Pradesh-2007</v>
      </c>
      <c r="D573" t="s">
        <v>66</v>
      </c>
      <c r="E573" t="s">
        <v>67</v>
      </c>
      <c r="F573">
        <v>9669</v>
      </c>
      <c r="G573">
        <v>895</v>
      </c>
      <c r="H573">
        <v>101</v>
      </c>
      <c r="I573">
        <v>0</v>
      </c>
      <c r="J573">
        <v>6464</v>
      </c>
      <c r="K573">
        <v>10</v>
      </c>
      <c r="L573">
        <v>14</v>
      </c>
      <c r="M573">
        <v>1543</v>
      </c>
      <c r="N573">
        <v>12</v>
      </c>
      <c r="O573">
        <v>193</v>
      </c>
      <c r="P573">
        <v>415</v>
      </c>
      <c r="Q573">
        <v>22</v>
      </c>
      <c r="R573">
        <f>SUM(Table13[[#This Row],[Rank_All_Ranks_Total]:[Rank_SSPSPAddlSPCommandant]])</f>
        <v>19338</v>
      </c>
    </row>
    <row r="574" spans="1:18" x14ac:dyDescent="0.3">
      <c r="A574" t="s">
        <v>15</v>
      </c>
      <c r="B574">
        <v>2007</v>
      </c>
      <c r="C574" t="str">
        <f>_xlfn.CONCAT(Table13[[#This Row],[STATE]],"-",Table13[[#This Row],[Year]])</f>
        <v>Jammu &amp; Kashmir-2007</v>
      </c>
      <c r="D574" t="s">
        <v>66</v>
      </c>
      <c r="E574" t="s">
        <v>67</v>
      </c>
      <c r="F574">
        <v>38920</v>
      </c>
      <c r="G574">
        <v>2396</v>
      </c>
      <c r="H574">
        <v>185</v>
      </c>
      <c r="I574">
        <v>25939</v>
      </c>
      <c r="J574">
        <v>1830</v>
      </c>
      <c r="K574">
        <v>2</v>
      </c>
      <c r="L574">
        <v>17</v>
      </c>
      <c r="M574">
        <v>6244</v>
      </c>
      <c r="N574">
        <v>12</v>
      </c>
      <c r="O574">
        <v>552</v>
      </c>
      <c r="P574">
        <v>1638</v>
      </c>
      <c r="Q574">
        <v>105</v>
      </c>
      <c r="R574">
        <f>SUM(Table13[[#This Row],[Rank_All_Ranks_Total]:[Rank_SSPSPAddlSPCommandant]])</f>
        <v>77840</v>
      </c>
    </row>
    <row r="575" spans="1:18" x14ac:dyDescent="0.3">
      <c r="A575" t="s">
        <v>16</v>
      </c>
      <c r="B575">
        <v>2007</v>
      </c>
      <c r="C575" t="str">
        <f>_xlfn.CONCAT(Table13[[#This Row],[STATE]],"-",Table13[[#This Row],[Year]])</f>
        <v>Jharkhand-2007</v>
      </c>
      <c r="D575" t="s">
        <v>66</v>
      </c>
      <c r="E575" t="s">
        <v>67</v>
      </c>
      <c r="F575">
        <v>29198</v>
      </c>
      <c r="G575">
        <v>1523</v>
      </c>
      <c r="H575">
        <v>165</v>
      </c>
      <c r="I575">
        <v>0</v>
      </c>
      <c r="J575">
        <v>21703</v>
      </c>
      <c r="K575">
        <v>7</v>
      </c>
      <c r="L575">
        <v>9</v>
      </c>
      <c r="M575">
        <v>3286</v>
      </c>
      <c r="N575">
        <v>16</v>
      </c>
      <c r="O575">
        <v>315</v>
      </c>
      <c r="P575">
        <v>2153</v>
      </c>
      <c r="Q575">
        <v>21</v>
      </c>
      <c r="R575">
        <f>SUM(Table13[[#This Row],[Rank_All_Ranks_Total]:[Rank_SSPSPAddlSPCommandant]])</f>
        <v>58396</v>
      </c>
    </row>
    <row r="576" spans="1:18" x14ac:dyDescent="0.3">
      <c r="A576" t="s">
        <v>17</v>
      </c>
      <c r="B576">
        <v>2007</v>
      </c>
      <c r="C576" t="str">
        <f>_xlfn.CONCAT(Table13[[#This Row],[STATE]],"-",Table13[[#This Row],[Year]])</f>
        <v>Karnataka-2007</v>
      </c>
      <c r="D576" t="s">
        <v>66</v>
      </c>
      <c r="E576" t="s">
        <v>67</v>
      </c>
      <c r="F576">
        <v>49248</v>
      </c>
      <c r="G576">
        <v>2672</v>
      </c>
      <c r="H576">
        <v>165</v>
      </c>
      <c r="I576">
        <v>0</v>
      </c>
      <c r="J576">
        <v>32736</v>
      </c>
      <c r="K576">
        <v>1</v>
      </c>
      <c r="L576">
        <v>3</v>
      </c>
      <c r="M576">
        <v>11282</v>
      </c>
      <c r="N576">
        <v>7</v>
      </c>
      <c r="O576">
        <v>610</v>
      </c>
      <c r="P576">
        <v>1706</v>
      </c>
      <c r="Q576">
        <v>66</v>
      </c>
      <c r="R576">
        <f>SUM(Table13[[#This Row],[Rank_All_Ranks_Total]:[Rank_SSPSPAddlSPCommandant]])</f>
        <v>98496</v>
      </c>
    </row>
    <row r="577" spans="1:18" x14ac:dyDescent="0.3">
      <c r="A577" t="s">
        <v>18</v>
      </c>
      <c r="B577">
        <v>2007</v>
      </c>
      <c r="C577" t="str">
        <f>_xlfn.CONCAT(Table13[[#This Row],[STATE]],"-",Table13[[#This Row],[Year]])</f>
        <v>Kerala-2007</v>
      </c>
      <c r="D577" t="s">
        <v>66</v>
      </c>
      <c r="E577" t="s">
        <v>67</v>
      </c>
      <c r="F577">
        <v>35908</v>
      </c>
      <c r="G577">
        <v>1278</v>
      </c>
      <c r="H577">
        <v>270</v>
      </c>
      <c r="I577">
        <v>0</v>
      </c>
      <c r="J577">
        <v>25608</v>
      </c>
      <c r="K577">
        <v>8</v>
      </c>
      <c r="L577">
        <v>6</v>
      </c>
      <c r="M577">
        <v>6851</v>
      </c>
      <c r="N577">
        <v>13</v>
      </c>
      <c r="O577">
        <v>393</v>
      </c>
      <c r="P577">
        <v>1429</v>
      </c>
      <c r="Q577">
        <v>52</v>
      </c>
      <c r="R577">
        <f>SUM(Table13[[#This Row],[Rank_All_Ranks_Total]:[Rank_SSPSPAddlSPCommandant]])</f>
        <v>71816</v>
      </c>
    </row>
    <row r="578" spans="1:18" x14ac:dyDescent="0.3">
      <c r="A578" t="s">
        <v>39</v>
      </c>
      <c r="B578">
        <v>2007</v>
      </c>
      <c r="C578" t="str">
        <f>_xlfn.CONCAT(Table13[[#This Row],[STATE]],"-",Table13[[#This Row],[Year]])</f>
        <v>Lakshadweep-2007</v>
      </c>
      <c r="D578" t="s">
        <v>66</v>
      </c>
      <c r="E578" t="s">
        <v>67</v>
      </c>
      <c r="F578">
        <v>290</v>
      </c>
      <c r="G578">
        <v>11</v>
      </c>
      <c r="H578">
        <v>1</v>
      </c>
      <c r="I578">
        <v>0</v>
      </c>
      <c r="J578">
        <v>199</v>
      </c>
      <c r="K578">
        <v>0</v>
      </c>
      <c r="L578">
        <v>0</v>
      </c>
      <c r="M578">
        <v>61</v>
      </c>
      <c r="N578">
        <v>0</v>
      </c>
      <c r="O578">
        <v>5</v>
      </c>
      <c r="P578">
        <v>12</v>
      </c>
      <c r="Q578">
        <v>1</v>
      </c>
      <c r="R578">
        <f>SUM(Table13[[#This Row],[Rank_All_Ranks_Total]:[Rank_SSPSPAddlSPCommandant]])</f>
        <v>580</v>
      </c>
    </row>
    <row r="579" spans="1:18" x14ac:dyDescent="0.3">
      <c r="A579" t="s">
        <v>19</v>
      </c>
      <c r="B579">
        <v>2007</v>
      </c>
      <c r="C579" t="str">
        <f>_xlfn.CONCAT(Table13[[#This Row],[STATE]],"-",Table13[[#This Row],[Year]])</f>
        <v>Madhya Pradesh-2007</v>
      </c>
      <c r="D579" t="s">
        <v>66</v>
      </c>
      <c r="E579" t="s">
        <v>67</v>
      </c>
      <c r="F579">
        <v>55627</v>
      </c>
      <c r="G579">
        <v>3202</v>
      </c>
      <c r="H579">
        <v>682</v>
      </c>
      <c r="I579">
        <v>0</v>
      </c>
      <c r="J579">
        <v>37284</v>
      </c>
      <c r="K579">
        <v>10</v>
      </c>
      <c r="L579">
        <v>30</v>
      </c>
      <c r="M579">
        <v>10353</v>
      </c>
      <c r="N579">
        <v>20</v>
      </c>
      <c r="O579">
        <v>1126</v>
      </c>
      <c r="P579">
        <v>2748</v>
      </c>
      <c r="Q579">
        <v>172</v>
      </c>
      <c r="R579">
        <f>SUM(Table13[[#This Row],[Rank_All_Ranks_Total]:[Rank_SSPSPAddlSPCommandant]])</f>
        <v>111254</v>
      </c>
    </row>
    <row r="580" spans="1:18" x14ac:dyDescent="0.3">
      <c r="A580" t="s">
        <v>20</v>
      </c>
      <c r="B580">
        <v>2007</v>
      </c>
      <c r="C580" t="str">
        <f>_xlfn.CONCAT(Table13[[#This Row],[STATE]],"-",Table13[[#This Row],[Year]])</f>
        <v>Maharashtra-2007</v>
      </c>
      <c r="D580" t="s">
        <v>66</v>
      </c>
      <c r="E580" t="s">
        <v>67</v>
      </c>
      <c r="F580">
        <v>135969</v>
      </c>
      <c r="G580">
        <v>11086</v>
      </c>
      <c r="H580">
        <v>536</v>
      </c>
      <c r="I580">
        <v>25138</v>
      </c>
      <c r="J580">
        <v>61361</v>
      </c>
      <c r="K580">
        <v>25</v>
      </c>
      <c r="L580">
        <v>40</v>
      </c>
      <c r="M580">
        <v>28185</v>
      </c>
      <c r="N580">
        <v>31</v>
      </c>
      <c r="O580">
        <v>2199</v>
      </c>
      <c r="P580">
        <v>7162</v>
      </c>
      <c r="Q580">
        <v>206</v>
      </c>
      <c r="R580">
        <f>SUM(Table13[[#This Row],[Rank_All_Ranks_Total]:[Rank_SSPSPAddlSPCommandant]])</f>
        <v>271938</v>
      </c>
    </row>
    <row r="581" spans="1:18" x14ac:dyDescent="0.3">
      <c r="A581" t="s">
        <v>21</v>
      </c>
      <c r="B581">
        <v>2007</v>
      </c>
      <c r="C581" t="str">
        <f>_xlfn.CONCAT(Table13[[#This Row],[STATE]],"-",Table13[[#This Row],[Year]])</f>
        <v>Manipur-2007</v>
      </c>
      <c r="D581" t="s">
        <v>66</v>
      </c>
      <c r="E581" t="s">
        <v>67</v>
      </c>
      <c r="F581">
        <v>5585</v>
      </c>
      <c r="G581">
        <v>515</v>
      </c>
      <c r="H581">
        <v>39</v>
      </c>
      <c r="I581">
        <v>0</v>
      </c>
      <c r="J581">
        <v>3917</v>
      </c>
      <c r="K581">
        <v>2</v>
      </c>
      <c r="L581">
        <v>6</v>
      </c>
      <c r="M581">
        <v>509</v>
      </c>
      <c r="N581">
        <v>6</v>
      </c>
      <c r="O581">
        <v>138</v>
      </c>
      <c r="P581">
        <v>427</v>
      </c>
      <c r="Q581">
        <v>26</v>
      </c>
      <c r="R581">
        <f>SUM(Table13[[#This Row],[Rank_All_Ranks_Total]:[Rank_SSPSPAddlSPCommandant]])</f>
        <v>11170</v>
      </c>
    </row>
    <row r="582" spans="1:18" x14ac:dyDescent="0.3">
      <c r="A582" t="s">
        <v>22</v>
      </c>
      <c r="B582">
        <v>2007</v>
      </c>
      <c r="C582" t="str">
        <f>_xlfn.CONCAT(Table13[[#This Row],[STATE]],"-",Table13[[#This Row],[Year]])</f>
        <v>Meghalaya-2007</v>
      </c>
      <c r="D582" t="s">
        <v>66</v>
      </c>
      <c r="E582" t="s">
        <v>67</v>
      </c>
      <c r="F582">
        <v>5652</v>
      </c>
      <c r="G582">
        <v>153</v>
      </c>
      <c r="H582">
        <v>27</v>
      </c>
      <c r="I582">
        <v>113</v>
      </c>
      <c r="J582">
        <v>4163</v>
      </c>
      <c r="K582">
        <v>6</v>
      </c>
      <c r="L582">
        <v>3</v>
      </c>
      <c r="M582">
        <v>407</v>
      </c>
      <c r="N582">
        <v>6</v>
      </c>
      <c r="O582">
        <v>120</v>
      </c>
      <c r="P582">
        <v>634</v>
      </c>
      <c r="Q582">
        <v>20</v>
      </c>
      <c r="R582">
        <f>SUM(Table13[[#This Row],[Rank_All_Ranks_Total]:[Rank_SSPSPAddlSPCommandant]])</f>
        <v>11304</v>
      </c>
    </row>
    <row r="583" spans="1:18" x14ac:dyDescent="0.3">
      <c r="A583" t="s">
        <v>23</v>
      </c>
      <c r="B583">
        <v>2007</v>
      </c>
      <c r="C583" t="str">
        <f>_xlfn.CONCAT(Table13[[#This Row],[STATE]],"-",Table13[[#This Row],[Year]])</f>
        <v>Mizoram-2007</v>
      </c>
      <c r="D583" t="s">
        <v>66</v>
      </c>
      <c r="E583" t="s">
        <v>67</v>
      </c>
      <c r="F583">
        <v>3425</v>
      </c>
      <c r="G583">
        <v>457</v>
      </c>
      <c r="H583">
        <v>66</v>
      </c>
      <c r="I583">
        <v>330</v>
      </c>
      <c r="J583">
        <v>1380</v>
      </c>
      <c r="K583">
        <v>1</v>
      </c>
      <c r="L583">
        <v>3</v>
      </c>
      <c r="M583">
        <v>624</v>
      </c>
      <c r="N583">
        <v>1</v>
      </c>
      <c r="O583">
        <v>142</v>
      </c>
      <c r="P583">
        <v>402</v>
      </c>
      <c r="Q583">
        <v>19</v>
      </c>
      <c r="R583">
        <f>SUM(Table13[[#This Row],[Rank_All_Ranks_Total]:[Rank_SSPSPAddlSPCommandant]])</f>
        <v>6850</v>
      </c>
    </row>
    <row r="584" spans="1:18" x14ac:dyDescent="0.3">
      <c r="A584" t="s">
        <v>24</v>
      </c>
      <c r="B584">
        <v>2007</v>
      </c>
      <c r="C584" t="str">
        <f>_xlfn.CONCAT(Table13[[#This Row],[STATE]],"-",Table13[[#This Row],[Year]])</f>
        <v>Nagaland-2007</v>
      </c>
      <c r="D584" t="s">
        <v>66</v>
      </c>
      <c r="E584" t="s">
        <v>67</v>
      </c>
      <c r="F584">
        <v>5655</v>
      </c>
      <c r="G584">
        <v>213</v>
      </c>
      <c r="H584">
        <v>35</v>
      </c>
      <c r="I584">
        <v>522</v>
      </c>
      <c r="J584">
        <v>4172</v>
      </c>
      <c r="K584">
        <v>4</v>
      </c>
      <c r="L584">
        <v>11</v>
      </c>
      <c r="M584">
        <v>379</v>
      </c>
      <c r="N584">
        <v>7</v>
      </c>
      <c r="O584">
        <v>51</v>
      </c>
      <c r="P584">
        <v>221</v>
      </c>
      <c r="Q584">
        <v>40</v>
      </c>
      <c r="R584">
        <f>SUM(Table13[[#This Row],[Rank_All_Ranks_Total]:[Rank_SSPSPAddlSPCommandant]])</f>
        <v>11310</v>
      </c>
    </row>
    <row r="585" spans="1:18" x14ac:dyDescent="0.3">
      <c r="A585" t="s">
        <v>63</v>
      </c>
      <c r="B585">
        <v>2007</v>
      </c>
      <c r="C585" t="str">
        <f>_xlfn.CONCAT(Table13[[#This Row],[STATE]],"-",Table13[[#This Row],[Year]])</f>
        <v>Odisha-2007</v>
      </c>
      <c r="D585" t="s">
        <v>66</v>
      </c>
      <c r="E585" t="s">
        <v>67</v>
      </c>
      <c r="F585">
        <v>27408</v>
      </c>
      <c r="G585">
        <v>2071</v>
      </c>
      <c r="H585">
        <v>126</v>
      </c>
      <c r="I585">
        <v>270</v>
      </c>
      <c r="J585">
        <v>20015</v>
      </c>
      <c r="K585">
        <v>5</v>
      </c>
      <c r="L585">
        <v>9</v>
      </c>
      <c r="M585">
        <v>2496</v>
      </c>
      <c r="N585">
        <v>11</v>
      </c>
      <c r="O585">
        <v>575</v>
      </c>
      <c r="P585">
        <v>1699</v>
      </c>
      <c r="Q585">
        <v>131</v>
      </c>
      <c r="R585">
        <f>SUM(Table13[[#This Row],[Rank_All_Ranks_Total]:[Rank_SSPSPAddlSPCommandant]])</f>
        <v>54816</v>
      </c>
    </row>
    <row r="586" spans="1:18" x14ac:dyDescent="0.3">
      <c r="A586" t="s">
        <v>64</v>
      </c>
      <c r="B586">
        <v>2007</v>
      </c>
      <c r="C586" t="str">
        <f>_xlfn.CONCAT(Table13[[#This Row],[STATE]],"-",Table13[[#This Row],[Year]])</f>
        <v>Puducherry-2007</v>
      </c>
      <c r="D586" t="s">
        <v>66</v>
      </c>
      <c r="E586" t="s">
        <v>67</v>
      </c>
      <c r="F586">
        <v>1592</v>
      </c>
      <c r="G586">
        <v>66</v>
      </c>
      <c r="H586">
        <v>16</v>
      </c>
      <c r="I586">
        <v>0</v>
      </c>
      <c r="J586">
        <v>1044</v>
      </c>
      <c r="K586">
        <v>1</v>
      </c>
      <c r="L586">
        <v>1</v>
      </c>
      <c r="M586">
        <v>289</v>
      </c>
      <c r="N586">
        <v>0</v>
      </c>
      <c r="O586">
        <v>48</v>
      </c>
      <c r="P586">
        <v>124</v>
      </c>
      <c r="Q586">
        <v>3</v>
      </c>
      <c r="R586">
        <f>SUM(Table13[[#This Row],[Rank_All_Ranks_Total]:[Rank_SSPSPAddlSPCommandant]])</f>
        <v>3184</v>
      </c>
    </row>
    <row r="587" spans="1:18" x14ac:dyDescent="0.3">
      <c r="A587" t="s">
        <v>26</v>
      </c>
      <c r="B587">
        <v>2007</v>
      </c>
      <c r="C587" t="str">
        <f>_xlfn.CONCAT(Table13[[#This Row],[STATE]],"-",Table13[[#This Row],[Year]])</f>
        <v>Punjab-2007</v>
      </c>
      <c r="D587" t="s">
        <v>66</v>
      </c>
      <c r="E587" t="s">
        <v>67</v>
      </c>
      <c r="F587">
        <v>52196</v>
      </c>
      <c r="G587">
        <v>3914</v>
      </c>
      <c r="H587">
        <v>272</v>
      </c>
      <c r="I587">
        <v>0</v>
      </c>
      <c r="J587">
        <v>37365</v>
      </c>
      <c r="K587">
        <v>10</v>
      </c>
      <c r="L587">
        <v>20</v>
      </c>
      <c r="M587">
        <v>8263</v>
      </c>
      <c r="N587">
        <v>14</v>
      </c>
      <c r="O587">
        <v>612</v>
      </c>
      <c r="P587">
        <v>1604</v>
      </c>
      <c r="Q587">
        <v>122</v>
      </c>
      <c r="R587">
        <f>SUM(Table13[[#This Row],[Rank_All_Ranks_Total]:[Rank_SSPSPAddlSPCommandant]])</f>
        <v>104392</v>
      </c>
    </row>
    <row r="588" spans="1:18" x14ac:dyDescent="0.3">
      <c r="A588" t="s">
        <v>27</v>
      </c>
      <c r="B588">
        <v>2007</v>
      </c>
      <c r="C588" t="str">
        <f>_xlfn.CONCAT(Table13[[#This Row],[STATE]],"-",Table13[[#This Row],[Year]])</f>
        <v>Rajasthan-2007</v>
      </c>
      <c r="D588" t="s">
        <v>66</v>
      </c>
      <c r="E588" t="s">
        <v>67</v>
      </c>
      <c r="F588">
        <v>53968</v>
      </c>
      <c r="G588">
        <v>4170</v>
      </c>
      <c r="H588">
        <v>499</v>
      </c>
      <c r="I588">
        <v>0</v>
      </c>
      <c r="J588">
        <v>39796</v>
      </c>
      <c r="K588">
        <v>16</v>
      </c>
      <c r="L588">
        <v>17</v>
      </c>
      <c r="M588">
        <v>6325</v>
      </c>
      <c r="N588">
        <v>32</v>
      </c>
      <c r="O588">
        <v>792</v>
      </c>
      <c r="P588">
        <v>2246</v>
      </c>
      <c r="Q588">
        <v>75</v>
      </c>
      <c r="R588">
        <f>SUM(Table13[[#This Row],[Rank_All_Ranks_Total]:[Rank_SSPSPAddlSPCommandant]])</f>
        <v>107936</v>
      </c>
    </row>
    <row r="589" spans="1:18" x14ac:dyDescent="0.3">
      <c r="A589" t="s">
        <v>28</v>
      </c>
      <c r="B589">
        <v>2007</v>
      </c>
      <c r="C589" t="str">
        <f>_xlfn.CONCAT(Table13[[#This Row],[STATE]],"-",Table13[[#This Row],[Year]])</f>
        <v>Sikkim-2007</v>
      </c>
      <c r="D589" t="s">
        <v>66</v>
      </c>
      <c r="E589" t="s">
        <v>67</v>
      </c>
      <c r="F589">
        <v>1739</v>
      </c>
      <c r="G589">
        <v>125</v>
      </c>
      <c r="H589">
        <v>45</v>
      </c>
      <c r="I589">
        <v>537</v>
      </c>
      <c r="J589">
        <v>493</v>
      </c>
      <c r="K589">
        <v>4</v>
      </c>
      <c r="L589">
        <v>5</v>
      </c>
      <c r="M589">
        <v>297</v>
      </c>
      <c r="N589">
        <v>10</v>
      </c>
      <c r="O589">
        <v>63</v>
      </c>
      <c r="P589">
        <v>144</v>
      </c>
      <c r="Q589">
        <v>16</v>
      </c>
      <c r="R589">
        <f>SUM(Table13[[#This Row],[Rank_All_Ranks_Total]:[Rank_SSPSPAddlSPCommandant]])</f>
        <v>3478</v>
      </c>
    </row>
    <row r="590" spans="1:18" x14ac:dyDescent="0.3">
      <c r="A590" t="s">
        <v>42</v>
      </c>
      <c r="B590">
        <v>2007</v>
      </c>
      <c r="C590" t="str">
        <f>_xlfn.CONCAT(Table13[[#This Row],[STATE]],"-",Table13[[#This Row],[Year]])</f>
        <v>Tamil Nadu-2007</v>
      </c>
      <c r="D590" t="s">
        <v>66</v>
      </c>
      <c r="E590" t="s">
        <v>67</v>
      </c>
      <c r="F590">
        <v>72708</v>
      </c>
      <c r="G590">
        <v>0</v>
      </c>
      <c r="H590">
        <v>571</v>
      </c>
      <c r="I590">
        <v>8465</v>
      </c>
      <c r="J590">
        <v>19200</v>
      </c>
      <c r="K590">
        <v>23</v>
      </c>
      <c r="L590">
        <v>31</v>
      </c>
      <c r="M590">
        <v>35182</v>
      </c>
      <c r="N590">
        <v>32</v>
      </c>
      <c r="O590">
        <v>2309</v>
      </c>
      <c r="P590">
        <v>6684</v>
      </c>
      <c r="Q590">
        <v>211</v>
      </c>
      <c r="R590">
        <f>SUM(Table13[[#This Row],[Rank_All_Ranks_Total]:[Rank_SSPSPAddlSPCommandant]])</f>
        <v>145416</v>
      </c>
    </row>
    <row r="591" spans="1:18" x14ac:dyDescent="0.3">
      <c r="A591" t="s">
        <v>30</v>
      </c>
      <c r="B591">
        <v>2007</v>
      </c>
      <c r="C591" t="str">
        <f>_xlfn.CONCAT(Table13[[#This Row],[STATE]],"-",Table13[[#This Row],[Year]])</f>
        <v>Tripura-2007</v>
      </c>
      <c r="D591" t="s">
        <v>66</v>
      </c>
      <c r="E591" t="s">
        <v>67</v>
      </c>
      <c r="F591">
        <v>9768</v>
      </c>
      <c r="G591">
        <v>521</v>
      </c>
      <c r="H591">
        <v>73</v>
      </c>
      <c r="I591">
        <v>177</v>
      </c>
      <c r="J591">
        <v>7584</v>
      </c>
      <c r="K591">
        <v>3</v>
      </c>
      <c r="L591">
        <v>2</v>
      </c>
      <c r="M591">
        <v>693</v>
      </c>
      <c r="N591">
        <v>6</v>
      </c>
      <c r="O591">
        <v>168</v>
      </c>
      <c r="P591">
        <v>510</v>
      </c>
      <c r="Q591">
        <v>31</v>
      </c>
      <c r="R591">
        <f>SUM(Table13[[#This Row],[Rank_All_Ranks_Total]:[Rank_SSPSPAddlSPCommandant]])</f>
        <v>19536</v>
      </c>
    </row>
    <row r="592" spans="1:18" x14ac:dyDescent="0.3">
      <c r="A592" t="s">
        <v>31</v>
      </c>
      <c r="B592">
        <v>2007</v>
      </c>
      <c r="C592" t="str">
        <f>_xlfn.CONCAT(Table13[[#This Row],[STATE]],"-",Table13[[#This Row],[Year]])</f>
        <v>Uttar Pradesh-2007</v>
      </c>
      <c r="D592" t="s">
        <v>66</v>
      </c>
      <c r="E592" t="s">
        <v>67</v>
      </c>
      <c r="F592">
        <v>119556</v>
      </c>
      <c r="G592">
        <v>0</v>
      </c>
      <c r="H592">
        <v>699</v>
      </c>
      <c r="I592">
        <v>0</v>
      </c>
      <c r="J592">
        <v>89826</v>
      </c>
      <c r="K592">
        <v>46</v>
      </c>
      <c r="L592">
        <v>43</v>
      </c>
      <c r="M592">
        <v>17783</v>
      </c>
      <c r="N592">
        <v>44</v>
      </c>
      <c r="O592">
        <v>1290</v>
      </c>
      <c r="P592">
        <v>9520</v>
      </c>
      <c r="Q592">
        <v>305</v>
      </c>
      <c r="R592">
        <f>SUM(Table13[[#This Row],[Rank_All_Ranks_Total]:[Rank_SSPSPAddlSPCommandant]])</f>
        <v>239112</v>
      </c>
    </row>
    <row r="593" spans="1:18" x14ac:dyDescent="0.3">
      <c r="A593" t="s">
        <v>65</v>
      </c>
      <c r="B593">
        <v>2007</v>
      </c>
      <c r="C593" t="str">
        <f>_xlfn.CONCAT(Table13[[#This Row],[STATE]],"-",Table13[[#This Row],[Year]])</f>
        <v>Uttarakhand-2007</v>
      </c>
      <c r="D593" t="s">
        <v>66</v>
      </c>
      <c r="E593" t="s">
        <v>67</v>
      </c>
      <c r="F593">
        <v>9920</v>
      </c>
      <c r="G593">
        <v>0</v>
      </c>
      <c r="H593">
        <v>76</v>
      </c>
      <c r="I593">
        <v>0</v>
      </c>
      <c r="J593">
        <v>7779</v>
      </c>
      <c r="K593">
        <v>6</v>
      </c>
      <c r="L593">
        <v>3</v>
      </c>
      <c r="M593">
        <v>1478</v>
      </c>
      <c r="N593">
        <v>3</v>
      </c>
      <c r="O593">
        <v>97</v>
      </c>
      <c r="P593">
        <v>463</v>
      </c>
      <c r="Q593">
        <v>15</v>
      </c>
      <c r="R593">
        <f>SUM(Table13[[#This Row],[Rank_All_Ranks_Total]:[Rank_SSPSPAddlSPCommandant]])</f>
        <v>19840</v>
      </c>
    </row>
    <row r="594" spans="1:18" x14ac:dyDescent="0.3">
      <c r="A594" t="s">
        <v>33</v>
      </c>
      <c r="B594">
        <v>2007</v>
      </c>
      <c r="C594" t="str">
        <f>_xlfn.CONCAT(Table13[[#This Row],[STATE]],"-",Table13[[#This Row],[Year]])</f>
        <v>West Bengal-2007</v>
      </c>
      <c r="D594" t="s">
        <v>66</v>
      </c>
      <c r="E594" t="s">
        <v>67</v>
      </c>
      <c r="F594">
        <v>50381</v>
      </c>
      <c r="G594">
        <v>8482</v>
      </c>
      <c r="H594">
        <v>270</v>
      </c>
      <c r="I594">
        <v>1930</v>
      </c>
      <c r="J594">
        <v>33356</v>
      </c>
      <c r="K594">
        <v>22</v>
      </c>
      <c r="L594">
        <v>36</v>
      </c>
      <c r="M594">
        <v>7</v>
      </c>
      <c r="N594">
        <v>40</v>
      </c>
      <c r="O594">
        <v>1138</v>
      </c>
      <c r="P594">
        <v>5016</v>
      </c>
      <c r="Q594">
        <v>84</v>
      </c>
      <c r="R594">
        <f>SUM(Table13[[#This Row],[Rank_All_Ranks_Total]:[Rank_SSPSPAddlSPCommandant]])</f>
        <v>100762</v>
      </c>
    </row>
    <row r="595" spans="1:18" x14ac:dyDescent="0.3">
      <c r="A595" t="s">
        <v>59</v>
      </c>
      <c r="B595">
        <v>2008</v>
      </c>
      <c r="C595" t="str">
        <f>_xlfn.CONCAT(Table13[[#This Row],[STATE]],"-",Table13[[#This Row],[Year]])</f>
        <v>Andaman &amp; Nicobar Islands-2008</v>
      </c>
      <c r="D595" t="s">
        <v>66</v>
      </c>
      <c r="E595" t="s">
        <v>67</v>
      </c>
      <c r="F595">
        <v>2195</v>
      </c>
      <c r="G595">
        <v>184</v>
      </c>
      <c r="H595">
        <v>10</v>
      </c>
      <c r="I595">
        <v>0</v>
      </c>
      <c r="J595">
        <v>1422</v>
      </c>
      <c r="K595">
        <v>1</v>
      </c>
      <c r="L595">
        <v>1</v>
      </c>
      <c r="M595">
        <v>420</v>
      </c>
      <c r="N595">
        <v>0</v>
      </c>
      <c r="O595">
        <v>31</v>
      </c>
      <c r="P595">
        <v>124</v>
      </c>
      <c r="Q595">
        <v>2</v>
      </c>
      <c r="R595">
        <f>SUM(Table13[[#This Row],[Rank_All_Ranks_Total]:[Rank_SSPSPAddlSPCommandant]])</f>
        <v>4390</v>
      </c>
    </row>
    <row r="596" spans="1:18" x14ac:dyDescent="0.3">
      <c r="A596" t="s">
        <v>6</v>
      </c>
      <c r="B596">
        <v>2008</v>
      </c>
      <c r="C596" t="str">
        <f>_xlfn.CONCAT(Table13[[#This Row],[STATE]],"-",Table13[[#This Row],[Year]])</f>
        <v>Andhra Pradesh-2008</v>
      </c>
      <c r="D596" t="s">
        <v>66</v>
      </c>
      <c r="E596" t="s">
        <v>67</v>
      </c>
      <c r="F596">
        <v>66463</v>
      </c>
      <c r="G596">
        <v>2507</v>
      </c>
      <c r="H596">
        <v>292</v>
      </c>
      <c r="I596">
        <v>0</v>
      </c>
      <c r="J596">
        <v>49074</v>
      </c>
      <c r="K596">
        <v>15</v>
      </c>
      <c r="L596">
        <v>21</v>
      </c>
      <c r="M596">
        <v>10150</v>
      </c>
      <c r="N596">
        <v>19</v>
      </c>
      <c r="O596">
        <v>1092</v>
      </c>
      <c r="P596">
        <v>3156</v>
      </c>
      <c r="Q596">
        <v>137</v>
      </c>
      <c r="R596">
        <f>SUM(Table13[[#This Row],[Rank_All_Ranks_Total]:[Rank_SSPSPAddlSPCommandant]])</f>
        <v>132926</v>
      </c>
    </row>
    <row r="597" spans="1:18" x14ac:dyDescent="0.3">
      <c r="A597" t="s">
        <v>7</v>
      </c>
      <c r="B597">
        <v>2008</v>
      </c>
      <c r="C597" t="str">
        <f>_xlfn.CONCAT(Table13[[#This Row],[STATE]],"-",Table13[[#This Row],[Year]])</f>
        <v>Arunachal Pradesh-2008</v>
      </c>
      <c r="D597" t="s">
        <v>66</v>
      </c>
      <c r="E597" t="s">
        <v>67</v>
      </c>
      <c r="F597">
        <v>3436</v>
      </c>
      <c r="G597">
        <v>176</v>
      </c>
      <c r="H597">
        <v>46</v>
      </c>
      <c r="I597">
        <v>0</v>
      </c>
      <c r="J597">
        <v>2436</v>
      </c>
      <c r="K597">
        <v>1</v>
      </c>
      <c r="L597">
        <v>4</v>
      </c>
      <c r="M597">
        <v>416</v>
      </c>
      <c r="N597">
        <v>1</v>
      </c>
      <c r="O597">
        <v>70</v>
      </c>
      <c r="P597">
        <v>269</v>
      </c>
      <c r="Q597">
        <v>17</v>
      </c>
      <c r="R597">
        <f>SUM(Table13[[#This Row],[Rank_All_Ranks_Total]:[Rank_SSPSPAddlSPCommandant]])</f>
        <v>6872</v>
      </c>
    </row>
    <row r="598" spans="1:18" x14ac:dyDescent="0.3">
      <c r="A598" t="s">
        <v>8</v>
      </c>
      <c r="B598">
        <v>2008</v>
      </c>
      <c r="C598" t="str">
        <f>_xlfn.CONCAT(Table13[[#This Row],[STATE]],"-",Table13[[#This Row],[Year]])</f>
        <v>Assam-2008</v>
      </c>
      <c r="D598" t="s">
        <v>66</v>
      </c>
      <c r="E598" t="s">
        <v>67</v>
      </c>
      <c r="F598">
        <v>27900</v>
      </c>
      <c r="G598">
        <v>1779</v>
      </c>
      <c r="H598">
        <v>135</v>
      </c>
      <c r="I598">
        <v>455</v>
      </c>
      <c r="J598">
        <v>20469</v>
      </c>
      <c r="K598">
        <v>9</v>
      </c>
      <c r="L598">
        <v>16</v>
      </c>
      <c r="M598">
        <v>1792</v>
      </c>
      <c r="N598">
        <v>14</v>
      </c>
      <c r="O598">
        <v>487</v>
      </c>
      <c r="P598">
        <v>2610</v>
      </c>
      <c r="Q598">
        <v>134</v>
      </c>
      <c r="R598">
        <f>SUM(Table13[[#This Row],[Rank_All_Ranks_Total]:[Rank_SSPSPAddlSPCommandant]])</f>
        <v>55800</v>
      </c>
    </row>
    <row r="599" spans="1:18" x14ac:dyDescent="0.3">
      <c r="A599" t="s">
        <v>9</v>
      </c>
      <c r="B599">
        <v>2008</v>
      </c>
      <c r="C599" t="str">
        <f>_xlfn.CONCAT(Table13[[#This Row],[STATE]],"-",Table13[[#This Row],[Year]])</f>
        <v>Bihar-2008</v>
      </c>
      <c r="D599" t="s">
        <v>66</v>
      </c>
      <c r="E599" t="s">
        <v>67</v>
      </c>
      <c r="F599">
        <v>47416</v>
      </c>
      <c r="G599">
        <v>4166</v>
      </c>
      <c r="H599">
        <v>297</v>
      </c>
      <c r="I599">
        <v>0</v>
      </c>
      <c r="J599">
        <v>32651</v>
      </c>
      <c r="K599">
        <v>16</v>
      </c>
      <c r="L599">
        <v>16</v>
      </c>
      <c r="M599">
        <v>4681</v>
      </c>
      <c r="N599">
        <v>14</v>
      </c>
      <c r="O599">
        <v>586</v>
      </c>
      <c r="P599">
        <v>4919</v>
      </c>
      <c r="Q599">
        <v>70</v>
      </c>
      <c r="R599">
        <f>SUM(Table13[[#This Row],[Rank_All_Ranks_Total]:[Rank_SSPSPAddlSPCommandant]])</f>
        <v>94832</v>
      </c>
    </row>
    <row r="600" spans="1:18" x14ac:dyDescent="0.3">
      <c r="A600" t="s">
        <v>35</v>
      </c>
      <c r="B600">
        <v>2008</v>
      </c>
      <c r="C600" t="str">
        <f>_xlfn.CONCAT(Table13[[#This Row],[STATE]],"-",Table13[[#This Row],[Year]])</f>
        <v>Chandigarh-2008</v>
      </c>
      <c r="D600" t="s">
        <v>66</v>
      </c>
      <c r="E600" t="s">
        <v>67</v>
      </c>
      <c r="F600">
        <v>3644</v>
      </c>
      <c r="G600">
        <v>164</v>
      </c>
      <c r="H600">
        <v>12</v>
      </c>
      <c r="I600">
        <v>0</v>
      </c>
      <c r="J600">
        <v>2395</v>
      </c>
      <c r="K600">
        <v>0</v>
      </c>
      <c r="L600">
        <v>0</v>
      </c>
      <c r="M600">
        <v>787</v>
      </c>
      <c r="N600">
        <v>1</v>
      </c>
      <c r="O600">
        <v>48</v>
      </c>
      <c r="P600">
        <v>233</v>
      </c>
      <c r="Q600">
        <v>4</v>
      </c>
      <c r="R600">
        <f>SUM(Table13[[#This Row],[Rank_All_Ranks_Total]:[Rank_SSPSPAddlSPCommandant]])</f>
        <v>7288</v>
      </c>
    </row>
    <row r="601" spans="1:18" x14ac:dyDescent="0.3">
      <c r="A601" t="s">
        <v>10</v>
      </c>
      <c r="B601">
        <v>2008</v>
      </c>
      <c r="C601" t="str">
        <f>_xlfn.CONCAT(Table13[[#This Row],[STATE]],"-",Table13[[#This Row],[Year]])</f>
        <v>Chhattisgarh-2008</v>
      </c>
      <c r="D601" t="s">
        <v>66</v>
      </c>
      <c r="E601" t="s">
        <v>67</v>
      </c>
      <c r="F601">
        <v>17392</v>
      </c>
      <c r="G601">
        <v>734</v>
      </c>
      <c r="H601">
        <v>112</v>
      </c>
      <c r="I601">
        <v>0</v>
      </c>
      <c r="J601">
        <v>12879</v>
      </c>
      <c r="K601">
        <v>5</v>
      </c>
      <c r="L601">
        <v>11</v>
      </c>
      <c r="M601">
        <v>2786</v>
      </c>
      <c r="N601">
        <v>12</v>
      </c>
      <c r="O601">
        <v>353</v>
      </c>
      <c r="P601">
        <v>436</v>
      </c>
      <c r="Q601">
        <v>64</v>
      </c>
      <c r="R601">
        <f>SUM(Table13[[#This Row],[Rank_All_Ranks_Total]:[Rank_SSPSPAddlSPCommandant]])</f>
        <v>34784</v>
      </c>
    </row>
    <row r="602" spans="1:18" x14ac:dyDescent="0.3">
      <c r="A602" t="s">
        <v>62</v>
      </c>
      <c r="B602">
        <v>2008</v>
      </c>
      <c r="C602" t="str">
        <f>_xlfn.CONCAT(Table13[[#This Row],[STATE]],"-",Table13[[#This Row],[Year]])</f>
        <v>Dadra &amp; Nagar Haveli-2008</v>
      </c>
      <c r="D602" t="s">
        <v>66</v>
      </c>
      <c r="E602" t="s">
        <v>67</v>
      </c>
      <c r="F602">
        <v>213</v>
      </c>
      <c r="G602">
        <v>2</v>
      </c>
      <c r="H602">
        <v>1</v>
      </c>
      <c r="I602">
        <v>0</v>
      </c>
      <c r="J602">
        <v>152</v>
      </c>
      <c r="K602">
        <v>0</v>
      </c>
      <c r="L602">
        <v>0</v>
      </c>
      <c r="M602">
        <v>44</v>
      </c>
      <c r="N602">
        <v>0</v>
      </c>
      <c r="O602">
        <v>1</v>
      </c>
      <c r="P602">
        <v>11</v>
      </c>
      <c r="Q602">
        <v>2</v>
      </c>
      <c r="R602">
        <f>SUM(Table13[[#This Row],[Rank_All_Ranks_Total]:[Rank_SSPSPAddlSPCommandant]])</f>
        <v>426</v>
      </c>
    </row>
    <row r="603" spans="1:18" x14ac:dyDescent="0.3">
      <c r="A603" t="s">
        <v>37</v>
      </c>
      <c r="B603">
        <v>2008</v>
      </c>
      <c r="C603" t="str">
        <f>_xlfn.CONCAT(Table13[[#This Row],[STATE]],"-",Table13[[#This Row],[Year]])</f>
        <v>Daman &amp; Diu-2008</v>
      </c>
      <c r="D603" t="s">
        <v>66</v>
      </c>
      <c r="E603" t="s">
        <v>67</v>
      </c>
      <c r="F603">
        <v>220</v>
      </c>
      <c r="G603">
        <v>5</v>
      </c>
      <c r="H603">
        <v>2</v>
      </c>
      <c r="I603">
        <v>0</v>
      </c>
      <c r="J603">
        <v>170</v>
      </c>
      <c r="K603">
        <v>0</v>
      </c>
      <c r="L603">
        <v>1</v>
      </c>
      <c r="M603">
        <v>31</v>
      </c>
      <c r="N603">
        <v>0</v>
      </c>
      <c r="O603">
        <v>1</v>
      </c>
      <c r="P603">
        <v>9</v>
      </c>
      <c r="Q603">
        <v>1</v>
      </c>
      <c r="R603">
        <f>SUM(Table13[[#This Row],[Rank_All_Ranks_Total]:[Rank_SSPSPAddlSPCommandant]])</f>
        <v>440</v>
      </c>
    </row>
    <row r="604" spans="1:18" x14ac:dyDescent="0.3">
      <c r="A604" t="s">
        <v>38</v>
      </c>
      <c r="B604">
        <v>2008</v>
      </c>
      <c r="C604" t="str">
        <f>_xlfn.CONCAT(Table13[[#This Row],[STATE]],"-",Table13[[#This Row],[Year]])</f>
        <v>Delhi-2008</v>
      </c>
      <c r="D604" t="s">
        <v>66</v>
      </c>
      <c r="E604" t="s">
        <v>67</v>
      </c>
      <c r="F604">
        <v>52834</v>
      </c>
      <c r="G604">
        <v>5931</v>
      </c>
      <c r="H604">
        <v>230</v>
      </c>
      <c r="I604">
        <v>0</v>
      </c>
      <c r="J604">
        <v>27236</v>
      </c>
      <c r="K604">
        <v>8</v>
      </c>
      <c r="L604">
        <v>12</v>
      </c>
      <c r="M604">
        <v>14273</v>
      </c>
      <c r="N604">
        <v>15</v>
      </c>
      <c r="O604">
        <v>1131</v>
      </c>
      <c r="P604">
        <v>3941</v>
      </c>
      <c r="Q604">
        <v>57</v>
      </c>
      <c r="R604">
        <f>SUM(Table13[[#This Row],[Rank_All_Ranks_Total]:[Rank_SSPSPAddlSPCommandant]])</f>
        <v>105668</v>
      </c>
    </row>
    <row r="605" spans="1:18" x14ac:dyDescent="0.3">
      <c r="A605" t="s">
        <v>11</v>
      </c>
      <c r="B605">
        <v>2008</v>
      </c>
      <c r="C605" t="str">
        <f>_xlfn.CONCAT(Table13[[#This Row],[STATE]],"-",Table13[[#This Row],[Year]])</f>
        <v>Goa-2008</v>
      </c>
      <c r="D605" t="s">
        <v>66</v>
      </c>
      <c r="E605" t="s">
        <v>67</v>
      </c>
      <c r="F605">
        <v>3962</v>
      </c>
      <c r="G605">
        <v>173</v>
      </c>
      <c r="H605">
        <v>25</v>
      </c>
      <c r="I605">
        <v>0</v>
      </c>
      <c r="J605">
        <v>2780</v>
      </c>
      <c r="K605">
        <v>1</v>
      </c>
      <c r="L605">
        <v>0</v>
      </c>
      <c r="M605">
        <v>752</v>
      </c>
      <c r="N605">
        <v>1</v>
      </c>
      <c r="O605">
        <v>51</v>
      </c>
      <c r="P605">
        <v>165</v>
      </c>
      <c r="Q605">
        <v>14</v>
      </c>
      <c r="R605">
        <f>SUM(Table13[[#This Row],[Rank_All_Ranks_Total]:[Rank_SSPSPAddlSPCommandant]])</f>
        <v>7924</v>
      </c>
    </row>
    <row r="606" spans="1:18" x14ac:dyDescent="0.3">
      <c r="A606" t="s">
        <v>12</v>
      </c>
      <c r="B606">
        <v>2008</v>
      </c>
      <c r="C606" t="str">
        <f>_xlfn.CONCAT(Table13[[#This Row],[STATE]],"-",Table13[[#This Row],[Year]])</f>
        <v>Gujarat-2008</v>
      </c>
      <c r="D606" t="s">
        <v>66</v>
      </c>
      <c r="E606" t="s">
        <v>67</v>
      </c>
      <c r="F606">
        <v>45703</v>
      </c>
      <c r="G606">
        <v>6910</v>
      </c>
      <c r="H606">
        <v>185</v>
      </c>
      <c r="I606">
        <v>0</v>
      </c>
      <c r="J606">
        <v>26390</v>
      </c>
      <c r="K606">
        <v>12</v>
      </c>
      <c r="L606">
        <v>14</v>
      </c>
      <c r="M606">
        <v>10012</v>
      </c>
      <c r="N606">
        <v>30</v>
      </c>
      <c r="O606">
        <v>738</v>
      </c>
      <c r="P606">
        <v>1353</v>
      </c>
      <c r="Q606">
        <v>59</v>
      </c>
      <c r="R606">
        <f>SUM(Table13[[#This Row],[Rank_All_Ranks_Total]:[Rank_SSPSPAddlSPCommandant]])</f>
        <v>91406</v>
      </c>
    </row>
    <row r="607" spans="1:18" x14ac:dyDescent="0.3">
      <c r="A607" t="s">
        <v>13</v>
      </c>
      <c r="B607">
        <v>2008</v>
      </c>
      <c r="C607" t="str">
        <f>_xlfn.CONCAT(Table13[[#This Row],[STATE]],"-",Table13[[#This Row],[Year]])</f>
        <v>Haryana-2008</v>
      </c>
      <c r="D607" t="s">
        <v>66</v>
      </c>
      <c r="E607" t="s">
        <v>67</v>
      </c>
      <c r="F607">
        <v>36460</v>
      </c>
      <c r="G607">
        <v>2709</v>
      </c>
      <c r="H607">
        <v>116</v>
      </c>
      <c r="I607">
        <v>0</v>
      </c>
      <c r="J607">
        <v>27160</v>
      </c>
      <c r="K607">
        <v>8</v>
      </c>
      <c r="L607">
        <v>10</v>
      </c>
      <c r="M607">
        <v>4781</v>
      </c>
      <c r="N607">
        <v>16</v>
      </c>
      <c r="O607">
        <v>587</v>
      </c>
      <c r="P607">
        <v>1017</v>
      </c>
      <c r="Q607">
        <v>56</v>
      </c>
      <c r="R607">
        <f>SUM(Table13[[#This Row],[Rank_All_Ranks_Total]:[Rank_SSPSPAddlSPCommandant]])</f>
        <v>72920</v>
      </c>
    </row>
    <row r="608" spans="1:18" x14ac:dyDescent="0.3">
      <c r="A608" t="s">
        <v>14</v>
      </c>
      <c r="B608">
        <v>2008</v>
      </c>
      <c r="C608" t="str">
        <f>_xlfn.CONCAT(Table13[[#This Row],[STATE]],"-",Table13[[#This Row],[Year]])</f>
        <v>Himachal Pradesh-2008</v>
      </c>
      <c r="D608" t="s">
        <v>66</v>
      </c>
      <c r="E608" t="s">
        <v>67</v>
      </c>
      <c r="F608">
        <v>9776</v>
      </c>
      <c r="G608">
        <v>916</v>
      </c>
      <c r="H608">
        <v>87</v>
      </c>
      <c r="I608">
        <v>0</v>
      </c>
      <c r="J608">
        <v>6418</v>
      </c>
      <c r="K608">
        <v>12</v>
      </c>
      <c r="L608">
        <v>10</v>
      </c>
      <c r="M608">
        <v>1642</v>
      </c>
      <c r="N608">
        <v>14</v>
      </c>
      <c r="O608">
        <v>194</v>
      </c>
      <c r="P608">
        <v>426</v>
      </c>
      <c r="Q608">
        <v>57</v>
      </c>
      <c r="R608">
        <f>SUM(Table13[[#This Row],[Rank_All_Ranks_Total]:[Rank_SSPSPAddlSPCommandant]])</f>
        <v>19552</v>
      </c>
    </row>
    <row r="609" spans="1:18" x14ac:dyDescent="0.3">
      <c r="A609" t="s">
        <v>15</v>
      </c>
      <c r="B609">
        <v>2008</v>
      </c>
      <c r="C609" t="str">
        <f>_xlfn.CONCAT(Table13[[#This Row],[STATE]],"-",Table13[[#This Row],[Year]])</f>
        <v>Jammu &amp; Kashmir-2008</v>
      </c>
      <c r="D609" t="s">
        <v>66</v>
      </c>
      <c r="E609" t="s">
        <v>67</v>
      </c>
      <c r="F609">
        <v>39035</v>
      </c>
      <c r="G609">
        <v>2396</v>
      </c>
      <c r="H609">
        <v>249</v>
      </c>
      <c r="I609">
        <v>25939</v>
      </c>
      <c r="J609">
        <v>1830</v>
      </c>
      <c r="K609">
        <v>7</v>
      </c>
      <c r="L609">
        <v>17</v>
      </c>
      <c r="M609">
        <v>6244</v>
      </c>
      <c r="N609">
        <v>22</v>
      </c>
      <c r="O609">
        <v>552</v>
      </c>
      <c r="P609">
        <v>1638</v>
      </c>
      <c r="Q609">
        <v>141</v>
      </c>
      <c r="R609">
        <f>SUM(Table13[[#This Row],[Rank_All_Ranks_Total]:[Rank_SSPSPAddlSPCommandant]])</f>
        <v>78070</v>
      </c>
    </row>
    <row r="610" spans="1:18" x14ac:dyDescent="0.3">
      <c r="A610" t="s">
        <v>16</v>
      </c>
      <c r="B610">
        <v>2008</v>
      </c>
      <c r="C610" t="str">
        <f>_xlfn.CONCAT(Table13[[#This Row],[STATE]],"-",Table13[[#This Row],[Year]])</f>
        <v>Jharkhand-2008</v>
      </c>
      <c r="D610" t="s">
        <v>66</v>
      </c>
      <c r="E610" t="s">
        <v>67</v>
      </c>
      <c r="F610">
        <v>41084</v>
      </c>
      <c r="G610">
        <v>1589</v>
      </c>
      <c r="H610">
        <v>165</v>
      </c>
      <c r="I610">
        <v>0</v>
      </c>
      <c r="J610">
        <v>30486</v>
      </c>
      <c r="K610">
        <v>7</v>
      </c>
      <c r="L610">
        <v>14</v>
      </c>
      <c r="M610">
        <v>5183</v>
      </c>
      <c r="N610">
        <v>15</v>
      </c>
      <c r="O610">
        <v>597</v>
      </c>
      <c r="P610">
        <v>2977</v>
      </c>
      <c r="Q610">
        <v>51</v>
      </c>
      <c r="R610">
        <f>SUM(Table13[[#This Row],[Rank_All_Ranks_Total]:[Rank_SSPSPAddlSPCommandant]])</f>
        <v>82168</v>
      </c>
    </row>
    <row r="611" spans="1:18" x14ac:dyDescent="0.3">
      <c r="A611" t="s">
        <v>17</v>
      </c>
      <c r="B611">
        <v>2008</v>
      </c>
      <c r="C611" t="str">
        <f>_xlfn.CONCAT(Table13[[#This Row],[STATE]],"-",Table13[[#This Row],[Year]])</f>
        <v>Karnataka-2008</v>
      </c>
      <c r="D611" t="s">
        <v>66</v>
      </c>
      <c r="E611" t="s">
        <v>67</v>
      </c>
      <c r="F611">
        <v>65662</v>
      </c>
      <c r="G611">
        <v>3645</v>
      </c>
      <c r="H611">
        <v>360</v>
      </c>
      <c r="I611">
        <v>0</v>
      </c>
      <c r="J611">
        <v>43529</v>
      </c>
      <c r="K611">
        <v>16</v>
      </c>
      <c r="L611">
        <v>25</v>
      </c>
      <c r="M611">
        <v>14772</v>
      </c>
      <c r="N611">
        <v>34</v>
      </c>
      <c r="O611">
        <v>964</v>
      </c>
      <c r="P611">
        <v>2156</v>
      </c>
      <c r="Q611">
        <v>161</v>
      </c>
      <c r="R611">
        <f>SUM(Table13[[#This Row],[Rank_All_Ranks_Total]:[Rank_SSPSPAddlSPCommandant]])</f>
        <v>131324</v>
      </c>
    </row>
    <row r="612" spans="1:18" x14ac:dyDescent="0.3">
      <c r="A612" t="s">
        <v>18</v>
      </c>
      <c r="B612">
        <v>2008</v>
      </c>
      <c r="C612" t="str">
        <f>_xlfn.CONCAT(Table13[[#This Row],[STATE]],"-",Table13[[#This Row],[Year]])</f>
        <v>Kerala-2008</v>
      </c>
      <c r="D612" t="s">
        <v>66</v>
      </c>
      <c r="E612" t="s">
        <v>67</v>
      </c>
      <c r="F612">
        <v>36742</v>
      </c>
      <c r="G612">
        <v>1328</v>
      </c>
      <c r="H612">
        <v>277</v>
      </c>
      <c r="I612">
        <v>0</v>
      </c>
      <c r="J612">
        <v>26174</v>
      </c>
      <c r="K612">
        <v>7</v>
      </c>
      <c r="L612">
        <v>4</v>
      </c>
      <c r="M612">
        <v>6974</v>
      </c>
      <c r="N612">
        <v>11</v>
      </c>
      <c r="O612">
        <v>398</v>
      </c>
      <c r="P612">
        <v>1518</v>
      </c>
      <c r="Q612">
        <v>51</v>
      </c>
      <c r="R612">
        <f>SUM(Table13[[#This Row],[Rank_All_Ranks_Total]:[Rank_SSPSPAddlSPCommandant]])</f>
        <v>73484</v>
      </c>
    </row>
    <row r="613" spans="1:18" x14ac:dyDescent="0.3">
      <c r="A613" t="s">
        <v>39</v>
      </c>
      <c r="B613">
        <v>2008</v>
      </c>
      <c r="C613" t="str">
        <f>_xlfn.CONCAT(Table13[[#This Row],[STATE]],"-",Table13[[#This Row],[Year]])</f>
        <v>Lakshadweep-2008</v>
      </c>
      <c r="D613" t="s">
        <v>66</v>
      </c>
      <c r="E613" t="s">
        <v>67</v>
      </c>
      <c r="F613">
        <v>308</v>
      </c>
      <c r="G613">
        <v>13</v>
      </c>
      <c r="H613">
        <v>1</v>
      </c>
      <c r="I613">
        <v>0</v>
      </c>
      <c r="J613">
        <v>212</v>
      </c>
      <c r="K613">
        <v>0</v>
      </c>
      <c r="L613">
        <v>0</v>
      </c>
      <c r="M613">
        <v>64</v>
      </c>
      <c r="N613">
        <v>0</v>
      </c>
      <c r="O613">
        <v>5</v>
      </c>
      <c r="P613">
        <v>12</v>
      </c>
      <c r="Q613">
        <v>1</v>
      </c>
      <c r="R613">
        <f>SUM(Table13[[#This Row],[Rank_All_Ranks_Total]:[Rank_SSPSPAddlSPCommandant]])</f>
        <v>616</v>
      </c>
    </row>
    <row r="614" spans="1:18" x14ac:dyDescent="0.3">
      <c r="A614" t="s">
        <v>19</v>
      </c>
      <c r="B614">
        <v>2008</v>
      </c>
      <c r="C614" t="str">
        <f>_xlfn.CONCAT(Table13[[#This Row],[STATE]],"-",Table13[[#This Row],[Year]])</f>
        <v>Madhya Pradesh-2008</v>
      </c>
      <c r="D614" t="s">
        <v>66</v>
      </c>
      <c r="E614" t="s">
        <v>67</v>
      </c>
      <c r="F614">
        <v>55493</v>
      </c>
      <c r="G614">
        <v>3202</v>
      </c>
      <c r="H614">
        <v>580</v>
      </c>
      <c r="I614">
        <v>0</v>
      </c>
      <c r="J614">
        <v>37282</v>
      </c>
      <c r="K614">
        <v>9</v>
      </c>
      <c r="L614">
        <v>22</v>
      </c>
      <c r="M614">
        <v>10356</v>
      </c>
      <c r="N614">
        <v>19</v>
      </c>
      <c r="O614">
        <v>1126</v>
      </c>
      <c r="P614">
        <v>2747</v>
      </c>
      <c r="Q614">
        <v>150</v>
      </c>
      <c r="R614">
        <f>SUM(Table13[[#This Row],[Rank_All_Ranks_Total]:[Rank_SSPSPAddlSPCommandant]])</f>
        <v>110986</v>
      </c>
    </row>
    <row r="615" spans="1:18" x14ac:dyDescent="0.3">
      <c r="A615" t="s">
        <v>20</v>
      </c>
      <c r="B615">
        <v>2008</v>
      </c>
      <c r="C615" t="str">
        <f>_xlfn.CONCAT(Table13[[#This Row],[STATE]],"-",Table13[[#This Row],[Year]])</f>
        <v>Maharashtra-2008</v>
      </c>
      <c r="D615" t="s">
        <v>66</v>
      </c>
      <c r="E615" t="s">
        <v>67</v>
      </c>
      <c r="F615">
        <v>152211</v>
      </c>
      <c r="G615">
        <v>13604</v>
      </c>
      <c r="H615">
        <v>452</v>
      </c>
      <c r="I615">
        <v>30310</v>
      </c>
      <c r="J615">
        <v>65021</v>
      </c>
      <c r="K615">
        <v>26</v>
      </c>
      <c r="L615">
        <v>44</v>
      </c>
      <c r="M615">
        <v>32842</v>
      </c>
      <c r="N615">
        <v>30</v>
      </c>
      <c r="O615">
        <v>2949</v>
      </c>
      <c r="P615">
        <v>6715</v>
      </c>
      <c r="Q615">
        <v>218</v>
      </c>
      <c r="R615">
        <f>SUM(Table13[[#This Row],[Rank_All_Ranks_Total]:[Rank_SSPSPAddlSPCommandant]])</f>
        <v>304422</v>
      </c>
    </row>
    <row r="616" spans="1:18" x14ac:dyDescent="0.3">
      <c r="A616" t="s">
        <v>21</v>
      </c>
      <c r="B616">
        <v>2008</v>
      </c>
      <c r="C616" t="str">
        <f>_xlfn.CONCAT(Table13[[#This Row],[STATE]],"-",Table13[[#This Row],[Year]])</f>
        <v>Manipur-2008</v>
      </c>
      <c r="D616" t="s">
        <v>66</v>
      </c>
      <c r="E616" t="s">
        <v>67</v>
      </c>
      <c r="F616">
        <v>5502</v>
      </c>
      <c r="G616">
        <v>538</v>
      </c>
      <c r="H616">
        <v>38</v>
      </c>
      <c r="I616">
        <v>0</v>
      </c>
      <c r="J616">
        <v>3890</v>
      </c>
      <c r="K616">
        <v>2</v>
      </c>
      <c r="L616">
        <v>4</v>
      </c>
      <c r="M616">
        <v>366</v>
      </c>
      <c r="N616">
        <v>6</v>
      </c>
      <c r="O616">
        <v>183</v>
      </c>
      <c r="P616">
        <v>451</v>
      </c>
      <c r="Q616">
        <v>24</v>
      </c>
      <c r="R616">
        <f>SUM(Table13[[#This Row],[Rank_All_Ranks_Total]:[Rank_SSPSPAddlSPCommandant]])</f>
        <v>11004</v>
      </c>
    </row>
    <row r="617" spans="1:18" x14ac:dyDescent="0.3">
      <c r="A617" t="s">
        <v>22</v>
      </c>
      <c r="B617">
        <v>2008</v>
      </c>
      <c r="C617" t="str">
        <f>_xlfn.CONCAT(Table13[[#This Row],[STATE]],"-",Table13[[#This Row],[Year]])</f>
        <v>Meghalaya-2008</v>
      </c>
      <c r="D617" t="s">
        <v>66</v>
      </c>
      <c r="E617" t="s">
        <v>67</v>
      </c>
      <c r="F617">
        <v>6011</v>
      </c>
      <c r="G617">
        <v>160</v>
      </c>
      <c r="H617">
        <v>34</v>
      </c>
      <c r="I617">
        <v>140</v>
      </c>
      <c r="J617">
        <v>4459</v>
      </c>
      <c r="K617">
        <v>6</v>
      </c>
      <c r="L617">
        <v>3</v>
      </c>
      <c r="M617">
        <v>448</v>
      </c>
      <c r="N617">
        <v>6</v>
      </c>
      <c r="O617">
        <v>119</v>
      </c>
      <c r="P617">
        <v>616</v>
      </c>
      <c r="Q617">
        <v>20</v>
      </c>
      <c r="R617">
        <f>SUM(Table13[[#This Row],[Rank_All_Ranks_Total]:[Rank_SSPSPAddlSPCommandant]])</f>
        <v>12022</v>
      </c>
    </row>
    <row r="618" spans="1:18" x14ac:dyDescent="0.3">
      <c r="A618" t="s">
        <v>23</v>
      </c>
      <c r="B618">
        <v>2008</v>
      </c>
      <c r="C618" t="str">
        <f>_xlfn.CONCAT(Table13[[#This Row],[STATE]],"-",Table13[[#This Row],[Year]])</f>
        <v>Mizoram-2008</v>
      </c>
      <c r="D618" t="s">
        <v>66</v>
      </c>
      <c r="E618" t="s">
        <v>67</v>
      </c>
      <c r="F618">
        <v>3535</v>
      </c>
      <c r="G618">
        <v>479</v>
      </c>
      <c r="H618">
        <v>38</v>
      </c>
      <c r="I618">
        <v>277</v>
      </c>
      <c r="J618">
        <v>1378</v>
      </c>
      <c r="K618">
        <v>1</v>
      </c>
      <c r="L618">
        <v>6</v>
      </c>
      <c r="M618">
        <v>719</v>
      </c>
      <c r="N618">
        <v>1</v>
      </c>
      <c r="O618">
        <v>145</v>
      </c>
      <c r="P618">
        <v>456</v>
      </c>
      <c r="Q618">
        <v>35</v>
      </c>
      <c r="R618">
        <f>SUM(Table13[[#This Row],[Rank_All_Ranks_Total]:[Rank_SSPSPAddlSPCommandant]])</f>
        <v>7070</v>
      </c>
    </row>
    <row r="619" spans="1:18" x14ac:dyDescent="0.3">
      <c r="A619" t="s">
        <v>24</v>
      </c>
      <c r="B619">
        <v>2008</v>
      </c>
      <c r="C619" t="str">
        <f>_xlfn.CONCAT(Table13[[#This Row],[STATE]],"-",Table13[[#This Row],[Year]])</f>
        <v>Nagaland-2008</v>
      </c>
      <c r="D619" t="s">
        <v>66</v>
      </c>
      <c r="E619" t="s">
        <v>67</v>
      </c>
      <c r="F619">
        <v>5791</v>
      </c>
      <c r="G619">
        <v>217</v>
      </c>
      <c r="H619">
        <v>35</v>
      </c>
      <c r="I619">
        <v>494</v>
      </c>
      <c r="J619">
        <v>4305</v>
      </c>
      <c r="K619">
        <v>4</v>
      </c>
      <c r="L619">
        <v>11</v>
      </c>
      <c r="M619">
        <v>400</v>
      </c>
      <c r="N619">
        <v>7</v>
      </c>
      <c r="O619">
        <v>50</v>
      </c>
      <c r="P619">
        <v>227</v>
      </c>
      <c r="Q619">
        <v>41</v>
      </c>
      <c r="R619">
        <f>SUM(Table13[[#This Row],[Rank_All_Ranks_Total]:[Rank_SSPSPAddlSPCommandant]])</f>
        <v>11582</v>
      </c>
    </row>
    <row r="620" spans="1:18" x14ac:dyDescent="0.3">
      <c r="A620" t="s">
        <v>63</v>
      </c>
      <c r="B620">
        <v>2008</v>
      </c>
      <c r="C620" t="str">
        <f>_xlfn.CONCAT(Table13[[#This Row],[STATE]],"-",Table13[[#This Row],[Year]])</f>
        <v>Odisha-2008</v>
      </c>
      <c r="D620" t="s">
        <v>66</v>
      </c>
      <c r="E620" t="s">
        <v>67</v>
      </c>
      <c r="F620">
        <v>27922</v>
      </c>
      <c r="G620">
        <v>2105</v>
      </c>
      <c r="H620">
        <v>144</v>
      </c>
      <c r="I620">
        <v>290</v>
      </c>
      <c r="J620">
        <v>20100</v>
      </c>
      <c r="K620">
        <v>8</v>
      </c>
      <c r="L620">
        <v>9</v>
      </c>
      <c r="M620">
        <v>2394</v>
      </c>
      <c r="N620">
        <v>15</v>
      </c>
      <c r="O620">
        <v>661</v>
      </c>
      <c r="P620">
        <v>2103</v>
      </c>
      <c r="Q620">
        <v>93</v>
      </c>
      <c r="R620">
        <f>SUM(Table13[[#This Row],[Rank_All_Ranks_Total]:[Rank_SSPSPAddlSPCommandant]])</f>
        <v>55844</v>
      </c>
    </row>
    <row r="621" spans="1:18" x14ac:dyDescent="0.3">
      <c r="A621" t="s">
        <v>64</v>
      </c>
      <c r="B621">
        <v>2008</v>
      </c>
      <c r="C621" t="str">
        <f>_xlfn.CONCAT(Table13[[#This Row],[STATE]],"-",Table13[[#This Row],[Year]])</f>
        <v>Puducherry-2008</v>
      </c>
      <c r="D621" t="s">
        <v>66</v>
      </c>
      <c r="E621" t="s">
        <v>67</v>
      </c>
      <c r="F621">
        <v>1569</v>
      </c>
      <c r="G621">
        <v>65</v>
      </c>
      <c r="H621">
        <v>16</v>
      </c>
      <c r="I621">
        <v>0</v>
      </c>
      <c r="J621">
        <v>1040</v>
      </c>
      <c r="K621">
        <v>1</v>
      </c>
      <c r="L621">
        <v>1</v>
      </c>
      <c r="M621">
        <v>275</v>
      </c>
      <c r="N621">
        <v>0</v>
      </c>
      <c r="O621">
        <v>46</v>
      </c>
      <c r="P621">
        <v>122</v>
      </c>
      <c r="Q621">
        <v>3</v>
      </c>
      <c r="R621">
        <f>SUM(Table13[[#This Row],[Rank_All_Ranks_Total]:[Rank_SSPSPAddlSPCommandant]])</f>
        <v>3138</v>
      </c>
    </row>
    <row r="622" spans="1:18" x14ac:dyDescent="0.3">
      <c r="A622" t="s">
        <v>26</v>
      </c>
      <c r="B622">
        <v>2008</v>
      </c>
      <c r="C622" t="str">
        <f>_xlfn.CONCAT(Table13[[#This Row],[STATE]],"-",Table13[[#This Row],[Year]])</f>
        <v>Punjab-2008</v>
      </c>
      <c r="D622" t="s">
        <v>66</v>
      </c>
      <c r="E622" t="s">
        <v>67</v>
      </c>
      <c r="F622">
        <v>48214</v>
      </c>
      <c r="G622">
        <v>3684</v>
      </c>
      <c r="H622">
        <v>275</v>
      </c>
      <c r="I622">
        <v>0</v>
      </c>
      <c r="J622">
        <v>34489</v>
      </c>
      <c r="K622">
        <v>11</v>
      </c>
      <c r="L622">
        <v>20</v>
      </c>
      <c r="M622">
        <v>7721</v>
      </c>
      <c r="N622">
        <v>15</v>
      </c>
      <c r="O622">
        <v>450</v>
      </c>
      <c r="P622">
        <v>1424</v>
      </c>
      <c r="Q622">
        <v>125</v>
      </c>
      <c r="R622">
        <f>SUM(Table13[[#This Row],[Rank_All_Ranks_Total]:[Rank_SSPSPAddlSPCommandant]])</f>
        <v>96428</v>
      </c>
    </row>
    <row r="623" spans="1:18" x14ac:dyDescent="0.3">
      <c r="A623" t="s">
        <v>27</v>
      </c>
      <c r="B623">
        <v>2008</v>
      </c>
      <c r="C623" t="str">
        <f>_xlfn.CONCAT(Table13[[#This Row],[STATE]],"-",Table13[[#This Row],[Year]])</f>
        <v>Rajasthan-2008</v>
      </c>
      <c r="D623" t="s">
        <v>66</v>
      </c>
      <c r="E623" t="s">
        <v>67</v>
      </c>
      <c r="F623">
        <v>61049</v>
      </c>
      <c r="G623">
        <v>4292</v>
      </c>
      <c r="H623">
        <v>525</v>
      </c>
      <c r="I623">
        <v>0</v>
      </c>
      <c r="J623">
        <v>46319</v>
      </c>
      <c r="K623">
        <v>16</v>
      </c>
      <c r="L623">
        <v>10</v>
      </c>
      <c r="M623">
        <v>6450</v>
      </c>
      <c r="N623">
        <v>25</v>
      </c>
      <c r="O623">
        <v>812</v>
      </c>
      <c r="P623">
        <v>2530</v>
      </c>
      <c r="Q623">
        <v>70</v>
      </c>
      <c r="R623">
        <f>SUM(Table13[[#This Row],[Rank_All_Ranks_Total]:[Rank_SSPSPAddlSPCommandant]])</f>
        <v>122098</v>
      </c>
    </row>
    <row r="624" spans="1:18" x14ac:dyDescent="0.3">
      <c r="A624" t="s">
        <v>28</v>
      </c>
      <c r="B624">
        <v>2008</v>
      </c>
      <c r="C624" t="str">
        <f>_xlfn.CONCAT(Table13[[#This Row],[STATE]],"-",Table13[[#This Row],[Year]])</f>
        <v>Sikkim-2008</v>
      </c>
      <c r="D624" t="s">
        <v>66</v>
      </c>
      <c r="E624" t="s">
        <v>67</v>
      </c>
      <c r="F624">
        <v>1984</v>
      </c>
      <c r="G624">
        <v>140</v>
      </c>
      <c r="H624">
        <v>29</v>
      </c>
      <c r="I624">
        <v>0</v>
      </c>
      <c r="J624">
        <v>1208</v>
      </c>
      <c r="K624">
        <v>4</v>
      </c>
      <c r="L624">
        <v>4</v>
      </c>
      <c r="M624">
        <v>359</v>
      </c>
      <c r="N624">
        <v>10</v>
      </c>
      <c r="O624">
        <v>56</v>
      </c>
      <c r="P624">
        <v>144</v>
      </c>
      <c r="Q624">
        <v>30</v>
      </c>
      <c r="R624">
        <f>SUM(Table13[[#This Row],[Rank_All_Ranks_Total]:[Rank_SSPSPAddlSPCommandant]])</f>
        <v>3968</v>
      </c>
    </row>
    <row r="625" spans="1:18" x14ac:dyDescent="0.3">
      <c r="A625" t="s">
        <v>42</v>
      </c>
      <c r="B625">
        <v>2008</v>
      </c>
      <c r="C625" t="str">
        <f>_xlfn.CONCAT(Table13[[#This Row],[STATE]],"-",Table13[[#This Row],[Year]])</f>
        <v>Tamil Nadu-2008</v>
      </c>
      <c r="D625" t="s">
        <v>66</v>
      </c>
      <c r="E625" t="s">
        <v>67</v>
      </c>
      <c r="F625">
        <v>74483</v>
      </c>
      <c r="G625">
        <v>0</v>
      </c>
      <c r="H625">
        <v>625</v>
      </c>
      <c r="I625">
        <v>8500</v>
      </c>
      <c r="J625">
        <v>20935</v>
      </c>
      <c r="K625">
        <v>21</v>
      </c>
      <c r="L625">
        <v>19</v>
      </c>
      <c r="M625">
        <v>35182</v>
      </c>
      <c r="N625">
        <v>39</v>
      </c>
      <c r="O625">
        <v>2281</v>
      </c>
      <c r="P625">
        <v>6694</v>
      </c>
      <c r="Q625">
        <v>187</v>
      </c>
      <c r="R625">
        <f>SUM(Table13[[#This Row],[Rank_All_Ranks_Total]:[Rank_SSPSPAddlSPCommandant]])</f>
        <v>148966</v>
      </c>
    </row>
    <row r="626" spans="1:18" x14ac:dyDescent="0.3">
      <c r="A626" t="s">
        <v>30</v>
      </c>
      <c r="B626">
        <v>2008</v>
      </c>
      <c r="C626" t="str">
        <f>_xlfn.CONCAT(Table13[[#This Row],[STATE]],"-",Table13[[#This Row],[Year]])</f>
        <v>Tripura-2008</v>
      </c>
      <c r="D626" t="s">
        <v>66</v>
      </c>
      <c r="E626" t="s">
        <v>67</v>
      </c>
      <c r="F626">
        <v>9450</v>
      </c>
      <c r="G626">
        <v>478</v>
      </c>
      <c r="H626">
        <v>117</v>
      </c>
      <c r="I626">
        <v>152</v>
      </c>
      <c r="J626">
        <v>7333</v>
      </c>
      <c r="K626">
        <v>3</v>
      </c>
      <c r="L626">
        <v>5</v>
      </c>
      <c r="M626">
        <v>653</v>
      </c>
      <c r="N626">
        <v>7</v>
      </c>
      <c r="O626">
        <v>110</v>
      </c>
      <c r="P626">
        <v>555</v>
      </c>
      <c r="Q626">
        <v>37</v>
      </c>
      <c r="R626">
        <f>SUM(Table13[[#This Row],[Rank_All_Ranks_Total]:[Rank_SSPSPAddlSPCommandant]])</f>
        <v>18900</v>
      </c>
    </row>
    <row r="627" spans="1:18" x14ac:dyDescent="0.3">
      <c r="A627" t="s">
        <v>31</v>
      </c>
      <c r="B627">
        <v>2008</v>
      </c>
      <c r="C627" t="str">
        <f>_xlfn.CONCAT(Table13[[#This Row],[STATE]],"-",Table13[[#This Row],[Year]])</f>
        <v>Uttar Pradesh-2008</v>
      </c>
      <c r="D627" t="s">
        <v>66</v>
      </c>
      <c r="E627" t="s">
        <v>67</v>
      </c>
      <c r="F627">
        <v>107840</v>
      </c>
      <c r="G627">
        <v>0</v>
      </c>
      <c r="H627">
        <v>577</v>
      </c>
      <c r="I627">
        <v>0</v>
      </c>
      <c r="J627">
        <v>81932</v>
      </c>
      <c r="K627">
        <v>36</v>
      </c>
      <c r="L627">
        <v>31</v>
      </c>
      <c r="M627">
        <v>14660</v>
      </c>
      <c r="N627">
        <v>36</v>
      </c>
      <c r="O627">
        <v>1143</v>
      </c>
      <c r="P627">
        <v>9095</v>
      </c>
      <c r="Q627">
        <v>330</v>
      </c>
      <c r="R627">
        <f>SUM(Table13[[#This Row],[Rank_All_Ranks_Total]:[Rank_SSPSPAddlSPCommandant]])</f>
        <v>215680</v>
      </c>
    </row>
    <row r="628" spans="1:18" x14ac:dyDescent="0.3">
      <c r="A628" t="s">
        <v>65</v>
      </c>
      <c r="B628">
        <v>2008</v>
      </c>
      <c r="C628" t="str">
        <f>_xlfn.CONCAT(Table13[[#This Row],[STATE]],"-",Table13[[#This Row],[Year]])</f>
        <v>Uttarakhand-2008</v>
      </c>
      <c r="D628" t="s">
        <v>66</v>
      </c>
      <c r="E628" t="s">
        <v>67</v>
      </c>
      <c r="F628">
        <v>11328</v>
      </c>
      <c r="G628">
        <v>0</v>
      </c>
      <c r="H628">
        <v>65</v>
      </c>
      <c r="I628">
        <v>0</v>
      </c>
      <c r="J628">
        <v>9028</v>
      </c>
      <c r="K628">
        <v>5</v>
      </c>
      <c r="L628">
        <v>3</v>
      </c>
      <c r="M628">
        <v>1444</v>
      </c>
      <c r="N628">
        <v>5</v>
      </c>
      <c r="O628">
        <v>122</v>
      </c>
      <c r="P628">
        <v>617</v>
      </c>
      <c r="Q628">
        <v>39</v>
      </c>
      <c r="R628">
        <f>SUM(Table13[[#This Row],[Rank_All_Ranks_Total]:[Rank_SSPSPAddlSPCommandant]])</f>
        <v>22656</v>
      </c>
    </row>
    <row r="629" spans="1:18" x14ac:dyDescent="0.3">
      <c r="A629" t="s">
        <v>33</v>
      </c>
      <c r="B629">
        <v>2008</v>
      </c>
      <c r="C629" t="str">
        <f>_xlfn.CONCAT(Table13[[#This Row],[STATE]],"-",Table13[[#This Row],[Year]])</f>
        <v>West Bengal-2008</v>
      </c>
      <c r="D629" t="s">
        <v>66</v>
      </c>
      <c r="E629" t="s">
        <v>67</v>
      </c>
      <c r="F629">
        <v>59375</v>
      </c>
      <c r="G629">
        <v>8306</v>
      </c>
      <c r="H629">
        <v>288</v>
      </c>
      <c r="I629">
        <v>0</v>
      </c>
      <c r="J629">
        <v>44287</v>
      </c>
      <c r="K629">
        <v>18</v>
      </c>
      <c r="L629">
        <v>19</v>
      </c>
      <c r="M629">
        <v>7</v>
      </c>
      <c r="N629">
        <v>45</v>
      </c>
      <c r="O629">
        <v>1116</v>
      </c>
      <c r="P629">
        <v>5211</v>
      </c>
      <c r="Q629">
        <v>78</v>
      </c>
      <c r="R629">
        <f>SUM(Table13[[#This Row],[Rank_All_Ranks_Total]:[Rank_SSPSPAddlSPCommandant]])</f>
        <v>118750</v>
      </c>
    </row>
    <row r="630" spans="1:18" x14ac:dyDescent="0.3">
      <c r="A630" t="s">
        <v>59</v>
      </c>
      <c r="B630">
        <v>2009</v>
      </c>
      <c r="C630" t="str">
        <f>_xlfn.CONCAT(Table13[[#This Row],[STATE]],"-",Table13[[#This Row],[Year]])</f>
        <v>Andaman &amp; Nicobar Islands-2009</v>
      </c>
      <c r="D630" t="s">
        <v>66</v>
      </c>
      <c r="E630" t="s">
        <v>67</v>
      </c>
      <c r="F630">
        <v>2927</v>
      </c>
      <c r="G630">
        <v>210</v>
      </c>
      <c r="H630">
        <v>11</v>
      </c>
      <c r="I630">
        <v>0</v>
      </c>
      <c r="J630">
        <v>1921</v>
      </c>
      <c r="K630">
        <v>1</v>
      </c>
      <c r="L630">
        <v>1</v>
      </c>
      <c r="M630">
        <v>559</v>
      </c>
      <c r="N630">
        <v>1</v>
      </c>
      <c r="O630">
        <v>39</v>
      </c>
      <c r="P630">
        <v>181</v>
      </c>
      <c r="Q630">
        <v>3</v>
      </c>
      <c r="R630">
        <f>SUM(Table13[[#This Row],[Rank_All_Ranks_Total]:[Rank_SSPSPAddlSPCommandant]])</f>
        <v>5854</v>
      </c>
    </row>
    <row r="631" spans="1:18" x14ac:dyDescent="0.3">
      <c r="A631" t="s">
        <v>6</v>
      </c>
      <c r="B631">
        <v>2009</v>
      </c>
      <c r="C631" t="str">
        <f>_xlfn.CONCAT(Table13[[#This Row],[STATE]],"-",Table13[[#This Row],[Year]])</f>
        <v>Andhra Pradesh-2009</v>
      </c>
      <c r="D631" t="s">
        <v>66</v>
      </c>
      <c r="E631" t="s">
        <v>67</v>
      </c>
      <c r="F631">
        <v>93000</v>
      </c>
      <c r="G631">
        <v>2760</v>
      </c>
      <c r="H631">
        <v>606</v>
      </c>
      <c r="I631">
        <v>0</v>
      </c>
      <c r="J631">
        <v>73142</v>
      </c>
      <c r="K631">
        <v>17</v>
      </c>
      <c r="L631">
        <v>23</v>
      </c>
      <c r="M631">
        <v>11375</v>
      </c>
      <c r="N631">
        <v>22</v>
      </c>
      <c r="O631">
        <v>1254</v>
      </c>
      <c r="P631">
        <v>3663</v>
      </c>
      <c r="Q631">
        <v>138</v>
      </c>
      <c r="R631">
        <f>SUM(Table13[[#This Row],[Rank_All_Ranks_Total]:[Rank_SSPSPAddlSPCommandant]])</f>
        <v>186000</v>
      </c>
    </row>
    <row r="632" spans="1:18" x14ac:dyDescent="0.3">
      <c r="A632" t="s">
        <v>7</v>
      </c>
      <c r="B632">
        <v>2009</v>
      </c>
      <c r="C632" t="str">
        <f>_xlfn.CONCAT(Table13[[#This Row],[STATE]],"-",Table13[[#This Row],[Year]])</f>
        <v>Arunachal Pradesh-2009</v>
      </c>
      <c r="D632" t="s">
        <v>66</v>
      </c>
      <c r="E632" t="s">
        <v>67</v>
      </c>
      <c r="F632">
        <v>3423</v>
      </c>
      <c r="G632">
        <v>176</v>
      </c>
      <c r="H632">
        <v>33</v>
      </c>
      <c r="I632">
        <v>0</v>
      </c>
      <c r="J632">
        <v>2436</v>
      </c>
      <c r="K632">
        <v>1</v>
      </c>
      <c r="L632">
        <v>3</v>
      </c>
      <c r="M632">
        <v>416</v>
      </c>
      <c r="N632">
        <v>1</v>
      </c>
      <c r="O632">
        <v>67</v>
      </c>
      <c r="P632">
        <v>269</v>
      </c>
      <c r="Q632">
        <v>21</v>
      </c>
      <c r="R632">
        <f>SUM(Table13[[#This Row],[Rank_All_Ranks_Total]:[Rank_SSPSPAddlSPCommandant]])</f>
        <v>6846</v>
      </c>
    </row>
    <row r="633" spans="1:18" x14ac:dyDescent="0.3">
      <c r="A633" t="s">
        <v>8</v>
      </c>
      <c r="B633">
        <v>2009</v>
      </c>
      <c r="C633" t="str">
        <f>_xlfn.CONCAT(Table13[[#This Row],[STATE]],"-",Table13[[#This Row],[Year]])</f>
        <v>Assam-2009</v>
      </c>
      <c r="D633" t="s">
        <v>66</v>
      </c>
      <c r="E633" t="s">
        <v>67</v>
      </c>
      <c r="F633">
        <v>27900</v>
      </c>
      <c r="G633">
        <v>1779</v>
      </c>
      <c r="H633">
        <v>135</v>
      </c>
      <c r="I633">
        <v>455</v>
      </c>
      <c r="J633">
        <v>20469</v>
      </c>
      <c r="K633">
        <v>9</v>
      </c>
      <c r="L633">
        <v>16</v>
      </c>
      <c r="M633">
        <v>1792</v>
      </c>
      <c r="N633">
        <v>14</v>
      </c>
      <c r="O633">
        <v>487</v>
      </c>
      <c r="P633">
        <v>2610</v>
      </c>
      <c r="Q633">
        <v>134</v>
      </c>
      <c r="R633">
        <f>SUM(Table13[[#This Row],[Rank_All_Ranks_Total]:[Rank_SSPSPAddlSPCommandant]])</f>
        <v>55800</v>
      </c>
    </row>
    <row r="634" spans="1:18" x14ac:dyDescent="0.3">
      <c r="A634" t="s">
        <v>9</v>
      </c>
      <c r="B634">
        <v>2009</v>
      </c>
      <c r="C634" t="str">
        <f>_xlfn.CONCAT(Table13[[#This Row],[STATE]],"-",Table13[[#This Row],[Year]])</f>
        <v>Bihar-2009</v>
      </c>
      <c r="D634" t="s">
        <v>66</v>
      </c>
      <c r="E634" t="s">
        <v>67</v>
      </c>
      <c r="F634">
        <v>46973</v>
      </c>
      <c r="G634">
        <v>3959</v>
      </c>
      <c r="H634">
        <v>355</v>
      </c>
      <c r="I634">
        <v>0</v>
      </c>
      <c r="J634">
        <v>32581</v>
      </c>
      <c r="K634">
        <v>19</v>
      </c>
      <c r="L634">
        <v>17</v>
      </c>
      <c r="M634">
        <v>4716</v>
      </c>
      <c r="N634">
        <v>14</v>
      </c>
      <c r="O634">
        <v>614</v>
      </c>
      <c r="P634">
        <v>4636</v>
      </c>
      <c r="Q634">
        <v>62</v>
      </c>
      <c r="R634">
        <f>SUM(Table13[[#This Row],[Rank_All_Ranks_Total]:[Rank_SSPSPAddlSPCommandant]])</f>
        <v>93946</v>
      </c>
    </row>
    <row r="635" spans="1:18" x14ac:dyDescent="0.3">
      <c r="A635" t="s">
        <v>35</v>
      </c>
      <c r="B635">
        <v>2009</v>
      </c>
      <c r="C635" t="str">
        <f>_xlfn.CONCAT(Table13[[#This Row],[STATE]],"-",Table13[[#This Row],[Year]])</f>
        <v>Chandigarh-2009</v>
      </c>
      <c r="D635" t="s">
        <v>66</v>
      </c>
      <c r="E635" t="s">
        <v>67</v>
      </c>
      <c r="F635">
        <v>4121</v>
      </c>
      <c r="G635">
        <v>167</v>
      </c>
      <c r="H635">
        <v>13</v>
      </c>
      <c r="I635">
        <v>0</v>
      </c>
      <c r="J635">
        <v>2652</v>
      </c>
      <c r="K635">
        <v>1</v>
      </c>
      <c r="L635">
        <v>1</v>
      </c>
      <c r="M635">
        <v>970</v>
      </c>
      <c r="N635">
        <v>0</v>
      </c>
      <c r="O635">
        <v>57</v>
      </c>
      <c r="P635">
        <v>256</v>
      </c>
      <c r="Q635">
        <v>4</v>
      </c>
      <c r="R635">
        <f>SUM(Table13[[#This Row],[Rank_All_Ranks_Total]:[Rank_SSPSPAddlSPCommandant]])</f>
        <v>8242</v>
      </c>
    </row>
    <row r="636" spans="1:18" x14ac:dyDescent="0.3">
      <c r="A636" t="s">
        <v>10</v>
      </c>
      <c r="B636">
        <v>2009</v>
      </c>
      <c r="C636" t="str">
        <f>_xlfn.CONCAT(Table13[[#This Row],[STATE]],"-",Table13[[#This Row],[Year]])</f>
        <v>Chhattisgarh-2009</v>
      </c>
      <c r="D636" t="s">
        <v>66</v>
      </c>
      <c r="E636" t="s">
        <v>67</v>
      </c>
      <c r="F636">
        <v>24601</v>
      </c>
      <c r="G636">
        <v>1371</v>
      </c>
      <c r="H636">
        <v>131</v>
      </c>
      <c r="I636">
        <v>0</v>
      </c>
      <c r="J636">
        <v>18414</v>
      </c>
      <c r="K636">
        <v>4</v>
      </c>
      <c r="L636">
        <v>7</v>
      </c>
      <c r="M636">
        <v>3428</v>
      </c>
      <c r="N636">
        <v>14</v>
      </c>
      <c r="O636">
        <v>470</v>
      </c>
      <c r="P636">
        <v>668</v>
      </c>
      <c r="Q636">
        <v>94</v>
      </c>
      <c r="R636">
        <f>SUM(Table13[[#This Row],[Rank_All_Ranks_Total]:[Rank_SSPSPAddlSPCommandant]])</f>
        <v>49202</v>
      </c>
    </row>
    <row r="637" spans="1:18" x14ac:dyDescent="0.3">
      <c r="A637" t="s">
        <v>62</v>
      </c>
      <c r="B637">
        <v>2009</v>
      </c>
      <c r="C637" t="str">
        <f>_xlfn.CONCAT(Table13[[#This Row],[STATE]],"-",Table13[[#This Row],[Year]])</f>
        <v>Dadra &amp; Nagar Haveli-2009</v>
      </c>
      <c r="D637" t="s">
        <v>66</v>
      </c>
      <c r="E637" t="s">
        <v>67</v>
      </c>
      <c r="F637">
        <v>222</v>
      </c>
      <c r="G637">
        <v>3</v>
      </c>
      <c r="H637">
        <v>1</v>
      </c>
      <c r="I637">
        <v>0</v>
      </c>
      <c r="J637">
        <v>162</v>
      </c>
      <c r="K637">
        <v>0</v>
      </c>
      <c r="L637">
        <v>0</v>
      </c>
      <c r="M637">
        <v>43</v>
      </c>
      <c r="N637">
        <v>0</v>
      </c>
      <c r="O637">
        <v>1</v>
      </c>
      <c r="P637">
        <v>10</v>
      </c>
      <c r="Q637">
        <v>2</v>
      </c>
      <c r="R637">
        <f>SUM(Table13[[#This Row],[Rank_All_Ranks_Total]:[Rank_SSPSPAddlSPCommandant]])</f>
        <v>444</v>
      </c>
    </row>
    <row r="638" spans="1:18" x14ac:dyDescent="0.3">
      <c r="A638" t="s">
        <v>37</v>
      </c>
      <c r="B638">
        <v>2009</v>
      </c>
      <c r="C638" t="str">
        <f>_xlfn.CONCAT(Table13[[#This Row],[STATE]],"-",Table13[[#This Row],[Year]])</f>
        <v>Daman &amp; Diu-2009</v>
      </c>
      <c r="D638" t="s">
        <v>66</v>
      </c>
      <c r="E638" t="s">
        <v>67</v>
      </c>
      <c r="F638">
        <v>220</v>
      </c>
      <c r="G638">
        <v>5</v>
      </c>
      <c r="H638">
        <v>2</v>
      </c>
      <c r="I638">
        <v>0</v>
      </c>
      <c r="J638">
        <v>170</v>
      </c>
      <c r="K638">
        <v>0</v>
      </c>
      <c r="L638">
        <v>1</v>
      </c>
      <c r="M638">
        <v>31</v>
      </c>
      <c r="N638">
        <v>0</v>
      </c>
      <c r="O638">
        <v>1</v>
      </c>
      <c r="P638">
        <v>9</v>
      </c>
      <c r="Q638">
        <v>1</v>
      </c>
      <c r="R638">
        <f>SUM(Table13[[#This Row],[Rank_All_Ranks_Total]:[Rank_SSPSPAddlSPCommandant]])</f>
        <v>440</v>
      </c>
    </row>
    <row r="639" spans="1:18" x14ac:dyDescent="0.3">
      <c r="A639" t="s">
        <v>38</v>
      </c>
      <c r="B639">
        <v>2009</v>
      </c>
      <c r="C639" t="str">
        <f>_xlfn.CONCAT(Table13[[#This Row],[STATE]],"-",Table13[[#This Row],[Year]])</f>
        <v>Delhi-2009</v>
      </c>
      <c r="D639" t="s">
        <v>66</v>
      </c>
      <c r="E639" t="s">
        <v>67</v>
      </c>
      <c r="F639">
        <v>58222</v>
      </c>
      <c r="G639">
        <v>5961</v>
      </c>
      <c r="H639">
        <v>262</v>
      </c>
      <c r="I639">
        <v>0</v>
      </c>
      <c r="J639">
        <v>30541</v>
      </c>
      <c r="K639">
        <v>8</v>
      </c>
      <c r="L639">
        <v>10</v>
      </c>
      <c r="M639">
        <v>16177</v>
      </c>
      <c r="N639">
        <v>16</v>
      </c>
      <c r="O639">
        <v>1108</v>
      </c>
      <c r="P639">
        <v>4090</v>
      </c>
      <c r="Q639">
        <v>49</v>
      </c>
      <c r="R639">
        <f>SUM(Table13[[#This Row],[Rank_All_Ranks_Total]:[Rank_SSPSPAddlSPCommandant]])</f>
        <v>116444</v>
      </c>
    </row>
    <row r="640" spans="1:18" x14ac:dyDescent="0.3">
      <c r="A640" t="s">
        <v>11</v>
      </c>
      <c r="B640">
        <v>2009</v>
      </c>
      <c r="C640" t="str">
        <f>_xlfn.CONCAT(Table13[[#This Row],[STATE]],"-",Table13[[#This Row],[Year]])</f>
        <v>Goa-2009</v>
      </c>
      <c r="D640" t="s">
        <v>66</v>
      </c>
      <c r="E640" t="s">
        <v>67</v>
      </c>
      <c r="F640">
        <v>4063</v>
      </c>
      <c r="G640">
        <v>164</v>
      </c>
      <c r="H640">
        <v>24</v>
      </c>
      <c r="I640">
        <v>0</v>
      </c>
      <c r="J640">
        <v>2905</v>
      </c>
      <c r="K640">
        <v>1</v>
      </c>
      <c r="L640">
        <v>1</v>
      </c>
      <c r="M640">
        <v>744</v>
      </c>
      <c r="N640">
        <v>1</v>
      </c>
      <c r="O640">
        <v>53</v>
      </c>
      <c r="P640">
        <v>156</v>
      </c>
      <c r="Q640">
        <v>14</v>
      </c>
      <c r="R640">
        <f>SUM(Table13[[#This Row],[Rank_All_Ranks_Total]:[Rank_SSPSPAddlSPCommandant]])</f>
        <v>8126</v>
      </c>
    </row>
    <row r="641" spans="1:18" x14ac:dyDescent="0.3">
      <c r="A641" t="s">
        <v>12</v>
      </c>
      <c r="B641">
        <v>2009</v>
      </c>
      <c r="C641" t="str">
        <f>_xlfn.CONCAT(Table13[[#This Row],[STATE]],"-",Table13[[#This Row],[Year]])</f>
        <v>Gujarat-2009</v>
      </c>
      <c r="D641" t="s">
        <v>66</v>
      </c>
      <c r="E641" t="s">
        <v>67</v>
      </c>
      <c r="F641">
        <v>48185</v>
      </c>
      <c r="G641">
        <v>6796</v>
      </c>
      <c r="H641">
        <v>182</v>
      </c>
      <c r="I641">
        <v>0</v>
      </c>
      <c r="J641">
        <v>28962</v>
      </c>
      <c r="K641">
        <v>14</v>
      </c>
      <c r="L641">
        <v>17</v>
      </c>
      <c r="M641">
        <v>9783</v>
      </c>
      <c r="N641">
        <v>25</v>
      </c>
      <c r="O641">
        <v>677</v>
      </c>
      <c r="P641">
        <v>1666</v>
      </c>
      <c r="Q641">
        <v>63</v>
      </c>
      <c r="R641">
        <f>SUM(Table13[[#This Row],[Rank_All_Ranks_Total]:[Rank_SSPSPAddlSPCommandant]])</f>
        <v>96370</v>
      </c>
    </row>
    <row r="642" spans="1:18" x14ac:dyDescent="0.3">
      <c r="A642" t="s">
        <v>13</v>
      </c>
      <c r="B642">
        <v>2009</v>
      </c>
      <c r="C642" t="str">
        <f>_xlfn.CONCAT(Table13[[#This Row],[STATE]],"-",Table13[[#This Row],[Year]])</f>
        <v>Haryana-2009</v>
      </c>
      <c r="D642" t="s">
        <v>66</v>
      </c>
      <c r="E642" t="s">
        <v>67</v>
      </c>
      <c r="F642">
        <v>35778</v>
      </c>
      <c r="G642">
        <v>3010</v>
      </c>
      <c r="H642">
        <v>132</v>
      </c>
      <c r="I642">
        <v>0</v>
      </c>
      <c r="J642">
        <v>25850</v>
      </c>
      <c r="K642">
        <v>10</v>
      </c>
      <c r="L642">
        <v>9</v>
      </c>
      <c r="M642">
        <v>4975</v>
      </c>
      <c r="N642">
        <v>17</v>
      </c>
      <c r="O642">
        <v>606</v>
      </c>
      <c r="P642">
        <v>1125</v>
      </c>
      <c r="Q642">
        <v>44</v>
      </c>
      <c r="R642">
        <f>SUM(Table13[[#This Row],[Rank_All_Ranks_Total]:[Rank_SSPSPAddlSPCommandant]])</f>
        <v>71556</v>
      </c>
    </row>
    <row r="643" spans="1:18" x14ac:dyDescent="0.3">
      <c r="A643" t="s">
        <v>14</v>
      </c>
      <c r="B643">
        <v>2009</v>
      </c>
      <c r="C643" t="str">
        <f>_xlfn.CONCAT(Table13[[#This Row],[STATE]],"-",Table13[[#This Row],[Year]])</f>
        <v>Himachal Pradesh-2009</v>
      </c>
      <c r="D643" t="s">
        <v>66</v>
      </c>
      <c r="E643" t="s">
        <v>67</v>
      </c>
      <c r="F643">
        <v>9781</v>
      </c>
      <c r="G643">
        <v>1027</v>
      </c>
      <c r="H643">
        <v>84</v>
      </c>
      <c r="I643">
        <v>0</v>
      </c>
      <c r="J643">
        <v>6273</v>
      </c>
      <c r="K643">
        <v>12</v>
      </c>
      <c r="L643">
        <v>12</v>
      </c>
      <c r="M643">
        <v>1683</v>
      </c>
      <c r="N643">
        <v>15</v>
      </c>
      <c r="O643">
        <v>200</v>
      </c>
      <c r="P643">
        <v>422</v>
      </c>
      <c r="Q643">
        <v>53</v>
      </c>
      <c r="R643">
        <f>SUM(Table13[[#This Row],[Rank_All_Ranks_Total]:[Rank_SSPSPAddlSPCommandant]])</f>
        <v>19562</v>
      </c>
    </row>
    <row r="644" spans="1:18" x14ac:dyDescent="0.3">
      <c r="A644" t="s">
        <v>15</v>
      </c>
      <c r="B644">
        <v>2009</v>
      </c>
      <c r="C644" t="str">
        <f>_xlfn.CONCAT(Table13[[#This Row],[STATE]],"-",Table13[[#This Row],[Year]])</f>
        <v>Jammu &amp; Kashmir-2009</v>
      </c>
      <c r="D644" t="s">
        <v>66</v>
      </c>
      <c r="E644" t="s">
        <v>67</v>
      </c>
      <c r="F644">
        <v>63151</v>
      </c>
      <c r="G644">
        <v>3057</v>
      </c>
      <c r="H644">
        <v>408</v>
      </c>
      <c r="I644">
        <v>44723</v>
      </c>
      <c r="J644">
        <v>1397</v>
      </c>
      <c r="K644">
        <v>2</v>
      </c>
      <c r="L644">
        <v>20</v>
      </c>
      <c r="M644">
        <v>10548</v>
      </c>
      <c r="N644">
        <v>14</v>
      </c>
      <c r="O644">
        <v>793</v>
      </c>
      <c r="P644">
        <v>2000</v>
      </c>
      <c r="Q644">
        <v>189</v>
      </c>
      <c r="R644">
        <f>SUM(Table13[[#This Row],[Rank_All_Ranks_Total]:[Rank_SSPSPAddlSPCommandant]])</f>
        <v>126302</v>
      </c>
    </row>
    <row r="645" spans="1:18" x14ac:dyDescent="0.3">
      <c r="A645" t="s">
        <v>16</v>
      </c>
      <c r="B645">
        <v>2009</v>
      </c>
      <c r="C645" t="str">
        <f>_xlfn.CONCAT(Table13[[#This Row],[STATE]],"-",Table13[[#This Row],[Year]])</f>
        <v>Jharkhand-2009</v>
      </c>
      <c r="D645" t="s">
        <v>66</v>
      </c>
      <c r="E645" t="s">
        <v>67</v>
      </c>
      <c r="F645">
        <v>30188</v>
      </c>
      <c r="G645">
        <v>2118</v>
      </c>
      <c r="H645">
        <v>281</v>
      </c>
      <c r="I645">
        <v>0</v>
      </c>
      <c r="J645">
        <v>22319</v>
      </c>
      <c r="K645">
        <v>7</v>
      </c>
      <c r="L645">
        <v>14</v>
      </c>
      <c r="M645">
        <v>3350</v>
      </c>
      <c r="N645">
        <v>15</v>
      </c>
      <c r="O645">
        <v>194</v>
      </c>
      <c r="P645">
        <v>1845</v>
      </c>
      <c r="Q645">
        <v>45</v>
      </c>
      <c r="R645">
        <f>SUM(Table13[[#This Row],[Rank_All_Ranks_Total]:[Rank_SSPSPAddlSPCommandant]])</f>
        <v>60376</v>
      </c>
    </row>
    <row r="646" spans="1:18" x14ac:dyDescent="0.3">
      <c r="A646" t="s">
        <v>17</v>
      </c>
      <c r="B646">
        <v>2009</v>
      </c>
      <c r="C646" t="str">
        <f>_xlfn.CONCAT(Table13[[#This Row],[STATE]],"-",Table13[[#This Row],[Year]])</f>
        <v>Karnataka-2009</v>
      </c>
      <c r="D646" t="s">
        <v>66</v>
      </c>
      <c r="E646" t="s">
        <v>67</v>
      </c>
      <c r="F646">
        <v>65627</v>
      </c>
      <c r="G646">
        <v>3645</v>
      </c>
      <c r="H646">
        <v>320</v>
      </c>
      <c r="I646">
        <v>0</v>
      </c>
      <c r="J646">
        <v>43529</v>
      </c>
      <c r="K646">
        <v>16</v>
      </c>
      <c r="L646">
        <v>34</v>
      </c>
      <c r="M646">
        <v>14772</v>
      </c>
      <c r="N646">
        <v>30</v>
      </c>
      <c r="O646">
        <v>964</v>
      </c>
      <c r="P646">
        <v>2156</v>
      </c>
      <c r="Q646">
        <v>161</v>
      </c>
      <c r="R646">
        <f>SUM(Table13[[#This Row],[Rank_All_Ranks_Total]:[Rank_SSPSPAddlSPCommandant]])</f>
        <v>131254</v>
      </c>
    </row>
    <row r="647" spans="1:18" x14ac:dyDescent="0.3">
      <c r="A647" t="s">
        <v>18</v>
      </c>
      <c r="B647">
        <v>2009</v>
      </c>
      <c r="C647" t="str">
        <f>_xlfn.CONCAT(Table13[[#This Row],[STATE]],"-",Table13[[#This Row],[Year]])</f>
        <v>Kerala-2009</v>
      </c>
      <c r="D647" t="s">
        <v>66</v>
      </c>
      <c r="E647" t="s">
        <v>67</v>
      </c>
      <c r="F647">
        <v>36898</v>
      </c>
      <c r="G647">
        <v>1426</v>
      </c>
      <c r="H647">
        <v>284</v>
      </c>
      <c r="I647">
        <v>0</v>
      </c>
      <c r="J647">
        <v>25718</v>
      </c>
      <c r="K647">
        <v>7</v>
      </c>
      <c r="L647">
        <v>4</v>
      </c>
      <c r="M647">
        <v>7159</v>
      </c>
      <c r="N647">
        <v>10</v>
      </c>
      <c r="O647">
        <v>417</v>
      </c>
      <c r="P647">
        <v>1829</v>
      </c>
      <c r="Q647">
        <v>44</v>
      </c>
      <c r="R647">
        <f>SUM(Table13[[#This Row],[Rank_All_Ranks_Total]:[Rank_SSPSPAddlSPCommandant]])</f>
        <v>73796</v>
      </c>
    </row>
    <row r="648" spans="1:18" x14ac:dyDescent="0.3">
      <c r="A648" t="s">
        <v>39</v>
      </c>
      <c r="B648">
        <v>2009</v>
      </c>
      <c r="C648" t="str">
        <f>_xlfn.CONCAT(Table13[[#This Row],[STATE]],"-",Table13[[#This Row],[Year]])</f>
        <v>Lakshadweep-2009</v>
      </c>
      <c r="D648" t="s">
        <v>66</v>
      </c>
      <c r="E648" t="s">
        <v>67</v>
      </c>
      <c r="F648">
        <v>254</v>
      </c>
      <c r="G648">
        <v>5</v>
      </c>
      <c r="H648">
        <v>1</v>
      </c>
      <c r="I648">
        <v>0</v>
      </c>
      <c r="J648">
        <v>171</v>
      </c>
      <c r="K648">
        <v>0</v>
      </c>
      <c r="L648">
        <v>0</v>
      </c>
      <c r="M648">
        <v>63</v>
      </c>
      <c r="N648">
        <v>0</v>
      </c>
      <c r="O648">
        <v>7</v>
      </c>
      <c r="P648">
        <v>6</v>
      </c>
      <c r="Q648">
        <v>1</v>
      </c>
      <c r="R648">
        <f>SUM(Table13[[#This Row],[Rank_All_Ranks_Total]:[Rank_SSPSPAddlSPCommandant]])</f>
        <v>508</v>
      </c>
    </row>
    <row r="649" spans="1:18" x14ac:dyDescent="0.3">
      <c r="A649" t="s">
        <v>19</v>
      </c>
      <c r="B649">
        <v>2009</v>
      </c>
      <c r="C649" t="str">
        <f>_xlfn.CONCAT(Table13[[#This Row],[STATE]],"-",Table13[[#This Row],[Year]])</f>
        <v>Madhya Pradesh-2009</v>
      </c>
      <c r="D649" t="s">
        <v>66</v>
      </c>
      <c r="E649" t="s">
        <v>67</v>
      </c>
      <c r="F649">
        <v>55503</v>
      </c>
      <c r="G649">
        <v>3202</v>
      </c>
      <c r="H649">
        <v>580</v>
      </c>
      <c r="I649">
        <v>0</v>
      </c>
      <c r="J649">
        <v>37290</v>
      </c>
      <c r="K649">
        <v>9</v>
      </c>
      <c r="L649">
        <v>22</v>
      </c>
      <c r="M649">
        <v>10358</v>
      </c>
      <c r="N649">
        <v>19</v>
      </c>
      <c r="O649">
        <v>1126</v>
      </c>
      <c r="P649">
        <v>2747</v>
      </c>
      <c r="Q649">
        <v>150</v>
      </c>
      <c r="R649">
        <f>SUM(Table13[[#This Row],[Rank_All_Ranks_Total]:[Rank_SSPSPAddlSPCommandant]])</f>
        <v>111006</v>
      </c>
    </row>
    <row r="650" spans="1:18" x14ac:dyDescent="0.3">
      <c r="A650" t="s">
        <v>20</v>
      </c>
      <c r="B650">
        <v>2009</v>
      </c>
      <c r="C650" t="str">
        <f>_xlfn.CONCAT(Table13[[#This Row],[STATE]],"-",Table13[[#This Row],[Year]])</f>
        <v>Maharashtra-2009</v>
      </c>
      <c r="D650" t="s">
        <v>66</v>
      </c>
      <c r="E650" t="s">
        <v>67</v>
      </c>
      <c r="F650">
        <v>166611</v>
      </c>
      <c r="G650">
        <v>13595</v>
      </c>
      <c r="H650">
        <v>541</v>
      </c>
      <c r="I650">
        <v>35393</v>
      </c>
      <c r="J650">
        <v>72429</v>
      </c>
      <c r="K650">
        <v>23</v>
      </c>
      <c r="L650">
        <v>43</v>
      </c>
      <c r="M650">
        <v>33643</v>
      </c>
      <c r="N650">
        <v>38</v>
      </c>
      <c r="O650">
        <v>3296</v>
      </c>
      <c r="P650">
        <v>7361</v>
      </c>
      <c r="Q650">
        <v>249</v>
      </c>
      <c r="R650">
        <f>SUM(Table13[[#This Row],[Rank_All_Ranks_Total]:[Rank_SSPSPAddlSPCommandant]])</f>
        <v>333222</v>
      </c>
    </row>
    <row r="651" spans="1:18" x14ac:dyDescent="0.3">
      <c r="A651" t="s">
        <v>21</v>
      </c>
      <c r="B651">
        <v>2009</v>
      </c>
      <c r="C651" t="str">
        <f>_xlfn.CONCAT(Table13[[#This Row],[STATE]],"-",Table13[[#This Row],[Year]])</f>
        <v>Manipur-2009</v>
      </c>
      <c r="D651" t="s">
        <v>66</v>
      </c>
      <c r="E651" t="s">
        <v>67</v>
      </c>
      <c r="F651">
        <v>8541</v>
      </c>
      <c r="G651">
        <v>646</v>
      </c>
      <c r="H651">
        <v>43</v>
      </c>
      <c r="I651">
        <v>0</v>
      </c>
      <c r="J651">
        <v>6275</v>
      </c>
      <c r="K651">
        <v>1</v>
      </c>
      <c r="L651">
        <v>4</v>
      </c>
      <c r="M651">
        <v>730</v>
      </c>
      <c r="N651">
        <v>7</v>
      </c>
      <c r="O651">
        <v>285</v>
      </c>
      <c r="P651">
        <v>514</v>
      </c>
      <c r="Q651">
        <v>36</v>
      </c>
      <c r="R651">
        <f>SUM(Table13[[#This Row],[Rank_All_Ranks_Total]:[Rank_SSPSPAddlSPCommandant]])</f>
        <v>17082</v>
      </c>
    </row>
    <row r="652" spans="1:18" x14ac:dyDescent="0.3">
      <c r="A652" t="s">
        <v>22</v>
      </c>
      <c r="B652">
        <v>2009</v>
      </c>
      <c r="C652" t="str">
        <f>_xlfn.CONCAT(Table13[[#This Row],[STATE]],"-",Table13[[#This Row],[Year]])</f>
        <v>Meghalaya-2009</v>
      </c>
      <c r="D652" t="s">
        <v>66</v>
      </c>
      <c r="E652" t="s">
        <v>67</v>
      </c>
      <c r="F652">
        <v>5885</v>
      </c>
      <c r="G652">
        <v>164</v>
      </c>
      <c r="H652">
        <v>29</v>
      </c>
      <c r="I652">
        <v>99</v>
      </c>
      <c r="J652">
        <v>4303</v>
      </c>
      <c r="K652">
        <v>5</v>
      </c>
      <c r="L652">
        <v>3</v>
      </c>
      <c r="M652">
        <v>492</v>
      </c>
      <c r="N652">
        <v>7</v>
      </c>
      <c r="O652">
        <v>121</v>
      </c>
      <c r="P652">
        <v>637</v>
      </c>
      <c r="Q652">
        <v>25</v>
      </c>
      <c r="R652">
        <f>SUM(Table13[[#This Row],[Rank_All_Ranks_Total]:[Rank_SSPSPAddlSPCommandant]])</f>
        <v>11770</v>
      </c>
    </row>
    <row r="653" spans="1:18" x14ac:dyDescent="0.3">
      <c r="A653" t="s">
        <v>23</v>
      </c>
      <c r="B653">
        <v>2009</v>
      </c>
      <c r="C653" t="str">
        <f>_xlfn.CONCAT(Table13[[#This Row],[STATE]],"-",Table13[[#This Row],[Year]])</f>
        <v>Mizoram-2009</v>
      </c>
      <c r="D653" t="s">
        <v>66</v>
      </c>
      <c r="E653" t="s">
        <v>67</v>
      </c>
      <c r="F653">
        <v>3568</v>
      </c>
      <c r="G653">
        <v>355</v>
      </c>
      <c r="H653">
        <v>7</v>
      </c>
      <c r="I653">
        <v>335</v>
      </c>
      <c r="J653">
        <v>1832</v>
      </c>
      <c r="K653">
        <v>1</v>
      </c>
      <c r="L653">
        <v>4</v>
      </c>
      <c r="M653">
        <v>603</v>
      </c>
      <c r="N653">
        <v>1</v>
      </c>
      <c r="O653">
        <v>127</v>
      </c>
      <c r="P653">
        <v>266</v>
      </c>
      <c r="Q653">
        <v>37</v>
      </c>
      <c r="R653">
        <f>SUM(Table13[[#This Row],[Rank_All_Ranks_Total]:[Rank_SSPSPAddlSPCommandant]])</f>
        <v>7136</v>
      </c>
    </row>
    <row r="654" spans="1:18" x14ac:dyDescent="0.3">
      <c r="A654" t="s">
        <v>24</v>
      </c>
      <c r="B654">
        <v>2009</v>
      </c>
      <c r="C654" t="str">
        <f>_xlfn.CONCAT(Table13[[#This Row],[STATE]],"-",Table13[[#This Row],[Year]])</f>
        <v>Nagaland-2009</v>
      </c>
      <c r="D654" t="s">
        <v>66</v>
      </c>
      <c r="E654" t="s">
        <v>67</v>
      </c>
      <c r="F654">
        <v>5637</v>
      </c>
      <c r="G654">
        <v>196</v>
      </c>
      <c r="H654">
        <v>33</v>
      </c>
      <c r="I654">
        <v>498</v>
      </c>
      <c r="J654">
        <v>4199</v>
      </c>
      <c r="K654">
        <v>4</v>
      </c>
      <c r="L654">
        <v>11</v>
      </c>
      <c r="M654">
        <v>390</v>
      </c>
      <c r="N654">
        <v>7</v>
      </c>
      <c r="O654">
        <v>48</v>
      </c>
      <c r="P654">
        <v>212</v>
      </c>
      <c r="Q654">
        <v>39</v>
      </c>
      <c r="R654">
        <f>SUM(Table13[[#This Row],[Rank_All_Ranks_Total]:[Rank_SSPSPAddlSPCommandant]])</f>
        <v>11274</v>
      </c>
    </row>
    <row r="655" spans="1:18" x14ac:dyDescent="0.3">
      <c r="A655" t="s">
        <v>63</v>
      </c>
      <c r="B655">
        <v>2009</v>
      </c>
      <c r="C655" t="str">
        <f>_xlfn.CONCAT(Table13[[#This Row],[STATE]],"-",Table13[[#This Row],[Year]])</f>
        <v>Odisha-2009</v>
      </c>
      <c r="D655" t="s">
        <v>66</v>
      </c>
      <c r="E655" t="s">
        <v>67</v>
      </c>
      <c r="F655">
        <v>29085</v>
      </c>
      <c r="G655">
        <v>4022</v>
      </c>
      <c r="H655">
        <v>336</v>
      </c>
      <c r="I655">
        <v>303</v>
      </c>
      <c r="J655">
        <v>19086</v>
      </c>
      <c r="K655">
        <v>5</v>
      </c>
      <c r="L655">
        <v>13</v>
      </c>
      <c r="M655">
        <v>2722</v>
      </c>
      <c r="N655">
        <v>10</v>
      </c>
      <c r="O655">
        <v>737</v>
      </c>
      <c r="P655">
        <v>1726</v>
      </c>
      <c r="Q655">
        <v>125</v>
      </c>
      <c r="R655">
        <f>SUM(Table13[[#This Row],[Rank_All_Ranks_Total]:[Rank_SSPSPAddlSPCommandant]])</f>
        <v>58170</v>
      </c>
    </row>
    <row r="656" spans="1:18" x14ac:dyDescent="0.3">
      <c r="A656" t="s">
        <v>64</v>
      </c>
      <c r="B656">
        <v>2009</v>
      </c>
      <c r="C656" t="str">
        <f>_xlfn.CONCAT(Table13[[#This Row],[STATE]],"-",Table13[[#This Row],[Year]])</f>
        <v>Puducherry-2009</v>
      </c>
      <c r="D656" t="s">
        <v>66</v>
      </c>
      <c r="E656" t="s">
        <v>67</v>
      </c>
      <c r="F656">
        <v>1496</v>
      </c>
      <c r="G656">
        <v>45</v>
      </c>
      <c r="H656">
        <v>18</v>
      </c>
      <c r="I656">
        <v>0</v>
      </c>
      <c r="J656">
        <v>913</v>
      </c>
      <c r="K656">
        <v>1</v>
      </c>
      <c r="L656">
        <v>1</v>
      </c>
      <c r="M656">
        <v>355</v>
      </c>
      <c r="N656">
        <v>0</v>
      </c>
      <c r="O656">
        <v>48</v>
      </c>
      <c r="P656">
        <v>113</v>
      </c>
      <c r="Q656">
        <v>2</v>
      </c>
      <c r="R656">
        <f>SUM(Table13[[#This Row],[Rank_All_Ranks_Total]:[Rank_SSPSPAddlSPCommandant]])</f>
        <v>2992</v>
      </c>
    </row>
    <row r="657" spans="1:18" x14ac:dyDescent="0.3">
      <c r="A657" t="s">
        <v>26</v>
      </c>
      <c r="B657">
        <v>2009</v>
      </c>
      <c r="C657" t="str">
        <f>_xlfn.CONCAT(Table13[[#This Row],[STATE]],"-",Table13[[#This Row],[Year]])</f>
        <v>Punjab-2009</v>
      </c>
      <c r="D657" t="s">
        <v>66</v>
      </c>
      <c r="E657" t="s">
        <v>67</v>
      </c>
      <c r="F657">
        <v>49031</v>
      </c>
      <c r="G657">
        <v>3757</v>
      </c>
      <c r="H657">
        <v>217</v>
      </c>
      <c r="I657">
        <v>0</v>
      </c>
      <c r="J657">
        <v>35043</v>
      </c>
      <c r="K657">
        <v>11</v>
      </c>
      <c r="L657">
        <v>19</v>
      </c>
      <c r="M657">
        <v>8054</v>
      </c>
      <c r="N657">
        <v>14</v>
      </c>
      <c r="O657">
        <v>414</v>
      </c>
      <c r="P657">
        <v>1390</v>
      </c>
      <c r="Q657">
        <v>112</v>
      </c>
      <c r="R657">
        <f>SUM(Table13[[#This Row],[Rank_All_Ranks_Total]:[Rank_SSPSPAddlSPCommandant]])</f>
        <v>98062</v>
      </c>
    </row>
    <row r="658" spans="1:18" x14ac:dyDescent="0.3">
      <c r="A658" t="s">
        <v>27</v>
      </c>
      <c r="B658">
        <v>2009</v>
      </c>
      <c r="C658" t="str">
        <f>_xlfn.CONCAT(Table13[[#This Row],[STATE]],"-",Table13[[#This Row],[Year]])</f>
        <v>Rajasthan-2009</v>
      </c>
      <c r="D658" t="s">
        <v>66</v>
      </c>
      <c r="E658" t="s">
        <v>67</v>
      </c>
      <c r="F658">
        <v>59680</v>
      </c>
      <c r="G658">
        <v>4255</v>
      </c>
      <c r="H658">
        <v>307</v>
      </c>
      <c r="I658">
        <v>0</v>
      </c>
      <c r="J658">
        <v>45273</v>
      </c>
      <c r="K658">
        <v>12</v>
      </c>
      <c r="L658">
        <v>9</v>
      </c>
      <c r="M658">
        <v>6380</v>
      </c>
      <c r="N658">
        <v>20</v>
      </c>
      <c r="O658">
        <v>784</v>
      </c>
      <c r="P658">
        <v>2450</v>
      </c>
      <c r="Q658">
        <v>190</v>
      </c>
      <c r="R658">
        <f>SUM(Table13[[#This Row],[Rank_All_Ranks_Total]:[Rank_SSPSPAddlSPCommandant]])</f>
        <v>119360</v>
      </c>
    </row>
    <row r="659" spans="1:18" x14ac:dyDescent="0.3">
      <c r="A659" t="s">
        <v>28</v>
      </c>
      <c r="B659">
        <v>2009</v>
      </c>
      <c r="C659" t="str">
        <f>_xlfn.CONCAT(Table13[[#This Row],[STATE]],"-",Table13[[#This Row],[Year]])</f>
        <v>Sikkim-2009</v>
      </c>
      <c r="D659" t="s">
        <v>66</v>
      </c>
      <c r="E659" t="s">
        <v>67</v>
      </c>
      <c r="F659">
        <v>1985</v>
      </c>
      <c r="G659">
        <v>140</v>
      </c>
      <c r="H659">
        <v>29</v>
      </c>
      <c r="I659">
        <v>0</v>
      </c>
      <c r="J659">
        <v>1208</v>
      </c>
      <c r="K659">
        <v>3</v>
      </c>
      <c r="L659">
        <v>5</v>
      </c>
      <c r="M659">
        <v>359</v>
      </c>
      <c r="N659">
        <v>10</v>
      </c>
      <c r="O659">
        <v>56</v>
      </c>
      <c r="P659">
        <v>144</v>
      </c>
      <c r="Q659">
        <v>31</v>
      </c>
      <c r="R659">
        <f>SUM(Table13[[#This Row],[Rank_All_Ranks_Total]:[Rank_SSPSPAddlSPCommandant]])</f>
        <v>3970</v>
      </c>
    </row>
    <row r="660" spans="1:18" x14ac:dyDescent="0.3">
      <c r="A660" t="s">
        <v>42</v>
      </c>
      <c r="B660">
        <v>2009</v>
      </c>
      <c r="C660" t="str">
        <f>_xlfn.CONCAT(Table13[[#This Row],[STATE]],"-",Table13[[#This Row],[Year]])</f>
        <v>Tamil Nadu-2009</v>
      </c>
      <c r="D660" t="s">
        <v>66</v>
      </c>
      <c r="E660" t="s">
        <v>67</v>
      </c>
      <c r="F660">
        <v>75244</v>
      </c>
      <c r="G660">
        <v>0</v>
      </c>
      <c r="H660">
        <v>617</v>
      </c>
      <c r="I660">
        <v>8599</v>
      </c>
      <c r="J660">
        <v>21182</v>
      </c>
      <c r="K660">
        <v>14</v>
      </c>
      <c r="L660">
        <v>11</v>
      </c>
      <c r="M660">
        <v>35592</v>
      </c>
      <c r="N660">
        <v>39</v>
      </c>
      <c r="O660">
        <v>2275</v>
      </c>
      <c r="P660">
        <v>6732</v>
      </c>
      <c r="Q660">
        <v>183</v>
      </c>
      <c r="R660">
        <f>SUM(Table13[[#This Row],[Rank_All_Ranks_Total]:[Rank_SSPSPAddlSPCommandant]])</f>
        <v>150488</v>
      </c>
    </row>
    <row r="661" spans="1:18" x14ac:dyDescent="0.3">
      <c r="A661" t="s">
        <v>30</v>
      </c>
      <c r="B661">
        <v>2009</v>
      </c>
      <c r="C661" t="str">
        <f>_xlfn.CONCAT(Table13[[#This Row],[STATE]],"-",Table13[[#This Row],[Year]])</f>
        <v>Tripura-2009</v>
      </c>
      <c r="D661" t="s">
        <v>66</v>
      </c>
      <c r="E661" t="s">
        <v>67</v>
      </c>
      <c r="F661">
        <v>9648</v>
      </c>
      <c r="G661">
        <v>555</v>
      </c>
      <c r="H661">
        <v>117</v>
      </c>
      <c r="I661">
        <v>108</v>
      </c>
      <c r="J661">
        <v>7413</v>
      </c>
      <c r="K661">
        <v>3</v>
      </c>
      <c r="L661">
        <v>5</v>
      </c>
      <c r="M661">
        <v>761</v>
      </c>
      <c r="N661">
        <v>7</v>
      </c>
      <c r="O661">
        <v>141</v>
      </c>
      <c r="P661">
        <v>501</v>
      </c>
      <c r="Q661">
        <v>37</v>
      </c>
      <c r="R661">
        <f>SUM(Table13[[#This Row],[Rank_All_Ranks_Total]:[Rank_SSPSPAddlSPCommandant]])</f>
        <v>19296</v>
      </c>
    </row>
    <row r="662" spans="1:18" x14ac:dyDescent="0.3">
      <c r="A662" t="s">
        <v>31</v>
      </c>
      <c r="B662">
        <v>2009</v>
      </c>
      <c r="C662" t="str">
        <f>_xlfn.CONCAT(Table13[[#This Row],[STATE]],"-",Table13[[#This Row],[Year]])</f>
        <v>Uttar Pradesh-2009</v>
      </c>
      <c r="D662" t="s">
        <v>66</v>
      </c>
      <c r="E662" t="s">
        <v>67</v>
      </c>
      <c r="F662">
        <v>114433</v>
      </c>
      <c r="G662">
        <v>0</v>
      </c>
      <c r="H662">
        <v>696</v>
      </c>
      <c r="I662">
        <v>0</v>
      </c>
      <c r="J662">
        <v>91430</v>
      </c>
      <c r="K662">
        <v>34</v>
      </c>
      <c r="L662">
        <v>56</v>
      </c>
      <c r="M662">
        <v>13455</v>
      </c>
      <c r="N662">
        <v>36</v>
      </c>
      <c r="O662">
        <v>1046</v>
      </c>
      <c r="P662">
        <v>7439</v>
      </c>
      <c r="Q662">
        <v>241</v>
      </c>
      <c r="R662">
        <f>SUM(Table13[[#This Row],[Rank_All_Ranks_Total]:[Rank_SSPSPAddlSPCommandant]])</f>
        <v>228866</v>
      </c>
    </row>
    <row r="663" spans="1:18" x14ac:dyDescent="0.3">
      <c r="A663" t="s">
        <v>65</v>
      </c>
      <c r="B663">
        <v>2009</v>
      </c>
      <c r="C663" t="str">
        <f>_xlfn.CONCAT(Table13[[#This Row],[STATE]],"-",Table13[[#This Row],[Year]])</f>
        <v>Uttarakhand-2009</v>
      </c>
      <c r="D663" t="s">
        <v>66</v>
      </c>
      <c r="E663" t="s">
        <v>67</v>
      </c>
      <c r="F663">
        <v>11453</v>
      </c>
      <c r="G663">
        <v>0</v>
      </c>
      <c r="H663">
        <v>56</v>
      </c>
      <c r="I663">
        <v>0</v>
      </c>
      <c r="J663">
        <v>9068</v>
      </c>
      <c r="K663">
        <v>6</v>
      </c>
      <c r="L663">
        <v>3</v>
      </c>
      <c r="M663">
        <v>1537</v>
      </c>
      <c r="N663">
        <v>5</v>
      </c>
      <c r="O663">
        <v>122</v>
      </c>
      <c r="P663">
        <v>611</v>
      </c>
      <c r="Q663">
        <v>45</v>
      </c>
      <c r="R663">
        <f>SUM(Table13[[#This Row],[Rank_All_Ranks_Total]:[Rank_SSPSPAddlSPCommandant]])</f>
        <v>22906</v>
      </c>
    </row>
    <row r="664" spans="1:18" x14ac:dyDescent="0.3">
      <c r="A664" t="s">
        <v>33</v>
      </c>
      <c r="B664">
        <v>2009</v>
      </c>
      <c r="C664" t="str">
        <f>_xlfn.CONCAT(Table13[[#This Row],[STATE]],"-",Table13[[#This Row],[Year]])</f>
        <v>West Bengal-2009</v>
      </c>
      <c r="D664" t="s">
        <v>66</v>
      </c>
      <c r="E664" t="s">
        <v>67</v>
      </c>
      <c r="F664">
        <v>61716</v>
      </c>
      <c r="G664">
        <v>8927</v>
      </c>
      <c r="H664">
        <v>303</v>
      </c>
      <c r="I664">
        <v>0</v>
      </c>
      <c r="J664">
        <v>45741</v>
      </c>
      <c r="K664">
        <v>23</v>
      </c>
      <c r="L664">
        <v>22</v>
      </c>
      <c r="M664">
        <v>7</v>
      </c>
      <c r="N664">
        <v>43</v>
      </c>
      <c r="O664">
        <v>1149</v>
      </c>
      <c r="P664">
        <v>5406</v>
      </c>
      <c r="Q664">
        <v>95</v>
      </c>
      <c r="R664">
        <f>SUM(Table13[[#This Row],[Rank_All_Ranks_Total]:[Rank_SSPSPAddlSPCommandant]])</f>
        <v>123432</v>
      </c>
    </row>
    <row r="665" spans="1:18" x14ac:dyDescent="0.3">
      <c r="A665" t="s">
        <v>59</v>
      </c>
      <c r="B665">
        <v>2010</v>
      </c>
      <c r="C665" t="str">
        <f>_xlfn.CONCAT(Table13[[#This Row],[STATE]],"-",Table13[[#This Row],[Year]])</f>
        <v>Andaman &amp; Nicobar Islands-2010</v>
      </c>
      <c r="D665" t="s">
        <v>66</v>
      </c>
      <c r="E665" t="s">
        <v>67</v>
      </c>
      <c r="F665">
        <v>2933</v>
      </c>
      <c r="G665">
        <v>212</v>
      </c>
      <c r="H665">
        <v>13</v>
      </c>
      <c r="I665">
        <v>0</v>
      </c>
      <c r="J665">
        <v>1981</v>
      </c>
      <c r="K665">
        <v>1</v>
      </c>
      <c r="L665">
        <v>1</v>
      </c>
      <c r="M665">
        <v>484</v>
      </c>
      <c r="N665">
        <v>1</v>
      </c>
      <c r="O665">
        <v>47</v>
      </c>
      <c r="P665">
        <v>190</v>
      </c>
      <c r="Q665">
        <v>3</v>
      </c>
      <c r="R665">
        <f>SUM(Table13[[#This Row],[Rank_All_Ranks_Total]:[Rank_SSPSPAddlSPCommandant]])</f>
        <v>5866</v>
      </c>
    </row>
    <row r="666" spans="1:18" x14ac:dyDescent="0.3">
      <c r="A666" t="s">
        <v>6</v>
      </c>
      <c r="B666">
        <v>2010</v>
      </c>
      <c r="C666" t="str">
        <f>_xlfn.CONCAT(Table13[[#This Row],[STATE]],"-",Table13[[#This Row],[Year]])</f>
        <v>Andhra Pradesh-2010</v>
      </c>
      <c r="D666" t="s">
        <v>66</v>
      </c>
      <c r="E666" t="s">
        <v>67</v>
      </c>
      <c r="F666">
        <v>95370</v>
      </c>
      <c r="G666">
        <v>2952</v>
      </c>
      <c r="H666">
        <v>606</v>
      </c>
      <c r="I666">
        <v>0</v>
      </c>
      <c r="J666">
        <v>75142</v>
      </c>
      <c r="K666">
        <v>25</v>
      </c>
      <c r="L666">
        <v>27</v>
      </c>
      <c r="M666">
        <v>11392</v>
      </c>
      <c r="N666">
        <v>31</v>
      </c>
      <c r="O666">
        <v>1387</v>
      </c>
      <c r="P666">
        <v>3665</v>
      </c>
      <c r="Q666">
        <v>143</v>
      </c>
      <c r="R666">
        <f>SUM(Table13[[#This Row],[Rank_All_Ranks_Total]:[Rank_SSPSPAddlSPCommandant]])</f>
        <v>190740</v>
      </c>
    </row>
    <row r="667" spans="1:18" x14ac:dyDescent="0.3">
      <c r="A667" t="s">
        <v>7</v>
      </c>
      <c r="B667">
        <v>2010</v>
      </c>
      <c r="C667" t="str">
        <f>_xlfn.CONCAT(Table13[[#This Row],[STATE]],"-",Table13[[#This Row],[Year]])</f>
        <v>Arunachal Pradesh-2010</v>
      </c>
      <c r="D667" t="s">
        <v>66</v>
      </c>
      <c r="E667" t="s">
        <v>67</v>
      </c>
      <c r="F667">
        <v>3506</v>
      </c>
      <c r="G667">
        <v>176</v>
      </c>
      <c r="H667">
        <v>33</v>
      </c>
      <c r="I667">
        <v>0</v>
      </c>
      <c r="J667">
        <v>2490</v>
      </c>
      <c r="K667">
        <v>1</v>
      </c>
      <c r="L667">
        <v>3</v>
      </c>
      <c r="M667">
        <v>416</v>
      </c>
      <c r="N667">
        <v>1</v>
      </c>
      <c r="O667">
        <v>67</v>
      </c>
      <c r="P667">
        <v>298</v>
      </c>
      <c r="Q667">
        <v>21</v>
      </c>
      <c r="R667">
        <f>SUM(Table13[[#This Row],[Rank_All_Ranks_Total]:[Rank_SSPSPAddlSPCommandant]])</f>
        <v>7012</v>
      </c>
    </row>
    <row r="668" spans="1:18" x14ac:dyDescent="0.3">
      <c r="A668" t="s">
        <v>8</v>
      </c>
      <c r="B668">
        <v>2010</v>
      </c>
      <c r="C668" t="str">
        <f>_xlfn.CONCAT(Table13[[#This Row],[STATE]],"-",Table13[[#This Row],[Year]])</f>
        <v>Assam-2010</v>
      </c>
      <c r="D668" t="s">
        <v>66</v>
      </c>
      <c r="E668" t="s">
        <v>67</v>
      </c>
      <c r="F668">
        <v>28694</v>
      </c>
      <c r="G668">
        <v>1789</v>
      </c>
      <c r="H668">
        <v>161</v>
      </c>
      <c r="I668">
        <v>506</v>
      </c>
      <c r="J668">
        <v>21969</v>
      </c>
      <c r="K668">
        <v>11</v>
      </c>
      <c r="L668">
        <v>16</v>
      </c>
      <c r="M668">
        <v>1260</v>
      </c>
      <c r="N668">
        <v>14</v>
      </c>
      <c r="O668">
        <v>487</v>
      </c>
      <c r="P668">
        <v>2347</v>
      </c>
      <c r="Q668">
        <v>134</v>
      </c>
      <c r="R668">
        <f>SUM(Table13[[#This Row],[Rank_All_Ranks_Total]:[Rank_SSPSPAddlSPCommandant]])</f>
        <v>57388</v>
      </c>
    </row>
    <row r="669" spans="1:18" x14ac:dyDescent="0.3">
      <c r="A669" t="s">
        <v>9</v>
      </c>
      <c r="B669">
        <v>2010</v>
      </c>
      <c r="C669" t="str">
        <f>_xlfn.CONCAT(Table13[[#This Row],[STATE]],"-",Table13[[#This Row],[Year]])</f>
        <v>Bihar-2010</v>
      </c>
      <c r="D669" t="s">
        <v>66</v>
      </c>
      <c r="E669" t="s">
        <v>67</v>
      </c>
      <c r="F669">
        <v>49915</v>
      </c>
      <c r="G669">
        <v>3450</v>
      </c>
      <c r="H669">
        <v>258</v>
      </c>
      <c r="I669">
        <v>0</v>
      </c>
      <c r="J669">
        <v>34291</v>
      </c>
      <c r="K669">
        <v>19</v>
      </c>
      <c r="L669">
        <v>17</v>
      </c>
      <c r="M669">
        <v>4601</v>
      </c>
      <c r="N669">
        <v>14</v>
      </c>
      <c r="O669">
        <v>618</v>
      </c>
      <c r="P669">
        <v>6572</v>
      </c>
      <c r="Q669">
        <v>75</v>
      </c>
      <c r="R669">
        <f>SUM(Table13[[#This Row],[Rank_All_Ranks_Total]:[Rank_SSPSPAddlSPCommandant]])</f>
        <v>99830</v>
      </c>
    </row>
    <row r="670" spans="1:18" x14ac:dyDescent="0.3">
      <c r="A670" t="s">
        <v>35</v>
      </c>
      <c r="B670">
        <v>2010</v>
      </c>
      <c r="C670" t="str">
        <f>_xlfn.CONCAT(Table13[[#This Row],[STATE]],"-",Table13[[#This Row],[Year]])</f>
        <v>Chandigarh-2010</v>
      </c>
      <c r="D670" t="s">
        <v>66</v>
      </c>
      <c r="E670" t="s">
        <v>67</v>
      </c>
      <c r="F670">
        <v>4424</v>
      </c>
      <c r="G670">
        <v>210</v>
      </c>
      <c r="H670">
        <v>11</v>
      </c>
      <c r="I670">
        <v>0</v>
      </c>
      <c r="J670">
        <v>2969</v>
      </c>
      <c r="K670">
        <v>0</v>
      </c>
      <c r="L670">
        <v>1</v>
      </c>
      <c r="M670">
        <v>835</v>
      </c>
      <c r="N670">
        <v>1</v>
      </c>
      <c r="O670">
        <v>69</v>
      </c>
      <c r="P670">
        <v>325</v>
      </c>
      <c r="Q670">
        <v>3</v>
      </c>
      <c r="R670">
        <f>SUM(Table13[[#This Row],[Rank_All_Ranks_Total]:[Rank_SSPSPAddlSPCommandant]])</f>
        <v>8848</v>
      </c>
    </row>
    <row r="671" spans="1:18" x14ac:dyDescent="0.3">
      <c r="A671" t="s">
        <v>10</v>
      </c>
      <c r="B671">
        <v>2010</v>
      </c>
      <c r="C671" t="str">
        <f>_xlfn.CONCAT(Table13[[#This Row],[STATE]],"-",Table13[[#This Row],[Year]])</f>
        <v>Chhattisgarh-2010</v>
      </c>
      <c r="D671" t="s">
        <v>66</v>
      </c>
      <c r="E671" t="s">
        <v>67</v>
      </c>
      <c r="F671">
        <v>26046</v>
      </c>
      <c r="G671">
        <v>1068</v>
      </c>
      <c r="H671">
        <v>178</v>
      </c>
      <c r="I671">
        <v>0</v>
      </c>
      <c r="J671">
        <v>19979</v>
      </c>
      <c r="K671">
        <v>6</v>
      </c>
      <c r="L671">
        <v>5</v>
      </c>
      <c r="M671">
        <v>3581</v>
      </c>
      <c r="N671">
        <v>13</v>
      </c>
      <c r="O671">
        <v>438</v>
      </c>
      <c r="P671">
        <v>669</v>
      </c>
      <c r="Q671">
        <v>109</v>
      </c>
      <c r="R671">
        <f>SUM(Table13[[#This Row],[Rank_All_Ranks_Total]:[Rank_SSPSPAddlSPCommandant]])</f>
        <v>52092</v>
      </c>
    </row>
    <row r="672" spans="1:18" x14ac:dyDescent="0.3">
      <c r="A672" t="s">
        <v>62</v>
      </c>
      <c r="B672">
        <v>2010</v>
      </c>
      <c r="C672" t="str">
        <f>_xlfn.CONCAT(Table13[[#This Row],[STATE]],"-",Table13[[#This Row],[Year]])</f>
        <v>Dadra &amp; Nagar Haveli-2010</v>
      </c>
      <c r="D672" t="s">
        <v>66</v>
      </c>
      <c r="E672" t="s">
        <v>67</v>
      </c>
      <c r="F672">
        <v>208</v>
      </c>
      <c r="G672">
        <v>3</v>
      </c>
      <c r="H672">
        <v>1</v>
      </c>
      <c r="I672">
        <v>0</v>
      </c>
      <c r="J672">
        <v>147</v>
      </c>
      <c r="K672">
        <v>0</v>
      </c>
      <c r="L672">
        <v>0</v>
      </c>
      <c r="M672">
        <v>44</v>
      </c>
      <c r="N672">
        <v>0</v>
      </c>
      <c r="O672">
        <v>1</v>
      </c>
      <c r="P672">
        <v>10</v>
      </c>
      <c r="Q672">
        <v>2</v>
      </c>
      <c r="R672">
        <f>SUM(Table13[[#This Row],[Rank_All_Ranks_Total]:[Rank_SSPSPAddlSPCommandant]])</f>
        <v>416</v>
      </c>
    </row>
    <row r="673" spans="1:18" x14ac:dyDescent="0.3">
      <c r="A673" t="s">
        <v>37</v>
      </c>
      <c r="B673">
        <v>2010</v>
      </c>
      <c r="C673" t="str">
        <f>_xlfn.CONCAT(Table13[[#This Row],[STATE]],"-",Table13[[#This Row],[Year]])</f>
        <v>Daman &amp; Diu-2010</v>
      </c>
      <c r="D673" t="s">
        <v>66</v>
      </c>
      <c r="E673" t="s">
        <v>67</v>
      </c>
      <c r="F673">
        <v>220</v>
      </c>
      <c r="G673">
        <v>5</v>
      </c>
      <c r="H673">
        <v>2</v>
      </c>
      <c r="I673">
        <v>0</v>
      </c>
      <c r="J673">
        <v>170</v>
      </c>
      <c r="K673">
        <v>0</v>
      </c>
      <c r="L673">
        <v>1</v>
      </c>
      <c r="M673">
        <v>31</v>
      </c>
      <c r="N673">
        <v>0</v>
      </c>
      <c r="O673">
        <v>1</v>
      </c>
      <c r="P673">
        <v>9</v>
      </c>
      <c r="Q673">
        <v>1</v>
      </c>
      <c r="R673">
        <f>SUM(Table13[[#This Row],[Rank_All_Ranks_Total]:[Rank_SSPSPAddlSPCommandant]])</f>
        <v>440</v>
      </c>
    </row>
    <row r="674" spans="1:18" x14ac:dyDescent="0.3">
      <c r="A674" t="s">
        <v>38</v>
      </c>
      <c r="B674">
        <v>2010</v>
      </c>
      <c r="C674" t="str">
        <f>_xlfn.CONCAT(Table13[[#This Row],[STATE]],"-",Table13[[#This Row],[Year]])</f>
        <v>Delhi-2010</v>
      </c>
      <c r="D674" t="s">
        <v>66</v>
      </c>
      <c r="E674" t="s">
        <v>67</v>
      </c>
      <c r="F674">
        <v>67268</v>
      </c>
      <c r="G674">
        <v>6167</v>
      </c>
      <c r="H674">
        <v>225</v>
      </c>
      <c r="I674">
        <v>0</v>
      </c>
      <c r="J674">
        <v>39205</v>
      </c>
      <c r="K674">
        <v>9</v>
      </c>
      <c r="L674">
        <v>10</v>
      </c>
      <c r="M674">
        <v>16179</v>
      </c>
      <c r="N674">
        <v>17</v>
      </c>
      <c r="O674">
        <v>1221</v>
      </c>
      <c r="P674">
        <v>4178</v>
      </c>
      <c r="Q674">
        <v>57</v>
      </c>
      <c r="R674">
        <f>SUM(Table13[[#This Row],[Rank_All_Ranks_Total]:[Rank_SSPSPAddlSPCommandant]])</f>
        <v>134536</v>
      </c>
    </row>
    <row r="675" spans="1:18" x14ac:dyDescent="0.3">
      <c r="A675" t="s">
        <v>11</v>
      </c>
      <c r="B675">
        <v>2010</v>
      </c>
      <c r="C675" t="str">
        <f>_xlfn.CONCAT(Table13[[#This Row],[STATE]],"-",Table13[[#This Row],[Year]])</f>
        <v>Goa-2010</v>
      </c>
      <c r="D675" t="s">
        <v>66</v>
      </c>
      <c r="E675" t="s">
        <v>67</v>
      </c>
      <c r="F675">
        <v>4038</v>
      </c>
      <c r="G675">
        <v>177</v>
      </c>
      <c r="H675">
        <v>24</v>
      </c>
      <c r="I675">
        <v>0</v>
      </c>
      <c r="J675">
        <v>2820</v>
      </c>
      <c r="K675">
        <v>1</v>
      </c>
      <c r="L675">
        <v>1</v>
      </c>
      <c r="M675">
        <v>801</v>
      </c>
      <c r="N675">
        <v>1</v>
      </c>
      <c r="O675">
        <v>54</v>
      </c>
      <c r="P675">
        <v>146</v>
      </c>
      <c r="Q675">
        <v>13</v>
      </c>
      <c r="R675">
        <f>SUM(Table13[[#This Row],[Rank_All_Ranks_Total]:[Rank_SSPSPAddlSPCommandant]])</f>
        <v>8076</v>
      </c>
    </row>
    <row r="676" spans="1:18" x14ac:dyDescent="0.3">
      <c r="A676" t="s">
        <v>12</v>
      </c>
      <c r="B676">
        <v>2010</v>
      </c>
      <c r="C676" t="str">
        <f>_xlfn.CONCAT(Table13[[#This Row],[STATE]],"-",Table13[[#This Row],[Year]])</f>
        <v>Gujarat-2010</v>
      </c>
      <c r="D676" t="s">
        <v>66</v>
      </c>
      <c r="E676" t="s">
        <v>67</v>
      </c>
      <c r="F676">
        <v>48648</v>
      </c>
      <c r="G676">
        <v>7301</v>
      </c>
      <c r="H676">
        <v>187</v>
      </c>
      <c r="I676">
        <v>0</v>
      </c>
      <c r="J676">
        <v>27621</v>
      </c>
      <c r="K676">
        <v>17</v>
      </c>
      <c r="L676">
        <v>18</v>
      </c>
      <c r="M676">
        <v>10551</v>
      </c>
      <c r="N676">
        <v>19</v>
      </c>
      <c r="O676">
        <v>767</v>
      </c>
      <c r="P676">
        <v>2120</v>
      </c>
      <c r="Q676">
        <v>47</v>
      </c>
      <c r="R676">
        <f>SUM(Table13[[#This Row],[Rank_All_Ranks_Total]:[Rank_SSPSPAddlSPCommandant]])</f>
        <v>97296</v>
      </c>
    </row>
    <row r="677" spans="1:18" x14ac:dyDescent="0.3">
      <c r="A677" t="s">
        <v>13</v>
      </c>
      <c r="B677">
        <v>2010</v>
      </c>
      <c r="C677" t="str">
        <f>_xlfn.CONCAT(Table13[[#This Row],[STATE]],"-",Table13[[#This Row],[Year]])</f>
        <v>Haryana-2010</v>
      </c>
      <c r="D677" t="s">
        <v>66</v>
      </c>
      <c r="E677" t="s">
        <v>67</v>
      </c>
      <c r="F677">
        <v>42961</v>
      </c>
      <c r="G677">
        <v>948</v>
      </c>
      <c r="H677">
        <v>145</v>
      </c>
      <c r="I677">
        <v>0</v>
      </c>
      <c r="J677">
        <v>33692</v>
      </c>
      <c r="K677">
        <v>12</v>
      </c>
      <c r="L677">
        <v>12</v>
      </c>
      <c r="M677">
        <v>6957</v>
      </c>
      <c r="N677">
        <v>18</v>
      </c>
      <c r="O677">
        <v>566</v>
      </c>
      <c r="P677">
        <v>567</v>
      </c>
      <c r="Q677">
        <v>44</v>
      </c>
      <c r="R677">
        <f>SUM(Table13[[#This Row],[Rank_All_Ranks_Total]:[Rank_SSPSPAddlSPCommandant]])</f>
        <v>85922</v>
      </c>
    </row>
    <row r="678" spans="1:18" x14ac:dyDescent="0.3">
      <c r="A678" t="s">
        <v>14</v>
      </c>
      <c r="B678">
        <v>2010</v>
      </c>
      <c r="C678" t="str">
        <f>_xlfn.CONCAT(Table13[[#This Row],[STATE]],"-",Table13[[#This Row],[Year]])</f>
        <v>Himachal Pradesh-2010</v>
      </c>
      <c r="D678" t="s">
        <v>66</v>
      </c>
      <c r="E678" t="s">
        <v>67</v>
      </c>
      <c r="F678">
        <v>9671</v>
      </c>
      <c r="G678">
        <v>919</v>
      </c>
      <c r="H678">
        <v>53</v>
      </c>
      <c r="I678">
        <v>0</v>
      </c>
      <c r="J678">
        <v>6388</v>
      </c>
      <c r="K678">
        <v>11</v>
      </c>
      <c r="L678">
        <v>12</v>
      </c>
      <c r="M678">
        <v>1589</v>
      </c>
      <c r="N678">
        <v>16</v>
      </c>
      <c r="O678">
        <v>190</v>
      </c>
      <c r="P678">
        <v>453</v>
      </c>
      <c r="Q678">
        <v>40</v>
      </c>
      <c r="R678">
        <f>SUM(Table13[[#This Row],[Rank_All_Ranks_Total]:[Rank_SSPSPAddlSPCommandant]])</f>
        <v>19342</v>
      </c>
    </row>
    <row r="679" spans="1:18" x14ac:dyDescent="0.3">
      <c r="A679" t="s">
        <v>15</v>
      </c>
      <c r="B679">
        <v>2010</v>
      </c>
      <c r="C679" t="str">
        <f>_xlfn.CONCAT(Table13[[#This Row],[STATE]],"-",Table13[[#This Row],[Year]])</f>
        <v>Jammu &amp; Kashmir-2010</v>
      </c>
      <c r="D679" t="s">
        <v>66</v>
      </c>
      <c r="E679" t="s">
        <v>67</v>
      </c>
      <c r="F679">
        <v>47859</v>
      </c>
      <c r="G679">
        <v>3095</v>
      </c>
      <c r="H679">
        <v>334</v>
      </c>
      <c r="I679">
        <v>8005</v>
      </c>
      <c r="J679">
        <v>26245</v>
      </c>
      <c r="K679">
        <v>4</v>
      </c>
      <c r="L679">
        <v>20</v>
      </c>
      <c r="M679">
        <v>7465</v>
      </c>
      <c r="N679">
        <v>11</v>
      </c>
      <c r="O679">
        <v>668</v>
      </c>
      <c r="P679">
        <v>1907</v>
      </c>
      <c r="Q679">
        <v>105</v>
      </c>
      <c r="R679">
        <f>SUM(Table13[[#This Row],[Rank_All_Ranks_Total]:[Rank_SSPSPAddlSPCommandant]])</f>
        <v>95718</v>
      </c>
    </row>
    <row r="680" spans="1:18" x14ac:dyDescent="0.3">
      <c r="A680" t="s">
        <v>16</v>
      </c>
      <c r="B680">
        <v>2010</v>
      </c>
      <c r="C680" t="str">
        <f>_xlfn.CONCAT(Table13[[#This Row],[STATE]],"-",Table13[[#This Row],[Year]])</f>
        <v>Jharkhand-2010</v>
      </c>
      <c r="D680" t="s">
        <v>66</v>
      </c>
      <c r="E680" t="s">
        <v>67</v>
      </c>
      <c r="F680">
        <v>33806</v>
      </c>
      <c r="G680">
        <v>2488</v>
      </c>
      <c r="H680">
        <v>158</v>
      </c>
      <c r="I680">
        <v>0</v>
      </c>
      <c r="J680">
        <v>25220</v>
      </c>
      <c r="K680">
        <v>6</v>
      </c>
      <c r="L680">
        <v>11</v>
      </c>
      <c r="M680">
        <v>3600</v>
      </c>
      <c r="N680">
        <v>18</v>
      </c>
      <c r="O680">
        <v>385</v>
      </c>
      <c r="P680">
        <v>1883</v>
      </c>
      <c r="Q680">
        <v>37</v>
      </c>
      <c r="R680">
        <f>SUM(Table13[[#This Row],[Rank_All_Ranks_Total]:[Rank_SSPSPAddlSPCommandant]])</f>
        <v>67612</v>
      </c>
    </row>
    <row r="681" spans="1:18" x14ac:dyDescent="0.3">
      <c r="A681" t="s">
        <v>17</v>
      </c>
      <c r="B681">
        <v>2010</v>
      </c>
      <c r="C681" t="str">
        <f>_xlfn.CONCAT(Table13[[#This Row],[STATE]],"-",Table13[[#This Row],[Year]])</f>
        <v>Karnataka-2010</v>
      </c>
      <c r="D681" t="s">
        <v>66</v>
      </c>
      <c r="E681" t="s">
        <v>67</v>
      </c>
      <c r="F681">
        <v>63689</v>
      </c>
      <c r="G681">
        <v>3740</v>
      </c>
      <c r="H681">
        <v>353</v>
      </c>
      <c r="I681">
        <v>0</v>
      </c>
      <c r="J681">
        <v>39423</v>
      </c>
      <c r="K681">
        <v>25</v>
      </c>
      <c r="L681">
        <v>17</v>
      </c>
      <c r="M681">
        <v>16846</v>
      </c>
      <c r="N681">
        <v>26</v>
      </c>
      <c r="O681">
        <v>1001</v>
      </c>
      <c r="P681">
        <v>2117</v>
      </c>
      <c r="Q681">
        <v>141</v>
      </c>
      <c r="R681">
        <f>SUM(Table13[[#This Row],[Rank_All_Ranks_Total]:[Rank_SSPSPAddlSPCommandant]])</f>
        <v>127378</v>
      </c>
    </row>
    <row r="682" spans="1:18" x14ac:dyDescent="0.3">
      <c r="A682" t="s">
        <v>18</v>
      </c>
      <c r="B682">
        <v>2010</v>
      </c>
      <c r="C682" t="str">
        <f>_xlfn.CONCAT(Table13[[#This Row],[STATE]],"-",Table13[[#This Row],[Year]])</f>
        <v>Kerala-2010</v>
      </c>
      <c r="D682" t="s">
        <v>66</v>
      </c>
      <c r="E682" t="s">
        <v>67</v>
      </c>
      <c r="F682">
        <v>37368</v>
      </c>
      <c r="G682">
        <v>1475</v>
      </c>
      <c r="H682">
        <v>284</v>
      </c>
      <c r="I682">
        <v>0</v>
      </c>
      <c r="J682">
        <v>25962</v>
      </c>
      <c r="K682">
        <v>6</v>
      </c>
      <c r="L682">
        <v>5</v>
      </c>
      <c r="M682">
        <v>7292</v>
      </c>
      <c r="N682">
        <v>10</v>
      </c>
      <c r="O682">
        <v>423</v>
      </c>
      <c r="P682">
        <v>1857</v>
      </c>
      <c r="Q682">
        <v>54</v>
      </c>
      <c r="R682">
        <f>SUM(Table13[[#This Row],[Rank_All_Ranks_Total]:[Rank_SSPSPAddlSPCommandant]])</f>
        <v>74736</v>
      </c>
    </row>
    <row r="683" spans="1:18" x14ac:dyDescent="0.3">
      <c r="A683" t="s">
        <v>39</v>
      </c>
      <c r="B683">
        <v>2010</v>
      </c>
      <c r="C683" t="str">
        <f>_xlfn.CONCAT(Table13[[#This Row],[STATE]],"-",Table13[[#This Row],[Year]])</f>
        <v>Lakshadweep-2010</v>
      </c>
      <c r="D683" t="s">
        <v>66</v>
      </c>
      <c r="E683" t="s">
        <v>67</v>
      </c>
      <c r="F683">
        <v>332</v>
      </c>
      <c r="G683">
        <v>13</v>
      </c>
      <c r="H683">
        <v>1</v>
      </c>
      <c r="I683">
        <v>0</v>
      </c>
      <c r="J683">
        <v>219</v>
      </c>
      <c r="K683">
        <v>0</v>
      </c>
      <c r="L683">
        <v>0</v>
      </c>
      <c r="M683">
        <v>88</v>
      </c>
      <c r="N683">
        <v>0</v>
      </c>
      <c r="O683">
        <v>7</v>
      </c>
      <c r="P683">
        <v>3</v>
      </c>
      <c r="Q683">
        <v>1</v>
      </c>
      <c r="R683">
        <f>SUM(Table13[[#This Row],[Rank_All_Ranks_Total]:[Rank_SSPSPAddlSPCommandant]])</f>
        <v>664</v>
      </c>
    </row>
    <row r="684" spans="1:18" x14ac:dyDescent="0.3">
      <c r="A684" t="s">
        <v>19</v>
      </c>
      <c r="B684">
        <v>2010</v>
      </c>
      <c r="C684" t="str">
        <f>_xlfn.CONCAT(Table13[[#This Row],[STATE]],"-",Table13[[#This Row],[Year]])</f>
        <v>Madhya Pradesh-2010</v>
      </c>
      <c r="D684" t="s">
        <v>66</v>
      </c>
      <c r="E684" t="s">
        <v>67</v>
      </c>
      <c r="F684">
        <v>52765</v>
      </c>
      <c r="G684">
        <v>2672</v>
      </c>
      <c r="H684">
        <v>525</v>
      </c>
      <c r="I684">
        <v>0</v>
      </c>
      <c r="J684">
        <v>35866</v>
      </c>
      <c r="K684">
        <v>32</v>
      </c>
      <c r="L684">
        <v>38</v>
      </c>
      <c r="M684">
        <v>9637</v>
      </c>
      <c r="N684">
        <v>63</v>
      </c>
      <c r="O684">
        <v>1370</v>
      </c>
      <c r="P684">
        <v>2502</v>
      </c>
      <c r="Q684">
        <v>60</v>
      </c>
      <c r="R684">
        <f>SUM(Table13[[#This Row],[Rank_All_Ranks_Total]:[Rank_SSPSPAddlSPCommandant]])</f>
        <v>105530</v>
      </c>
    </row>
    <row r="685" spans="1:18" x14ac:dyDescent="0.3">
      <c r="A685" t="s">
        <v>20</v>
      </c>
      <c r="B685">
        <v>2010</v>
      </c>
      <c r="C685" t="str">
        <f>_xlfn.CONCAT(Table13[[#This Row],[STATE]],"-",Table13[[#This Row],[Year]])</f>
        <v>Maharashtra-2010</v>
      </c>
      <c r="D685" t="s">
        <v>66</v>
      </c>
      <c r="E685" t="s">
        <v>67</v>
      </c>
      <c r="F685">
        <v>165740</v>
      </c>
      <c r="G685">
        <v>13658</v>
      </c>
      <c r="H685">
        <v>503</v>
      </c>
      <c r="I685">
        <v>34091</v>
      </c>
      <c r="J685">
        <v>72073</v>
      </c>
      <c r="K685">
        <v>26</v>
      </c>
      <c r="L685">
        <v>34</v>
      </c>
      <c r="M685">
        <v>33984</v>
      </c>
      <c r="N685">
        <v>43</v>
      </c>
      <c r="O685">
        <v>3097</v>
      </c>
      <c r="P685">
        <v>8038</v>
      </c>
      <c r="Q685">
        <v>193</v>
      </c>
      <c r="R685">
        <f>SUM(Table13[[#This Row],[Rank_All_Ranks_Total]:[Rank_SSPSPAddlSPCommandant]])</f>
        <v>331480</v>
      </c>
    </row>
    <row r="686" spans="1:18" x14ac:dyDescent="0.3">
      <c r="A686" t="s">
        <v>21</v>
      </c>
      <c r="B686">
        <v>2010</v>
      </c>
      <c r="C686" t="str">
        <f>_xlfn.CONCAT(Table13[[#This Row],[STATE]],"-",Table13[[#This Row],[Year]])</f>
        <v>Manipur-2010</v>
      </c>
      <c r="D686" t="s">
        <v>66</v>
      </c>
      <c r="E686" t="s">
        <v>67</v>
      </c>
      <c r="F686">
        <v>10249</v>
      </c>
      <c r="G686">
        <v>452</v>
      </c>
      <c r="H686">
        <v>75</v>
      </c>
      <c r="I686">
        <v>0</v>
      </c>
      <c r="J686">
        <v>8053</v>
      </c>
      <c r="K686">
        <v>4</v>
      </c>
      <c r="L686">
        <v>1</v>
      </c>
      <c r="M686">
        <v>728</v>
      </c>
      <c r="N686">
        <v>7</v>
      </c>
      <c r="O686">
        <v>267</v>
      </c>
      <c r="P686">
        <v>624</v>
      </c>
      <c r="Q686">
        <v>38</v>
      </c>
      <c r="R686">
        <f>SUM(Table13[[#This Row],[Rank_All_Ranks_Total]:[Rank_SSPSPAddlSPCommandant]])</f>
        <v>20498</v>
      </c>
    </row>
    <row r="687" spans="1:18" x14ac:dyDescent="0.3">
      <c r="A687" t="s">
        <v>22</v>
      </c>
      <c r="B687">
        <v>2010</v>
      </c>
      <c r="C687" t="str">
        <f>_xlfn.CONCAT(Table13[[#This Row],[STATE]],"-",Table13[[#This Row],[Year]])</f>
        <v>Meghalaya-2010</v>
      </c>
      <c r="D687" t="s">
        <v>66</v>
      </c>
      <c r="E687" t="s">
        <v>67</v>
      </c>
      <c r="F687">
        <v>5898</v>
      </c>
      <c r="G687">
        <v>164</v>
      </c>
      <c r="H687">
        <v>29</v>
      </c>
      <c r="I687">
        <v>99</v>
      </c>
      <c r="J687">
        <v>4314</v>
      </c>
      <c r="K687">
        <v>6</v>
      </c>
      <c r="L687">
        <v>6</v>
      </c>
      <c r="M687">
        <v>492</v>
      </c>
      <c r="N687">
        <v>7</v>
      </c>
      <c r="O687">
        <v>120</v>
      </c>
      <c r="P687">
        <v>636</v>
      </c>
      <c r="Q687">
        <v>25</v>
      </c>
      <c r="R687">
        <f>SUM(Table13[[#This Row],[Rank_All_Ranks_Total]:[Rank_SSPSPAddlSPCommandant]])</f>
        <v>11796</v>
      </c>
    </row>
    <row r="688" spans="1:18" x14ac:dyDescent="0.3">
      <c r="A688" t="s">
        <v>23</v>
      </c>
      <c r="B688">
        <v>2010</v>
      </c>
      <c r="C688" t="str">
        <f>_xlfn.CONCAT(Table13[[#This Row],[STATE]],"-",Table13[[#This Row],[Year]])</f>
        <v>Mizoram-2010</v>
      </c>
      <c r="D688" t="s">
        <v>66</v>
      </c>
      <c r="E688" t="s">
        <v>67</v>
      </c>
      <c r="F688">
        <v>3562</v>
      </c>
      <c r="G688">
        <v>459</v>
      </c>
      <c r="H688">
        <v>42</v>
      </c>
      <c r="I688">
        <v>307</v>
      </c>
      <c r="J688">
        <v>1341</v>
      </c>
      <c r="K688">
        <v>2</v>
      </c>
      <c r="L688">
        <v>5</v>
      </c>
      <c r="M688">
        <v>733</v>
      </c>
      <c r="N688">
        <v>0</v>
      </c>
      <c r="O688">
        <v>156</v>
      </c>
      <c r="P688">
        <v>478</v>
      </c>
      <c r="Q688">
        <v>39</v>
      </c>
      <c r="R688">
        <f>SUM(Table13[[#This Row],[Rank_All_Ranks_Total]:[Rank_SSPSPAddlSPCommandant]])</f>
        <v>7124</v>
      </c>
    </row>
    <row r="689" spans="1:18" x14ac:dyDescent="0.3">
      <c r="A689" t="s">
        <v>24</v>
      </c>
      <c r="B689">
        <v>2010</v>
      </c>
      <c r="C689" t="str">
        <f>_xlfn.CONCAT(Table13[[#This Row],[STATE]],"-",Table13[[#This Row],[Year]])</f>
        <v>Nagaland-2010</v>
      </c>
      <c r="D689" t="s">
        <v>66</v>
      </c>
      <c r="E689" t="s">
        <v>67</v>
      </c>
      <c r="F689">
        <v>5637</v>
      </c>
      <c r="G689">
        <v>196</v>
      </c>
      <c r="H689">
        <v>33</v>
      </c>
      <c r="I689">
        <v>498</v>
      </c>
      <c r="J689">
        <v>4199</v>
      </c>
      <c r="K689">
        <v>4</v>
      </c>
      <c r="L689">
        <v>11</v>
      </c>
      <c r="M689">
        <v>390</v>
      </c>
      <c r="N689">
        <v>7</v>
      </c>
      <c r="O689">
        <v>48</v>
      </c>
      <c r="P689">
        <v>212</v>
      </c>
      <c r="Q689">
        <v>39</v>
      </c>
      <c r="R689">
        <f>SUM(Table13[[#This Row],[Rank_All_Ranks_Total]:[Rank_SSPSPAddlSPCommandant]])</f>
        <v>11274</v>
      </c>
    </row>
    <row r="690" spans="1:18" x14ac:dyDescent="0.3">
      <c r="A690" t="s">
        <v>63</v>
      </c>
      <c r="B690">
        <v>2010</v>
      </c>
      <c r="C690" t="str">
        <f>_xlfn.CONCAT(Table13[[#This Row],[STATE]],"-",Table13[[#This Row],[Year]])</f>
        <v>Odisha-2010</v>
      </c>
      <c r="D690" t="s">
        <v>66</v>
      </c>
      <c r="E690" t="s">
        <v>67</v>
      </c>
      <c r="F690">
        <v>28965</v>
      </c>
      <c r="G690">
        <v>3946</v>
      </c>
      <c r="H690">
        <v>268</v>
      </c>
      <c r="I690">
        <v>274</v>
      </c>
      <c r="J690">
        <v>19097</v>
      </c>
      <c r="K690">
        <v>6</v>
      </c>
      <c r="L690">
        <v>16</v>
      </c>
      <c r="M690">
        <v>2591</v>
      </c>
      <c r="N690">
        <v>21</v>
      </c>
      <c r="O690">
        <v>703</v>
      </c>
      <c r="P690">
        <v>1973</v>
      </c>
      <c r="Q690">
        <v>70</v>
      </c>
      <c r="R690">
        <f>SUM(Table13[[#This Row],[Rank_All_Ranks_Total]:[Rank_SSPSPAddlSPCommandant]])</f>
        <v>57930</v>
      </c>
    </row>
    <row r="691" spans="1:18" x14ac:dyDescent="0.3">
      <c r="A691" t="s">
        <v>64</v>
      </c>
      <c r="B691">
        <v>2010</v>
      </c>
      <c r="C691" t="str">
        <f>_xlfn.CONCAT(Table13[[#This Row],[STATE]],"-",Table13[[#This Row],[Year]])</f>
        <v>Puducherry-2010</v>
      </c>
      <c r="D691" t="s">
        <v>66</v>
      </c>
      <c r="E691" t="s">
        <v>67</v>
      </c>
      <c r="F691">
        <v>1721</v>
      </c>
      <c r="G691">
        <v>68</v>
      </c>
      <c r="H691">
        <v>18</v>
      </c>
      <c r="I691">
        <v>0</v>
      </c>
      <c r="J691">
        <v>1056</v>
      </c>
      <c r="K691">
        <v>0</v>
      </c>
      <c r="L691">
        <v>1</v>
      </c>
      <c r="M691">
        <v>341</v>
      </c>
      <c r="N691">
        <v>1</v>
      </c>
      <c r="O691">
        <v>63</v>
      </c>
      <c r="P691">
        <v>171</v>
      </c>
      <c r="Q691">
        <v>2</v>
      </c>
      <c r="R691">
        <f>SUM(Table13[[#This Row],[Rank_All_Ranks_Total]:[Rank_SSPSPAddlSPCommandant]])</f>
        <v>3442</v>
      </c>
    </row>
    <row r="692" spans="1:18" x14ac:dyDescent="0.3">
      <c r="A692" t="s">
        <v>26</v>
      </c>
      <c r="B692">
        <v>2010</v>
      </c>
      <c r="C692" t="str">
        <f>_xlfn.CONCAT(Table13[[#This Row],[STATE]],"-",Table13[[#This Row],[Year]])</f>
        <v>Punjab-2010</v>
      </c>
      <c r="D692" t="s">
        <v>66</v>
      </c>
      <c r="E692" t="s">
        <v>67</v>
      </c>
      <c r="F692">
        <v>47992</v>
      </c>
      <c r="G692">
        <v>3832</v>
      </c>
      <c r="H692">
        <v>301</v>
      </c>
      <c r="I692">
        <v>0</v>
      </c>
      <c r="J692">
        <v>34345</v>
      </c>
      <c r="K692">
        <v>10</v>
      </c>
      <c r="L692">
        <v>21</v>
      </c>
      <c r="M692">
        <v>6833</v>
      </c>
      <c r="N692">
        <v>21</v>
      </c>
      <c r="O692">
        <v>725</v>
      </c>
      <c r="P692">
        <v>1752</v>
      </c>
      <c r="Q692">
        <v>152</v>
      </c>
      <c r="R692">
        <f>SUM(Table13[[#This Row],[Rank_All_Ranks_Total]:[Rank_SSPSPAddlSPCommandant]])</f>
        <v>95984</v>
      </c>
    </row>
    <row r="693" spans="1:18" x14ac:dyDescent="0.3">
      <c r="A693" t="s">
        <v>27</v>
      </c>
      <c r="B693">
        <v>2010</v>
      </c>
      <c r="C693" t="str">
        <f>_xlfn.CONCAT(Table13[[#This Row],[STATE]],"-",Table13[[#This Row],[Year]])</f>
        <v>Rajasthan-2010</v>
      </c>
      <c r="D693" t="s">
        <v>66</v>
      </c>
      <c r="E693" t="s">
        <v>67</v>
      </c>
      <c r="F693">
        <v>59608</v>
      </c>
      <c r="G693">
        <v>4298</v>
      </c>
      <c r="H693">
        <v>613</v>
      </c>
      <c r="I693">
        <v>0</v>
      </c>
      <c r="J693">
        <v>44795</v>
      </c>
      <c r="K693">
        <v>9</v>
      </c>
      <c r="L693">
        <v>17</v>
      </c>
      <c r="M693">
        <v>6426</v>
      </c>
      <c r="N693">
        <v>20</v>
      </c>
      <c r="O693">
        <v>785</v>
      </c>
      <c r="P693">
        <v>2501</v>
      </c>
      <c r="Q693">
        <v>144</v>
      </c>
      <c r="R693">
        <f>SUM(Table13[[#This Row],[Rank_All_Ranks_Total]:[Rank_SSPSPAddlSPCommandant]])</f>
        <v>119216</v>
      </c>
    </row>
    <row r="694" spans="1:18" x14ac:dyDescent="0.3">
      <c r="A694" t="s">
        <v>28</v>
      </c>
      <c r="B694">
        <v>2010</v>
      </c>
      <c r="C694" t="str">
        <f>_xlfn.CONCAT(Table13[[#This Row],[STATE]],"-",Table13[[#This Row],[Year]])</f>
        <v>Sikkim-2010</v>
      </c>
      <c r="D694" t="s">
        <v>66</v>
      </c>
      <c r="E694" t="s">
        <v>67</v>
      </c>
      <c r="F694">
        <v>1645</v>
      </c>
      <c r="G694">
        <v>102</v>
      </c>
      <c r="H694">
        <v>29</v>
      </c>
      <c r="I694">
        <v>0</v>
      </c>
      <c r="J694">
        <v>935</v>
      </c>
      <c r="K694">
        <v>7</v>
      </c>
      <c r="L694">
        <v>3</v>
      </c>
      <c r="M694">
        <v>366</v>
      </c>
      <c r="N694">
        <v>7</v>
      </c>
      <c r="O694">
        <v>56</v>
      </c>
      <c r="P694">
        <v>101</v>
      </c>
      <c r="Q694">
        <v>39</v>
      </c>
      <c r="R694">
        <f>SUM(Table13[[#This Row],[Rank_All_Ranks_Total]:[Rank_SSPSPAddlSPCommandant]])</f>
        <v>3290</v>
      </c>
    </row>
    <row r="695" spans="1:18" x14ac:dyDescent="0.3">
      <c r="A695" t="s">
        <v>42</v>
      </c>
      <c r="B695">
        <v>2010</v>
      </c>
      <c r="C695" t="str">
        <f>_xlfn.CONCAT(Table13[[#This Row],[STATE]],"-",Table13[[#This Row],[Year]])</f>
        <v>Tamil Nadu-2010</v>
      </c>
      <c r="D695" t="s">
        <v>66</v>
      </c>
      <c r="E695" t="s">
        <v>67</v>
      </c>
      <c r="F695">
        <v>72886</v>
      </c>
      <c r="G695">
        <v>0</v>
      </c>
      <c r="H695">
        <v>639</v>
      </c>
      <c r="I695">
        <v>10231</v>
      </c>
      <c r="J695">
        <v>14001</v>
      </c>
      <c r="K695">
        <v>25</v>
      </c>
      <c r="L695">
        <v>21</v>
      </c>
      <c r="M695">
        <v>38499</v>
      </c>
      <c r="N695">
        <v>30</v>
      </c>
      <c r="O695">
        <v>2328</v>
      </c>
      <c r="P695">
        <v>6916</v>
      </c>
      <c r="Q695">
        <v>196</v>
      </c>
      <c r="R695">
        <f>SUM(Table13[[#This Row],[Rank_All_Ranks_Total]:[Rank_SSPSPAddlSPCommandant]])</f>
        <v>145772</v>
      </c>
    </row>
    <row r="696" spans="1:18" x14ac:dyDescent="0.3">
      <c r="A696" t="s">
        <v>30</v>
      </c>
      <c r="B696">
        <v>2010</v>
      </c>
      <c r="C696" t="str">
        <f>_xlfn.CONCAT(Table13[[#This Row],[STATE]],"-",Table13[[#This Row],[Year]])</f>
        <v>Tripura-2010</v>
      </c>
      <c r="D696" t="s">
        <v>66</v>
      </c>
      <c r="E696" t="s">
        <v>67</v>
      </c>
      <c r="F696">
        <v>10671</v>
      </c>
      <c r="G696">
        <v>555</v>
      </c>
      <c r="H696">
        <v>139</v>
      </c>
      <c r="I696">
        <v>125</v>
      </c>
      <c r="J696">
        <v>7825</v>
      </c>
      <c r="K696">
        <v>3</v>
      </c>
      <c r="L696">
        <v>5</v>
      </c>
      <c r="M696">
        <v>976</v>
      </c>
      <c r="N696">
        <v>6</v>
      </c>
      <c r="O696">
        <v>273</v>
      </c>
      <c r="P696">
        <v>740</v>
      </c>
      <c r="Q696">
        <v>24</v>
      </c>
      <c r="R696">
        <f>SUM(Table13[[#This Row],[Rank_All_Ranks_Total]:[Rank_SSPSPAddlSPCommandant]])</f>
        <v>21342</v>
      </c>
    </row>
    <row r="697" spans="1:18" x14ac:dyDescent="0.3">
      <c r="A697" t="s">
        <v>31</v>
      </c>
      <c r="B697">
        <v>2010</v>
      </c>
      <c r="C697" t="str">
        <f>_xlfn.CONCAT(Table13[[#This Row],[STATE]],"-",Table13[[#This Row],[Year]])</f>
        <v>Uttar Pradesh-2010</v>
      </c>
      <c r="D697" t="s">
        <v>66</v>
      </c>
      <c r="E697" t="s">
        <v>67</v>
      </c>
      <c r="F697">
        <v>111234</v>
      </c>
      <c r="G697">
        <v>0</v>
      </c>
      <c r="H697">
        <v>643</v>
      </c>
      <c r="I697">
        <v>0</v>
      </c>
      <c r="J697">
        <v>88050</v>
      </c>
      <c r="K697">
        <v>37</v>
      </c>
      <c r="L697">
        <v>42</v>
      </c>
      <c r="M697">
        <v>13620</v>
      </c>
      <c r="N697">
        <v>38</v>
      </c>
      <c r="O697">
        <v>951</v>
      </c>
      <c r="P697">
        <v>7557</v>
      </c>
      <c r="Q697">
        <v>296</v>
      </c>
      <c r="R697">
        <f>SUM(Table13[[#This Row],[Rank_All_Ranks_Total]:[Rank_SSPSPAddlSPCommandant]])</f>
        <v>222468</v>
      </c>
    </row>
    <row r="698" spans="1:18" x14ac:dyDescent="0.3">
      <c r="A698" t="s">
        <v>65</v>
      </c>
      <c r="B698">
        <v>2010</v>
      </c>
      <c r="C698" t="str">
        <f>_xlfn.CONCAT(Table13[[#This Row],[STATE]],"-",Table13[[#This Row],[Year]])</f>
        <v>Uttarakhand-2010</v>
      </c>
      <c r="D698" t="s">
        <v>66</v>
      </c>
      <c r="E698" t="s">
        <v>67</v>
      </c>
      <c r="F698">
        <v>13884</v>
      </c>
      <c r="G698">
        <v>0</v>
      </c>
      <c r="H698">
        <v>61</v>
      </c>
      <c r="I698">
        <v>0</v>
      </c>
      <c r="J698">
        <v>10781</v>
      </c>
      <c r="K698">
        <v>7</v>
      </c>
      <c r="L698">
        <v>3</v>
      </c>
      <c r="M698">
        <v>2083</v>
      </c>
      <c r="N698">
        <v>3</v>
      </c>
      <c r="O698">
        <v>110</v>
      </c>
      <c r="P698">
        <v>799</v>
      </c>
      <c r="Q698">
        <v>37</v>
      </c>
      <c r="R698">
        <f>SUM(Table13[[#This Row],[Rank_All_Ranks_Total]:[Rank_SSPSPAddlSPCommandant]])</f>
        <v>27768</v>
      </c>
    </row>
    <row r="699" spans="1:18" x14ac:dyDescent="0.3">
      <c r="A699" t="s">
        <v>33</v>
      </c>
      <c r="B699">
        <v>2010</v>
      </c>
      <c r="C699" t="str">
        <f>_xlfn.CONCAT(Table13[[#This Row],[STATE]],"-",Table13[[#This Row],[Year]])</f>
        <v>West Bengal-2010</v>
      </c>
      <c r="D699" t="s">
        <v>66</v>
      </c>
      <c r="E699" t="s">
        <v>67</v>
      </c>
      <c r="F699">
        <v>63906</v>
      </c>
      <c r="G699">
        <v>9277</v>
      </c>
      <c r="H699">
        <v>308</v>
      </c>
      <c r="I699">
        <v>0</v>
      </c>
      <c r="J699">
        <v>46992</v>
      </c>
      <c r="K699">
        <v>26</v>
      </c>
      <c r="L699">
        <v>26</v>
      </c>
      <c r="M699">
        <v>7</v>
      </c>
      <c r="N699">
        <v>40</v>
      </c>
      <c r="O699">
        <v>1097</v>
      </c>
      <c r="P699">
        <v>6017</v>
      </c>
      <c r="Q699">
        <v>116</v>
      </c>
      <c r="R699">
        <f>SUM(Table13[[#This Row],[Rank_All_Ranks_Total]:[Rank_SSPSPAddlSPCommandant]])</f>
        <v>127812</v>
      </c>
    </row>
    <row r="700" spans="1:18" x14ac:dyDescent="0.3">
      <c r="A700" t="s">
        <v>59</v>
      </c>
      <c r="B700">
        <v>2001</v>
      </c>
      <c r="C700" t="str">
        <f>_xlfn.CONCAT(Table13[[#This Row],[STATE]],"-",Table13[[#This Row],[Year]])</f>
        <v>Andaman &amp; Nicobar Islands-2001</v>
      </c>
      <c r="D700" t="s">
        <v>69</v>
      </c>
      <c r="E700" t="s">
        <v>70</v>
      </c>
      <c r="F700">
        <v>24</v>
      </c>
      <c r="G700">
        <v>1</v>
      </c>
      <c r="H700">
        <v>0</v>
      </c>
      <c r="I700">
        <v>0</v>
      </c>
      <c r="J700">
        <v>20</v>
      </c>
      <c r="K700">
        <v>0</v>
      </c>
      <c r="L700">
        <v>0</v>
      </c>
      <c r="M700">
        <v>3</v>
      </c>
      <c r="N700">
        <v>0</v>
      </c>
      <c r="O700">
        <v>0</v>
      </c>
      <c r="P700">
        <v>0</v>
      </c>
      <c r="Q700">
        <v>0</v>
      </c>
      <c r="R700">
        <f>SUM(Table13[[#This Row],[Rank_All_Ranks_Total]:[Rank_SSPSPAddlSPCommandant]])</f>
        <v>48</v>
      </c>
    </row>
    <row r="701" spans="1:18" x14ac:dyDescent="0.3">
      <c r="A701" t="s">
        <v>6</v>
      </c>
      <c r="B701">
        <v>2001</v>
      </c>
      <c r="C701" t="str">
        <f>_xlfn.CONCAT(Table13[[#This Row],[STATE]],"-",Table13[[#This Row],[Year]])</f>
        <v>Andhra Pradesh-2001</v>
      </c>
      <c r="D701" t="s">
        <v>69</v>
      </c>
      <c r="E701" t="s">
        <v>70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f>SUM(Table13[[#This Row],[Rank_All_Ranks_Total]:[Rank_SSPSPAddlSPCommandant]])</f>
        <v>0</v>
      </c>
    </row>
    <row r="702" spans="1:18" x14ac:dyDescent="0.3">
      <c r="A702" t="s">
        <v>7</v>
      </c>
      <c r="B702">
        <v>2001</v>
      </c>
      <c r="C702" t="str">
        <f>_xlfn.CONCAT(Table13[[#This Row],[STATE]],"-",Table13[[#This Row],[Year]])</f>
        <v>Arunachal Pradesh-2001</v>
      </c>
      <c r="D702" t="s">
        <v>69</v>
      </c>
      <c r="E702" t="s">
        <v>70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f>SUM(Table13[[#This Row],[Rank_All_Ranks_Total]:[Rank_SSPSPAddlSPCommandant]])</f>
        <v>0</v>
      </c>
    </row>
    <row r="703" spans="1:18" x14ac:dyDescent="0.3">
      <c r="A703" t="s">
        <v>8</v>
      </c>
      <c r="B703">
        <v>2001</v>
      </c>
      <c r="C703" t="str">
        <f>_xlfn.CONCAT(Table13[[#This Row],[STATE]],"-",Table13[[#This Row],[Year]])</f>
        <v>Assam-2001</v>
      </c>
      <c r="D703" t="s">
        <v>69</v>
      </c>
      <c r="E703" t="s">
        <v>70</v>
      </c>
      <c r="F703">
        <v>165</v>
      </c>
      <c r="G703">
        <v>0</v>
      </c>
      <c r="H703">
        <v>0</v>
      </c>
      <c r="I703">
        <v>8</v>
      </c>
      <c r="J703">
        <v>146</v>
      </c>
      <c r="K703">
        <v>0</v>
      </c>
      <c r="L703">
        <v>0</v>
      </c>
      <c r="M703">
        <v>8</v>
      </c>
      <c r="N703">
        <v>0</v>
      </c>
      <c r="O703">
        <v>0</v>
      </c>
      <c r="P703">
        <v>3</v>
      </c>
      <c r="Q703">
        <v>0</v>
      </c>
      <c r="R703">
        <f>SUM(Table13[[#This Row],[Rank_All_Ranks_Total]:[Rank_SSPSPAddlSPCommandant]])</f>
        <v>330</v>
      </c>
    </row>
    <row r="704" spans="1:18" x14ac:dyDescent="0.3">
      <c r="A704" t="s">
        <v>9</v>
      </c>
      <c r="B704">
        <v>2001</v>
      </c>
      <c r="C704" t="str">
        <f>_xlfn.CONCAT(Table13[[#This Row],[STATE]],"-",Table13[[#This Row],[Year]])</f>
        <v>Bihar-2001</v>
      </c>
      <c r="D704" t="s">
        <v>69</v>
      </c>
      <c r="E704" t="s">
        <v>70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f>SUM(Table13[[#This Row],[Rank_All_Ranks_Total]:[Rank_SSPSPAddlSPCommandant]])</f>
        <v>0</v>
      </c>
    </row>
    <row r="705" spans="1:18" x14ac:dyDescent="0.3">
      <c r="A705" t="s">
        <v>35</v>
      </c>
      <c r="B705">
        <v>2001</v>
      </c>
      <c r="C705" t="str">
        <f>_xlfn.CONCAT(Table13[[#This Row],[STATE]],"-",Table13[[#This Row],[Year]])</f>
        <v>Chandigarh-2001</v>
      </c>
      <c r="D705" t="s">
        <v>69</v>
      </c>
      <c r="E705" t="s">
        <v>70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f>SUM(Table13[[#This Row],[Rank_All_Ranks_Total]:[Rank_SSPSPAddlSPCommandant]])</f>
        <v>0</v>
      </c>
    </row>
    <row r="706" spans="1:18" x14ac:dyDescent="0.3">
      <c r="A706" t="s">
        <v>10</v>
      </c>
      <c r="B706">
        <v>2001</v>
      </c>
      <c r="C706" t="str">
        <f>_xlfn.CONCAT(Table13[[#This Row],[STATE]],"-",Table13[[#This Row],[Year]])</f>
        <v>Chhattisgarh-2001</v>
      </c>
      <c r="D706" t="s">
        <v>69</v>
      </c>
      <c r="E706" t="s">
        <v>70</v>
      </c>
      <c r="F706">
        <v>32</v>
      </c>
      <c r="G706">
        <v>2</v>
      </c>
      <c r="H706">
        <v>0</v>
      </c>
      <c r="I706">
        <v>0</v>
      </c>
      <c r="J706">
        <v>22</v>
      </c>
      <c r="K706">
        <v>0</v>
      </c>
      <c r="L706">
        <v>0</v>
      </c>
      <c r="M706">
        <v>6</v>
      </c>
      <c r="N706">
        <v>0</v>
      </c>
      <c r="O706">
        <v>0</v>
      </c>
      <c r="P706">
        <v>2</v>
      </c>
      <c r="Q706">
        <v>0</v>
      </c>
      <c r="R706">
        <f>SUM(Table13[[#This Row],[Rank_All_Ranks_Total]:[Rank_SSPSPAddlSPCommandant]])</f>
        <v>64</v>
      </c>
    </row>
    <row r="707" spans="1:18" x14ac:dyDescent="0.3">
      <c r="A707" t="s">
        <v>62</v>
      </c>
      <c r="B707">
        <v>2001</v>
      </c>
      <c r="C707" t="str">
        <f>_xlfn.CONCAT(Table13[[#This Row],[STATE]],"-",Table13[[#This Row],[Year]])</f>
        <v>Dadra &amp; Nagar Haveli-2001</v>
      </c>
      <c r="D707" t="s">
        <v>69</v>
      </c>
      <c r="E707" t="s">
        <v>70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f>SUM(Table13[[#This Row],[Rank_All_Ranks_Total]:[Rank_SSPSPAddlSPCommandant]])</f>
        <v>0</v>
      </c>
    </row>
    <row r="708" spans="1:18" x14ac:dyDescent="0.3">
      <c r="A708" t="s">
        <v>37</v>
      </c>
      <c r="B708">
        <v>2001</v>
      </c>
      <c r="C708" t="str">
        <f>_xlfn.CONCAT(Table13[[#This Row],[STATE]],"-",Table13[[#This Row],[Year]])</f>
        <v>Daman &amp; Diu-2001</v>
      </c>
      <c r="D708" t="s">
        <v>69</v>
      </c>
      <c r="E708" t="s">
        <v>70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f>SUM(Table13[[#This Row],[Rank_All_Ranks_Total]:[Rank_SSPSPAddlSPCommandant]])</f>
        <v>0</v>
      </c>
    </row>
    <row r="709" spans="1:18" x14ac:dyDescent="0.3">
      <c r="A709" t="s">
        <v>38</v>
      </c>
      <c r="B709">
        <v>2001</v>
      </c>
      <c r="C709" t="str">
        <f>_xlfn.CONCAT(Table13[[#This Row],[STATE]],"-",Table13[[#This Row],[Year]])</f>
        <v>Delhi-2001</v>
      </c>
      <c r="D709" t="s">
        <v>69</v>
      </c>
      <c r="E709" t="s">
        <v>70</v>
      </c>
      <c r="F709">
        <v>87</v>
      </c>
      <c r="G709">
        <v>1</v>
      </c>
      <c r="H709">
        <v>0</v>
      </c>
      <c r="I709">
        <v>0</v>
      </c>
      <c r="J709">
        <v>51</v>
      </c>
      <c r="K709">
        <v>0</v>
      </c>
      <c r="L709">
        <v>0</v>
      </c>
      <c r="M709">
        <v>34</v>
      </c>
      <c r="N709">
        <v>0</v>
      </c>
      <c r="O709">
        <v>0</v>
      </c>
      <c r="P709">
        <v>1</v>
      </c>
      <c r="Q709">
        <v>0</v>
      </c>
      <c r="R709">
        <f>SUM(Table13[[#This Row],[Rank_All_Ranks_Total]:[Rank_SSPSPAddlSPCommandant]])</f>
        <v>174</v>
      </c>
    </row>
    <row r="710" spans="1:18" x14ac:dyDescent="0.3">
      <c r="A710" t="s">
        <v>11</v>
      </c>
      <c r="B710">
        <v>2001</v>
      </c>
      <c r="C710" t="str">
        <f>_xlfn.CONCAT(Table13[[#This Row],[STATE]],"-",Table13[[#This Row],[Year]])</f>
        <v>Goa-2001</v>
      </c>
      <c r="D710" t="s">
        <v>69</v>
      </c>
      <c r="E710" t="s">
        <v>70</v>
      </c>
      <c r="F710">
        <v>40</v>
      </c>
      <c r="G710">
        <v>0</v>
      </c>
      <c r="H710">
        <v>0</v>
      </c>
      <c r="I710">
        <v>0</v>
      </c>
      <c r="J710">
        <v>40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f>SUM(Table13[[#This Row],[Rank_All_Ranks_Total]:[Rank_SSPSPAddlSPCommandant]])</f>
        <v>80</v>
      </c>
    </row>
    <row r="711" spans="1:18" x14ac:dyDescent="0.3">
      <c r="A711" t="s">
        <v>12</v>
      </c>
      <c r="B711">
        <v>2001</v>
      </c>
      <c r="C711" t="str">
        <f>_xlfn.CONCAT(Table13[[#This Row],[STATE]],"-",Table13[[#This Row],[Year]])</f>
        <v>Gujarat-2001</v>
      </c>
      <c r="D711" t="s">
        <v>69</v>
      </c>
      <c r="E711" t="s">
        <v>70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f>SUM(Table13[[#This Row],[Rank_All_Ranks_Total]:[Rank_SSPSPAddlSPCommandant]])</f>
        <v>0</v>
      </c>
    </row>
    <row r="712" spans="1:18" x14ac:dyDescent="0.3">
      <c r="A712" t="s">
        <v>13</v>
      </c>
      <c r="B712">
        <v>2001</v>
      </c>
      <c r="C712" t="str">
        <f>_xlfn.CONCAT(Table13[[#This Row],[STATE]],"-",Table13[[#This Row],[Year]])</f>
        <v>Haryana-2001</v>
      </c>
      <c r="D712" t="s">
        <v>69</v>
      </c>
      <c r="E712" t="s">
        <v>70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f>SUM(Table13[[#This Row],[Rank_All_Ranks_Total]:[Rank_SSPSPAddlSPCommandant]])</f>
        <v>0</v>
      </c>
    </row>
    <row r="713" spans="1:18" x14ac:dyDescent="0.3">
      <c r="A713" t="s">
        <v>14</v>
      </c>
      <c r="B713">
        <v>2001</v>
      </c>
      <c r="C713" t="str">
        <f>_xlfn.CONCAT(Table13[[#This Row],[STATE]],"-",Table13[[#This Row],[Year]])</f>
        <v>Himachal Pradesh-2001</v>
      </c>
      <c r="D713" t="s">
        <v>69</v>
      </c>
      <c r="E713" t="s">
        <v>70</v>
      </c>
      <c r="F713">
        <v>139</v>
      </c>
      <c r="G713">
        <v>1</v>
      </c>
      <c r="H713">
        <v>0</v>
      </c>
      <c r="I713">
        <v>0</v>
      </c>
      <c r="J713">
        <v>130</v>
      </c>
      <c r="K713">
        <v>0</v>
      </c>
      <c r="L713">
        <v>0</v>
      </c>
      <c r="M713">
        <v>3</v>
      </c>
      <c r="N713">
        <v>0</v>
      </c>
      <c r="O713">
        <v>1</v>
      </c>
      <c r="P713">
        <v>4</v>
      </c>
      <c r="Q713">
        <v>0</v>
      </c>
      <c r="R713">
        <f>SUM(Table13[[#This Row],[Rank_All_Ranks_Total]:[Rank_SSPSPAddlSPCommandant]])</f>
        <v>278</v>
      </c>
    </row>
    <row r="714" spans="1:18" x14ac:dyDescent="0.3">
      <c r="A714" t="s">
        <v>15</v>
      </c>
      <c r="B714">
        <v>2001</v>
      </c>
      <c r="C714" t="str">
        <f>_xlfn.CONCAT(Table13[[#This Row],[STATE]],"-",Table13[[#This Row],[Year]])</f>
        <v>Jammu &amp; Kashmir-2001</v>
      </c>
      <c r="D714" t="s">
        <v>69</v>
      </c>
      <c r="E714" t="s">
        <v>70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f>SUM(Table13[[#This Row],[Rank_All_Ranks_Total]:[Rank_SSPSPAddlSPCommandant]])</f>
        <v>0</v>
      </c>
    </row>
    <row r="715" spans="1:18" x14ac:dyDescent="0.3">
      <c r="A715" t="s">
        <v>17</v>
      </c>
      <c r="B715">
        <v>2001</v>
      </c>
      <c r="C715" t="str">
        <f>_xlfn.CONCAT(Table13[[#This Row],[STATE]],"-",Table13[[#This Row],[Year]])</f>
        <v>Karnataka-2001</v>
      </c>
      <c r="D715" t="s">
        <v>69</v>
      </c>
      <c r="E715" t="s">
        <v>70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f>SUM(Table13[[#This Row],[Rank_All_Ranks_Total]:[Rank_SSPSPAddlSPCommandant]])</f>
        <v>0</v>
      </c>
    </row>
    <row r="716" spans="1:18" x14ac:dyDescent="0.3">
      <c r="A716" t="s">
        <v>18</v>
      </c>
      <c r="B716">
        <v>2001</v>
      </c>
      <c r="C716" t="str">
        <f>_xlfn.CONCAT(Table13[[#This Row],[STATE]],"-",Table13[[#This Row],[Year]])</f>
        <v>Kerala-2001</v>
      </c>
      <c r="D716" t="s">
        <v>69</v>
      </c>
      <c r="E716" t="s">
        <v>70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f>SUM(Table13[[#This Row],[Rank_All_Ranks_Total]:[Rank_SSPSPAddlSPCommandant]])</f>
        <v>0</v>
      </c>
    </row>
    <row r="717" spans="1:18" x14ac:dyDescent="0.3">
      <c r="A717" t="s">
        <v>39</v>
      </c>
      <c r="B717">
        <v>2001</v>
      </c>
      <c r="C717" t="str">
        <f>_xlfn.CONCAT(Table13[[#This Row],[STATE]],"-",Table13[[#This Row],[Year]])</f>
        <v>Lakshadweep-2001</v>
      </c>
      <c r="D717" t="s">
        <v>69</v>
      </c>
      <c r="E717" t="s">
        <v>70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f>SUM(Table13[[#This Row],[Rank_All_Ranks_Total]:[Rank_SSPSPAddlSPCommandant]])</f>
        <v>0</v>
      </c>
    </row>
    <row r="718" spans="1:18" x14ac:dyDescent="0.3">
      <c r="A718" t="s">
        <v>19</v>
      </c>
      <c r="B718">
        <v>2001</v>
      </c>
      <c r="C718" t="str">
        <f>_xlfn.CONCAT(Table13[[#This Row],[STATE]],"-",Table13[[#This Row],[Year]])</f>
        <v>Madhya Pradesh-2001</v>
      </c>
      <c r="D718" t="s">
        <v>69</v>
      </c>
      <c r="E718" t="s">
        <v>70</v>
      </c>
      <c r="F718">
        <v>132</v>
      </c>
      <c r="G718">
        <v>9</v>
      </c>
      <c r="H718">
        <v>0</v>
      </c>
      <c r="I718">
        <v>87</v>
      </c>
      <c r="J718">
        <v>9</v>
      </c>
      <c r="K718">
        <v>0</v>
      </c>
      <c r="L718">
        <v>0</v>
      </c>
      <c r="M718">
        <v>22</v>
      </c>
      <c r="N718">
        <v>0</v>
      </c>
      <c r="O718">
        <v>1</v>
      </c>
      <c r="P718">
        <v>4</v>
      </c>
      <c r="Q718">
        <v>0</v>
      </c>
      <c r="R718">
        <f>SUM(Table13[[#This Row],[Rank_All_Ranks_Total]:[Rank_SSPSPAddlSPCommandant]])</f>
        <v>264</v>
      </c>
    </row>
    <row r="719" spans="1:18" x14ac:dyDescent="0.3">
      <c r="A719" t="s">
        <v>20</v>
      </c>
      <c r="B719">
        <v>2001</v>
      </c>
      <c r="C719" t="str">
        <f>_xlfn.CONCAT(Table13[[#This Row],[STATE]],"-",Table13[[#This Row],[Year]])</f>
        <v>Maharashtra-2001</v>
      </c>
      <c r="D719" t="s">
        <v>69</v>
      </c>
      <c r="E719" t="s">
        <v>70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f>SUM(Table13[[#This Row],[Rank_All_Ranks_Total]:[Rank_SSPSPAddlSPCommandant]])</f>
        <v>0</v>
      </c>
    </row>
    <row r="720" spans="1:18" x14ac:dyDescent="0.3">
      <c r="A720" t="s">
        <v>21</v>
      </c>
      <c r="B720">
        <v>2001</v>
      </c>
      <c r="C720" t="str">
        <f>_xlfn.CONCAT(Table13[[#This Row],[STATE]],"-",Table13[[#This Row],[Year]])</f>
        <v>Manipur-2001</v>
      </c>
      <c r="D720" t="s">
        <v>69</v>
      </c>
      <c r="E720" t="s">
        <v>70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f>SUM(Table13[[#This Row],[Rank_All_Ranks_Total]:[Rank_SSPSPAddlSPCommandant]])</f>
        <v>0</v>
      </c>
    </row>
    <row r="721" spans="1:18" x14ac:dyDescent="0.3">
      <c r="A721" t="s">
        <v>22</v>
      </c>
      <c r="B721">
        <v>2001</v>
      </c>
      <c r="C721" t="str">
        <f>_xlfn.CONCAT(Table13[[#This Row],[STATE]],"-",Table13[[#This Row],[Year]])</f>
        <v>Meghalaya-2001</v>
      </c>
      <c r="D721" t="s">
        <v>69</v>
      </c>
      <c r="E721" t="s">
        <v>70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f>SUM(Table13[[#This Row],[Rank_All_Ranks_Total]:[Rank_SSPSPAddlSPCommandant]])</f>
        <v>0</v>
      </c>
    </row>
    <row r="722" spans="1:18" x14ac:dyDescent="0.3">
      <c r="A722" t="s">
        <v>23</v>
      </c>
      <c r="B722">
        <v>2001</v>
      </c>
      <c r="C722" t="str">
        <f>_xlfn.CONCAT(Table13[[#This Row],[STATE]],"-",Table13[[#This Row],[Year]])</f>
        <v>Mizoram-2001</v>
      </c>
      <c r="D722" t="s">
        <v>69</v>
      </c>
      <c r="E722" t="s">
        <v>70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f>SUM(Table13[[#This Row],[Rank_All_Ranks_Total]:[Rank_SSPSPAddlSPCommandant]])</f>
        <v>0</v>
      </c>
    </row>
    <row r="723" spans="1:18" x14ac:dyDescent="0.3">
      <c r="A723" t="s">
        <v>24</v>
      </c>
      <c r="B723">
        <v>2001</v>
      </c>
      <c r="C723" t="str">
        <f>_xlfn.CONCAT(Table13[[#This Row],[STATE]],"-",Table13[[#This Row],[Year]])</f>
        <v>Nagaland-2001</v>
      </c>
      <c r="D723" t="s">
        <v>69</v>
      </c>
      <c r="E723" t="s">
        <v>70</v>
      </c>
      <c r="F723">
        <v>1</v>
      </c>
      <c r="G723">
        <v>0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f>SUM(Table13[[#This Row],[Rank_All_Ranks_Total]:[Rank_SSPSPAddlSPCommandant]])</f>
        <v>2</v>
      </c>
    </row>
    <row r="724" spans="1:18" x14ac:dyDescent="0.3">
      <c r="A724" t="s">
        <v>63</v>
      </c>
      <c r="B724">
        <v>2001</v>
      </c>
      <c r="C724" t="str">
        <f>_xlfn.CONCAT(Table13[[#This Row],[STATE]],"-",Table13[[#This Row],[Year]])</f>
        <v>Odisha-2001</v>
      </c>
      <c r="D724" t="s">
        <v>69</v>
      </c>
      <c r="E724" t="s">
        <v>70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f>SUM(Table13[[#This Row],[Rank_All_Ranks_Total]:[Rank_SSPSPAddlSPCommandant]])</f>
        <v>0</v>
      </c>
    </row>
    <row r="725" spans="1:18" x14ac:dyDescent="0.3">
      <c r="A725" t="s">
        <v>64</v>
      </c>
      <c r="B725">
        <v>2001</v>
      </c>
      <c r="C725" t="str">
        <f>_xlfn.CONCAT(Table13[[#This Row],[STATE]],"-",Table13[[#This Row],[Year]])</f>
        <v>Puducherry-2001</v>
      </c>
      <c r="D725" t="s">
        <v>69</v>
      </c>
      <c r="E725" t="s">
        <v>70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f>SUM(Table13[[#This Row],[Rank_All_Ranks_Total]:[Rank_SSPSPAddlSPCommandant]])</f>
        <v>0</v>
      </c>
    </row>
    <row r="726" spans="1:18" x14ac:dyDescent="0.3">
      <c r="A726" t="s">
        <v>26</v>
      </c>
      <c r="B726">
        <v>2001</v>
      </c>
      <c r="C726" t="str">
        <f>_xlfn.CONCAT(Table13[[#This Row],[STATE]],"-",Table13[[#This Row],[Year]])</f>
        <v>Punjab-2001</v>
      </c>
      <c r="D726" t="s">
        <v>69</v>
      </c>
      <c r="E726" t="s">
        <v>70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f>SUM(Table13[[#This Row],[Rank_All_Ranks_Total]:[Rank_SSPSPAddlSPCommandant]])</f>
        <v>0</v>
      </c>
    </row>
    <row r="727" spans="1:18" x14ac:dyDescent="0.3">
      <c r="A727" t="s">
        <v>27</v>
      </c>
      <c r="B727">
        <v>2001</v>
      </c>
      <c r="C727" t="str">
        <f>_xlfn.CONCAT(Table13[[#This Row],[STATE]],"-",Table13[[#This Row],[Year]])</f>
        <v>Rajasthan-2001</v>
      </c>
      <c r="D727" t="s">
        <v>69</v>
      </c>
      <c r="E727" t="s">
        <v>70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f>SUM(Table13[[#This Row],[Rank_All_Ranks_Total]:[Rank_SSPSPAddlSPCommandant]])</f>
        <v>0</v>
      </c>
    </row>
    <row r="728" spans="1:18" x14ac:dyDescent="0.3">
      <c r="A728" t="s">
        <v>28</v>
      </c>
      <c r="B728">
        <v>2001</v>
      </c>
      <c r="C728" t="str">
        <f>_xlfn.CONCAT(Table13[[#This Row],[STATE]],"-",Table13[[#This Row],[Year]])</f>
        <v>Sikkim-2001</v>
      </c>
      <c r="D728" t="s">
        <v>69</v>
      </c>
      <c r="E728" t="s">
        <v>70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f>SUM(Table13[[#This Row],[Rank_All_Ranks_Total]:[Rank_SSPSPAddlSPCommandant]])</f>
        <v>0</v>
      </c>
    </row>
    <row r="729" spans="1:18" x14ac:dyDescent="0.3">
      <c r="A729" t="s">
        <v>42</v>
      </c>
      <c r="B729">
        <v>2001</v>
      </c>
      <c r="C729" t="str">
        <f>_xlfn.CONCAT(Table13[[#This Row],[STATE]],"-",Table13[[#This Row],[Year]])</f>
        <v>Tamil Nadu-2001</v>
      </c>
      <c r="D729" t="s">
        <v>69</v>
      </c>
      <c r="E729" t="s">
        <v>70</v>
      </c>
      <c r="F729">
        <v>2174</v>
      </c>
      <c r="G729">
        <v>0</v>
      </c>
      <c r="H729">
        <v>0</v>
      </c>
      <c r="I729">
        <v>337</v>
      </c>
      <c r="J729">
        <v>1558</v>
      </c>
      <c r="K729">
        <v>0</v>
      </c>
      <c r="L729">
        <v>0</v>
      </c>
      <c r="M729">
        <v>269</v>
      </c>
      <c r="N729">
        <v>0</v>
      </c>
      <c r="O729">
        <v>0</v>
      </c>
      <c r="P729">
        <v>10</v>
      </c>
      <c r="Q729">
        <v>0</v>
      </c>
      <c r="R729">
        <f>SUM(Table13[[#This Row],[Rank_All_Ranks_Total]:[Rank_SSPSPAddlSPCommandant]])</f>
        <v>4348</v>
      </c>
    </row>
    <row r="730" spans="1:18" x14ac:dyDescent="0.3">
      <c r="A730" t="s">
        <v>30</v>
      </c>
      <c r="B730">
        <v>2001</v>
      </c>
      <c r="C730" t="str">
        <f>_xlfn.CONCAT(Table13[[#This Row],[STATE]],"-",Table13[[#This Row],[Year]])</f>
        <v>Tripura-2001</v>
      </c>
      <c r="D730" t="s">
        <v>69</v>
      </c>
      <c r="E730" t="s">
        <v>70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f>SUM(Table13[[#This Row],[Rank_All_Ranks_Total]:[Rank_SSPSPAddlSPCommandant]])</f>
        <v>0</v>
      </c>
    </row>
    <row r="731" spans="1:18" x14ac:dyDescent="0.3">
      <c r="A731" t="s">
        <v>31</v>
      </c>
      <c r="B731">
        <v>2001</v>
      </c>
      <c r="C731" t="str">
        <f>_xlfn.CONCAT(Table13[[#This Row],[STATE]],"-",Table13[[#This Row],[Year]])</f>
        <v>Uttar Pradesh-2001</v>
      </c>
      <c r="D731" t="s">
        <v>69</v>
      </c>
      <c r="E731" t="s">
        <v>70</v>
      </c>
      <c r="F731">
        <v>2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1</v>
      </c>
      <c r="M731">
        <v>0</v>
      </c>
      <c r="N731">
        <v>0</v>
      </c>
      <c r="O731">
        <v>0</v>
      </c>
      <c r="P731">
        <v>0</v>
      </c>
      <c r="Q731">
        <v>1</v>
      </c>
      <c r="R731">
        <f>SUM(Table13[[#This Row],[Rank_All_Ranks_Total]:[Rank_SSPSPAddlSPCommandant]])</f>
        <v>4</v>
      </c>
    </row>
    <row r="732" spans="1:18" x14ac:dyDescent="0.3">
      <c r="A732" t="s">
        <v>65</v>
      </c>
      <c r="B732">
        <v>2001</v>
      </c>
      <c r="C732" t="str">
        <f>_xlfn.CONCAT(Table13[[#This Row],[STATE]],"-",Table13[[#This Row],[Year]])</f>
        <v>Uttarakhand-2001</v>
      </c>
      <c r="D732" t="s">
        <v>69</v>
      </c>
      <c r="E732" t="s">
        <v>70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f>SUM(Table13[[#This Row],[Rank_All_Ranks_Total]:[Rank_SSPSPAddlSPCommandant]])</f>
        <v>0</v>
      </c>
    </row>
    <row r="733" spans="1:18" x14ac:dyDescent="0.3">
      <c r="A733" t="s">
        <v>33</v>
      </c>
      <c r="B733">
        <v>2001</v>
      </c>
      <c r="C733" t="str">
        <f>_xlfn.CONCAT(Table13[[#This Row],[STATE]],"-",Table13[[#This Row],[Year]])</f>
        <v>West Bengal-2001</v>
      </c>
      <c r="D733" t="s">
        <v>69</v>
      </c>
      <c r="E733" t="s">
        <v>70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f>SUM(Table13[[#This Row],[Rank_All_Ranks_Total]:[Rank_SSPSPAddlSPCommandant]])</f>
        <v>0</v>
      </c>
    </row>
    <row r="734" spans="1:18" x14ac:dyDescent="0.3">
      <c r="A734" t="s">
        <v>59</v>
      </c>
      <c r="B734">
        <v>2002</v>
      </c>
      <c r="C734" t="str">
        <f>_xlfn.CONCAT(Table13[[#This Row],[STATE]],"-",Table13[[#This Row],[Year]])</f>
        <v>Andaman &amp; Nicobar Islands-2002</v>
      </c>
      <c r="D734" t="s">
        <v>69</v>
      </c>
      <c r="E734" t="s">
        <v>70</v>
      </c>
      <c r="F734">
        <v>29</v>
      </c>
      <c r="G734">
        <v>1</v>
      </c>
      <c r="H734">
        <v>0</v>
      </c>
      <c r="I734">
        <v>0</v>
      </c>
      <c r="J734">
        <v>25</v>
      </c>
      <c r="K734">
        <v>0</v>
      </c>
      <c r="L734">
        <v>0</v>
      </c>
      <c r="M734">
        <v>3</v>
      </c>
      <c r="N734">
        <v>0</v>
      </c>
      <c r="O734">
        <v>0</v>
      </c>
      <c r="P734">
        <v>0</v>
      </c>
      <c r="Q734">
        <v>0</v>
      </c>
      <c r="R734">
        <f>SUM(Table13[[#This Row],[Rank_All_Ranks_Total]:[Rank_SSPSPAddlSPCommandant]])</f>
        <v>58</v>
      </c>
    </row>
    <row r="735" spans="1:18" x14ac:dyDescent="0.3">
      <c r="A735" t="s">
        <v>6</v>
      </c>
      <c r="B735">
        <v>2002</v>
      </c>
      <c r="C735" t="str">
        <f>_xlfn.CONCAT(Table13[[#This Row],[STATE]],"-",Table13[[#This Row],[Year]])</f>
        <v>Andhra Pradesh-2002</v>
      </c>
      <c r="D735" t="s">
        <v>69</v>
      </c>
      <c r="E735" t="s">
        <v>70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f>SUM(Table13[[#This Row],[Rank_All_Ranks_Total]:[Rank_SSPSPAddlSPCommandant]])</f>
        <v>0</v>
      </c>
    </row>
    <row r="736" spans="1:18" x14ac:dyDescent="0.3">
      <c r="A736" t="s">
        <v>7</v>
      </c>
      <c r="B736">
        <v>2002</v>
      </c>
      <c r="C736" t="str">
        <f>_xlfn.CONCAT(Table13[[#This Row],[STATE]],"-",Table13[[#This Row],[Year]])</f>
        <v>Arunachal Pradesh-2002</v>
      </c>
      <c r="D736" t="s">
        <v>69</v>
      </c>
      <c r="E736" t="s">
        <v>70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f>SUM(Table13[[#This Row],[Rank_All_Ranks_Total]:[Rank_SSPSPAddlSPCommandant]])</f>
        <v>0</v>
      </c>
    </row>
    <row r="737" spans="1:18" x14ac:dyDescent="0.3">
      <c r="A737" t="s">
        <v>8</v>
      </c>
      <c r="B737">
        <v>2002</v>
      </c>
      <c r="C737" t="str">
        <f>_xlfn.CONCAT(Table13[[#This Row],[STATE]],"-",Table13[[#This Row],[Year]])</f>
        <v>Assam-2002</v>
      </c>
      <c r="D737" t="s">
        <v>69</v>
      </c>
      <c r="E737" t="s">
        <v>70</v>
      </c>
      <c r="F737">
        <v>165</v>
      </c>
      <c r="G737">
        <v>0</v>
      </c>
      <c r="H737">
        <v>0</v>
      </c>
      <c r="I737">
        <v>8</v>
      </c>
      <c r="J737">
        <v>146</v>
      </c>
      <c r="K737">
        <v>0</v>
      </c>
      <c r="L737">
        <v>0</v>
      </c>
      <c r="M737">
        <v>8</v>
      </c>
      <c r="N737">
        <v>0</v>
      </c>
      <c r="O737">
        <v>0</v>
      </c>
      <c r="P737">
        <v>3</v>
      </c>
      <c r="Q737">
        <v>0</v>
      </c>
      <c r="R737">
        <f>SUM(Table13[[#This Row],[Rank_All_Ranks_Total]:[Rank_SSPSPAddlSPCommandant]])</f>
        <v>330</v>
      </c>
    </row>
    <row r="738" spans="1:18" x14ac:dyDescent="0.3">
      <c r="A738" t="s">
        <v>9</v>
      </c>
      <c r="B738">
        <v>2002</v>
      </c>
      <c r="C738" t="str">
        <f>_xlfn.CONCAT(Table13[[#This Row],[STATE]],"-",Table13[[#This Row],[Year]])</f>
        <v>Bihar-2002</v>
      </c>
      <c r="D738" t="s">
        <v>69</v>
      </c>
      <c r="E738" t="s">
        <v>70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f>SUM(Table13[[#This Row],[Rank_All_Ranks_Total]:[Rank_SSPSPAddlSPCommandant]])</f>
        <v>0</v>
      </c>
    </row>
    <row r="739" spans="1:18" x14ac:dyDescent="0.3">
      <c r="A739" t="s">
        <v>35</v>
      </c>
      <c r="B739">
        <v>2002</v>
      </c>
      <c r="C739" t="str">
        <f>_xlfn.CONCAT(Table13[[#This Row],[STATE]],"-",Table13[[#This Row],[Year]])</f>
        <v>Chandigarh-2002</v>
      </c>
      <c r="D739" t="s">
        <v>69</v>
      </c>
      <c r="E739" t="s">
        <v>70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f>SUM(Table13[[#This Row],[Rank_All_Ranks_Total]:[Rank_SSPSPAddlSPCommandant]])</f>
        <v>0</v>
      </c>
    </row>
    <row r="740" spans="1:18" x14ac:dyDescent="0.3">
      <c r="A740" t="s">
        <v>10</v>
      </c>
      <c r="B740">
        <v>2002</v>
      </c>
      <c r="C740" t="str">
        <f>_xlfn.CONCAT(Table13[[#This Row],[STATE]],"-",Table13[[#This Row],[Year]])</f>
        <v>Chhattisgarh-2002</v>
      </c>
      <c r="D740" t="s">
        <v>69</v>
      </c>
      <c r="E740" t="s">
        <v>70</v>
      </c>
      <c r="F740">
        <v>32</v>
      </c>
      <c r="G740">
        <v>2</v>
      </c>
      <c r="H740">
        <v>0</v>
      </c>
      <c r="I740">
        <v>0</v>
      </c>
      <c r="J740">
        <v>22</v>
      </c>
      <c r="K740">
        <v>0</v>
      </c>
      <c r="L740">
        <v>0</v>
      </c>
      <c r="M740">
        <v>6</v>
      </c>
      <c r="N740">
        <v>0</v>
      </c>
      <c r="O740">
        <v>0</v>
      </c>
      <c r="P740">
        <v>2</v>
      </c>
      <c r="Q740">
        <v>0</v>
      </c>
      <c r="R740">
        <f>SUM(Table13[[#This Row],[Rank_All_Ranks_Total]:[Rank_SSPSPAddlSPCommandant]])</f>
        <v>64</v>
      </c>
    </row>
    <row r="741" spans="1:18" x14ac:dyDescent="0.3">
      <c r="A741" t="s">
        <v>62</v>
      </c>
      <c r="B741">
        <v>2002</v>
      </c>
      <c r="C741" t="str">
        <f>_xlfn.CONCAT(Table13[[#This Row],[STATE]],"-",Table13[[#This Row],[Year]])</f>
        <v>Dadra &amp; Nagar Haveli-2002</v>
      </c>
      <c r="D741" t="s">
        <v>69</v>
      </c>
      <c r="E741" t="s">
        <v>70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f>SUM(Table13[[#This Row],[Rank_All_Ranks_Total]:[Rank_SSPSPAddlSPCommandant]])</f>
        <v>0</v>
      </c>
    </row>
    <row r="742" spans="1:18" x14ac:dyDescent="0.3">
      <c r="A742" t="s">
        <v>37</v>
      </c>
      <c r="B742">
        <v>2002</v>
      </c>
      <c r="C742" t="str">
        <f>_xlfn.CONCAT(Table13[[#This Row],[STATE]],"-",Table13[[#This Row],[Year]])</f>
        <v>Daman &amp; Diu-2002</v>
      </c>
      <c r="D742" t="s">
        <v>69</v>
      </c>
      <c r="E742" t="s">
        <v>70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f>SUM(Table13[[#This Row],[Rank_All_Ranks_Total]:[Rank_SSPSPAddlSPCommandant]])</f>
        <v>0</v>
      </c>
    </row>
    <row r="743" spans="1:18" x14ac:dyDescent="0.3">
      <c r="A743" t="s">
        <v>38</v>
      </c>
      <c r="B743">
        <v>2002</v>
      </c>
      <c r="C743" t="str">
        <f>_xlfn.CONCAT(Table13[[#This Row],[STATE]],"-",Table13[[#This Row],[Year]])</f>
        <v>Delhi-2002</v>
      </c>
      <c r="D743" t="s">
        <v>69</v>
      </c>
      <c r="E743" t="s">
        <v>70</v>
      </c>
      <c r="F743">
        <v>91</v>
      </c>
      <c r="G743">
        <v>0</v>
      </c>
      <c r="H743">
        <v>0</v>
      </c>
      <c r="I743">
        <v>0</v>
      </c>
      <c r="J743">
        <v>47</v>
      </c>
      <c r="K743">
        <v>0</v>
      </c>
      <c r="L743">
        <v>0</v>
      </c>
      <c r="M743">
        <v>42</v>
      </c>
      <c r="N743">
        <v>0</v>
      </c>
      <c r="O743">
        <v>0</v>
      </c>
      <c r="P743">
        <v>2</v>
      </c>
      <c r="Q743">
        <v>0</v>
      </c>
      <c r="R743">
        <f>SUM(Table13[[#This Row],[Rank_All_Ranks_Total]:[Rank_SSPSPAddlSPCommandant]])</f>
        <v>182</v>
      </c>
    </row>
    <row r="744" spans="1:18" x14ac:dyDescent="0.3">
      <c r="A744" t="s">
        <v>11</v>
      </c>
      <c r="B744">
        <v>2002</v>
      </c>
      <c r="C744" t="str">
        <f>_xlfn.CONCAT(Table13[[#This Row],[STATE]],"-",Table13[[#This Row],[Year]])</f>
        <v>Goa-2002</v>
      </c>
      <c r="D744" t="s">
        <v>69</v>
      </c>
      <c r="E744" t="s">
        <v>70</v>
      </c>
      <c r="F744">
        <v>32</v>
      </c>
      <c r="G744">
        <v>0</v>
      </c>
      <c r="H744">
        <v>0</v>
      </c>
      <c r="I744">
        <v>0</v>
      </c>
      <c r="J744">
        <v>26</v>
      </c>
      <c r="K744">
        <v>0</v>
      </c>
      <c r="L744">
        <v>0</v>
      </c>
      <c r="M744">
        <v>6</v>
      </c>
      <c r="N744">
        <v>0</v>
      </c>
      <c r="O744">
        <v>0</v>
      </c>
      <c r="P744">
        <v>0</v>
      </c>
      <c r="Q744">
        <v>0</v>
      </c>
      <c r="R744">
        <f>SUM(Table13[[#This Row],[Rank_All_Ranks_Total]:[Rank_SSPSPAddlSPCommandant]])</f>
        <v>64</v>
      </c>
    </row>
    <row r="745" spans="1:18" x14ac:dyDescent="0.3">
      <c r="A745" t="s">
        <v>12</v>
      </c>
      <c r="B745">
        <v>2002</v>
      </c>
      <c r="C745" t="str">
        <f>_xlfn.CONCAT(Table13[[#This Row],[STATE]],"-",Table13[[#This Row],[Year]])</f>
        <v>Gujarat-2002</v>
      </c>
      <c r="D745" t="s">
        <v>69</v>
      </c>
      <c r="E745" t="s">
        <v>70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f>SUM(Table13[[#This Row],[Rank_All_Ranks_Total]:[Rank_SSPSPAddlSPCommandant]])</f>
        <v>0</v>
      </c>
    </row>
    <row r="746" spans="1:18" x14ac:dyDescent="0.3">
      <c r="A746" t="s">
        <v>13</v>
      </c>
      <c r="B746">
        <v>2002</v>
      </c>
      <c r="C746" t="str">
        <f>_xlfn.CONCAT(Table13[[#This Row],[STATE]],"-",Table13[[#This Row],[Year]])</f>
        <v>Haryana-2002</v>
      </c>
      <c r="D746" t="s">
        <v>69</v>
      </c>
      <c r="E746" t="s">
        <v>70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f>SUM(Table13[[#This Row],[Rank_All_Ranks_Total]:[Rank_SSPSPAddlSPCommandant]])</f>
        <v>0</v>
      </c>
    </row>
    <row r="747" spans="1:18" x14ac:dyDescent="0.3">
      <c r="A747" t="s">
        <v>14</v>
      </c>
      <c r="B747">
        <v>2002</v>
      </c>
      <c r="C747" t="str">
        <f>_xlfn.CONCAT(Table13[[#This Row],[STATE]],"-",Table13[[#This Row],[Year]])</f>
        <v>Himachal Pradesh-2002</v>
      </c>
      <c r="D747" t="s">
        <v>69</v>
      </c>
      <c r="E747" t="s">
        <v>70</v>
      </c>
      <c r="F747">
        <v>189</v>
      </c>
      <c r="G747">
        <v>2</v>
      </c>
      <c r="H747">
        <v>0</v>
      </c>
      <c r="I747">
        <v>0</v>
      </c>
      <c r="J747">
        <v>171</v>
      </c>
      <c r="K747">
        <v>0</v>
      </c>
      <c r="L747">
        <v>0</v>
      </c>
      <c r="M747">
        <v>12</v>
      </c>
      <c r="N747">
        <v>0</v>
      </c>
      <c r="O747">
        <v>1</v>
      </c>
      <c r="P747">
        <v>3</v>
      </c>
      <c r="Q747">
        <v>0</v>
      </c>
      <c r="R747">
        <f>SUM(Table13[[#This Row],[Rank_All_Ranks_Total]:[Rank_SSPSPAddlSPCommandant]])</f>
        <v>378</v>
      </c>
    </row>
    <row r="748" spans="1:18" x14ac:dyDescent="0.3">
      <c r="A748" t="s">
        <v>15</v>
      </c>
      <c r="B748">
        <v>2002</v>
      </c>
      <c r="C748" t="str">
        <f>_xlfn.CONCAT(Table13[[#This Row],[STATE]],"-",Table13[[#This Row],[Year]])</f>
        <v>Jammu &amp; Kashmir-2002</v>
      </c>
      <c r="D748" t="s">
        <v>69</v>
      </c>
      <c r="E748" t="s">
        <v>70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f>SUM(Table13[[#This Row],[Rank_All_Ranks_Total]:[Rank_SSPSPAddlSPCommandant]])</f>
        <v>0</v>
      </c>
    </row>
    <row r="749" spans="1:18" x14ac:dyDescent="0.3">
      <c r="A749" t="s">
        <v>16</v>
      </c>
      <c r="B749">
        <v>2002</v>
      </c>
      <c r="C749" t="str">
        <f>_xlfn.CONCAT(Table13[[#This Row],[STATE]],"-",Table13[[#This Row],[Year]])</f>
        <v>Jharkhand-2002</v>
      </c>
      <c r="D749" t="s">
        <v>69</v>
      </c>
      <c r="E749" t="s">
        <v>70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f>SUM(Table13[[#This Row],[Rank_All_Ranks_Total]:[Rank_SSPSPAddlSPCommandant]])</f>
        <v>0</v>
      </c>
    </row>
    <row r="750" spans="1:18" x14ac:dyDescent="0.3">
      <c r="A750" t="s">
        <v>17</v>
      </c>
      <c r="B750">
        <v>2002</v>
      </c>
      <c r="C750" t="str">
        <f>_xlfn.CONCAT(Table13[[#This Row],[STATE]],"-",Table13[[#This Row],[Year]])</f>
        <v>Karnataka-2002</v>
      </c>
      <c r="D750" t="s">
        <v>69</v>
      </c>
      <c r="E750" t="s">
        <v>70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f>SUM(Table13[[#This Row],[Rank_All_Ranks_Total]:[Rank_SSPSPAddlSPCommandant]])</f>
        <v>0</v>
      </c>
    </row>
    <row r="751" spans="1:18" x14ac:dyDescent="0.3">
      <c r="A751" t="s">
        <v>18</v>
      </c>
      <c r="B751">
        <v>2002</v>
      </c>
      <c r="C751" t="str">
        <f>_xlfn.CONCAT(Table13[[#This Row],[STATE]],"-",Table13[[#This Row],[Year]])</f>
        <v>Kerala-2002</v>
      </c>
      <c r="D751" t="s">
        <v>69</v>
      </c>
      <c r="E751" t="s">
        <v>70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f>SUM(Table13[[#This Row],[Rank_All_Ranks_Total]:[Rank_SSPSPAddlSPCommandant]])</f>
        <v>0</v>
      </c>
    </row>
    <row r="752" spans="1:18" x14ac:dyDescent="0.3">
      <c r="A752" t="s">
        <v>39</v>
      </c>
      <c r="B752">
        <v>2002</v>
      </c>
      <c r="C752" t="str">
        <f>_xlfn.CONCAT(Table13[[#This Row],[STATE]],"-",Table13[[#This Row],[Year]])</f>
        <v>Lakshadweep-2002</v>
      </c>
      <c r="D752" t="s">
        <v>69</v>
      </c>
      <c r="E752" t="s">
        <v>70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f>SUM(Table13[[#This Row],[Rank_All_Ranks_Total]:[Rank_SSPSPAddlSPCommandant]])</f>
        <v>0</v>
      </c>
    </row>
    <row r="753" spans="1:18" x14ac:dyDescent="0.3">
      <c r="A753" t="s">
        <v>19</v>
      </c>
      <c r="B753">
        <v>2002</v>
      </c>
      <c r="C753" t="str">
        <f>_xlfn.CONCAT(Table13[[#This Row],[STATE]],"-",Table13[[#This Row],[Year]])</f>
        <v>Madhya Pradesh-2002</v>
      </c>
      <c r="D753" t="s">
        <v>69</v>
      </c>
      <c r="E753" t="s">
        <v>70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f>SUM(Table13[[#This Row],[Rank_All_Ranks_Total]:[Rank_SSPSPAddlSPCommandant]])</f>
        <v>0</v>
      </c>
    </row>
    <row r="754" spans="1:18" x14ac:dyDescent="0.3">
      <c r="A754" t="s">
        <v>20</v>
      </c>
      <c r="B754">
        <v>2002</v>
      </c>
      <c r="C754" t="str">
        <f>_xlfn.CONCAT(Table13[[#This Row],[STATE]],"-",Table13[[#This Row],[Year]])</f>
        <v>Maharashtra-2002</v>
      </c>
      <c r="D754" t="s">
        <v>69</v>
      </c>
      <c r="E754" t="s">
        <v>70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f>SUM(Table13[[#This Row],[Rank_All_Ranks_Total]:[Rank_SSPSPAddlSPCommandant]])</f>
        <v>0</v>
      </c>
    </row>
    <row r="755" spans="1:18" x14ac:dyDescent="0.3">
      <c r="A755" t="s">
        <v>21</v>
      </c>
      <c r="B755">
        <v>2002</v>
      </c>
      <c r="C755" t="str">
        <f>_xlfn.CONCAT(Table13[[#This Row],[STATE]],"-",Table13[[#This Row],[Year]])</f>
        <v>Manipur-2002</v>
      </c>
      <c r="D755" t="s">
        <v>69</v>
      </c>
      <c r="E755" t="s">
        <v>70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f>SUM(Table13[[#This Row],[Rank_All_Ranks_Total]:[Rank_SSPSPAddlSPCommandant]])</f>
        <v>0</v>
      </c>
    </row>
    <row r="756" spans="1:18" x14ac:dyDescent="0.3">
      <c r="A756" t="s">
        <v>22</v>
      </c>
      <c r="B756">
        <v>2002</v>
      </c>
      <c r="C756" t="str">
        <f>_xlfn.CONCAT(Table13[[#This Row],[STATE]],"-",Table13[[#This Row],[Year]])</f>
        <v>Meghalaya-2002</v>
      </c>
      <c r="D756" t="s">
        <v>69</v>
      </c>
      <c r="E756" t="s">
        <v>70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f>SUM(Table13[[#This Row],[Rank_All_Ranks_Total]:[Rank_SSPSPAddlSPCommandant]])</f>
        <v>0</v>
      </c>
    </row>
    <row r="757" spans="1:18" x14ac:dyDescent="0.3">
      <c r="A757" t="s">
        <v>23</v>
      </c>
      <c r="B757">
        <v>2002</v>
      </c>
      <c r="C757" t="str">
        <f>_xlfn.CONCAT(Table13[[#This Row],[STATE]],"-",Table13[[#This Row],[Year]])</f>
        <v>Mizoram-2002</v>
      </c>
      <c r="D757" t="s">
        <v>69</v>
      </c>
      <c r="E757" t="s">
        <v>70</v>
      </c>
      <c r="F757">
        <v>136</v>
      </c>
      <c r="G757">
        <v>0</v>
      </c>
      <c r="H757">
        <v>0</v>
      </c>
      <c r="I757">
        <v>28</v>
      </c>
      <c r="J757">
        <v>85</v>
      </c>
      <c r="K757">
        <v>0</v>
      </c>
      <c r="L757">
        <v>0</v>
      </c>
      <c r="M757">
        <v>15</v>
      </c>
      <c r="N757">
        <v>0</v>
      </c>
      <c r="O757">
        <v>3</v>
      </c>
      <c r="P757">
        <v>5</v>
      </c>
      <c r="Q757">
        <v>0</v>
      </c>
      <c r="R757">
        <f>SUM(Table13[[#This Row],[Rank_All_Ranks_Total]:[Rank_SSPSPAddlSPCommandant]])</f>
        <v>272</v>
      </c>
    </row>
    <row r="758" spans="1:18" x14ac:dyDescent="0.3">
      <c r="A758" t="s">
        <v>24</v>
      </c>
      <c r="B758">
        <v>2002</v>
      </c>
      <c r="C758" t="str">
        <f>_xlfn.CONCAT(Table13[[#This Row],[STATE]],"-",Table13[[#This Row],[Year]])</f>
        <v>Nagaland-2002</v>
      </c>
      <c r="D758" t="s">
        <v>69</v>
      </c>
      <c r="E758" t="s">
        <v>70</v>
      </c>
      <c r="F758">
        <v>1</v>
      </c>
      <c r="G758">
        <v>0</v>
      </c>
      <c r="H758">
        <v>1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f>SUM(Table13[[#This Row],[Rank_All_Ranks_Total]:[Rank_SSPSPAddlSPCommandant]])</f>
        <v>2</v>
      </c>
    </row>
    <row r="759" spans="1:18" x14ac:dyDescent="0.3">
      <c r="A759" t="s">
        <v>63</v>
      </c>
      <c r="B759">
        <v>2002</v>
      </c>
      <c r="C759" t="str">
        <f>_xlfn.CONCAT(Table13[[#This Row],[STATE]],"-",Table13[[#This Row],[Year]])</f>
        <v>Odisha-2002</v>
      </c>
      <c r="D759" t="s">
        <v>69</v>
      </c>
      <c r="E759" t="s">
        <v>70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f>SUM(Table13[[#This Row],[Rank_All_Ranks_Total]:[Rank_SSPSPAddlSPCommandant]])</f>
        <v>0</v>
      </c>
    </row>
    <row r="760" spans="1:18" x14ac:dyDescent="0.3">
      <c r="A760" t="s">
        <v>64</v>
      </c>
      <c r="B760">
        <v>2002</v>
      </c>
      <c r="C760" t="str">
        <f>_xlfn.CONCAT(Table13[[#This Row],[STATE]],"-",Table13[[#This Row],[Year]])</f>
        <v>Puducherry-2002</v>
      </c>
      <c r="D760" t="s">
        <v>69</v>
      </c>
      <c r="E760" t="s">
        <v>70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f>SUM(Table13[[#This Row],[Rank_All_Ranks_Total]:[Rank_SSPSPAddlSPCommandant]])</f>
        <v>0</v>
      </c>
    </row>
    <row r="761" spans="1:18" x14ac:dyDescent="0.3">
      <c r="A761" t="s">
        <v>26</v>
      </c>
      <c r="B761">
        <v>2002</v>
      </c>
      <c r="C761" t="str">
        <f>_xlfn.CONCAT(Table13[[#This Row],[STATE]],"-",Table13[[#This Row],[Year]])</f>
        <v>Punjab-2002</v>
      </c>
      <c r="D761" t="s">
        <v>69</v>
      </c>
      <c r="E761" t="s">
        <v>70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f>SUM(Table13[[#This Row],[Rank_All_Ranks_Total]:[Rank_SSPSPAddlSPCommandant]])</f>
        <v>0</v>
      </c>
    </row>
    <row r="762" spans="1:18" x14ac:dyDescent="0.3">
      <c r="A762" t="s">
        <v>27</v>
      </c>
      <c r="B762">
        <v>2002</v>
      </c>
      <c r="C762" t="str">
        <f>_xlfn.CONCAT(Table13[[#This Row],[STATE]],"-",Table13[[#This Row],[Year]])</f>
        <v>Rajasthan-2002</v>
      </c>
      <c r="D762" t="s">
        <v>69</v>
      </c>
      <c r="E762" t="s">
        <v>70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f>SUM(Table13[[#This Row],[Rank_All_Ranks_Total]:[Rank_SSPSPAddlSPCommandant]])</f>
        <v>0</v>
      </c>
    </row>
    <row r="763" spans="1:18" x14ac:dyDescent="0.3">
      <c r="A763" t="s">
        <v>28</v>
      </c>
      <c r="B763">
        <v>2002</v>
      </c>
      <c r="C763" t="str">
        <f>_xlfn.CONCAT(Table13[[#This Row],[STATE]],"-",Table13[[#This Row],[Year]])</f>
        <v>Sikkim-2002</v>
      </c>
      <c r="D763" t="s">
        <v>69</v>
      </c>
      <c r="E763" t="s">
        <v>70</v>
      </c>
      <c r="F763">
        <v>1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1</v>
      </c>
      <c r="R763">
        <f>SUM(Table13[[#This Row],[Rank_All_Ranks_Total]:[Rank_SSPSPAddlSPCommandant]])</f>
        <v>2</v>
      </c>
    </row>
    <row r="764" spans="1:18" x14ac:dyDescent="0.3">
      <c r="A764" t="s">
        <v>42</v>
      </c>
      <c r="B764">
        <v>2002</v>
      </c>
      <c r="C764" t="str">
        <f>_xlfn.CONCAT(Table13[[#This Row],[STATE]],"-",Table13[[#This Row],[Year]])</f>
        <v>Tamil Nadu-2002</v>
      </c>
      <c r="D764" t="s">
        <v>69</v>
      </c>
      <c r="E764" t="s">
        <v>70</v>
      </c>
      <c r="F764">
        <v>1538</v>
      </c>
      <c r="G764">
        <v>0</v>
      </c>
      <c r="H764">
        <v>0</v>
      </c>
      <c r="I764">
        <v>354</v>
      </c>
      <c r="J764">
        <v>893</v>
      </c>
      <c r="K764">
        <v>0</v>
      </c>
      <c r="L764">
        <v>0</v>
      </c>
      <c r="M764">
        <v>291</v>
      </c>
      <c r="N764">
        <v>0</v>
      </c>
      <c r="O764">
        <v>0</v>
      </c>
      <c r="P764">
        <v>0</v>
      </c>
      <c r="Q764">
        <v>0</v>
      </c>
      <c r="R764">
        <f>SUM(Table13[[#This Row],[Rank_All_Ranks_Total]:[Rank_SSPSPAddlSPCommandant]])</f>
        <v>3076</v>
      </c>
    </row>
    <row r="765" spans="1:18" x14ac:dyDescent="0.3">
      <c r="A765" t="s">
        <v>30</v>
      </c>
      <c r="B765">
        <v>2002</v>
      </c>
      <c r="C765" t="str">
        <f>_xlfn.CONCAT(Table13[[#This Row],[STATE]],"-",Table13[[#This Row],[Year]])</f>
        <v>Tripura-2002</v>
      </c>
      <c r="D765" t="s">
        <v>69</v>
      </c>
      <c r="E765" t="s">
        <v>70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f>SUM(Table13[[#This Row],[Rank_All_Ranks_Total]:[Rank_SSPSPAddlSPCommandant]])</f>
        <v>0</v>
      </c>
    </row>
    <row r="766" spans="1:18" x14ac:dyDescent="0.3">
      <c r="A766" t="s">
        <v>31</v>
      </c>
      <c r="B766">
        <v>2002</v>
      </c>
      <c r="C766" t="str">
        <f>_xlfn.CONCAT(Table13[[#This Row],[STATE]],"-",Table13[[#This Row],[Year]])</f>
        <v>Uttar Pradesh-2002</v>
      </c>
      <c r="D766" t="s">
        <v>69</v>
      </c>
      <c r="E766" t="s">
        <v>70</v>
      </c>
      <c r="F766">
        <v>2</v>
      </c>
      <c r="G766">
        <v>0</v>
      </c>
      <c r="H766">
        <v>1</v>
      </c>
      <c r="I766">
        <v>0</v>
      </c>
      <c r="J766">
        <v>0</v>
      </c>
      <c r="K766">
        <v>0</v>
      </c>
      <c r="L766">
        <v>1</v>
      </c>
      <c r="M766">
        <v>0</v>
      </c>
      <c r="N766">
        <v>0</v>
      </c>
      <c r="O766">
        <v>0</v>
      </c>
      <c r="P766">
        <v>0</v>
      </c>
      <c r="Q766">
        <v>0</v>
      </c>
      <c r="R766">
        <f>SUM(Table13[[#This Row],[Rank_All_Ranks_Total]:[Rank_SSPSPAddlSPCommandant]])</f>
        <v>4</v>
      </c>
    </row>
    <row r="767" spans="1:18" x14ac:dyDescent="0.3">
      <c r="A767" t="s">
        <v>65</v>
      </c>
      <c r="B767">
        <v>2002</v>
      </c>
      <c r="C767" t="str">
        <f>_xlfn.CONCAT(Table13[[#This Row],[STATE]],"-",Table13[[#This Row],[Year]])</f>
        <v>Uttarakhand-2002</v>
      </c>
      <c r="D767" t="s">
        <v>69</v>
      </c>
      <c r="E767" t="s">
        <v>70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f>SUM(Table13[[#This Row],[Rank_All_Ranks_Total]:[Rank_SSPSPAddlSPCommandant]])</f>
        <v>0</v>
      </c>
    </row>
    <row r="768" spans="1:18" x14ac:dyDescent="0.3">
      <c r="A768" t="s">
        <v>33</v>
      </c>
      <c r="B768">
        <v>2002</v>
      </c>
      <c r="C768" t="str">
        <f>_xlfn.CONCAT(Table13[[#This Row],[STATE]],"-",Table13[[#This Row],[Year]])</f>
        <v>West Bengal-2002</v>
      </c>
      <c r="D768" t="s">
        <v>69</v>
      </c>
      <c r="E768" t="s">
        <v>70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f>SUM(Table13[[#This Row],[Rank_All_Ranks_Total]:[Rank_SSPSPAddlSPCommandant]])</f>
        <v>0</v>
      </c>
    </row>
    <row r="769" spans="1:18" x14ac:dyDescent="0.3">
      <c r="A769" t="s">
        <v>59</v>
      </c>
      <c r="B769">
        <v>2003</v>
      </c>
      <c r="C769" t="str">
        <f>_xlfn.CONCAT(Table13[[#This Row],[STATE]],"-",Table13[[#This Row],[Year]])</f>
        <v>Andaman &amp; Nicobar Islands-2003</v>
      </c>
      <c r="D769" t="s">
        <v>69</v>
      </c>
      <c r="E769" t="s">
        <v>70</v>
      </c>
      <c r="F769">
        <v>24</v>
      </c>
      <c r="G769">
        <v>1</v>
      </c>
      <c r="H769">
        <v>0</v>
      </c>
      <c r="I769">
        <v>0</v>
      </c>
      <c r="J769">
        <v>20</v>
      </c>
      <c r="K769">
        <v>0</v>
      </c>
      <c r="L769">
        <v>0</v>
      </c>
      <c r="M769">
        <v>3</v>
      </c>
      <c r="N769">
        <v>0</v>
      </c>
      <c r="O769">
        <v>0</v>
      </c>
      <c r="P769">
        <v>0</v>
      </c>
      <c r="Q769">
        <v>0</v>
      </c>
      <c r="R769">
        <f>SUM(Table13[[#This Row],[Rank_All_Ranks_Total]:[Rank_SSPSPAddlSPCommandant]])</f>
        <v>48</v>
      </c>
    </row>
    <row r="770" spans="1:18" x14ac:dyDescent="0.3">
      <c r="A770" t="s">
        <v>6</v>
      </c>
      <c r="B770">
        <v>2003</v>
      </c>
      <c r="C770" t="str">
        <f>_xlfn.CONCAT(Table13[[#This Row],[STATE]],"-",Table13[[#This Row],[Year]])</f>
        <v>Andhra Pradesh-2003</v>
      </c>
      <c r="D770" t="s">
        <v>69</v>
      </c>
      <c r="E770" t="s">
        <v>70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f>SUM(Table13[[#This Row],[Rank_All_Ranks_Total]:[Rank_SSPSPAddlSPCommandant]])</f>
        <v>0</v>
      </c>
    </row>
    <row r="771" spans="1:18" x14ac:dyDescent="0.3">
      <c r="A771" t="s">
        <v>7</v>
      </c>
      <c r="B771">
        <v>2003</v>
      </c>
      <c r="C771" t="str">
        <f>_xlfn.CONCAT(Table13[[#This Row],[STATE]],"-",Table13[[#This Row],[Year]])</f>
        <v>Arunachal Pradesh-2003</v>
      </c>
      <c r="D771" t="s">
        <v>69</v>
      </c>
      <c r="E771" t="s">
        <v>70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f>SUM(Table13[[#This Row],[Rank_All_Ranks_Total]:[Rank_SSPSPAddlSPCommandant]])</f>
        <v>0</v>
      </c>
    </row>
    <row r="772" spans="1:18" x14ac:dyDescent="0.3">
      <c r="A772" t="s">
        <v>8</v>
      </c>
      <c r="B772">
        <v>2003</v>
      </c>
      <c r="C772" t="str">
        <f>_xlfn.CONCAT(Table13[[#This Row],[STATE]],"-",Table13[[#This Row],[Year]])</f>
        <v>Assam-2003</v>
      </c>
      <c r="D772" t="s">
        <v>69</v>
      </c>
      <c r="E772" t="s">
        <v>70</v>
      </c>
      <c r="F772">
        <v>165</v>
      </c>
      <c r="G772">
        <v>0</v>
      </c>
      <c r="H772">
        <v>0</v>
      </c>
      <c r="I772">
        <v>8</v>
      </c>
      <c r="J772">
        <v>146</v>
      </c>
      <c r="K772">
        <v>0</v>
      </c>
      <c r="L772">
        <v>0</v>
      </c>
      <c r="M772">
        <v>8</v>
      </c>
      <c r="N772">
        <v>0</v>
      </c>
      <c r="O772">
        <v>0</v>
      </c>
      <c r="P772">
        <v>3</v>
      </c>
      <c r="Q772">
        <v>0</v>
      </c>
      <c r="R772">
        <f>SUM(Table13[[#This Row],[Rank_All_Ranks_Total]:[Rank_SSPSPAddlSPCommandant]])</f>
        <v>330</v>
      </c>
    </row>
    <row r="773" spans="1:18" x14ac:dyDescent="0.3">
      <c r="A773" t="s">
        <v>9</v>
      </c>
      <c r="B773">
        <v>2003</v>
      </c>
      <c r="C773" t="str">
        <f>_xlfn.CONCAT(Table13[[#This Row],[STATE]],"-",Table13[[#This Row],[Year]])</f>
        <v>Bihar-2003</v>
      </c>
      <c r="D773" t="s">
        <v>69</v>
      </c>
      <c r="E773" t="s">
        <v>70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f>SUM(Table13[[#This Row],[Rank_All_Ranks_Total]:[Rank_SSPSPAddlSPCommandant]])</f>
        <v>0</v>
      </c>
    </row>
    <row r="774" spans="1:18" x14ac:dyDescent="0.3">
      <c r="A774" t="s">
        <v>35</v>
      </c>
      <c r="B774">
        <v>2003</v>
      </c>
      <c r="C774" t="str">
        <f>_xlfn.CONCAT(Table13[[#This Row],[STATE]],"-",Table13[[#This Row],[Year]])</f>
        <v>Chandigarh-2003</v>
      </c>
      <c r="D774" t="s">
        <v>69</v>
      </c>
      <c r="E774" t="s">
        <v>70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f>SUM(Table13[[#This Row],[Rank_All_Ranks_Total]:[Rank_SSPSPAddlSPCommandant]])</f>
        <v>0</v>
      </c>
    </row>
    <row r="775" spans="1:18" x14ac:dyDescent="0.3">
      <c r="A775" t="s">
        <v>10</v>
      </c>
      <c r="B775">
        <v>2003</v>
      </c>
      <c r="C775" t="str">
        <f>_xlfn.CONCAT(Table13[[#This Row],[STATE]],"-",Table13[[#This Row],[Year]])</f>
        <v>Chhattisgarh-2003</v>
      </c>
      <c r="D775" t="s">
        <v>69</v>
      </c>
      <c r="E775" t="s">
        <v>70</v>
      </c>
      <c r="F775">
        <v>4</v>
      </c>
      <c r="G775">
        <v>0</v>
      </c>
      <c r="H775">
        <v>0</v>
      </c>
      <c r="I775">
        <v>0</v>
      </c>
      <c r="J775">
        <v>4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f>SUM(Table13[[#This Row],[Rank_All_Ranks_Total]:[Rank_SSPSPAddlSPCommandant]])</f>
        <v>8</v>
      </c>
    </row>
    <row r="776" spans="1:18" x14ac:dyDescent="0.3">
      <c r="A776" t="s">
        <v>62</v>
      </c>
      <c r="B776">
        <v>2003</v>
      </c>
      <c r="C776" t="str">
        <f>_xlfn.CONCAT(Table13[[#This Row],[STATE]],"-",Table13[[#This Row],[Year]])</f>
        <v>Dadra &amp; Nagar Haveli-2003</v>
      </c>
      <c r="D776" t="s">
        <v>69</v>
      </c>
      <c r="E776" t="s">
        <v>70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f>SUM(Table13[[#This Row],[Rank_All_Ranks_Total]:[Rank_SSPSPAddlSPCommandant]])</f>
        <v>0</v>
      </c>
    </row>
    <row r="777" spans="1:18" x14ac:dyDescent="0.3">
      <c r="A777" t="s">
        <v>37</v>
      </c>
      <c r="B777">
        <v>2003</v>
      </c>
      <c r="C777" t="str">
        <f>_xlfn.CONCAT(Table13[[#This Row],[STATE]],"-",Table13[[#This Row],[Year]])</f>
        <v>Daman &amp; Diu-2003</v>
      </c>
      <c r="D777" t="s">
        <v>69</v>
      </c>
      <c r="E777" t="s">
        <v>70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f>SUM(Table13[[#This Row],[Rank_All_Ranks_Total]:[Rank_SSPSPAddlSPCommandant]])</f>
        <v>0</v>
      </c>
    </row>
    <row r="778" spans="1:18" x14ac:dyDescent="0.3">
      <c r="A778" t="s">
        <v>38</v>
      </c>
      <c r="B778">
        <v>2003</v>
      </c>
      <c r="C778" t="str">
        <f>_xlfn.CONCAT(Table13[[#This Row],[STATE]],"-",Table13[[#This Row],[Year]])</f>
        <v>Delhi-2003</v>
      </c>
      <c r="D778" t="s">
        <v>69</v>
      </c>
      <c r="E778" t="s">
        <v>70</v>
      </c>
      <c r="F778">
        <v>99</v>
      </c>
      <c r="G778">
        <v>0</v>
      </c>
      <c r="H778">
        <v>0</v>
      </c>
      <c r="I778">
        <v>0</v>
      </c>
      <c r="J778">
        <v>54</v>
      </c>
      <c r="K778">
        <v>0</v>
      </c>
      <c r="L778">
        <v>0</v>
      </c>
      <c r="M778">
        <v>42</v>
      </c>
      <c r="N778">
        <v>0</v>
      </c>
      <c r="O778">
        <v>0</v>
      </c>
      <c r="P778">
        <v>3</v>
      </c>
      <c r="Q778">
        <v>0</v>
      </c>
      <c r="R778">
        <f>SUM(Table13[[#This Row],[Rank_All_Ranks_Total]:[Rank_SSPSPAddlSPCommandant]])</f>
        <v>198</v>
      </c>
    </row>
    <row r="779" spans="1:18" x14ac:dyDescent="0.3">
      <c r="A779" t="s">
        <v>11</v>
      </c>
      <c r="B779">
        <v>2003</v>
      </c>
      <c r="C779" t="str">
        <f>_xlfn.CONCAT(Table13[[#This Row],[STATE]],"-",Table13[[#This Row],[Year]])</f>
        <v>Goa-2003</v>
      </c>
      <c r="D779" t="s">
        <v>69</v>
      </c>
      <c r="E779" t="s">
        <v>70</v>
      </c>
      <c r="F779">
        <v>17</v>
      </c>
      <c r="G779">
        <v>0</v>
      </c>
      <c r="H779">
        <v>0</v>
      </c>
      <c r="I779">
        <v>0</v>
      </c>
      <c r="J779">
        <v>14</v>
      </c>
      <c r="K779">
        <v>0</v>
      </c>
      <c r="L779">
        <v>0</v>
      </c>
      <c r="M779">
        <v>3</v>
      </c>
      <c r="N779">
        <v>0</v>
      </c>
      <c r="O779">
        <v>0</v>
      </c>
      <c r="P779">
        <v>0</v>
      </c>
      <c r="Q779">
        <v>0</v>
      </c>
      <c r="R779">
        <f>SUM(Table13[[#This Row],[Rank_All_Ranks_Total]:[Rank_SSPSPAddlSPCommandant]])</f>
        <v>34</v>
      </c>
    </row>
    <row r="780" spans="1:18" x14ac:dyDescent="0.3">
      <c r="A780" t="s">
        <v>12</v>
      </c>
      <c r="B780">
        <v>2003</v>
      </c>
      <c r="C780" t="str">
        <f>_xlfn.CONCAT(Table13[[#This Row],[STATE]],"-",Table13[[#This Row],[Year]])</f>
        <v>Gujarat-2003</v>
      </c>
      <c r="D780" t="s">
        <v>69</v>
      </c>
      <c r="E780" t="s">
        <v>70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f>SUM(Table13[[#This Row],[Rank_All_Ranks_Total]:[Rank_SSPSPAddlSPCommandant]])</f>
        <v>0</v>
      </c>
    </row>
    <row r="781" spans="1:18" x14ac:dyDescent="0.3">
      <c r="A781" t="s">
        <v>13</v>
      </c>
      <c r="B781">
        <v>2003</v>
      </c>
      <c r="C781" t="str">
        <f>_xlfn.CONCAT(Table13[[#This Row],[STATE]],"-",Table13[[#This Row],[Year]])</f>
        <v>Haryana-2003</v>
      </c>
      <c r="D781" t="s">
        <v>69</v>
      </c>
      <c r="E781" t="s">
        <v>70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f>SUM(Table13[[#This Row],[Rank_All_Ranks_Total]:[Rank_SSPSPAddlSPCommandant]])</f>
        <v>0</v>
      </c>
    </row>
    <row r="782" spans="1:18" x14ac:dyDescent="0.3">
      <c r="A782" t="s">
        <v>14</v>
      </c>
      <c r="B782">
        <v>2003</v>
      </c>
      <c r="C782" t="str">
        <f>_xlfn.CONCAT(Table13[[#This Row],[STATE]],"-",Table13[[#This Row],[Year]])</f>
        <v>Himachal Pradesh-2003</v>
      </c>
      <c r="D782" t="s">
        <v>69</v>
      </c>
      <c r="E782" t="s">
        <v>70</v>
      </c>
      <c r="F782">
        <v>132</v>
      </c>
      <c r="G782">
        <v>3</v>
      </c>
      <c r="H782">
        <v>1</v>
      </c>
      <c r="I782">
        <v>0</v>
      </c>
      <c r="J782">
        <v>117</v>
      </c>
      <c r="K782">
        <v>0</v>
      </c>
      <c r="L782">
        <v>0</v>
      </c>
      <c r="M782">
        <v>9</v>
      </c>
      <c r="N782">
        <v>0</v>
      </c>
      <c r="O782">
        <v>0</v>
      </c>
      <c r="P782">
        <v>2</v>
      </c>
      <c r="Q782">
        <v>0</v>
      </c>
      <c r="R782">
        <f>SUM(Table13[[#This Row],[Rank_All_Ranks_Total]:[Rank_SSPSPAddlSPCommandant]])</f>
        <v>264</v>
      </c>
    </row>
    <row r="783" spans="1:18" x14ac:dyDescent="0.3">
      <c r="A783" t="s">
        <v>15</v>
      </c>
      <c r="B783">
        <v>2003</v>
      </c>
      <c r="C783" t="str">
        <f>_xlfn.CONCAT(Table13[[#This Row],[STATE]],"-",Table13[[#This Row],[Year]])</f>
        <v>Jammu &amp; Kashmir-2003</v>
      </c>
      <c r="D783" t="s">
        <v>69</v>
      </c>
      <c r="E783" t="s">
        <v>70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f>SUM(Table13[[#This Row],[Rank_All_Ranks_Total]:[Rank_SSPSPAddlSPCommandant]])</f>
        <v>0</v>
      </c>
    </row>
    <row r="784" spans="1:18" x14ac:dyDescent="0.3">
      <c r="A784" t="s">
        <v>16</v>
      </c>
      <c r="B784">
        <v>2003</v>
      </c>
      <c r="C784" t="str">
        <f>_xlfn.CONCAT(Table13[[#This Row],[STATE]],"-",Table13[[#This Row],[Year]])</f>
        <v>Jharkhand-2003</v>
      </c>
      <c r="D784" t="s">
        <v>69</v>
      </c>
      <c r="E784" t="s">
        <v>70</v>
      </c>
      <c r="F784">
        <v>13</v>
      </c>
      <c r="G784">
        <v>0</v>
      </c>
      <c r="H784">
        <v>0</v>
      </c>
      <c r="I784">
        <v>0</v>
      </c>
      <c r="J784">
        <v>13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f>SUM(Table13[[#This Row],[Rank_All_Ranks_Total]:[Rank_SSPSPAddlSPCommandant]])</f>
        <v>26</v>
      </c>
    </row>
    <row r="785" spans="1:18" x14ac:dyDescent="0.3">
      <c r="A785" t="s">
        <v>17</v>
      </c>
      <c r="B785">
        <v>2003</v>
      </c>
      <c r="C785" t="str">
        <f>_xlfn.CONCAT(Table13[[#This Row],[STATE]],"-",Table13[[#This Row],[Year]])</f>
        <v>Karnataka-2003</v>
      </c>
      <c r="D785" t="s">
        <v>69</v>
      </c>
      <c r="E785" t="s">
        <v>70</v>
      </c>
      <c r="F785">
        <v>20</v>
      </c>
      <c r="G785">
        <v>0</v>
      </c>
      <c r="H785">
        <v>0</v>
      </c>
      <c r="I785">
        <v>0</v>
      </c>
      <c r="J785">
        <v>15</v>
      </c>
      <c r="K785">
        <v>0</v>
      </c>
      <c r="L785">
        <v>0</v>
      </c>
      <c r="M785">
        <v>5</v>
      </c>
      <c r="N785">
        <v>0</v>
      </c>
      <c r="O785">
        <v>0</v>
      </c>
      <c r="P785">
        <v>0</v>
      </c>
      <c r="Q785">
        <v>0</v>
      </c>
      <c r="R785">
        <f>SUM(Table13[[#This Row],[Rank_All_Ranks_Total]:[Rank_SSPSPAddlSPCommandant]])</f>
        <v>40</v>
      </c>
    </row>
    <row r="786" spans="1:18" x14ac:dyDescent="0.3">
      <c r="A786" t="s">
        <v>18</v>
      </c>
      <c r="B786">
        <v>2003</v>
      </c>
      <c r="C786" t="str">
        <f>_xlfn.CONCAT(Table13[[#This Row],[STATE]],"-",Table13[[#This Row],[Year]])</f>
        <v>Kerala-2003</v>
      </c>
      <c r="D786" t="s">
        <v>69</v>
      </c>
      <c r="E786" t="s">
        <v>70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f>SUM(Table13[[#This Row],[Rank_All_Ranks_Total]:[Rank_SSPSPAddlSPCommandant]])</f>
        <v>0</v>
      </c>
    </row>
    <row r="787" spans="1:18" x14ac:dyDescent="0.3">
      <c r="A787" t="s">
        <v>39</v>
      </c>
      <c r="B787">
        <v>2003</v>
      </c>
      <c r="C787" t="str">
        <f>_xlfn.CONCAT(Table13[[#This Row],[STATE]],"-",Table13[[#This Row],[Year]])</f>
        <v>Lakshadweep-2003</v>
      </c>
      <c r="D787" t="s">
        <v>69</v>
      </c>
      <c r="E787" t="s">
        <v>70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f>SUM(Table13[[#This Row],[Rank_All_Ranks_Total]:[Rank_SSPSPAddlSPCommandant]])</f>
        <v>0</v>
      </c>
    </row>
    <row r="788" spans="1:18" x14ac:dyDescent="0.3">
      <c r="A788" t="s">
        <v>19</v>
      </c>
      <c r="B788">
        <v>2003</v>
      </c>
      <c r="C788" t="str">
        <f>_xlfn.CONCAT(Table13[[#This Row],[STATE]],"-",Table13[[#This Row],[Year]])</f>
        <v>Madhya Pradesh-2003</v>
      </c>
      <c r="D788" t="s">
        <v>69</v>
      </c>
      <c r="E788" t="s">
        <v>70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f>SUM(Table13[[#This Row],[Rank_All_Ranks_Total]:[Rank_SSPSPAddlSPCommandant]])</f>
        <v>0</v>
      </c>
    </row>
    <row r="789" spans="1:18" x14ac:dyDescent="0.3">
      <c r="A789" t="s">
        <v>20</v>
      </c>
      <c r="B789">
        <v>2003</v>
      </c>
      <c r="C789" t="str">
        <f>_xlfn.CONCAT(Table13[[#This Row],[STATE]],"-",Table13[[#This Row],[Year]])</f>
        <v>Maharashtra-2003</v>
      </c>
      <c r="D789" t="s">
        <v>69</v>
      </c>
      <c r="E789" t="s">
        <v>70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f>SUM(Table13[[#This Row],[Rank_All_Ranks_Total]:[Rank_SSPSPAddlSPCommandant]])</f>
        <v>0</v>
      </c>
    </row>
    <row r="790" spans="1:18" x14ac:dyDescent="0.3">
      <c r="A790" t="s">
        <v>21</v>
      </c>
      <c r="B790">
        <v>2003</v>
      </c>
      <c r="C790" t="str">
        <f>_xlfn.CONCAT(Table13[[#This Row],[STATE]],"-",Table13[[#This Row],[Year]])</f>
        <v>Manipur-2003</v>
      </c>
      <c r="D790" t="s">
        <v>69</v>
      </c>
      <c r="E790" t="s">
        <v>70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f>SUM(Table13[[#This Row],[Rank_All_Ranks_Total]:[Rank_SSPSPAddlSPCommandant]])</f>
        <v>0</v>
      </c>
    </row>
    <row r="791" spans="1:18" x14ac:dyDescent="0.3">
      <c r="A791" t="s">
        <v>22</v>
      </c>
      <c r="B791">
        <v>2003</v>
      </c>
      <c r="C791" t="str">
        <f>_xlfn.CONCAT(Table13[[#This Row],[STATE]],"-",Table13[[#This Row],[Year]])</f>
        <v>Meghalaya-2003</v>
      </c>
      <c r="D791" t="s">
        <v>69</v>
      </c>
      <c r="E791" t="s">
        <v>70</v>
      </c>
      <c r="F791">
        <v>1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1</v>
      </c>
      <c r="R791">
        <f>SUM(Table13[[#This Row],[Rank_All_Ranks_Total]:[Rank_SSPSPAddlSPCommandant]])</f>
        <v>2</v>
      </c>
    </row>
    <row r="792" spans="1:18" x14ac:dyDescent="0.3">
      <c r="A792" t="s">
        <v>23</v>
      </c>
      <c r="B792">
        <v>2003</v>
      </c>
      <c r="C792" t="str">
        <f>_xlfn.CONCAT(Table13[[#This Row],[STATE]],"-",Table13[[#This Row],[Year]])</f>
        <v>Mizoram-2003</v>
      </c>
      <c r="D792" t="s">
        <v>69</v>
      </c>
      <c r="E792" t="s">
        <v>70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f>SUM(Table13[[#This Row],[Rank_All_Ranks_Total]:[Rank_SSPSPAddlSPCommandant]])</f>
        <v>0</v>
      </c>
    </row>
    <row r="793" spans="1:18" x14ac:dyDescent="0.3">
      <c r="A793" t="s">
        <v>24</v>
      </c>
      <c r="B793">
        <v>2003</v>
      </c>
      <c r="C793" t="str">
        <f>_xlfn.CONCAT(Table13[[#This Row],[STATE]],"-",Table13[[#This Row],[Year]])</f>
        <v>Nagaland-2003</v>
      </c>
      <c r="D793" t="s">
        <v>69</v>
      </c>
      <c r="E793" t="s">
        <v>70</v>
      </c>
      <c r="F793">
        <v>1</v>
      </c>
      <c r="G793">
        <v>0</v>
      </c>
      <c r="H793">
        <v>1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f>SUM(Table13[[#This Row],[Rank_All_Ranks_Total]:[Rank_SSPSPAddlSPCommandant]])</f>
        <v>2</v>
      </c>
    </row>
    <row r="794" spans="1:18" x14ac:dyDescent="0.3">
      <c r="A794" t="s">
        <v>63</v>
      </c>
      <c r="B794">
        <v>2003</v>
      </c>
      <c r="C794" t="str">
        <f>_xlfn.CONCAT(Table13[[#This Row],[STATE]],"-",Table13[[#This Row],[Year]])</f>
        <v>Odisha-2003</v>
      </c>
      <c r="D794" t="s">
        <v>69</v>
      </c>
      <c r="E794" t="s">
        <v>70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f>SUM(Table13[[#This Row],[Rank_All_Ranks_Total]:[Rank_SSPSPAddlSPCommandant]])</f>
        <v>0</v>
      </c>
    </row>
    <row r="795" spans="1:18" x14ac:dyDescent="0.3">
      <c r="A795" t="s">
        <v>64</v>
      </c>
      <c r="B795">
        <v>2003</v>
      </c>
      <c r="C795" t="str">
        <f>_xlfn.CONCAT(Table13[[#This Row],[STATE]],"-",Table13[[#This Row],[Year]])</f>
        <v>Puducherry-2003</v>
      </c>
      <c r="D795" t="s">
        <v>69</v>
      </c>
      <c r="E795" t="s">
        <v>70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f>SUM(Table13[[#This Row],[Rank_All_Ranks_Total]:[Rank_SSPSPAddlSPCommandant]])</f>
        <v>0</v>
      </c>
    </row>
    <row r="796" spans="1:18" x14ac:dyDescent="0.3">
      <c r="A796" t="s">
        <v>26</v>
      </c>
      <c r="B796">
        <v>2003</v>
      </c>
      <c r="C796" t="str">
        <f>_xlfn.CONCAT(Table13[[#This Row],[STATE]],"-",Table13[[#This Row],[Year]])</f>
        <v>Punjab-2003</v>
      </c>
      <c r="D796" t="s">
        <v>69</v>
      </c>
      <c r="E796" t="s">
        <v>70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f>SUM(Table13[[#This Row],[Rank_All_Ranks_Total]:[Rank_SSPSPAddlSPCommandant]])</f>
        <v>0</v>
      </c>
    </row>
    <row r="797" spans="1:18" x14ac:dyDescent="0.3">
      <c r="A797" t="s">
        <v>27</v>
      </c>
      <c r="B797">
        <v>2003</v>
      </c>
      <c r="C797" t="str">
        <f>_xlfn.CONCAT(Table13[[#This Row],[STATE]],"-",Table13[[#This Row],[Year]])</f>
        <v>Rajasthan-2003</v>
      </c>
      <c r="D797" t="s">
        <v>69</v>
      </c>
      <c r="E797" t="s">
        <v>70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f>SUM(Table13[[#This Row],[Rank_All_Ranks_Total]:[Rank_SSPSPAddlSPCommandant]])</f>
        <v>0</v>
      </c>
    </row>
    <row r="798" spans="1:18" x14ac:dyDescent="0.3">
      <c r="A798" t="s">
        <v>28</v>
      </c>
      <c r="B798">
        <v>2003</v>
      </c>
      <c r="C798" t="str">
        <f>_xlfn.CONCAT(Table13[[#This Row],[STATE]],"-",Table13[[#This Row],[Year]])</f>
        <v>Sikkim-2003</v>
      </c>
      <c r="D798" t="s">
        <v>69</v>
      </c>
      <c r="E798" t="s">
        <v>70</v>
      </c>
      <c r="F798">
        <v>1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1</v>
      </c>
      <c r="R798">
        <f>SUM(Table13[[#This Row],[Rank_All_Ranks_Total]:[Rank_SSPSPAddlSPCommandant]])</f>
        <v>2</v>
      </c>
    </row>
    <row r="799" spans="1:18" x14ac:dyDescent="0.3">
      <c r="A799" t="s">
        <v>42</v>
      </c>
      <c r="B799">
        <v>2003</v>
      </c>
      <c r="C799" t="str">
        <f>_xlfn.CONCAT(Table13[[#This Row],[STATE]],"-",Table13[[#This Row],[Year]])</f>
        <v>Tamil Nadu-2003</v>
      </c>
      <c r="D799" t="s">
        <v>69</v>
      </c>
      <c r="E799" t="s">
        <v>70</v>
      </c>
      <c r="F799">
        <v>2941</v>
      </c>
      <c r="G799">
        <v>0</v>
      </c>
      <c r="H799">
        <v>0</v>
      </c>
      <c r="I799">
        <v>676</v>
      </c>
      <c r="J799">
        <v>1706</v>
      </c>
      <c r="K799">
        <v>0</v>
      </c>
      <c r="L799">
        <v>0</v>
      </c>
      <c r="M799">
        <v>559</v>
      </c>
      <c r="N799">
        <v>0</v>
      </c>
      <c r="O799">
        <v>0</v>
      </c>
      <c r="P799">
        <v>0</v>
      </c>
      <c r="Q799">
        <v>0</v>
      </c>
      <c r="R799">
        <f>SUM(Table13[[#This Row],[Rank_All_Ranks_Total]:[Rank_SSPSPAddlSPCommandant]])</f>
        <v>5882</v>
      </c>
    </row>
    <row r="800" spans="1:18" x14ac:dyDescent="0.3">
      <c r="A800" t="s">
        <v>30</v>
      </c>
      <c r="B800">
        <v>2003</v>
      </c>
      <c r="C800" t="str">
        <f>_xlfn.CONCAT(Table13[[#This Row],[STATE]],"-",Table13[[#This Row],[Year]])</f>
        <v>Tripura-2003</v>
      </c>
      <c r="D800" t="s">
        <v>69</v>
      </c>
      <c r="E800" t="s">
        <v>70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f>SUM(Table13[[#This Row],[Rank_All_Ranks_Total]:[Rank_SSPSPAddlSPCommandant]])</f>
        <v>0</v>
      </c>
    </row>
    <row r="801" spans="1:18" x14ac:dyDescent="0.3">
      <c r="A801" t="s">
        <v>31</v>
      </c>
      <c r="B801">
        <v>2003</v>
      </c>
      <c r="C801" t="str">
        <f>_xlfn.CONCAT(Table13[[#This Row],[STATE]],"-",Table13[[#This Row],[Year]])</f>
        <v>Uttar Pradesh-2003</v>
      </c>
      <c r="D801" t="s">
        <v>69</v>
      </c>
      <c r="E801" t="s">
        <v>70</v>
      </c>
      <c r="F801">
        <v>5</v>
      </c>
      <c r="G801">
        <v>0</v>
      </c>
      <c r="H801">
        <v>3</v>
      </c>
      <c r="I801">
        <v>0</v>
      </c>
      <c r="J801">
        <v>0</v>
      </c>
      <c r="K801">
        <v>0</v>
      </c>
      <c r="L801">
        <v>1</v>
      </c>
      <c r="M801">
        <v>0</v>
      </c>
      <c r="N801">
        <v>0</v>
      </c>
      <c r="O801">
        <v>0</v>
      </c>
      <c r="P801">
        <v>0</v>
      </c>
      <c r="Q801">
        <v>1</v>
      </c>
      <c r="R801">
        <f>SUM(Table13[[#This Row],[Rank_All_Ranks_Total]:[Rank_SSPSPAddlSPCommandant]])</f>
        <v>10</v>
      </c>
    </row>
    <row r="802" spans="1:18" x14ac:dyDescent="0.3">
      <c r="A802" t="s">
        <v>65</v>
      </c>
      <c r="B802">
        <v>2003</v>
      </c>
      <c r="C802" t="str">
        <f>_xlfn.CONCAT(Table13[[#This Row],[STATE]],"-",Table13[[#This Row],[Year]])</f>
        <v>Uttarakhand-2003</v>
      </c>
      <c r="D802" t="s">
        <v>69</v>
      </c>
      <c r="E802" t="s">
        <v>70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f>SUM(Table13[[#This Row],[Rank_All_Ranks_Total]:[Rank_SSPSPAddlSPCommandant]])</f>
        <v>0</v>
      </c>
    </row>
    <row r="803" spans="1:18" x14ac:dyDescent="0.3">
      <c r="A803" t="s">
        <v>33</v>
      </c>
      <c r="B803">
        <v>2003</v>
      </c>
      <c r="C803" t="str">
        <f>_xlfn.CONCAT(Table13[[#This Row],[STATE]],"-",Table13[[#This Row],[Year]])</f>
        <v>West Bengal-2003</v>
      </c>
      <c r="D803" t="s">
        <v>69</v>
      </c>
      <c r="E803" t="s">
        <v>70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f>SUM(Table13[[#This Row],[Rank_All_Ranks_Total]:[Rank_SSPSPAddlSPCommandant]])</f>
        <v>0</v>
      </c>
    </row>
    <row r="804" spans="1:18" x14ac:dyDescent="0.3">
      <c r="A804" t="s">
        <v>59</v>
      </c>
      <c r="B804">
        <v>2004</v>
      </c>
      <c r="C804" t="str">
        <f>_xlfn.CONCAT(Table13[[#This Row],[STATE]],"-",Table13[[#This Row],[Year]])</f>
        <v>Andaman &amp; Nicobar Islands-2004</v>
      </c>
      <c r="D804" t="s">
        <v>69</v>
      </c>
      <c r="E804" t="s">
        <v>70</v>
      </c>
      <c r="F804">
        <v>23</v>
      </c>
      <c r="G804">
        <v>1</v>
      </c>
      <c r="H804">
        <v>0</v>
      </c>
      <c r="I804">
        <v>0</v>
      </c>
      <c r="J804">
        <v>20</v>
      </c>
      <c r="K804">
        <v>0</v>
      </c>
      <c r="L804">
        <v>0</v>
      </c>
      <c r="M804">
        <v>2</v>
      </c>
      <c r="N804">
        <v>0</v>
      </c>
      <c r="O804">
        <v>0</v>
      </c>
      <c r="P804">
        <v>0</v>
      </c>
      <c r="Q804">
        <v>0</v>
      </c>
      <c r="R804">
        <f>SUM(Table13[[#This Row],[Rank_All_Ranks_Total]:[Rank_SSPSPAddlSPCommandant]])</f>
        <v>46</v>
      </c>
    </row>
    <row r="805" spans="1:18" x14ac:dyDescent="0.3">
      <c r="A805" t="s">
        <v>6</v>
      </c>
      <c r="B805">
        <v>2004</v>
      </c>
      <c r="C805" t="str">
        <f>_xlfn.CONCAT(Table13[[#This Row],[STATE]],"-",Table13[[#This Row],[Year]])</f>
        <v>Andhra Pradesh-2004</v>
      </c>
      <c r="D805" t="s">
        <v>69</v>
      </c>
      <c r="E805" t="s">
        <v>70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f>SUM(Table13[[#This Row],[Rank_All_Ranks_Total]:[Rank_SSPSPAddlSPCommandant]])</f>
        <v>0</v>
      </c>
    </row>
    <row r="806" spans="1:18" x14ac:dyDescent="0.3">
      <c r="A806" t="s">
        <v>7</v>
      </c>
      <c r="B806">
        <v>2004</v>
      </c>
      <c r="C806" t="str">
        <f>_xlfn.CONCAT(Table13[[#This Row],[STATE]],"-",Table13[[#This Row],[Year]])</f>
        <v>Arunachal Pradesh-2004</v>
      </c>
      <c r="D806" t="s">
        <v>69</v>
      </c>
      <c r="E806" t="s">
        <v>70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f>SUM(Table13[[#This Row],[Rank_All_Ranks_Total]:[Rank_SSPSPAddlSPCommandant]])</f>
        <v>0</v>
      </c>
    </row>
    <row r="807" spans="1:18" x14ac:dyDescent="0.3">
      <c r="A807" t="s">
        <v>8</v>
      </c>
      <c r="B807">
        <v>2004</v>
      </c>
      <c r="C807" t="str">
        <f>_xlfn.CONCAT(Table13[[#This Row],[STATE]],"-",Table13[[#This Row],[Year]])</f>
        <v>Assam-2004</v>
      </c>
      <c r="D807" t="s">
        <v>69</v>
      </c>
      <c r="E807" t="s">
        <v>70</v>
      </c>
      <c r="F807">
        <v>165</v>
      </c>
      <c r="G807">
        <v>0</v>
      </c>
      <c r="H807">
        <v>0</v>
      </c>
      <c r="I807">
        <v>8</v>
      </c>
      <c r="J807">
        <v>146</v>
      </c>
      <c r="K807">
        <v>0</v>
      </c>
      <c r="L807">
        <v>0</v>
      </c>
      <c r="M807">
        <v>8</v>
      </c>
      <c r="N807">
        <v>0</v>
      </c>
      <c r="O807">
        <v>0</v>
      </c>
      <c r="P807">
        <v>3</v>
      </c>
      <c r="Q807">
        <v>0</v>
      </c>
      <c r="R807">
        <f>SUM(Table13[[#This Row],[Rank_All_Ranks_Total]:[Rank_SSPSPAddlSPCommandant]])</f>
        <v>330</v>
      </c>
    </row>
    <row r="808" spans="1:18" x14ac:dyDescent="0.3">
      <c r="A808" t="s">
        <v>9</v>
      </c>
      <c r="B808">
        <v>2004</v>
      </c>
      <c r="C808" t="str">
        <f>_xlfn.CONCAT(Table13[[#This Row],[STATE]],"-",Table13[[#This Row],[Year]])</f>
        <v>Bihar-2004</v>
      </c>
      <c r="D808" t="s">
        <v>69</v>
      </c>
      <c r="E808" t="s">
        <v>70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f>SUM(Table13[[#This Row],[Rank_All_Ranks_Total]:[Rank_SSPSPAddlSPCommandant]])</f>
        <v>0</v>
      </c>
    </row>
    <row r="809" spans="1:18" x14ac:dyDescent="0.3">
      <c r="A809" t="s">
        <v>35</v>
      </c>
      <c r="B809">
        <v>2004</v>
      </c>
      <c r="C809" t="str">
        <f>_xlfn.CONCAT(Table13[[#This Row],[STATE]],"-",Table13[[#This Row],[Year]])</f>
        <v>Chandigarh-2004</v>
      </c>
      <c r="D809" t="s">
        <v>69</v>
      </c>
      <c r="E809" t="s">
        <v>70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f>SUM(Table13[[#This Row],[Rank_All_Ranks_Total]:[Rank_SSPSPAddlSPCommandant]])</f>
        <v>0</v>
      </c>
    </row>
    <row r="810" spans="1:18" x14ac:dyDescent="0.3">
      <c r="A810" t="s">
        <v>10</v>
      </c>
      <c r="B810">
        <v>2004</v>
      </c>
      <c r="C810" t="str">
        <f>_xlfn.CONCAT(Table13[[#This Row],[STATE]],"-",Table13[[#This Row],[Year]])</f>
        <v>Chhattisgarh-2004</v>
      </c>
      <c r="D810" t="s">
        <v>69</v>
      </c>
      <c r="E810" t="s">
        <v>70</v>
      </c>
      <c r="F810">
        <v>4</v>
      </c>
      <c r="G810">
        <v>0</v>
      </c>
      <c r="H810">
        <v>0</v>
      </c>
      <c r="I810">
        <v>0</v>
      </c>
      <c r="J810">
        <v>4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f>SUM(Table13[[#This Row],[Rank_All_Ranks_Total]:[Rank_SSPSPAddlSPCommandant]])</f>
        <v>8</v>
      </c>
    </row>
    <row r="811" spans="1:18" x14ac:dyDescent="0.3">
      <c r="A811" t="s">
        <v>62</v>
      </c>
      <c r="B811">
        <v>2004</v>
      </c>
      <c r="C811" t="str">
        <f>_xlfn.CONCAT(Table13[[#This Row],[STATE]],"-",Table13[[#This Row],[Year]])</f>
        <v>Dadra &amp; Nagar Haveli-2004</v>
      </c>
      <c r="D811" t="s">
        <v>69</v>
      </c>
      <c r="E811" t="s">
        <v>70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f>SUM(Table13[[#This Row],[Rank_All_Ranks_Total]:[Rank_SSPSPAddlSPCommandant]])</f>
        <v>0</v>
      </c>
    </row>
    <row r="812" spans="1:18" x14ac:dyDescent="0.3">
      <c r="A812" t="s">
        <v>37</v>
      </c>
      <c r="B812">
        <v>2004</v>
      </c>
      <c r="C812" t="str">
        <f>_xlfn.CONCAT(Table13[[#This Row],[STATE]],"-",Table13[[#This Row],[Year]])</f>
        <v>Daman &amp; Diu-2004</v>
      </c>
      <c r="D812" t="s">
        <v>69</v>
      </c>
      <c r="E812" t="s">
        <v>70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f>SUM(Table13[[#This Row],[Rank_All_Ranks_Total]:[Rank_SSPSPAddlSPCommandant]])</f>
        <v>0</v>
      </c>
    </row>
    <row r="813" spans="1:18" x14ac:dyDescent="0.3">
      <c r="A813" t="s">
        <v>38</v>
      </c>
      <c r="B813">
        <v>2004</v>
      </c>
      <c r="C813" t="str">
        <f>_xlfn.CONCAT(Table13[[#This Row],[STATE]],"-",Table13[[#This Row],[Year]])</f>
        <v>Delhi-2004</v>
      </c>
      <c r="D813" t="s">
        <v>69</v>
      </c>
      <c r="E813" t="s">
        <v>70</v>
      </c>
      <c r="F813">
        <v>117</v>
      </c>
      <c r="G813">
        <v>0</v>
      </c>
      <c r="H813">
        <v>1</v>
      </c>
      <c r="I813">
        <v>0</v>
      </c>
      <c r="J813">
        <v>58</v>
      </c>
      <c r="K813">
        <v>0</v>
      </c>
      <c r="L813">
        <v>0</v>
      </c>
      <c r="M813">
        <v>50</v>
      </c>
      <c r="N813">
        <v>0</v>
      </c>
      <c r="O813">
        <v>2</v>
      </c>
      <c r="P813">
        <v>6</v>
      </c>
      <c r="Q813">
        <v>0</v>
      </c>
      <c r="R813">
        <f>SUM(Table13[[#This Row],[Rank_All_Ranks_Total]:[Rank_SSPSPAddlSPCommandant]])</f>
        <v>234</v>
      </c>
    </row>
    <row r="814" spans="1:18" x14ac:dyDescent="0.3">
      <c r="A814" t="s">
        <v>11</v>
      </c>
      <c r="B814">
        <v>2004</v>
      </c>
      <c r="C814" t="str">
        <f>_xlfn.CONCAT(Table13[[#This Row],[STATE]],"-",Table13[[#This Row],[Year]])</f>
        <v>Goa-2004</v>
      </c>
      <c r="D814" t="s">
        <v>69</v>
      </c>
      <c r="E814" t="s">
        <v>70</v>
      </c>
      <c r="F814">
        <v>14</v>
      </c>
      <c r="G814">
        <v>0</v>
      </c>
      <c r="H814">
        <v>0</v>
      </c>
      <c r="I814">
        <v>0</v>
      </c>
      <c r="J814">
        <v>11</v>
      </c>
      <c r="K814">
        <v>0</v>
      </c>
      <c r="L814">
        <v>0</v>
      </c>
      <c r="M814">
        <v>3</v>
      </c>
      <c r="N814">
        <v>0</v>
      </c>
      <c r="O814">
        <v>0</v>
      </c>
      <c r="P814">
        <v>0</v>
      </c>
      <c r="Q814">
        <v>0</v>
      </c>
      <c r="R814">
        <f>SUM(Table13[[#This Row],[Rank_All_Ranks_Total]:[Rank_SSPSPAddlSPCommandant]])</f>
        <v>28</v>
      </c>
    </row>
    <row r="815" spans="1:18" x14ac:dyDescent="0.3">
      <c r="A815" t="s">
        <v>12</v>
      </c>
      <c r="B815">
        <v>2004</v>
      </c>
      <c r="C815" t="str">
        <f>_xlfn.CONCAT(Table13[[#This Row],[STATE]],"-",Table13[[#This Row],[Year]])</f>
        <v>Gujarat-2004</v>
      </c>
      <c r="D815" t="s">
        <v>69</v>
      </c>
      <c r="E815" t="s">
        <v>70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f>SUM(Table13[[#This Row],[Rank_All_Ranks_Total]:[Rank_SSPSPAddlSPCommandant]])</f>
        <v>0</v>
      </c>
    </row>
    <row r="816" spans="1:18" x14ac:dyDescent="0.3">
      <c r="A816" t="s">
        <v>13</v>
      </c>
      <c r="B816">
        <v>2004</v>
      </c>
      <c r="C816" t="str">
        <f>_xlfn.CONCAT(Table13[[#This Row],[STATE]],"-",Table13[[#This Row],[Year]])</f>
        <v>Haryana-2004</v>
      </c>
      <c r="D816" t="s">
        <v>69</v>
      </c>
      <c r="E816" t="s">
        <v>70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f>SUM(Table13[[#This Row],[Rank_All_Ranks_Total]:[Rank_SSPSPAddlSPCommandant]])</f>
        <v>0</v>
      </c>
    </row>
    <row r="817" spans="1:18" x14ac:dyDescent="0.3">
      <c r="A817" t="s">
        <v>14</v>
      </c>
      <c r="B817">
        <v>2004</v>
      </c>
      <c r="C817" t="str">
        <f>_xlfn.CONCAT(Table13[[#This Row],[STATE]],"-",Table13[[#This Row],[Year]])</f>
        <v>Himachal Pradesh-2004</v>
      </c>
      <c r="D817" t="s">
        <v>69</v>
      </c>
      <c r="E817" t="s">
        <v>70</v>
      </c>
      <c r="F817">
        <v>114</v>
      </c>
      <c r="G817">
        <v>1</v>
      </c>
      <c r="H817">
        <v>0</v>
      </c>
      <c r="I817">
        <v>0</v>
      </c>
      <c r="J817">
        <v>100</v>
      </c>
      <c r="K817">
        <v>0</v>
      </c>
      <c r="L817">
        <v>0</v>
      </c>
      <c r="M817">
        <v>8</v>
      </c>
      <c r="N817">
        <v>0</v>
      </c>
      <c r="O817">
        <v>1</v>
      </c>
      <c r="P817">
        <v>4</v>
      </c>
      <c r="Q817">
        <v>0</v>
      </c>
      <c r="R817">
        <f>SUM(Table13[[#This Row],[Rank_All_Ranks_Total]:[Rank_SSPSPAddlSPCommandant]])</f>
        <v>228</v>
      </c>
    </row>
    <row r="818" spans="1:18" x14ac:dyDescent="0.3">
      <c r="A818" t="s">
        <v>15</v>
      </c>
      <c r="B818">
        <v>2004</v>
      </c>
      <c r="C818" t="str">
        <f>_xlfn.CONCAT(Table13[[#This Row],[STATE]],"-",Table13[[#This Row],[Year]])</f>
        <v>Jammu &amp; Kashmir-2004</v>
      </c>
      <c r="D818" t="s">
        <v>69</v>
      </c>
      <c r="E818" t="s">
        <v>70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f>SUM(Table13[[#This Row],[Rank_All_Ranks_Total]:[Rank_SSPSPAddlSPCommandant]])</f>
        <v>0</v>
      </c>
    </row>
    <row r="819" spans="1:18" x14ac:dyDescent="0.3">
      <c r="A819" t="s">
        <v>16</v>
      </c>
      <c r="B819">
        <v>2004</v>
      </c>
      <c r="C819" t="str">
        <f>_xlfn.CONCAT(Table13[[#This Row],[STATE]],"-",Table13[[#This Row],[Year]])</f>
        <v>Jharkhand-2004</v>
      </c>
      <c r="D819" t="s">
        <v>69</v>
      </c>
      <c r="E819" t="s">
        <v>70</v>
      </c>
      <c r="F819">
        <v>13</v>
      </c>
      <c r="G819">
        <v>0</v>
      </c>
      <c r="H819">
        <v>0</v>
      </c>
      <c r="I819">
        <v>0</v>
      </c>
      <c r="J819">
        <v>13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f>SUM(Table13[[#This Row],[Rank_All_Ranks_Total]:[Rank_SSPSPAddlSPCommandant]])</f>
        <v>26</v>
      </c>
    </row>
    <row r="820" spans="1:18" x14ac:dyDescent="0.3">
      <c r="A820" t="s">
        <v>17</v>
      </c>
      <c r="B820">
        <v>2004</v>
      </c>
      <c r="C820" t="str">
        <f>_xlfn.CONCAT(Table13[[#This Row],[STATE]],"-",Table13[[#This Row],[Year]])</f>
        <v>Karnataka-2004</v>
      </c>
      <c r="D820" t="s">
        <v>69</v>
      </c>
      <c r="E820" t="s">
        <v>70</v>
      </c>
      <c r="F820">
        <v>854</v>
      </c>
      <c r="G820">
        <v>25</v>
      </c>
      <c r="H820">
        <v>1</v>
      </c>
      <c r="I820">
        <v>0</v>
      </c>
      <c r="J820">
        <v>670</v>
      </c>
      <c r="K820">
        <v>0</v>
      </c>
      <c r="L820">
        <v>0</v>
      </c>
      <c r="M820">
        <v>141</v>
      </c>
      <c r="N820">
        <v>0</v>
      </c>
      <c r="O820">
        <v>2</v>
      </c>
      <c r="P820">
        <v>15</v>
      </c>
      <c r="Q820">
        <v>0</v>
      </c>
      <c r="R820">
        <f>SUM(Table13[[#This Row],[Rank_All_Ranks_Total]:[Rank_SSPSPAddlSPCommandant]])</f>
        <v>1708</v>
      </c>
    </row>
    <row r="821" spans="1:18" x14ac:dyDescent="0.3">
      <c r="A821" t="s">
        <v>18</v>
      </c>
      <c r="B821">
        <v>2004</v>
      </c>
      <c r="C821" t="str">
        <f>_xlfn.CONCAT(Table13[[#This Row],[STATE]],"-",Table13[[#This Row],[Year]])</f>
        <v>Kerala-2004</v>
      </c>
      <c r="D821" t="s">
        <v>69</v>
      </c>
      <c r="E821" t="s">
        <v>70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f>SUM(Table13[[#This Row],[Rank_All_Ranks_Total]:[Rank_SSPSPAddlSPCommandant]])</f>
        <v>0</v>
      </c>
    </row>
    <row r="822" spans="1:18" x14ac:dyDescent="0.3">
      <c r="A822" t="s">
        <v>39</v>
      </c>
      <c r="B822">
        <v>2004</v>
      </c>
      <c r="C822" t="str">
        <f>_xlfn.CONCAT(Table13[[#This Row],[STATE]],"-",Table13[[#This Row],[Year]])</f>
        <v>Lakshadweep-2004</v>
      </c>
      <c r="D822" t="s">
        <v>69</v>
      </c>
      <c r="E822" t="s">
        <v>70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f>SUM(Table13[[#This Row],[Rank_All_Ranks_Total]:[Rank_SSPSPAddlSPCommandant]])</f>
        <v>0</v>
      </c>
    </row>
    <row r="823" spans="1:18" x14ac:dyDescent="0.3">
      <c r="A823" t="s">
        <v>19</v>
      </c>
      <c r="B823">
        <v>2004</v>
      </c>
      <c r="C823" t="str">
        <f>_xlfn.CONCAT(Table13[[#This Row],[STATE]],"-",Table13[[#This Row],[Year]])</f>
        <v>Madhya Pradesh-2004</v>
      </c>
      <c r="D823" t="s">
        <v>69</v>
      </c>
      <c r="E823" t="s">
        <v>70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f>SUM(Table13[[#This Row],[Rank_All_Ranks_Total]:[Rank_SSPSPAddlSPCommandant]])</f>
        <v>0</v>
      </c>
    </row>
    <row r="824" spans="1:18" x14ac:dyDescent="0.3">
      <c r="A824" t="s">
        <v>20</v>
      </c>
      <c r="B824">
        <v>2004</v>
      </c>
      <c r="C824" t="str">
        <f>_xlfn.CONCAT(Table13[[#This Row],[STATE]],"-",Table13[[#This Row],[Year]])</f>
        <v>Maharashtra-2004</v>
      </c>
      <c r="D824" t="s">
        <v>69</v>
      </c>
      <c r="E824" t="s">
        <v>70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f>SUM(Table13[[#This Row],[Rank_All_Ranks_Total]:[Rank_SSPSPAddlSPCommandant]])</f>
        <v>0</v>
      </c>
    </row>
    <row r="825" spans="1:18" x14ac:dyDescent="0.3">
      <c r="A825" t="s">
        <v>21</v>
      </c>
      <c r="B825">
        <v>2004</v>
      </c>
      <c r="C825" t="str">
        <f>_xlfn.CONCAT(Table13[[#This Row],[STATE]],"-",Table13[[#This Row],[Year]])</f>
        <v>Manipur-2004</v>
      </c>
      <c r="D825" t="s">
        <v>69</v>
      </c>
      <c r="E825" t="s">
        <v>70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f>SUM(Table13[[#This Row],[Rank_All_Ranks_Total]:[Rank_SSPSPAddlSPCommandant]])</f>
        <v>0</v>
      </c>
    </row>
    <row r="826" spans="1:18" x14ac:dyDescent="0.3">
      <c r="A826" t="s">
        <v>22</v>
      </c>
      <c r="B826">
        <v>2004</v>
      </c>
      <c r="C826" t="str">
        <f>_xlfn.CONCAT(Table13[[#This Row],[STATE]],"-",Table13[[#This Row],[Year]])</f>
        <v>Meghalaya-2004</v>
      </c>
      <c r="D826" t="s">
        <v>69</v>
      </c>
      <c r="E826" t="s">
        <v>70</v>
      </c>
      <c r="F826">
        <v>1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1</v>
      </c>
      <c r="R826">
        <f>SUM(Table13[[#This Row],[Rank_All_Ranks_Total]:[Rank_SSPSPAddlSPCommandant]])</f>
        <v>2</v>
      </c>
    </row>
    <row r="827" spans="1:18" x14ac:dyDescent="0.3">
      <c r="A827" t="s">
        <v>23</v>
      </c>
      <c r="B827">
        <v>2004</v>
      </c>
      <c r="C827" t="str">
        <f>_xlfn.CONCAT(Table13[[#This Row],[STATE]],"-",Table13[[#This Row],[Year]])</f>
        <v>Mizoram-2004</v>
      </c>
      <c r="D827" t="s">
        <v>69</v>
      </c>
      <c r="E827" t="s">
        <v>70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f>SUM(Table13[[#This Row],[Rank_All_Ranks_Total]:[Rank_SSPSPAddlSPCommandant]])</f>
        <v>0</v>
      </c>
    </row>
    <row r="828" spans="1:18" x14ac:dyDescent="0.3">
      <c r="A828" t="s">
        <v>24</v>
      </c>
      <c r="B828">
        <v>2004</v>
      </c>
      <c r="C828" t="str">
        <f>_xlfn.CONCAT(Table13[[#This Row],[STATE]],"-",Table13[[#This Row],[Year]])</f>
        <v>Nagaland-2004</v>
      </c>
      <c r="D828" t="s">
        <v>69</v>
      </c>
      <c r="E828" t="s">
        <v>70</v>
      </c>
      <c r="F828">
        <v>1</v>
      </c>
      <c r="G828">
        <v>0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f>SUM(Table13[[#This Row],[Rank_All_Ranks_Total]:[Rank_SSPSPAddlSPCommandant]])</f>
        <v>2</v>
      </c>
    </row>
    <row r="829" spans="1:18" x14ac:dyDescent="0.3">
      <c r="A829" t="s">
        <v>63</v>
      </c>
      <c r="B829">
        <v>2004</v>
      </c>
      <c r="C829" t="str">
        <f>_xlfn.CONCAT(Table13[[#This Row],[STATE]],"-",Table13[[#This Row],[Year]])</f>
        <v>Odisha-2004</v>
      </c>
      <c r="D829" t="s">
        <v>69</v>
      </c>
      <c r="E829" t="s">
        <v>70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f>SUM(Table13[[#This Row],[Rank_All_Ranks_Total]:[Rank_SSPSPAddlSPCommandant]])</f>
        <v>0</v>
      </c>
    </row>
    <row r="830" spans="1:18" x14ac:dyDescent="0.3">
      <c r="A830" t="s">
        <v>64</v>
      </c>
      <c r="B830">
        <v>2004</v>
      </c>
      <c r="C830" t="str">
        <f>_xlfn.CONCAT(Table13[[#This Row],[STATE]],"-",Table13[[#This Row],[Year]])</f>
        <v>Puducherry-2004</v>
      </c>
      <c r="D830" t="s">
        <v>69</v>
      </c>
      <c r="E830" t="s">
        <v>70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f>SUM(Table13[[#This Row],[Rank_All_Ranks_Total]:[Rank_SSPSPAddlSPCommandant]])</f>
        <v>0</v>
      </c>
    </row>
    <row r="831" spans="1:18" x14ac:dyDescent="0.3">
      <c r="A831" t="s">
        <v>26</v>
      </c>
      <c r="B831">
        <v>2004</v>
      </c>
      <c r="C831" t="str">
        <f>_xlfn.CONCAT(Table13[[#This Row],[STATE]],"-",Table13[[#This Row],[Year]])</f>
        <v>Punjab-2004</v>
      </c>
      <c r="D831" t="s">
        <v>69</v>
      </c>
      <c r="E831" t="s">
        <v>70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f>SUM(Table13[[#This Row],[Rank_All_Ranks_Total]:[Rank_SSPSPAddlSPCommandant]])</f>
        <v>0</v>
      </c>
    </row>
    <row r="832" spans="1:18" x14ac:dyDescent="0.3">
      <c r="A832" t="s">
        <v>27</v>
      </c>
      <c r="B832">
        <v>2004</v>
      </c>
      <c r="C832" t="str">
        <f>_xlfn.CONCAT(Table13[[#This Row],[STATE]],"-",Table13[[#This Row],[Year]])</f>
        <v>Rajasthan-2004</v>
      </c>
      <c r="D832" t="s">
        <v>69</v>
      </c>
      <c r="E832" t="s">
        <v>70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f>SUM(Table13[[#This Row],[Rank_All_Ranks_Total]:[Rank_SSPSPAddlSPCommandant]])</f>
        <v>0</v>
      </c>
    </row>
    <row r="833" spans="1:18" x14ac:dyDescent="0.3">
      <c r="A833" t="s">
        <v>28</v>
      </c>
      <c r="B833">
        <v>2004</v>
      </c>
      <c r="C833" t="str">
        <f>_xlfn.CONCAT(Table13[[#This Row],[STATE]],"-",Table13[[#This Row],[Year]])</f>
        <v>Sikkim-2004</v>
      </c>
      <c r="D833" t="s">
        <v>69</v>
      </c>
      <c r="E833" t="s">
        <v>70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f>SUM(Table13[[#This Row],[Rank_All_Ranks_Total]:[Rank_SSPSPAddlSPCommandant]])</f>
        <v>0</v>
      </c>
    </row>
    <row r="834" spans="1:18" x14ac:dyDescent="0.3">
      <c r="A834" t="s">
        <v>42</v>
      </c>
      <c r="B834">
        <v>2004</v>
      </c>
      <c r="C834" t="str">
        <f>_xlfn.CONCAT(Table13[[#This Row],[STATE]],"-",Table13[[#This Row],[Year]])</f>
        <v>Tamil Nadu-2004</v>
      </c>
      <c r="D834" t="s">
        <v>69</v>
      </c>
      <c r="E834" t="s">
        <v>70</v>
      </c>
      <c r="F834">
        <v>1767</v>
      </c>
      <c r="G834">
        <v>0</v>
      </c>
      <c r="H834">
        <v>0</v>
      </c>
      <c r="I834">
        <v>352</v>
      </c>
      <c r="J834">
        <v>1180</v>
      </c>
      <c r="K834">
        <v>0</v>
      </c>
      <c r="L834">
        <v>0</v>
      </c>
      <c r="M834">
        <v>196</v>
      </c>
      <c r="N834">
        <v>0</v>
      </c>
      <c r="O834">
        <v>8</v>
      </c>
      <c r="P834">
        <v>30</v>
      </c>
      <c r="Q834">
        <v>1</v>
      </c>
      <c r="R834">
        <f>SUM(Table13[[#This Row],[Rank_All_Ranks_Total]:[Rank_SSPSPAddlSPCommandant]])</f>
        <v>3534</v>
      </c>
    </row>
    <row r="835" spans="1:18" x14ac:dyDescent="0.3">
      <c r="A835" t="s">
        <v>30</v>
      </c>
      <c r="B835">
        <v>2004</v>
      </c>
      <c r="C835" t="str">
        <f>_xlfn.CONCAT(Table13[[#This Row],[STATE]],"-",Table13[[#This Row],[Year]])</f>
        <v>Tripura-2004</v>
      </c>
      <c r="D835" t="s">
        <v>69</v>
      </c>
      <c r="E835" t="s">
        <v>70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f>SUM(Table13[[#This Row],[Rank_All_Ranks_Total]:[Rank_SSPSPAddlSPCommandant]])</f>
        <v>0</v>
      </c>
    </row>
    <row r="836" spans="1:18" x14ac:dyDescent="0.3">
      <c r="A836" t="s">
        <v>31</v>
      </c>
      <c r="B836">
        <v>2004</v>
      </c>
      <c r="C836" t="str">
        <f>_xlfn.CONCAT(Table13[[#This Row],[STATE]],"-",Table13[[#This Row],[Year]])</f>
        <v>Uttar Pradesh-2004</v>
      </c>
      <c r="D836" t="s">
        <v>69</v>
      </c>
      <c r="E836" t="s">
        <v>70</v>
      </c>
      <c r="F836">
        <v>4</v>
      </c>
      <c r="G836">
        <v>0</v>
      </c>
      <c r="H836">
        <v>2</v>
      </c>
      <c r="I836">
        <v>0</v>
      </c>
      <c r="J836">
        <v>0</v>
      </c>
      <c r="K836">
        <v>0</v>
      </c>
      <c r="L836">
        <v>1</v>
      </c>
      <c r="M836">
        <v>0</v>
      </c>
      <c r="N836">
        <v>0</v>
      </c>
      <c r="O836">
        <v>0</v>
      </c>
      <c r="P836">
        <v>0</v>
      </c>
      <c r="Q836">
        <v>1</v>
      </c>
      <c r="R836">
        <f>SUM(Table13[[#This Row],[Rank_All_Ranks_Total]:[Rank_SSPSPAddlSPCommandant]])</f>
        <v>8</v>
      </c>
    </row>
    <row r="837" spans="1:18" x14ac:dyDescent="0.3">
      <c r="A837" t="s">
        <v>65</v>
      </c>
      <c r="B837">
        <v>2004</v>
      </c>
      <c r="C837" t="str">
        <f>_xlfn.CONCAT(Table13[[#This Row],[STATE]],"-",Table13[[#This Row],[Year]])</f>
        <v>Uttarakhand-2004</v>
      </c>
      <c r="D837" t="s">
        <v>69</v>
      </c>
      <c r="E837" t="s">
        <v>70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f>SUM(Table13[[#This Row],[Rank_All_Ranks_Total]:[Rank_SSPSPAddlSPCommandant]])</f>
        <v>0</v>
      </c>
    </row>
    <row r="838" spans="1:18" x14ac:dyDescent="0.3">
      <c r="A838" t="s">
        <v>33</v>
      </c>
      <c r="B838">
        <v>2004</v>
      </c>
      <c r="C838" t="str">
        <f>_xlfn.CONCAT(Table13[[#This Row],[STATE]],"-",Table13[[#This Row],[Year]])</f>
        <v>West Bengal-2004</v>
      </c>
      <c r="D838" t="s">
        <v>69</v>
      </c>
      <c r="E838" t="s">
        <v>70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f>SUM(Table13[[#This Row],[Rank_All_Ranks_Total]:[Rank_SSPSPAddlSPCommandant]])</f>
        <v>0</v>
      </c>
    </row>
    <row r="839" spans="1:18" x14ac:dyDescent="0.3">
      <c r="A839" t="s">
        <v>59</v>
      </c>
      <c r="B839">
        <v>2005</v>
      </c>
      <c r="C839" t="str">
        <f>_xlfn.CONCAT(Table13[[#This Row],[STATE]],"-",Table13[[#This Row],[Year]])</f>
        <v>Andaman &amp; Nicobar Islands-2005</v>
      </c>
      <c r="D839" t="s">
        <v>69</v>
      </c>
      <c r="E839" t="s">
        <v>70</v>
      </c>
      <c r="F839">
        <v>40</v>
      </c>
      <c r="G839">
        <v>0</v>
      </c>
      <c r="H839">
        <v>0</v>
      </c>
      <c r="I839">
        <v>0</v>
      </c>
      <c r="J839">
        <v>40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f>SUM(Table13[[#This Row],[Rank_All_Ranks_Total]:[Rank_SSPSPAddlSPCommandant]])</f>
        <v>80</v>
      </c>
    </row>
    <row r="840" spans="1:18" x14ac:dyDescent="0.3">
      <c r="A840" t="s">
        <v>6</v>
      </c>
      <c r="B840">
        <v>2005</v>
      </c>
      <c r="C840" t="str">
        <f>_xlfn.CONCAT(Table13[[#This Row],[STATE]],"-",Table13[[#This Row],[Year]])</f>
        <v>Andhra Pradesh-2005</v>
      </c>
      <c r="D840" t="s">
        <v>69</v>
      </c>
      <c r="E840" t="s">
        <v>70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f>SUM(Table13[[#This Row],[Rank_All_Ranks_Total]:[Rank_SSPSPAddlSPCommandant]])</f>
        <v>0</v>
      </c>
    </row>
    <row r="841" spans="1:18" x14ac:dyDescent="0.3">
      <c r="A841" t="s">
        <v>7</v>
      </c>
      <c r="B841">
        <v>2005</v>
      </c>
      <c r="C841" t="str">
        <f>_xlfn.CONCAT(Table13[[#This Row],[STATE]],"-",Table13[[#This Row],[Year]])</f>
        <v>Arunachal Pradesh-2005</v>
      </c>
      <c r="D841" t="s">
        <v>69</v>
      </c>
      <c r="E841" t="s">
        <v>70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f>SUM(Table13[[#This Row],[Rank_All_Ranks_Total]:[Rank_SSPSPAddlSPCommandant]])</f>
        <v>0</v>
      </c>
    </row>
    <row r="842" spans="1:18" x14ac:dyDescent="0.3">
      <c r="A842" t="s">
        <v>8</v>
      </c>
      <c r="B842">
        <v>2005</v>
      </c>
      <c r="C842" t="str">
        <f>_xlfn.CONCAT(Table13[[#This Row],[STATE]],"-",Table13[[#This Row],[Year]])</f>
        <v>Assam-2005</v>
      </c>
      <c r="D842" t="s">
        <v>69</v>
      </c>
      <c r="E842" t="s">
        <v>70</v>
      </c>
      <c r="F842">
        <v>165</v>
      </c>
      <c r="G842">
        <v>0</v>
      </c>
      <c r="H842">
        <v>0</v>
      </c>
      <c r="I842">
        <v>8</v>
      </c>
      <c r="J842">
        <v>146</v>
      </c>
      <c r="K842">
        <v>0</v>
      </c>
      <c r="L842">
        <v>0</v>
      </c>
      <c r="M842">
        <v>8</v>
      </c>
      <c r="N842">
        <v>0</v>
      </c>
      <c r="O842">
        <v>0</v>
      </c>
      <c r="P842">
        <v>3</v>
      </c>
      <c r="Q842">
        <v>0</v>
      </c>
      <c r="R842">
        <f>SUM(Table13[[#This Row],[Rank_All_Ranks_Total]:[Rank_SSPSPAddlSPCommandant]])</f>
        <v>330</v>
      </c>
    </row>
    <row r="843" spans="1:18" x14ac:dyDescent="0.3">
      <c r="A843" t="s">
        <v>9</v>
      </c>
      <c r="B843">
        <v>2005</v>
      </c>
      <c r="C843" t="str">
        <f>_xlfn.CONCAT(Table13[[#This Row],[STATE]],"-",Table13[[#This Row],[Year]])</f>
        <v>Bihar-2005</v>
      </c>
      <c r="D843" t="s">
        <v>69</v>
      </c>
      <c r="E843" t="s">
        <v>70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f>SUM(Table13[[#This Row],[Rank_All_Ranks_Total]:[Rank_SSPSPAddlSPCommandant]])</f>
        <v>0</v>
      </c>
    </row>
    <row r="844" spans="1:18" x14ac:dyDescent="0.3">
      <c r="A844" t="s">
        <v>35</v>
      </c>
      <c r="B844">
        <v>2005</v>
      </c>
      <c r="C844" t="str">
        <f>_xlfn.CONCAT(Table13[[#This Row],[STATE]],"-",Table13[[#This Row],[Year]])</f>
        <v>Chandigarh-2005</v>
      </c>
      <c r="D844" t="s">
        <v>69</v>
      </c>
      <c r="E844" t="s">
        <v>70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f>SUM(Table13[[#This Row],[Rank_All_Ranks_Total]:[Rank_SSPSPAddlSPCommandant]])</f>
        <v>0</v>
      </c>
    </row>
    <row r="845" spans="1:18" x14ac:dyDescent="0.3">
      <c r="A845" t="s">
        <v>10</v>
      </c>
      <c r="B845">
        <v>2005</v>
      </c>
      <c r="C845" t="str">
        <f>_xlfn.CONCAT(Table13[[#This Row],[STATE]],"-",Table13[[#This Row],[Year]])</f>
        <v>Chhattisgarh-2005</v>
      </c>
      <c r="D845" t="s">
        <v>69</v>
      </c>
      <c r="E845" t="s">
        <v>70</v>
      </c>
      <c r="F845">
        <v>3</v>
      </c>
      <c r="G845">
        <v>0</v>
      </c>
      <c r="H845">
        <v>0</v>
      </c>
      <c r="I845">
        <v>0</v>
      </c>
      <c r="J845">
        <v>3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f>SUM(Table13[[#This Row],[Rank_All_Ranks_Total]:[Rank_SSPSPAddlSPCommandant]])</f>
        <v>6</v>
      </c>
    </row>
    <row r="846" spans="1:18" x14ac:dyDescent="0.3">
      <c r="A846" t="s">
        <v>62</v>
      </c>
      <c r="B846">
        <v>2005</v>
      </c>
      <c r="C846" t="str">
        <f>_xlfn.CONCAT(Table13[[#This Row],[STATE]],"-",Table13[[#This Row],[Year]])</f>
        <v>Dadra &amp; Nagar Haveli-2005</v>
      </c>
      <c r="D846" t="s">
        <v>69</v>
      </c>
      <c r="E846" t="s">
        <v>70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f>SUM(Table13[[#This Row],[Rank_All_Ranks_Total]:[Rank_SSPSPAddlSPCommandant]])</f>
        <v>0</v>
      </c>
    </row>
    <row r="847" spans="1:18" x14ac:dyDescent="0.3">
      <c r="A847" t="s">
        <v>37</v>
      </c>
      <c r="B847">
        <v>2005</v>
      </c>
      <c r="C847" t="str">
        <f>_xlfn.CONCAT(Table13[[#This Row],[STATE]],"-",Table13[[#This Row],[Year]])</f>
        <v>Daman &amp; Diu-2005</v>
      </c>
      <c r="D847" t="s">
        <v>69</v>
      </c>
      <c r="E847" t="s">
        <v>70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f>SUM(Table13[[#This Row],[Rank_All_Ranks_Total]:[Rank_SSPSPAddlSPCommandant]])</f>
        <v>0</v>
      </c>
    </row>
    <row r="848" spans="1:18" x14ac:dyDescent="0.3">
      <c r="A848" t="s">
        <v>38</v>
      </c>
      <c r="B848">
        <v>2005</v>
      </c>
      <c r="C848" t="str">
        <f>_xlfn.CONCAT(Table13[[#This Row],[STATE]],"-",Table13[[#This Row],[Year]])</f>
        <v>Delhi-2005</v>
      </c>
      <c r="D848" t="s">
        <v>69</v>
      </c>
      <c r="E848" t="s">
        <v>70</v>
      </c>
      <c r="F848">
        <v>168</v>
      </c>
      <c r="G848">
        <v>0</v>
      </c>
      <c r="H848">
        <v>0</v>
      </c>
      <c r="I848">
        <v>0</v>
      </c>
      <c r="J848">
        <v>49</v>
      </c>
      <c r="K848">
        <v>0</v>
      </c>
      <c r="L848">
        <v>0</v>
      </c>
      <c r="M848">
        <v>112</v>
      </c>
      <c r="N848">
        <v>0</v>
      </c>
      <c r="O848">
        <v>2</v>
      </c>
      <c r="P848">
        <v>5</v>
      </c>
      <c r="Q848">
        <v>0</v>
      </c>
      <c r="R848">
        <f>SUM(Table13[[#This Row],[Rank_All_Ranks_Total]:[Rank_SSPSPAddlSPCommandant]])</f>
        <v>336</v>
      </c>
    </row>
    <row r="849" spans="1:18" x14ac:dyDescent="0.3">
      <c r="A849" t="s">
        <v>11</v>
      </c>
      <c r="B849">
        <v>2005</v>
      </c>
      <c r="C849" t="str">
        <f>_xlfn.CONCAT(Table13[[#This Row],[STATE]],"-",Table13[[#This Row],[Year]])</f>
        <v>Goa-2005</v>
      </c>
      <c r="D849" t="s">
        <v>69</v>
      </c>
      <c r="E849" t="s">
        <v>70</v>
      </c>
      <c r="F849">
        <v>8</v>
      </c>
      <c r="G849">
        <v>0</v>
      </c>
      <c r="H849">
        <v>0</v>
      </c>
      <c r="I849">
        <v>0</v>
      </c>
      <c r="J849">
        <v>5</v>
      </c>
      <c r="K849">
        <v>0</v>
      </c>
      <c r="L849">
        <v>0</v>
      </c>
      <c r="M849">
        <v>3</v>
      </c>
      <c r="N849">
        <v>0</v>
      </c>
      <c r="O849">
        <v>0</v>
      </c>
      <c r="P849">
        <v>0</v>
      </c>
      <c r="Q849">
        <v>0</v>
      </c>
      <c r="R849">
        <f>SUM(Table13[[#This Row],[Rank_All_Ranks_Total]:[Rank_SSPSPAddlSPCommandant]])</f>
        <v>16</v>
      </c>
    </row>
    <row r="850" spans="1:18" x14ac:dyDescent="0.3">
      <c r="A850" t="s">
        <v>12</v>
      </c>
      <c r="B850">
        <v>2005</v>
      </c>
      <c r="C850" t="str">
        <f>_xlfn.CONCAT(Table13[[#This Row],[STATE]],"-",Table13[[#This Row],[Year]])</f>
        <v>Gujarat-2005</v>
      </c>
      <c r="D850" t="s">
        <v>69</v>
      </c>
      <c r="E850" t="s">
        <v>70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f>SUM(Table13[[#This Row],[Rank_All_Ranks_Total]:[Rank_SSPSPAddlSPCommandant]])</f>
        <v>0</v>
      </c>
    </row>
    <row r="851" spans="1:18" x14ac:dyDescent="0.3">
      <c r="A851" t="s">
        <v>13</v>
      </c>
      <c r="B851">
        <v>2005</v>
      </c>
      <c r="C851" t="str">
        <f>_xlfn.CONCAT(Table13[[#This Row],[STATE]],"-",Table13[[#This Row],[Year]])</f>
        <v>Haryana-2005</v>
      </c>
      <c r="D851" t="s">
        <v>69</v>
      </c>
      <c r="E851" t="s">
        <v>70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f>SUM(Table13[[#This Row],[Rank_All_Ranks_Total]:[Rank_SSPSPAddlSPCommandant]])</f>
        <v>0</v>
      </c>
    </row>
    <row r="852" spans="1:18" x14ac:dyDescent="0.3">
      <c r="A852" t="s">
        <v>14</v>
      </c>
      <c r="B852">
        <v>2005</v>
      </c>
      <c r="C852" t="str">
        <f>_xlfn.CONCAT(Table13[[#This Row],[STATE]],"-",Table13[[#This Row],[Year]])</f>
        <v>Himachal Pradesh-2005</v>
      </c>
      <c r="D852" t="s">
        <v>69</v>
      </c>
      <c r="E852" t="s">
        <v>70</v>
      </c>
      <c r="F852">
        <v>115</v>
      </c>
      <c r="G852">
        <v>1</v>
      </c>
      <c r="H852">
        <v>0</v>
      </c>
      <c r="I852">
        <v>0</v>
      </c>
      <c r="J852">
        <v>101</v>
      </c>
      <c r="K852">
        <v>0</v>
      </c>
      <c r="L852">
        <v>0</v>
      </c>
      <c r="M852">
        <v>8</v>
      </c>
      <c r="N852">
        <v>0</v>
      </c>
      <c r="O852">
        <v>1</v>
      </c>
      <c r="P852">
        <v>4</v>
      </c>
      <c r="Q852">
        <v>0</v>
      </c>
      <c r="R852">
        <f>SUM(Table13[[#This Row],[Rank_All_Ranks_Total]:[Rank_SSPSPAddlSPCommandant]])</f>
        <v>230</v>
      </c>
    </row>
    <row r="853" spans="1:18" x14ac:dyDescent="0.3">
      <c r="A853" t="s">
        <v>15</v>
      </c>
      <c r="B853">
        <v>2005</v>
      </c>
      <c r="C853" t="str">
        <f>_xlfn.CONCAT(Table13[[#This Row],[STATE]],"-",Table13[[#This Row],[Year]])</f>
        <v>Jammu &amp; Kashmir-2005</v>
      </c>
      <c r="D853" t="s">
        <v>69</v>
      </c>
      <c r="E853" t="s">
        <v>70</v>
      </c>
      <c r="F853">
        <v>676</v>
      </c>
      <c r="G853">
        <v>0</v>
      </c>
      <c r="H853">
        <v>2</v>
      </c>
      <c r="I853">
        <v>161</v>
      </c>
      <c r="J853">
        <v>481</v>
      </c>
      <c r="K853">
        <v>0</v>
      </c>
      <c r="L853">
        <v>0</v>
      </c>
      <c r="M853">
        <v>6</v>
      </c>
      <c r="N853">
        <v>0</v>
      </c>
      <c r="O853">
        <v>1</v>
      </c>
      <c r="P853">
        <v>24</v>
      </c>
      <c r="Q853">
        <v>1</v>
      </c>
      <c r="R853">
        <f>SUM(Table13[[#This Row],[Rank_All_Ranks_Total]:[Rank_SSPSPAddlSPCommandant]])</f>
        <v>1352</v>
      </c>
    </row>
    <row r="854" spans="1:18" x14ac:dyDescent="0.3">
      <c r="A854" t="s">
        <v>16</v>
      </c>
      <c r="B854">
        <v>2005</v>
      </c>
      <c r="C854" t="str">
        <f>_xlfn.CONCAT(Table13[[#This Row],[STATE]],"-",Table13[[#This Row],[Year]])</f>
        <v>Jharkhand-2005</v>
      </c>
      <c r="D854" t="s">
        <v>69</v>
      </c>
      <c r="E854" t="s">
        <v>70</v>
      </c>
      <c r="F854">
        <v>13</v>
      </c>
      <c r="G854">
        <v>0</v>
      </c>
      <c r="H854">
        <v>0</v>
      </c>
      <c r="I854">
        <v>0</v>
      </c>
      <c r="J854">
        <v>13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f>SUM(Table13[[#This Row],[Rank_All_Ranks_Total]:[Rank_SSPSPAddlSPCommandant]])</f>
        <v>26</v>
      </c>
    </row>
    <row r="855" spans="1:18" x14ac:dyDescent="0.3">
      <c r="A855" t="s">
        <v>17</v>
      </c>
      <c r="B855">
        <v>2005</v>
      </c>
      <c r="C855" t="str">
        <f>_xlfn.CONCAT(Table13[[#This Row],[STATE]],"-",Table13[[#This Row],[Year]])</f>
        <v>Karnataka-2005</v>
      </c>
      <c r="D855" t="s">
        <v>69</v>
      </c>
      <c r="E855" t="s">
        <v>70</v>
      </c>
      <c r="F855">
        <v>420</v>
      </c>
      <c r="G855">
        <v>8</v>
      </c>
      <c r="H855">
        <v>1</v>
      </c>
      <c r="I855">
        <v>0</v>
      </c>
      <c r="J855">
        <v>330</v>
      </c>
      <c r="K855">
        <v>0</v>
      </c>
      <c r="L855">
        <v>0</v>
      </c>
      <c r="M855">
        <v>73</v>
      </c>
      <c r="N855">
        <v>0</v>
      </c>
      <c r="O855">
        <v>1</v>
      </c>
      <c r="P855">
        <v>7</v>
      </c>
      <c r="Q855">
        <v>0</v>
      </c>
      <c r="R855">
        <f>SUM(Table13[[#This Row],[Rank_All_Ranks_Total]:[Rank_SSPSPAddlSPCommandant]])</f>
        <v>840</v>
      </c>
    </row>
    <row r="856" spans="1:18" x14ac:dyDescent="0.3">
      <c r="A856" t="s">
        <v>18</v>
      </c>
      <c r="B856">
        <v>2005</v>
      </c>
      <c r="C856" t="str">
        <f>_xlfn.CONCAT(Table13[[#This Row],[STATE]],"-",Table13[[#This Row],[Year]])</f>
        <v>Kerala-2005</v>
      </c>
      <c r="D856" t="s">
        <v>69</v>
      </c>
      <c r="E856" t="s">
        <v>70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f>SUM(Table13[[#This Row],[Rank_All_Ranks_Total]:[Rank_SSPSPAddlSPCommandant]])</f>
        <v>0</v>
      </c>
    </row>
    <row r="857" spans="1:18" x14ac:dyDescent="0.3">
      <c r="A857" t="s">
        <v>39</v>
      </c>
      <c r="B857">
        <v>2005</v>
      </c>
      <c r="C857" t="str">
        <f>_xlfn.CONCAT(Table13[[#This Row],[STATE]],"-",Table13[[#This Row],[Year]])</f>
        <v>Lakshadweep-2005</v>
      </c>
      <c r="D857" t="s">
        <v>69</v>
      </c>
      <c r="E857" t="s">
        <v>70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f>SUM(Table13[[#This Row],[Rank_All_Ranks_Total]:[Rank_SSPSPAddlSPCommandant]])</f>
        <v>0</v>
      </c>
    </row>
    <row r="858" spans="1:18" x14ac:dyDescent="0.3">
      <c r="A858" t="s">
        <v>19</v>
      </c>
      <c r="B858">
        <v>2005</v>
      </c>
      <c r="C858" t="str">
        <f>_xlfn.CONCAT(Table13[[#This Row],[STATE]],"-",Table13[[#This Row],[Year]])</f>
        <v>Madhya Pradesh-2005</v>
      </c>
      <c r="D858" t="s">
        <v>69</v>
      </c>
      <c r="E858" t="s">
        <v>70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f>SUM(Table13[[#This Row],[Rank_All_Ranks_Total]:[Rank_SSPSPAddlSPCommandant]])</f>
        <v>0</v>
      </c>
    </row>
    <row r="859" spans="1:18" x14ac:dyDescent="0.3">
      <c r="A859" t="s">
        <v>20</v>
      </c>
      <c r="B859">
        <v>2005</v>
      </c>
      <c r="C859" t="str">
        <f>_xlfn.CONCAT(Table13[[#This Row],[STATE]],"-",Table13[[#This Row],[Year]])</f>
        <v>Maharashtra-2005</v>
      </c>
      <c r="D859" t="s">
        <v>69</v>
      </c>
      <c r="E859" t="s">
        <v>70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f>SUM(Table13[[#This Row],[Rank_All_Ranks_Total]:[Rank_SSPSPAddlSPCommandant]])</f>
        <v>0</v>
      </c>
    </row>
    <row r="860" spans="1:18" x14ac:dyDescent="0.3">
      <c r="A860" t="s">
        <v>21</v>
      </c>
      <c r="B860">
        <v>2005</v>
      </c>
      <c r="C860" t="str">
        <f>_xlfn.CONCAT(Table13[[#This Row],[STATE]],"-",Table13[[#This Row],[Year]])</f>
        <v>Manipur-2005</v>
      </c>
      <c r="D860" t="s">
        <v>69</v>
      </c>
      <c r="E860" t="s">
        <v>70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f>SUM(Table13[[#This Row],[Rank_All_Ranks_Total]:[Rank_SSPSPAddlSPCommandant]])</f>
        <v>0</v>
      </c>
    </row>
    <row r="861" spans="1:18" x14ac:dyDescent="0.3">
      <c r="A861" t="s">
        <v>22</v>
      </c>
      <c r="B861">
        <v>2005</v>
      </c>
      <c r="C861" t="str">
        <f>_xlfn.CONCAT(Table13[[#This Row],[STATE]],"-",Table13[[#This Row],[Year]])</f>
        <v>Meghalaya-2005</v>
      </c>
      <c r="D861" t="s">
        <v>69</v>
      </c>
      <c r="E861" t="s">
        <v>70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f>SUM(Table13[[#This Row],[Rank_All_Ranks_Total]:[Rank_SSPSPAddlSPCommandant]])</f>
        <v>0</v>
      </c>
    </row>
    <row r="862" spans="1:18" x14ac:dyDescent="0.3">
      <c r="A862" t="s">
        <v>23</v>
      </c>
      <c r="B862">
        <v>2005</v>
      </c>
      <c r="C862" t="str">
        <f>_xlfn.CONCAT(Table13[[#This Row],[STATE]],"-",Table13[[#This Row],[Year]])</f>
        <v>Mizoram-2005</v>
      </c>
      <c r="D862" t="s">
        <v>69</v>
      </c>
      <c r="E862" t="s">
        <v>70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f>SUM(Table13[[#This Row],[Rank_All_Ranks_Total]:[Rank_SSPSPAddlSPCommandant]])</f>
        <v>0</v>
      </c>
    </row>
    <row r="863" spans="1:18" x14ac:dyDescent="0.3">
      <c r="A863" t="s">
        <v>24</v>
      </c>
      <c r="B863">
        <v>2005</v>
      </c>
      <c r="C863" t="str">
        <f>_xlfn.CONCAT(Table13[[#This Row],[STATE]],"-",Table13[[#This Row],[Year]])</f>
        <v>Nagaland-2005</v>
      </c>
      <c r="D863" t="s">
        <v>69</v>
      </c>
      <c r="E863" t="s">
        <v>70</v>
      </c>
      <c r="F863">
        <v>1</v>
      </c>
      <c r="G863">
        <v>0</v>
      </c>
      <c r="H863">
        <v>1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f>SUM(Table13[[#This Row],[Rank_All_Ranks_Total]:[Rank_SSPSPAddlSPCommandant]])</f>
        <v>2</v>
      </c>
    </row>
    <row r="864" spans="1:18" x14ac:dyDescent="0.3">
      <c r="A864" t="s">
        <v>63</v>
      </c>
      <c r="B864">
        <v>2005</v>
      </c>
      <c r="C864" t="str">
        <f>_xlfn.CONCAT(Table13[[#This Row],[STATE]],"-",Table13[[#This Row],[Year]])</f>
        <v>Odisha-2005</v>
      </c>
      <c r="D864" t="s">
        <v>69</v>
      </c>
      <c r="E864" t="s">
        <v>70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f>SUM(Table13[[#This Row],[Rank_All_Ranks_Total]:[Rank_SSPSPAddlSPCommandant]])</f>
        <v>0</v>
      </c>
    </row>
    <row r="865" spans="1:18" x14ac:dyDescent="0.3">
      <c r="A865" t="s">
        <v>64</v>
      </c>
      <c r="B865">
        <v>2005</v>
      </c>
      <c r="C865" t="str">
        <f>_xlfn.CONCAT(Table13[[#This Row],[STATE]],"-",Table13[[#This Row],[Year]])</f>
        <v>Puducherry-2005</v>
      </c>
      <c r="D865" t="s">
        <v>69</v>
      </c>
      <c r="E865" t="s">
        <v>70</v>
      </c>
      <c r="F865">
        <v>40</v>
      </c>
      <c r="G865">
        <v>0</v>
      </c>
      <c r="H865">
        <v>1</v>
      </c>
      <c r="I865">
        <v>0</v>
      </c>
      <c r="J865">
        <v>37</v>
      </c>
      <c r="K865">
        <v>0</v>
      </c>
      <c r="L865">
        <v>0</v>
      </c>
      <c r="M865">
        <v>2</v>
      </c>
      <c r="N865">
        <v>0</v>
      </c>
      <c r="O865">
        <v>0</v>
      </c>
      <c r="P865">
        <v>0</v>
      </c>
      <c r="Q865">
        <v>0</v>
      </c>
      <c r="R865">
        <f>SUM(Table13[[#This Row],[Rank_All_Ranks_Total]:[Rank_SSPSPAddlSPCommandant]])</f>
        <v>80</v>
      </c>
    </row>
    <row r="866" spans="1:18" x14ac:dyDescent="0.3">
      <c r="A866" t="s">
        <v>26</v>
      </c>
      <c r="B866">
        <v>2005</v>
      </c>
      <c r="C866" t="str">
        <f>_xlfn.CONCAT(Table13[[#This Row],[STATE]],"-",Table13[[#This Row],[Year]])</f>
        <v>Punjab-2005</v>
      </c>
      <c r="D866" t="s">
        <v>69</v>
      </c>
      <c r="E866" t="s">
        <v>70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f>SUM(Table13[[#This Row],[Rank_All_Ranks_Total]:[Rank_SSPSPAddlSPCommandant]])</f>
        <v>0</v>
      </c>
    </row>
    <row r="867" spans="1:18" x14ac:dyDescent="0.3">
      <c r="A867" t="s">
        <v>27</v>
      </c>
      <c r="B867">
        <v>2005</v>
      </c>
      <c r="C867" t="str">
        <f>_xlfn.CONCAT(Table13[[#This Row],[STATE]],"-",Table13[[#This Row],[Year]])</f>
        <v>Rajasthan-2005</v>
      </c>
      <c r="D867" t="s">
        <v>69</v>
      </c>
      <c r="E867" t="s">
        <v>70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f>SUM(Table13[[#This Row],[Rank_All_Ranks_Total]:[Rank_SSPSPAddlSPCommandant]])</f>
        <v>0</v>
      </c>
    </row>
    <row r="868" spans="1:18" x14ac:dyDescent="0.3">
      <c r="A868" t="s">
        <v>28</v>
      </c>
      <c r="B868">
        <v>2005</v>
      </c>
      <c r="C868" t="str">
        <f>_xlfn.CONCAT(Table13[[#This Row],[STATE]],"-",Table13[[#This Row],[Year]])</f>
        <v>Sikkim-2005</v>
      </c>
      <c r="D868" t="s">
        <v>69</v>
      </c>
      <c r="E868" t="s">
        <v>70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f>SUM(Table13[[#This Row],[Rank_All_Ranks_Total]:[Rank_SSPSPAddlSPCommandant]])</f>
        <v>0</v>
      </c>
    </row>
    <row r="869" spans="1:18" x14ac:dyDescent="0.3">
      <c r="A869" t="s">
        <v>42</v>
      </c>
      <c r="B869">
        <v>2005</v>
      </c>
      <c r="C869" t="str">
        <f>_xlfn.CONCAT(Table13[[#This Row],[STATE]],"-",Table13[[#This Row],[Year]])</f>
        <v>Tamil Nadu-2005</v>
      </c>
      <c r="D869" t="s">
        <v>69</v>
      </c>
      <c r="E869" t="s">
        <v>70</v>
      </c>
      <c r="F869">
        <v>1767</v>
      </c>
      <c r="G869">
        <v>0</v>
      </c>
      <c r="H869">
        <v>0</v>
      </c>
      <c r="I869">
        <v>352</v>
      </c>
      <c r="J869">
        <v>1180</v>
      </c>
      <c r="K869">
        <v>0</v>
      </c>
      <c r="L869">
        <v>0</v>
      </c>
      <c r="M869">
        <v>196</v>
      </c>
      <c r="N869">
        <v>0</v>
      </c>
      <c r="O869">
        <v>8</v>
      </c>
      <c r="P869">
        <v>30</v>
      </c>
      <c r="Q869">
        <v>1</v>
      </c>
      <c r="R869">
        <f>SUM(Table13[[#This Row],[Rank_All_Ranks_Total]:[Rank_SSPSPAddlSPCommandant]])</f>
        <v>3534</v>
      </c>
    </row>
    <row r="870" spans="1:18" x14ac:dyDescent="0.3">
      <c r="A870" t="s">
        <v>30</v>
      </c>
      <c r="B870">
        <v>2005</v>
      </c>
      <c r="C870" t="str">
        <f>_xlfn.CONCAT(Table13[[#This Row],[STATE]],"-",Table13[[#This Row],[Year]])</f>
        <v>Tripura-2005</v>
      </c>
      <c r="D870" t="s">
        <v>69</v>
      </c>
      <c r="E870" t="s">
        <v>70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f>SUM(Table13[[#This Row],[Rank_All_Ranks_Total]:[Rank_SSPSPAddlSPCommandant]])</f>
        <v>0</v>
      </c>
    </row>
    <row r="871" spans="1:18" x14ac:dyDescent="0.3">
      <c r="A871" t="s">
        <v>31</v>
      </c>
      <c r="B871">
        <v>2005</v>
      </c>
      <c r="C871" t="str">
        <f>_xlfn.CONCAT(Table13[[#This Row],[STATE]],"-",Table13[[#This Row],[Year]])</f>
        <v>Uttar Pradesh-2005</v>
      </c>
      <c r="D871" t="s">
        <v>69</v>
      </c>
      <c r="E871" t="s">
        <v>70</v>
      </c>
      <c r="F871">
        <v>2</v>
      </c>
      <c r="G871">
        <v>0</v>
      </c>
      <c r="H871">
        <v>2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f>SUM(Table13[[#This Row],[Rank_All_Ranks_Total]:[Rank_SSPSPAddlSPCommandant]])</f>
        <v>4</v>
      </c>
    </row>
    <row r="872" spans="1:18" x14ac:dyDescent="0.3">
      <c r="A872" t="s">
        <v>65</v>
      </c>
      <c r="B872">
        <v>2005</v>
      </c>
      <c r="C872" t="str">
        <f>_xlfn.CONCAT(Table13[[#This Row],[STATE]],"-",Table13[[#This Row],[Year]])</f>
        <v>Uttarakhand-2005</v>
      </c>
      <c r="D872" t="s">
        <v>69</v>
      </c>
      <c r="E872" t="s">
        <v>70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f>SUM(Table13[[#This Row],[Rank_All_Ranks_Total]:[Rank_SSPSPAddlSPCommandant]])</f>
        <v>0</v>
      </c>
    </row>
    <row r="873" spans="1:18" x14ac:dyDescent="0.3">
      <c r="A873" t="s">
        <v>33</v>
      </c>
      <c r="B873">
        <v>2005</v>
      </c>
      <c r="C873" t="str">
        <f>_xlfn.CONCAT(Table13[[#This Row],[STATE]],"-",Table13[[#This Row],[Year]])</f>
        <v>West Bengal-2005</v>
      </c>
      <c r="D873" t="s">
        <v>69</v>
      </c>
      <c r="E873" t="s">
        <v>70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f>SUM(Table13[[#This Row],[Rank_All_Ranks_Total]:[Rank_SSPSPAddlSPCommandant]])</f>
        <v>0</v>
      </c>
    </row>
    <row r="874" spans="1:18" x14ac:dyDescent="0.3">
      <c r="A874" t="s">
        <v>59</v>
      </c>
      <c r="B874">
        <v>2006</v>
      </c>
      <c r="C874" t="str">
        <f>_xlfn.CONCAT(Table13[[#This Row],[STATE]],"-",Table13[[#This Row],[Year]])</f>
        <v>Andaman &amp; Nicobar Islands-2006</v>
      </c>
      <c r="D874" t="s">
        <v>69</v>
      </c>
      <c r="E874" t="s">
        <v>70</v>
      </c>
      <c r="F874">
        <v>18</v>
      </c>
      <c r="G874">
        <v>0</v>
      </c>
      <c r="H874">
        <v>0</v>
      </c>
      <c r="I874">
        <v>0</v>
      </c>
      <c r="J874">
        <v>15</v>
      </c>
      <c r="K874">
        <v>0</v>
      </c>
      <c r="L874">
        <v>0</v>
      </c>
      <c r="M874">
        <v>2</v>
      </c>
      <c r="N874">
        <v>0</v>
      </c>
      <c r="O874">
        <v>1</v>
      </c>
      <c r="P874">
        <v>0</v>
      </c>
      <c r="Q874">
        <v>0</v>
      </c>
      <c r="R874">
        <f>SUM(Table13[[#This Row],[Rank_All_Ranks_Total]:[Rank_SSPSPAddlSPCommandant]])</f>
        <v>36</v>
      </c>
    </row>
    <row r="875" spans="1:18" x14ac:dyDescent="0.3">
      <c r="A875" t="s">
        <v>6</v>
      </c>
      <c r="B875">
        <v>2006</v>
      </c>
      <c r="C875" t="str">
        <f>_xlfn.CONCAT(Table13[[#This Row],[STATE]],"-",Table13[[#This Row],[Year]])</f>
        <v>Andhra Pradesh-2006</v>
      </c>
      <c r="D875" t="s">
        <v>69</v>
      </c>
      <c r="E875" t="s">
        <v>70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f>SUM(Table13[[#This Row],[Rank_All_Ranks_Total]:[Rank_SSPSPAddlSPCommandant]])</f>
        <v>0</v>
      </c>
    </row>
    <row r="876" spans="1:18" x14ac:dyDescent="0.3">
      <c r="A876" t="s">
        <v>7</v>
      </c>
      <c r="B876">
        <v>2006</v>
      </c>
      <c r="C876" t="str">
        <f>_xlfn.CONCAT(Table13[[#This Row],[STATE]],"-",Table13[[#This Row],[Year]])</f>
        <v>Arunachal Pradesh-2006</v>
      </c>
      <c r="D876" t="s">
        <v>69</v>
      </c>
      <c r="E876" t="s">
        <v>70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f>SUM(Table13[[#This Row],[Rank_All_Ranks_Total]:[Rank_SSPSPAddlSPCommandant]])</f>
        <v>0</v>
      </c>
    </row>
    <row r="877" spans="1:18" x14ac:dyDescent="0.3">
      <c r="A877" t="s">
        <v>8</v>
      </c>
      <c r="B877">
        <v>2006</v>
      </c>
      <c r="C877" t="str">
        <f>_xlfn.CONCAT(Table13[[#This Row],[STATE]],"-",Table13[[#This Row],[Year]])</f>
        <v>Assam-2006</v>
      </c>
      <c r="D877" t="s">
        <v>69</v>
      </c>
      <c r="E877" t="s">
        <v>70</v>
      </c>
      <c r="F877">
        <v>165</v>
      </c>
      <c r="G877">
        <v>0</v>
      </c>
      <c r="H877">
        <v>0</v>
      </c>
      <c r="I877">
        <v>8</v>
      </c>
      <c r="J877">
        <v>146</v>
      </c>
      <c r="K877">
        <v>0</v>
      </c>
      <c r="L877">
        <v>0</v>
      </c>
      <c r="M877">
        <v>8</v>
      </c>
      <c r="N877">
        <v>0</v>
      </c>
      <c r="O877">
        <v>0</v>
      </c>
      <c r="P877">
        <v>3</v>
      </c>
      <c r="Q877">
        <v>0</v>
      </c>
      <c r="R877">
        <f>SUM(Table13[[#This Row],[Rank_All_Ranks_Total]:[Rank_SSPSPAddlSPCommandant]])</f>
        <v>330</v>
      </c>
    </row>
    <row r="878" spans="1:18" x14ac:dyDescent="0.3">
      <c r="A878" t="s">
        <v>9</v>
      </c>
      <c r="B878">
        <v>2006</v>
      </c>
      <c r="C878" t="str">
        <f>_xlfn.CONCAT(Table13[[#This Row],[STATE]],"-",Table13[[#This Row],[Year]])</f>
        <v>Bihar-2006</v>
      </c>
      <c r="D878" t="s">
        <v>69</v>
      </c>
      <c r="E878" t="s">
        <v>70</v>
      </c>
      <c r="F878">
        <v>3</v>
      </c>
      <c r="G878">
        <v>0</v>
      </c>
      <c r="H878">
        <v>3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f>SUM(Table13[[#This Row],[Rank_All_Ranks_Total]:[Rank_SSPSPAddlSPCommandant]])</f>
        <v>6</v>
      </c>
    </row>
    <row r="879" spans="1:18" x14ac:dyDescent="0.3">
      <c r="A879" t="s">
        <v>35</v>
      </c>
      <c r="B879">
        <v>2006</v>
      </c>
      <c r="C879" t="str">
        <f>_xlfn.CONCAT(Table13[[#This Row],[STATE]],"-",Table13[[#This Row],[Year]])</f>
        <v>Chandigarh-2006</v>
      </c>
      <c r="D879" t="s">
        <v>69</v>
      </c>
      <c r="E879" t="s">
        <v>70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f>SUM(Table13[[#This Row],[Rank_All_Ranks_Total]:[Rank_SSPSPAddlSPCommandant]])</f>
        <v>0</v>
      </c>
    </row>
    <row r="880" spans="1:18" x14ac:dyDescent="0.3">
      <c r="A880" t="s">
        <v>10</v>
      </c>
      <c r="B880">
        <v>2006</v>
      </c>
      <c r="C880" t="str">
        <f>_xlfn.CONCAT(Table13[[#This Row],[STATE]],"-",Table13[[#This Row],[Year]])</f>
        <v>Chhattisgarh-2006</v>
      </c>
      <c r="D880" t="s">
        <v>69</v>
      </c>
      <c r="E880" t="s">
        <v>70</v>
      </c>
      <c r="F880">
        <v>5</v>
      </c>
      <c r="G880">
        <v>0</v>
      </c>
      <c r="H880">
        <v>1</v>
      </c>
      <c r="I880">
        <v>0</v>
      </c>
      <c r="J880">
        <v>3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1</v>
      </c>
      <c r="R880">
        <f>SUM(Table13[[#This Row],[Rank_All_Ranks_Total]:[Rank_SSPSPAddlSPCommandant]])</f>
        <v>10</v>
      </c>
    </row>
    <row r="881" spans="1:18" x14ac:dyDescent="0.3">
      <c r="A881" t="s">
        <v>62</v>
      </c>
      <c r="B881">
        <v>2006</v>
      </c>
      <c r="C881" t="str">
        <f>_xlfn.CONCAT(Table13[[#This Row],[STATE]],"-",Table13[[#This Row],[Year]])</f>
        <v>Dadra &amp; Nagar Haveli-2006</v>
      </c>
      <c r="D881" t="s">
        <v>69</v>
      </c>
      <c r="E881" t="s">
        <v>70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f>SUM(Table13[[#This Row],[Rank_All_Ranks_Total]:[Rank_SSPSPAddlSPCommandant]])</f>
        <v>0</v>
      </c>
    </row>
    <row r="882" spans="1:18" x14ac:dyDescent="0.3">
      <c r="A882" t="s">
        <v>37</v>
      </c>
      <c r="B882">
        <v>2006</v>
      </c>
      <c r="C882" t="str">
        <f>_xlfn.CONCAT(Table13[[#This Row],[STATE]],"-",Table13[[#This Row],[Year]])</f>
        <v>Daman &amp; Diu-2006</v>
      </c>
      <c r="D882" t="s">
        <v>69</v>
      </c>
      <c r="E882" t="s">
        <v>70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f>SUM(Table13[[#This Row],[Rank_All_Ranks_Total]:[Rank_SSPSPAddlSPCommandant]])</f>
        <v>0</v>
      </c>
    </row>
    <row r="883" spans="1:18" x14ac:dyDescent="0.3">
      <c r="A883" t="s">
        <v>38</v>
      </c>
      <c r="B883">
        <v>2006</v>
      </c>
      <c r="C883" t="str">
        <f>_xlfn.CONCAT(Table13[[#This Row],[STATE]],"-",Table13[[#This Row],[Year]])</f>
        <v>Delhi-2006</v>
      </c>
      <c r="D883" t="s">
        <v>69</v>
      </c>
      <c r="E883" t="s">
        <v>70</v>
      </c>
      <c r="F883">
        <v>138</v>
      </c>
      <c r="G883">
        <v>0</v>
      </c>
      <c r="H883">
        <v>3</v>
      </c>
      <c r="I883">
        <v>0</v>
      </c>
      <c r="J883">
        <v>54</v>
      </c>
      <c r="K883">
        <v>0</v>
      </c>
      <c r="L883">
        <v>0</v>
      </c>
      <c r="M883">
        <v>76</v>
      </c>
      <c r="N883">
        <v>0</v>
      </c>
      <c r="O883">
        <v>1</v>
      </c>
      <c r="P883">
        <v>4</v>
      </c>
      <c r="Q883">
        <v>0</v>
      </c>
      <c r="R883">
        <f>SUM(Table13[[#This Row],[Rank_All_Ranks_Total]:[Rank_SSPSPAddlSPCommandant]])</f>
        <v>276</v>
      </c>
    </row>
    <row r="884" spans="1:18" x14ac:dyDescent="0.3">
      <c r="A884" t="s">
        <v>11</v>
      </c>
      <c r="B884">
        <v>2006</v>
      </c>
      <c r="C884" t="str">
        <f>_xlfn.CONCAT(Table13[[#This Row],[STATE]],"-",Table13[[#This Row],[Year]])</f>
        <v>Goa-2006</v>
      </c>
      <c r="D884" t="s">
        <v>69</v>
      </c>
      <c r="E884" t="s">
        <v>70</v>
      </c>
      <c r="F884">
        <v>7</v>
      </c>
      <c r="G884">
        <v>0</v>
      </c>
      <c r="H884">
        <v>0</v>
      </c>
      <c r="I884">
        <v>0</v>
      </c>
      <c r="J884">
        <v>2</v>
      </c>
      <c r="K884">
        <v>0</v>
      </c>
      <c r="L884">
        <v>0</v>
      </c>
      <c r="M884">
        <v>5</v>
      </c>
      <c r="N884">
        <v>0</v>
      </c>
      <c r="O884">
        <v>0</v>
      </c>
      <c r="P884">
        <v>0</v>
      </c>
      <c r="Q884">
        <v>0</v>
      </c>
      <c r="R884">
        <f>SUM(Table13[[#This Row],[Rank_All_Ranks_Total]:[Rank_SSPSPAddlSPCommandant]])</f>
        <v>14</v>
      </c>
    </row>
    <row r="885" spans="1:18" x14ac:dyDescent="0.3">
      <c r="A885" t="s">
        <v>12</v>
      </c>
      <c r="B885">
        <v>2006</v>
      </c>
      <c r="C885" t="str">
        <f>_xlfn.CONCAT(Table13[[#This Row],[STATE]],"-",Table13[[#This Row],[Year]])</f>
        <v>Gujarat-2006</v>
      </c>
      <c r="D885" t="s">
        <v>69</v>
      </c>
      <c r="E885" t="s">
        <v>70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f>SUM(Table13[[#This Row],[Rank_All_Ranks_Total]:[Rank_SSPSPAddlSPCommandant]])</f>
        <v>0</v>
      </c>
    </row>
    <row r="886" spans="1:18" x14ac:dyDescent="0.3">
      <c r="A886" t="s">
        <v>13</v>
      </c>
      <c r="B886">
        <v>2006</v>
      </c>
      <c r="C886" t="str">
        <f>_xlfn.CONCAT(Table13[[#This Row],[STATE]],"-",Table13[[#This Row],[Year]])</f>
        <v>Haryana-2006</v>
      </c>
      <c r="D886" t="s">
        <v>69</v>
      </c>
      <c r="E886" t="s">
        <v>70</v>
      </c>
      <c r="F886">
        <v>1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1</v>
      </c>
      <c r="R886">
        <f>SUM(Table13[[#This Row],[Rank_All_Ranks_Total]:[Rank_SSPSPAddlSPCommandant]])</f>
        <v>2</v>
      </c>
    </row>
    <row r="887" spans="1:18" x14ac:dyDescent="0.3">
      <c r="A887" t="s">
        <v>14</v>
      </c>
      <c r="B887">
        <v>2006</v>
      </c>
      <c r="C887" t="str">
        <f>_xlfn.CONCAT(Table13[[#This Row],[STATE]],"-",Table13[[#This Row],[Year]])</f>
        <v>Himachal Pradesh-2006</v>
      </c>
      <c r="D887" t="s">
        <v>69</v>
      </c>
      <c r="E887" t="s">
        <v>70</v>
      </c>
      <c r="F887">
        <v>27</v>
      </c>
      <c r="G887">
        <v>1</v>
      </c>
      <c r="H887">
        <v>1</v>
      </c>
      <c r="I887">
        <v>0</v>
      </c>
      <c r="J887">
        <v>12</v>
      </c>
      <c r="K887">
        <v>0</v>
      </c>
      <c r="L887">
        <v>0</v>
      </c>
      <c r="M887">
        <v>10</v>
      </c>
      <c r="N887">
        <v>0</v>
      </c>
      <c r="O887">
        <v>1</v>
      </c>
      <c r="P887">
        <v>2</v>
      </c>
      <c r="Q887">
        <v>0</v>
      </c>
      <c r="R887">
        <f>SUM(Table13[[#This Row],[Rank_All_Ranks_Total]:[Rank_SSPSPAddlSPCommandant]])</f>
        <v>54</v>
      </c>
    </row>
    <row r="888" spans="1:18" x14ac:dyDescent="0.3">
      <c r="A888" t="s">
        <v>15</v>
      </c>
      <c r="B888">
        <v>2006</v>
      </c>
      <c r="C888" t="str">
        <f>_xlfn.CONCAT(Table13[[#This Row],[STATE]],"-",Table13[[#This Row],[Year]])</f>
        <v>Jammu &amp; Kashmir-2006</v>
      </c>
      <c r="D888" t="s">
        <v>69</v>
      </c>
      <c r="E888" t="s">
        <v>70</v>
      </c>
      <c r="F888">
        <v>695</v>
      </c>
      <c r="G888">
        <v>0</v>
      </c>
      <c r="H888">
        <v>2</v>
      </c>
      <c r="I888">
        <v>613</v>
      </c>
      <c r="J888">
        <v>26</v>
      </c>
      <c r="K888">
        <v>0</v>
      </c>
      <c r="L888">
        <v>0</v>
      </c>
      <c r="M888">
        <v>21</v>
      </c>
      <c r="N888">
        <v>0</v>
      </c>
      <c r="O888">
        <v>2</v>
      </c>
      <c r="P888">
        <v>30</v>
      </c>
      <c r="Q888">
        <v>1</v>
      </c>
      <c r="R888">
        <f>SUM(Table13[[#This Row],[Rank_All_Ranks_Total]:[Rank_SSPSPAddlSPCommandant]])</f>
        <v>1390</v>
      </c>
    </row>
    <row r="889" spans="1:18" x14ac:dyDescent="0.3">
      <c r="A889" t="s">
        <v>16</v>
      </c>
      <c r="B889">
        <v>2006</v>
      </c>
      <c r="C889" t="str">
        <f>_xlfn.CONCAT(Table13[[#This Row],[STATE]],"-",Table13[[#This Row],[Year]])</f>
        <v>Jharkhand-2006</v>
      </c>
      <c r="D889" t="s">
        <v>69</v>
      </c>
      <c r="E889" t="s">
        <v>70</v>
      </c>
      <c r="F889">
        <v>77</v>
      </c>
      <c r="G889">
        <v>0</v>
      </c>
      <c r="H889">
        <v>0</v>
      </c>
      <c r="I889">
        <v>0</v>
      </c>
      <c r="J889">
        <v>77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f>SUM(Table13[[#This Row],[Rank_All_Ranks_Total]:[Rank_SSPSPAddlSPCommandant]])</f>
        <v>154</v>
      </c>
    </row>
    <row r="890" spans="1:18" x14ac:dyDescent="0.3">
      <c r="A890" t="s">
        <v>17</v>
      </c>
      <c r="B890">
        <v>2006</v>
      </c>
      <c r="C890" t="str">
        <f>_xlfn.CONCAT(Table13[[#This Row],[STATE]],"-",Table13[[#This Row],[Year]])</f>
        <v>Karnataka-2006</v>
      </c>
      <c r="D890" t="s">
        <v>69</v>
      </c>
      <c r="E890" t="s">
        <v>70</v>
      </c>
      <c r="F890">
        <v>20</v>
      </c>
      <c r="G890">
        <v>0</v>
      </c>
      <c r="H890">
        <v>0</v>
      </c>
      <c r="I890">
        <v>0</v>
      </c>
      <c r="J890">
        <v>15</v>
      </c>
      <c r="K890">
        <v>0</v>
      </c>
      <c r="L890">
        <v>0</v>
      </c>
      <c r="M890">
        <v>5</v>
      </c>
      <c r="N890">
        <v>0</v>
      </c>
      <c r="O890">
        <v>0</v>
      </c>
      <c r="P890">
        <v>0</v>
      </c>
      <c r="Q890">
        <v>0</v>
      </c>
      <c r="R890">
        <f>SUM(Table13[[#This Row],[Rank_All_Ranks_Total]:[Rank_SSPSPAddlSPCommandant]])</f>
        <v>40</v>
      </c>
    </row>
    <row r="891" spans="1:18" x14ac:dyDescent="0.3">
      <c r="A891" t="s">
        <v>18</v>
      </c>
      <c r="B891">
        <v>2006</v>
      </c>
      <c r="C891" t="str">
        <f>_xlfn.CONCAT(Table13[[#This Row],[STATE]],"-",Table13[[#This Row],[Year]])</f>
        <v>Kerala-2006</v>
      </c>
      <c r="D891" t="s">
        <v>69</v>
      </c>
      <c r="E891" t="s">
        <v>70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f>SUM(Table13[[#This Row],[Rank_All_Ranks_Total]:[Rank_SSPSPAddlSPCommandant]])</f>
        <v>0</v>
      </c>
    </row>
    <row r="892" spans="1:18" x14ac:dyDescent="0.3">
      <c r="A892" t="s">
        <v>39</v>
      </c>
      <c r="B892">
        <v>2006</v>
      </c>
      <c r="C892" t="str">
        <f>_xlfn.CONCAT(Table13[[#This Row],[STATE]],"-",Table13[[#This Row],[Year]])</f>
        <v>Lakshadweep-2006</v>
      </c>
      <c r="D892" t="s">
        <v>69</v>
      </c>
      <c r="E892" t="s">
        <v>70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f>SUM(Table13[[#This Row],[Rank_All_Ranks_Total]:[Rank_SSPSPAddlSPCommandant]])</f>
        <v>0</v>
      </c>
    </row>
    <row r="893" spans="1:18" x14ac:dyDescent="0.3">
      <c r="A893" t="s">
        <v>19</v>
      </c>
      <c r="B893">
        <v>2006</v>
      </c>
      <c r="C893" t="str">
        <f>_xlfn.CONCAT(Table13[[#This Row],[STATE]],"-",Table13[[#This Row],[Year]])</f>
        <v>Madhya Pradesh-2006</v>
      </c>
      <c r="D893" t="s">
        <v>69</v>
      </c>
      <c r="E893" t="s">
        <v>70</v>
      </c>
      <c r="F893">
        <v>119</v>
      </c>
      <c r="G893">
        <v>3</v>
      </c>
      <c r="H893">
        <v>6</v>
      </c>
      <c r="I893">
        <v>0</v>
      </c>
      <c r="J893">
        <v>84</v>
      </c>
      <c r="K893">
        <v>0</v>
      </c>
      <c r="L893">
        <v>1</v>
      </c>
      <c r="M893">
        <v>19</v>
      </c>
      <c r="N893">
        <v>0</v>
      </c>
      <c r="O893">
        <v>2</v>
      </c>
      <c r="P893">
        <v>2</v>
      </c>
      <c r="Q893">
        <v>2</v>
      </c>
      <c r="R893">
        <f>SUM(Table13[[#This Row],[Rank_All_Ranks_Total]:[Rank_SSPSPAddlSPCommandant]])</f>
        <v>238</v>
      </c>
    </row>
    <row r="894" spans="1:18" x14ac:dyDescent="0.3">
      <c r="A894" t="s">
        <v>20</v>
      </c>
      <c r="B894">
        <v>2006</v>
      </c>
      <c r="C894" t="str">
        <f>_xlfn.CONCAT(Table13[[#This Row],[STATE]],"-",Table13[[#This Row],[Year]])</f>
        <v>Maharashtra-2006</v>
      </c>
      <c r="D894" t="s">
        <v>69</v>
      </c>
      <c r="E894" t="s">
        <v>70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f>SUM(Table13[[#This Row],[Rank_All_Ranks_Total]:[Rank_SSPSPAddlSPCommandant]])</f>
        <v>0</v>
      </c>
    </row>
    <row r="895" spans="1:18" x14ac:dyDescent="0.3">
      <c r="A895" t="s">
        <v>21</v>
      </c>
      <c r="B895">
        <v>2006</v>
      </c>
      <c r="C895" t="str">
        <f>_xlfn.CONCAT(Table13[[#This Row],[STATE]],"-",Table13[[#This Row],[Year]])</f>
        <v>Manipur-2006</v>
      </c>
      <c r="D895" t="s">
        <v>69</v>
      </c>
      <c r="E895" t="s">
        <v>70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f>SUM(Table13[[#This Row],[Rank_All_Ranks_Total]:[Rank_SSPSPAddlSPCommandant]])</f>
        <v>0</v>
      </c>
    </row>
    <row r="896" spans="1:18" x14ac:dyDescent="0.3">
      <c r="A896" t="s">
        <v>22</v>
      </c>
      <c r="B896">
        <v>2006</v>
      </c>
      <c r="C896" t="str">
        <f>_xlfn.CONCAT(Table13[[#This Row],[STATE]],"-",Table13[[#This Row],[Year]])</f>
        <v>Meghalaya-2006</v>
      </c>
      <c r="D896" t="s">
        <v>69</v>
      </c>
      <c r="E896" t="s">
        <v>70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f>SUM(Table13[[#This Row],[Rank_All_Ranks_Total]:[Rank_SSPSPAddlSPCommandant]])</f>
        <v>0</v>
      </c>
    </row>
    <row r="897" spans="1:18" x14ac:dyDescent="0.3">
      <c r="A897" t="s">
        <v>23</v>
      </c>
      <c r="B897">
        <v>2006</v>
      </c>
      <c r="C897" t="str">
        <f>_xlfn.CONCAT(Table13[[#This Row],[STATE]],"-",Table13[[#This Row],[Year]])</f>
        <v>Mizoram-2006</v>
      </c>
      <c r="D897" t="s">
        <v>69</v>
      </c>
      <c r="E897" t="s">
        <v>70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f>SUM(Table13[[#This Row],[Rank_All_Ranks_Total]:[Rank_SSPSPAddlSPCommandant]])</f>
        <v>0</v>
      </c>
    </row>
    <row r="898" spans="1:18" x14ac:dyDescent="0.3">
      <c r="A898" t="s">
        <v>24</v>
      </c>
      <c r="B898">
        <v>2006</v>
      </c>
      <c r="C898" t="str">
        <f>_xlfn.CONCAT(Table13[[#This Row],[STATE]],"-",Table13[[#This Row],[Year]])</f>
        <v>Nagaland-2006</v>
      </c>
      <c r="D898" t="s">
        <v>69</v>
      </c>
      <c r="E898" t="s">
        <v>70</v>
      </c>
      <c r="F898">
        <v>1</v>
      </c>
      <c r="G898">
        <v>0</v>
      </c>
      <c r="H898">
        <v>1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f>SUM(Table13[[#This Row],[Rank_All_Ranks_Total]:[Rank_SSPSPAddlSPCommandant]])</f>
        <v>2</v>
      </c>
    </row>
    <row r="899" spans="1:18" x14ac:dyDescent="0.3">
      <c r="A899" t="s">
        <v>63</v>
      </c>
      <c r="B899">
        <v>2006</v>
      </c>
      <c r="C899" t="str">
        <f>_xlfn.CONCAT(Table13[[#This Row],[STATE]],"-",Table13[[#This Row],[Year]])</f>
        <v>Odisha-2006</v>
      </c>
      <c r="D899" t="s">
        <v>69</v>
      </c>
      <c r="E899" t="s">
        <v>70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f>SUM(Table13[[#This Row],[Rank_All_Ranks_Total]:[Rank_SSPSPAddlSPCommandant]])</f>
        <v>0</v>
      </c>
    </row>
    <row r="900" spans="1:18" x14ac:dyDescent="0.3">
      <c r="A900" t="s">
        <v>64</v>
      </c>
      <c r="B900">
        <v>2006</v>
      </c>
      <c r="C900" t="str">
        <f>_xlfn.CONCAT(Table13[[#This Row],[STATE]],"-",Table13[[#This Row],[Year]])</f>
        <v>Puducherry-2006</v>
      </c>
      <c r="D900" t="s">
        <v>69</v>
      </c>
      <c r="E900" t="s">
        <v>70</v>
      </c>
      <c r="F900">
        <v>40</v>
      </c>
      <c r="G900">
        <v>0</v>
      </c>
      <c r="H900">
        <v>1</v>
      </c>
      <c r="I900">
        <v>0</v>
      </c>
      <c r="J900">
        <v>37</v>
      </c>
      <c r="K900">
        <v>0</v>
      </c>
      <c r="L900">
        <v>0</v>
      </c>
      <c r="M900">
        <v>2</v>
      </c>
      <c r="N900">
        <v>0</v>
      </c>
      <c r="O900">
        <v>0</v>
      </c>
      <c r="P900">
        <v>0</v>
      </c>
      <c r="Q900">
        <v>0</v>
      </c>
      <c r="R900">
        <f>SUM(Table13[[#This Row],[Rank_All_Ranks_Total]:[Rank_SSPSPAddlSPCommandant]])</f>
        <v>80</v>
      </c>
    </row>
    <row r="901" spans="1:18" x14ac:dyDescent="0.3">
      <c r="A901" t="s">
        <v>26</v>
      </c>
      <c r="B901">
        <v>2006</v>
      </c>
      <c r="C901" t="str">
        <f>_xlfn.CONCAT(Table13[[#This Row],[STATE]],"-",Table13[[#This Row],[Year]])</f>
        <v>Punjab-2006</v>
      </c>
      <c r="D901" t="s">
        <v>69</v>
      </c>
      <c r="E901" t="s">
        <v>70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f>SUM(Table13[[#This Row],[Rank_All_Ranks_Total]:[Rank_SSPSPAddlSPCommandant]])</f>
        <v>0</v>
      </c>
    </row>
    <row r="902" spans="1:18" x14ac:dyDescent="0.3">
      <c r="A902" t="s">
        <v>27</v>
      </c>
      <c r="B902">
        <v>2006</v>
      </c>
      <c r="C902" t="str">
        <f>_xlfn.CONCAT(Table13[[#This Row],[STATE]],"-",Table13[[#This Row],[Year]])</f>
        <v>Rajasthan-2006</v>
      </c>
      <c r="D902" t="s">
        <v>69</v>
      </c>
      <c r="E902" t="s">
        <v>70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f>SUM(Table13[[#This Row],[Rank_All_Ranks_Total]:[Rank_SSPSPAddlSPCommandant]])</f>
        <v>0</v>
      </c>
    </row>
    <row r="903" spans="1:18" x14ac:dyDescent="0.3">
      <c r="A903" t="s">
        <v>28</v>
      </c>
      <c r="B903">
        <v>2006</v>
      </c>
      <c r="C903" t="str">
        <f>_xlfn.CONCAT(Table13[[#This Row],[STATE]],"-",Table13[[#This Row],[Year]])</f>
        <v>Sikkim-2006</v>
      </c>
      <c r="D903" t="s">
        <v>69</v>
      </c>
      <c r="E903" t="s">
        <v>70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f>SUM(Table13[[#This Row],[Rank_All_Ranks_Total]:[Rank_SSPSPAddlSPCommandant]])</f>
        <v>0</v>
      </c>
    </row>
    <row r="904" spans="1:18" x14ac:dyDescent="0.3">
      <c r="A904" t="s">
        <v>42</v>
      </c>
      <c r="B904">
        <v>2006</v>
      </c>
      <c r="C904" t="str">
        <f>_xlfn.CONCAT(Table13[[#This Row],[STATE]],"-",Table13[[#This Row],[Year]])</f>
        <v>Tamil Nadu-2006</v>
      </c>
      <c r="D904" t="s">
        <v>69</v>
      </c>
      <c r="E904" t="s">
        <v>70</v>
      </c>
      <c r="F904">
        <v>1415</v>
      </c>
      <c r="G904">
        <v>0</v>
      </c>
      <c r="H904">
        <v>0</v>
      </c>
      <c r="I904">
        <v>0</v>
      </c>
      <c r="J904">
        <v>1180</v>
      </c>
      <c r="K904">
        <v>0</v>
      </c>
      <c r="L904">
        <v>0</v>
      </c>
      <c r="M904">
        <v>196</v>
      </c>
      <c r="N904">
        <v>0</v>
      </c>
      <c r="O904">
        <v>8</v>
      </c>
      <c r="P904">
        <v>30</v>
      </c>
      <c r="Q904">
        <v>1</v>
      </c>
      <c r="R904">
        <f>SUM(Table13[[#This Row],[Rank_All_Ranks_Total]:[Rank_SSPSPAddlSPCommandant]])</f>
        <v>2830</v>
      </c>
    </row>
    <row r="905" spans="1:18" x14ac:dyDescent="0.3">
      <c r="A905" t="s">
        <v>30</v>
      </c>
      <c r="B905">
        <v>2006</v>
      </c>
      <c r="C905" t="str">
        <f>_xlfn.CONCAT(Table13[[#This Row],[STATE]],"-",Table13[[#This Row],[Year]])</f>
        <v>Tripura-2006</v>
      </c>
      <c r="D905" t="s">
        <v>69</v>
      </c>
      <c r="E905" t="s">
        <v>70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f>SUM(Table13[[#This Row],[Rank_All_Ranks_Total]:[Rank_SSPSPAddlSPCommandant]])</f>
        <v>0</v>
      </c>
    </row>
    <row r="906" spans="1:18" x14ac:dyDescent="0.3">
      <c r="A906" t="s">
        <v>31</v>
      </c>
      <c r="B906">
        <v>2006</v>
      </c>
      <c r="C906" t="str">
        <f>_xlfn.CONCAT(Table13[[#This Row],[STATE]],"-",Table13[[#This Row],[Year]])</f>
        <v>Uttar Pradesh-2006</v>
      </c>
      <c r="D906" t="s">
        <v>69</v>
      </c>
      <c r="E906" t="s">
        <v>70</v>
      </c>
      <c r="F906">
        <v>2</v>
      </c>
      <c r="G906">
        <v>0</v>
      </c>
      <c r="H906">
        <v>2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f>SUM(Table13[[#This Row],[Rank_All_Ranks_Total]:[Rank_SSPSPAddlSPCommandant]])</f>
        <v>4</v>
      </c>
    </row>
    <row r="907" spans="1:18" x14ac:dyDescent="0.3">
      <c r="A907" t="s">
        <v>65</v>
      </c>
      <c r="B907">
        <v>2006</v>
      </c>
      <c r="C907" t="str">
        <f>_xlfn.CONCAT(Table13[[#This Row],[STATE]],"-",Table13[[#This Row],[Year]])</f>
        <v>Uttarakhand-2006</v>
      </c>
      <c r="D907" t="s">
        <v>69</v>
      </c>
      <c r="E907" t="s">
        <v>70</v>
      </c>
      <c r="F907">
        <v>105</v>
      </c>
      <c r="G907">
        <v>0</v>
      </c>
      <c r="H907">
        <v>0</v>
      </c>
      <c r="I907">
        <v>0</v>
      </c>
      <c r="J907">
        <v>103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2</v>
      </c>
      <c r="Q907">
        <v>0</v>
      </c>
      <c r="R907">
        <f>SUM(Table13[[#This Row],[Rank_All_Ranks_Total]:[Rank_SSPSPAddlSPCommandant]])</f>
        <v>210</v>
      </c>
    </row>
    <row r="908" spans="1:18" x14ac:dyDescent="0.3">
      <c r="A908" t="s">
        <v>33</v>
      </c>
      <c r="B908">
        <v>2006</v>
      </c>
      <c r="C908" t="str">
        <f>_xlfn.CONCAT(Table13[[#This Row],[STATE]],"-",Table13[[#This Row],[Year]])</f>
        <v>West Bengal-2006</v>
      </c>
      <c r="D908" t="s">
        <v>69</v>
      </c>
      <c r="E908" t="s">
        <v>70</v>
      </c>
      <c r="F908">
        <v>1</v>
      </c>
      <c r="G908">
        <v>0</v>
      </c>
      <c r="H908">
        <v>1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f>SUM(Table13[[#This Row],[Rank_All_Ranks_Total]:[Rank_SSPSPAddlSPCommandant]])</f>
        <v>2</v>
      </c>
    </row>
    <row r="909" spans="1:18" x14ac:dyDescent="0.3">
      <c r="A909" t="s">
        <v>59</v>
      </c>
      <c r="B909">
        <v>2007</v>
      </c>
      <c r="C909" t="str">
        <f>_xlfn.CONCAT(Table13[[#This Row],[STATE]],"-",Table13[[#This Row],[Year]])</f>
        <v>Andaman &amp; Nicobar Islands-2007</v>
      </c>
      <c r="D909" t="s">
        <v>69</v>
      </c>
      <c r="E909" t="s">
        <v>70</v>
      </c>
      <c r="F909">
        <v>25</v>
      </c>
      <c r="G909">
        <v>0</v>
      </c>
      <c r="H909">
        <v>0</v>
      </c>
      <c r="I909">
        <v>0</v>
      </c>
      <c r="J909">
        <v>22</v>
      </c>
      <c r="K909">
        <v>0</v>
      </c>
      <c r="L909">
        <v>0</v>
      </c>
      <c r="M909">
        <v>2</v>
      </c>
      <c r="N909">
        <v>0</v>
      </c>
      <c r="O909">
        <v>1</v>
      </c>
      <c r="P909">
        <v>0</v>
      </c>
      <c r="Q909">
        <v>0</v>
      </c>
      <c r="R909">
        <f>SUM(Table13[[#This Row],[Rank_All_Ranks_Total]:[Rank_SSPSPAddlSPCommandant]])</f>
        <v>50</v>
      </c>
    </row>
    <row r="910" spans="1:18" x14ac:dyDescent="0.3">
      <c r="A910" t="s">
        <v>6</v>
      </c>
      <c r="B910">
        <v>2007</v>
      </c>
      <c r="C910" t="str">
        <f>_xlfn.CONCAT(Table13[[#This Row],[STATE]],"-",Table13[[#This Row],[Year]])</f>
        <v>Andhra Pradesh-2007</v>
      </c>
      <c r="D910" t="s">
        <v>69</v>
      </c>
      <c r="E910" t="s">
        <v>70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f>SUM(Table13[[#This Row],[Rank_All_Ranks_Total]:[Rank_SSPSPAddlSPCommandant]])</f>
        <v>0</v>
      </c>
    </row>
    <row r="911" spans="1:18" x14ac:dyDescent="0.3">
      <c r="A911" t="s">
        <v>7</v>
      </c>
      <c r="B911">
        <v>2007</v>
      </c>
      <c r="C911" t="str">
        <f>_xlfn.CONCAT(Table13[[#This Row],[STATE]],"-",Table13[[#This Row],[Year]])</f>
        <v>Arunachal Pradesh-2007</v>
      </c>
      <c r="D911" t="s">
        <v>69</v>
      </c>
      <c r="E911" t="s">
        <v>70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f>SUM(Table13[[#This Row],[Rank_All_Ranks_Total]:[Rank_SSPSPAddlSPCommandant]])</f>
        <v>0</v>
      </c>
    </row>
    <row r="912" spans="1:18" x14ac:dyDescent="0.3">
      <c r="A912" t="s">
        <v>8</v>
      </c>
      <c r="B912">
        <v>2007</v>
      </c>
      <c r="C912" t="str">
        <f>_xlfn.CONCAT(Table13[[#This Row],[STATE]],"-",Table13[[#This Row],[Year]])</f>
        <v>Assam-2007</v>
      </c>
      <c r="D912" t="s">
        <v>69</v>
      </c>
      <c r="E912" t="s">
        <v>70</v>
      </c>
      <c r="F912">
        <v>165</v>
      </c>
      <c r="G912">
        <v>0</v>
      </c>
      <c r="H912">
        <v>0</v>
      </c>
      <c r="I912">
        <v>8</v>
      </c>
      <c r="J912">
        <v>146</v>
      </c>
      <c r="K912">
        <v>0</v>
      </c>
      <c r="L912">
        <v>0</v>
      </c>
      <c r="M912">
        <v>8</v>
      </c>
      <c r="N912">
        <v>0</v>
      </c>
      <c r="O912">
        <v>0</v>
      </c>
      <c r="P912">
        <v>3</v>
      </c>
      <c r="Q912">
        <v>0</v>
      </c>
      <c r="R912">
        <f>SUM(Table13[[#This Row],[Rank_All_Ranks_Total]:[Rank_SSPSPAddlSPCommandant]])</f>
        <v>330</v>
      </c>
    </row>
    <row r="913" spans="1:18" x14ac:dyDescent="0.3">
      <c r="A913" t="s">
        <v>9</v>
      </c>
      <c r="B913">
        <v>2007</v>
      </c>
      <c r="C913" t="str">
        <f>_xlfn.CONCAT(Table13[[#This Row],[STATE]],"-",Table13[[#This Row],[Year]])</f>
        <v>Bihar-2007</v>
      </c>
      <c r="D913" t="s">
        <v>69</v>
      </c>
      <c r="E913" t="s">
        <v>70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f>SUM(Table13[[#This Row],[Rank_All_Ranks_Total]:[Rank_SSPSPAddlSPCommandant]])</f>
        <v>0</v>
      </c>
    </row>
    <row r="914" spans="1:18" x14ac:dyDescent="0.3">
      <c r="A914" t="s">
        <v>35</v>
      </c>
      <c r="B914">
        <v>2007</v>
      </c>
      <c r="C914" t="str">
        <f>_xlfn.CONCAT(Table13[[#This Row],[STATE]],"-",Table13[[#This Row],[Year]])</f>
        <v>Chandigarh-2007</v>
      </c>
      <c r="D914" t="s">
        <v>69</v>
      </c>
      <c r="E914" t="s">
        <v>70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f>SUM(Table13[[#This Row],[Rank_All_Ranks_Total]:[Rank_SSPSPAddlSPCommandant]])</f>
        <v>0</v>
      </c>
    </row>
    <row r="915" spans="1:18" x14ac:dyDescent="0.3">
      <c r="A915" t="s">
        <v>10</v>
      </c>
      <c r="B915">
        <v>2007</v>
      </c>
      <c r="C915" t="str">
        <f>_xlfn.CONCAT(Table13[[#This Row],[STATE]],"-",Table13[[#This Row],[Year]])</f>
        <v>Chhattisgarh-2007</v>
      </c>
      <c r="D915" t="s">
        <v>69</v>
      </c>
      <c r="E915" t="s">
        <v>70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f>SUM(Table13[[#This Row],[Rank_All_Ranks_Total]:[Rank_SSPSPAddlSPCommandant]])</f>
        <v>0</v>
      </c>
    </row>
    <row r="916" spans="1:18" x14ac:dyDescent="0.3">
      <c r="A916" t="s">
        <v>62</v>
      </c>
      <c r="B916">
        <v>2007</v>
      </c>
      <c r="C916" t="str">
        <f>_xlfn.CONCAT(Table13[[#This Row],[STATE]],"-",Table13[[#This Row],[Year]])</f>
        <v>Dadra &amp; Nagar Haveli-2007</v>
      </c>
      <c r="D916" t="s">
        <v>69</v>
      </c>
      <c r="E916" t="s">
        <v>70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f>SUM(Table13[[#This Row],[Rank_All_Ranks_Total]:[Rank_SSPSPAddlSPCommandant]])</f>
        <v>0</v>
      </c>
    </row>
    <row r="917" spans="1:18" x14ac:dyDescent="0.3">
      <c r="A917" t="s">
        <v>37</v>
      </c>
      <c r="B917">
        <v>2007</v>
      </c>
      <c r="C917" t="str">
        <f>_xlfn.CONCAT(Table13[[#This Row],[STATE]],"-",Table13[[#This Row],[Year]])</f>
        <v>Daman &amp; Diu-2007</v>
      </c>
      <c r="D917" t="s">
        <v>69</v>
      </c>
      <c r="E917" t="s">
        <v>70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f>SUM(Table13[[#This Row],[Rank_All_Ranks_Total]:[Rank_SSPSPAddlSPCommandant]])</f>
        <v>0</v>
      </c>
    </row>
    <row r="918" spans="1:18" x14ac:dyDescent="0.3">
      <c r="A918" t="s">
        <v>38</v>
      </c>
      <c r="B918">
        <v>2007</v>
      </c>
      <c r="C918" t="str">
        <f>_xlfn.CONCAT(Table13[[#This Row],[STATE]],"-",Table13[[#This Row],[Year]])</f>
        <v>Delhi-2007</v>
      </c>
      <c r="D918" t="s">
        <v>69</v>
      </c>
      <c r="E918" t="s">
        <v>70</v>
      </c>
      <c r="F918">
        <v>210</v>
      </c>
      <c r="G918">
        <v>18</v>
      </c>
      <c r="H918">
        <v>0</v>
      </c>
      <c r="I918">
        <v>0</v>
      </c>
      <c r="J918">
        <v>136</v>
      </c>
      <c r="K918">
        <v>0</v>
      </c>
      <c r="L918">
        <v>0</v>
      </c>
      <c r="M918">
        <v>54</v>
      </c>
      <c r="N918">
        <v>0</v>
      </c>
      <c r="O918">
        <v>0</v>
      </c>
      <c r="P918">
        <v>2</v>
      </c>
      <c r="Q918">
        <v>0</v>
      </c>
      <c r="R918">
        <f>SUM(Table13[[#This Row],[Rank_All_Ranks_Total]:[Rank_SSPSPAddlSPCommandant]])</f>
        <v>420</v>
      </c>
    </row>
    <row r="919" spans="1:18" x14ac:dyDescent="0.3">
      <c r="A919" t="s">
        <v>11</v>
      </c>
      <c r="B919">
        <v>2007</v>
      </c>
      <c r="C919" t="str">
        <f>_xlfn.CONCAT(Table13[[#This Row],[STATE]],"-",Table13[[#This Row],[Year]])</f>
        <v>Goa-2007</v>
      </c>
      <c r="D919" t="s">
        <v>69</v>
      </c>
      <c r="E919" t="s">
        <v>70</v>
      </c>
      <c r="F919">
        <v>94</v>
      </c>
      <c r="G919">
        <v>0</v>
      </c>
      <c r="H919">
        <v>0</v>
      </c>
      <c r="I919">
        <v>0</v>
      </c>
      <c r="J919">
        <v>93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1</v>
      </c>
      <c r="Q919">
        <v>0</v>
      </c>
      <c r="R919">
        <f>SUM(Table13[[#This Row],[Rank_All_Ranks_Total]:[Rank_SSPSPAddlSPCommandant]])</f>
        <v>188</v>
      </c>
    </row>
    <row r="920" spans="1:18" x14ac:dyDescent="0.3">
      <c r="A920" t="s">
        <v>12</v>
      </c>
      <c r="B920">
        <v>2007</v>
      </c>
      <c r="C920" t="str">
        <f>_xlfn.CONCAT(Table13[[#This Row],[STATE]],"-",Table13[[#This Row],[Year]])</f>
        <v>Gujarat-2007</v>
      </c>
      <c r="D920" t="s">
        <v>69</v>
      </c>
      <c r="E920" t="s">
        <v>70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f>SUM(Table13[[#This Row],[Rank_All_Ranks_Total]:[Rank_SSPSPAddlSPCommandant]])</f>
        <v>0</v>
      </c>
    </row>
    <row r="921" spans="1:18" x14ac:dyDescent="0.3">
      <c r="A921" t="s">
        <v>13</v>
      </c>
      <c r="B921">
        <v>2007</v>
      </c>
      <c r="C921" t="str">
        <f>_xlfn.CONCAT(Table13[[#This Row],[STATE]],"-",Table13[[#This Row],[Year]])</f>
        <v>Haryana-2007</v>
      </c>
      <c r="D921" t="s">
        <v>69</v>
      </c>
      <c r="E921" t="s">
        <v>70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f>SUM(Table13[[#This Row],[Rank_All_Ranks_Total]:[Rank_SSPSPAddlSPCommandant]])</f>
        <v>0</v>
      </c>
    </row>
    <row r="922" spans="1:18" x14ac:dyDescent="0.3">
      <c r="A922" t="s">
        <v>14</v>
      </c>
      <c r="B922">
        <v>2007</v>
      </c>
      <c r="C922" t="str">
        <f>_xlfn.CONCAT(Table13[[#This Row],[STATE]],"-",Table13[[#This Row],[Year]])</f>
        <v>Himachal Pradesh-2007</v>
      </c>
      <c r="D922" t="s">
        <v>69</v>
      </c>
      <c r="E922" t="s">
        <v>70</v>
      </c>
      <c r="F922">
        <v>24</v>
      </c>
      <c r="G922">
        <v>3</v>
      </c>
      <c r="H922">
        <v>1</v>
      </c>
      <c r="I922">
        <v>0</v>
      </c>
      <c r="J922">
        <v>8</v>
      </c>
      <c r="K922">
        <v>0</v>
      </c>
      <c r="L922">
        <v>0</v>
      </c>
      <c r="M922">
        <v>7</v>
      </c>
      <c r="N922">
        <v>0</v>
      </c>
      <c r="O922">
        <v>2</v>
      </c>
      <c r="P922">
        <v>3</v>
      </c>
      <c r="Q922">
        <v>0</v>
      </c>
      <c r="R922">
        <f>SUM(Table13[[#This Row],[Rank_All_Ranks_Total]:[Rank_SSPSPAddlSPCommandant]])</f>
        <v>48</v>
      </c>
    </row>
    <row r="923" spans="1:18" x14ac:dyDescent="0.3">
      <c r="A923" t="s">
        <v>15</v>
      </c>
      <c r="B923">
        <v>2007</v>
      </c>
      <c r="C923" t="str">
        <f>_xlfn.CONCAT(Table13[[#This Row],[STATE]],"-",Table13[[#This Row],[Year]])</f>
        <v>Jammu &amp; Kashmir-2007</v>
      </c>
      <c r="D923" t="s">
        <v>69</v>
      </c>
      <c r="E923" t="s">
        <v>70</v>
      </c>
      <c r="F923">
        <v>700</v>
      </c>
      <c r="G923">
        <v>0</v>
      </c>
      <c r="H923">
        <v>5</v>
      </c>
      <c r="I923">
        <v>603</v>
      </c>
      <c r="J923">
        <v>0</v>
      </c>
      <c r="K923">
        <v>0</v>
      </c>
      <c r="L923">
        <v>0</v>
      </c>
      <c r="M923">
        <v>66</v>
      </c>
      <c r="N923">
        <v>0</v>
      </c>
      <c r="O923">
        <v>2</v>
      </c>
      <c r="P923">
        <v>21</v>
      </c>
      <c r="Q923">
        <v>3</v>
      </c>
      <c r="R923">
        <f>SUM(Table13[[#This Row],[Rank_All_Ranks_Total]:[Rank_SSPSPAddlSPCommandant]])</f>
        <v>1400</v>
      </c>
    </row>
    <row r="924" spans="1:18" x14ac:dyDescent="0.3">
      <c r="A924" t="s">
        <v>16</v>
      </c>
      <c r="B924">
        <v>2007</v>
      </c>
      <c r="C924" t="str">
        <f>_xlfn.CONCAT(Table13[[#This Row],[STATE]],"-",Table13[[#This Row],[Year]])</f>
        <v>Jharkhand-2007</v>
      </c>
      <c r="D924" t="s">
        <v>69</v>
      </c>
      <c r="E924" t="s">
        <v>70</v>
      </c>
      <c r="F924">
        <v>632</v>
      </c>
      <c r="G924">
        <v>0</v>
      </c>
      <c r="H924">
        <v>0</v>
      </c>
      <c r="I924">
        <v>0</v>
      </c>
      <c r="J924">
        <v>630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2</v>
      </c>
      <c r="R924">
        <f>SUM(Table13[[#This Row],[Rank_All_Ranks_Total]:[Rank_SSPSPAddlSPCommandant]])</f>
        <v>1264</v>
      </c>
    </row>
    <row r="925" spans="1:18" x14ac:dyDescent="0.3">
      <c r="A925" t="s">
        <v>17</v>
      </c>
      <c r="B925">
        <v>2007</v>
      </c>
      <c r="C925" t="str">
        <f>_xlfn.CONCAT(Table13[[#This Row],[STATE]],"-",Table13[[#This Row],[Year]])</f>
        <v>Karnataka-2007</v>
      </c>
      <c r="D925" t="s">
        <v>69</v>
      </c>
      <c r="E925" t="s">
        <v>70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f>SUM(Table13[[#This Row],[Rank_All_Ranks_Total]:[Rank_SSPSPAddlSPCommandant]])</f>
        <v>0</v>
      </c>
    </row>
    <row r="926" spans="1:18" x14ac:dyDescent="0.3">
      <c r="A926" t="s">
        <v>18</v>
      </c>
      <c r="B926">
        <v>2007</v>
      </c>
      <c r="C926" t="str">
        <f>_xlfn.CONCAT(Table13[[#This Row],[STATE]],"-",Table13[[#This Row],[Year]])</f>
        <v>Kerala-2007</v>
      </c>
      <c r="D926" t="s">
        <v>69</v>
      </c>
      <c r="E926" t="s">
        <v>70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f>SUM(Table13[[#This Row],[Rank_All_Ranks_Total]:[Rank_SSPSPAddlSPCommandant]])</f>
        <v>0</v>
      </c>
    </row>
    <row r="927" spans="1:18" x14ac:dyDescent="0.3">
      <c r="A927" t="s">
        <v>39</v>
      </c>
      <c r="B927">
        <v>2007</v>
      </c>
      <c r="C927" t="str">
        <f>_xlfn.CONCAT(Table13[[#This Row],[STATE]],"-",Table13[[#This Row],[Year]])</f>
        <v>Lakshadweep-2007</v>
      </c>
      <c r="D927" t="s">
        <v>69</v>
      </c>
      <c r="E927" t="s">
        <v>70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f>SUM(Table13[[#This Row],[Rank_All_Ranks_Total]:[Rank_SSPSPAddlSPCommandant]])</f>
        <v>0</v>
      </c>
    </row>
    <row r="928" spans="1:18" x14ac:dyDescent="0.3">
      <c r="A928" t="s">
        <v>19</v>
      </c>
      <c r="B928">
        <v>2007</v>
      </c>
      <c r="C928" t="str">
        <f>_xlfn.CONCAT(Table13[[#This Row],[STATE]],"-",Table13[[#This Row],[Year]])</f>
        <v>Madhya Pradesh-2007</v>
      </c>
      <c r="D928" t="s">
        <v>69</v>
      </c>
      <c r="E928" t="s">
        <v>70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f>SUM(Table13[[#This Row],[Rank_All_Ranks_Total]:[Rank_SSPSPAddlSPCommandant]])</f>
        <v>0</v>
      </c>
    </row>
    <row r="929" spans="1:18" x14ac:dyDescent="0.3">
      <c r="A929" t="s">
        <v>20</v>
      </c>
      <c r="B929">
        <v>2007</v>
      </c>
      <c r="C929" t="str">
        <f>_xlfn.CONCAT(Table13[[#This Row],[STATE]],"-",Table13[[#This Row],[Year]])</f>
        <v>Maharashtra-2007</v>
      </c>
      <c r="D929" t="s">
        <v>69</v>
      </c>
      <c r="E929" t="s">
        <v>70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f>SUM(Table13[[#This Row],[Rank_All_Ranks_Total]:[Rank_SSPSPAddlSPCommandant]])</f>
        <v>0</v>
      </c>
    </row>
    <row r="930" spans="1:18" x14ac:dyDescent="0.3">
      <c r="A930" t="s">
        <v>21</v>
      </c>
      <c r="B930">
        <v>2007</v>
      </c>
      <c r="C930" t="str">
        <f>_xlfn.CONCAT(Table13[[#This Row],[STATE]],"-",Table13[[#This Row],[Year]])</f>
        <v>Manipur-2007</v>
      </c>
      <c r="D930" t="s">
        <v>69</v>
      </c>
      <c r="E930" t="s">
        <v>70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f>SUM(Table13[[#This Row],[Rank_All_Ranks_Total]:[Rank_SSPSPAddlSPCommandant]])</f>
        <v>0</v>
      </c>
    </row>
    <row r="931" spans="1:18" x14ac:dyDescent="0.3">
      <c r="A931" t="s">
        <v>22</v>
      </c>
      <c r="B931">
        <v>2007</v>
      </c>
      <c r="C931" t="str">
        <f>_xlfn.CONCAT(Table13[[#This Row],[STATE]],"-",Table13[[#This Row],[Year]])</f>
        <v>Meghalaya-2007</v>
      </c>
      <c r="D931" t="s">
        <v>69</v>
      </c>
      <c r="E931" t="s">
        <v>70</v>
      </c>
      <c r="F931">
        <v>100</v>
      </c>
      <c r="G931">
        <v>0</v>
      </c>
      <c r="H931">
        <v>0</v>
      </c>
      <c r="I931">
        <v>0</v>
      </c>
      <c r="J931">
        <v>100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f>SUM(Table13[[#This Row],[Rank_All_Ranks_Total]:[Rank_SSPSPAddlSPCommandant]])</f>
        <v>200</v>
      </c>
    </row>
    <row r="932" spans="1:18" x14ac:dyDescent="0.3">
      <c r="A932" t="s">
        <v>23</v>
      </c>
      <c r="B932">
        <v>2007</v>
      </c>
      <c r="C932" t="str">
        <f>_xlfn.CONCAT(Table13[[#This Row],[STATE]],"-",Table13[[#This Row],[Year]])</f>
        <v>Mizoram-2007</v>
      </c>
      <c r="D932" t="s">
        <v>69</v>
      </c>
      <c r="E932" t="s">
        <v>70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f>SUM(Table13[[#This Row],[Rank_All_Ranks_Total]:[Rank_SSPSPAddlSPCommandant]])</f>
        <v>0</v>
      </c>
    </row>
    <row r="933" spans="1:18" x14ac:dyDescent="0.3">
      <c r="A933" t="s">
        <v>24</v>
      </c>
      <c r="B933">
        <v>2007</v>
      </c>
      <c r="C933" t="str">
        <f>_xlfn.CONCAT(Table13[[#This Row],[STATE]],"-",Table13[[#This Row],[Year]])</f>
        <v>Nagaland-2007</v>
      </c>
      <c r="D933" t="s">
        <v>69</v>
      </c>
      <c r="E933" t="s">
        <v>70</v>
      </c>
      <c r="F933">
        <v>1</v>
      </c>
      <c r="G933">
        <v>0</v>
      </c>
      <c r="H933">
        <v>1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f>SUM(Table13[[#This Row],[Rank_All_Ranks_Total]:[Rank_SSPSPAddlSPCommandant]])</f>
        <v>2</v>
      </c>
    </row>
    <row r="934" spans="1:18" x14ac:dyDescent="0.3">
      <c r="A934" t="s">
        <v>63</v>
      </c>
      <c r="B934">
        <v>2007</v>
      </c>
      <c r="C934" t="str">
        <f>_xlfn.CONCAT(Table13[[#This Row],[STATE]],"-",Table13[[#This Row],[Year]])</f>
        <v>Odisha-2007</v>
      </c>
      <c r="D934" t="s">
        <v>69</v>
      </c>
      <c r="E934" t="s">
        <v>70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f>SUM(Table13[[#This Row],[Rank_All_Ranks_Total]:[Rank_SSPSPAddlSPCommandant]])</f>
        <v>0</v>
      </c>
    </row>
    <row r="935" spans="1:18" x14ac:dyDescent="0.3">
      <c r="A935" t="s">
        <v>64</v>
      </c>
      <c r="B935">
        <v>2007</v>
      </c>
      <c r="C935" t="str">
        <f>_xlfn.CONCAT(Table13[[#This Row],[STATE]],"-",Table13[[#This Row],[Year]])</f>
        <v>Puducherry-2007</v>
      </c>
      <c r="D935" t="s">
        <v>69</v>
      </c>
      <c r="E935" t="s">
        <v>70</v>
      </c>
      <c r="F935">
        <v>79</v>
      </c>
      <c r="G935">
        <v>0</v>
      </c>
      <c r="H935">
        <v>1</v>
      </c>
      <c r="I935">
        <v>0</v>
      </c>
      <c r="J935">
        <v>76</v>
      </c>
      <c r="K935">
        <v>0</v>
      </c>
      <c r="L935">
        <v>0</v>
      </c>
      <c r="M935">
        <v>2</v>
      </c>
      <c r="N935">
        <v>0</v>
      </c>
      <c r="O935">
        <v>0</v>
      </c>
      <c r="P935">
        <v>0</v>
      </c>
      <c r="Q935">
        <v>0</v>
      </c>
      <c r="R935">
        <f>SUM(Table13[[#This Row],[Rank_All_Ranks_Total]:[Rank_SSPSPAddlSPCommandant]])</f>
        <v>158</v>
      </c>
    </row>
    <row r="936" spans="1:18" x14ac:dyDescent="0.3">
      <c r="A936" t="s">
        <v>26</v>
      </c>
      <c r="B936">
        <v>2007</v>
      </c>
      <c r="C936" t="str">
        <f>_xlfn.CONCAT(Table13[[#This Row],[STATE]],"-",Table13[[#This Row],[Year]])</f>
        <v>Punjab-2007</v>
      </c>
      <c r="D936" t="s">
        <v>69</v>
      </c>
      <c r="E936" t="s">
        <v>70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f>SUM(Table13[[#This Row],[Rank_All_Ranks_Total]:[Rank_SSPSPAddlSPCommandant]])</f>
        <v>0</v>
      </c>
    </row>
    <row r="937" spans="1:18" x14ac:dyDescent="0.3">
      <c r="A937" t="s">
        <v>27</v>
      </c>
      <c r="B937">
        <v>2007</v>
      </c>
      <c r="C937" t="str">
        <f>_xlfn.CONCAT(Table13[[#This Row],[STATE]],"-",Table13[[#This Row],[Year]])</f>
        <v>Rajasthan-2007</v>
      </c>
      <c r="D937" t="s">
        <v>69</v>
      </c>
      <c r="E937" t="s">
        <v>70</v>
      </c>
      <c r="F937">
        <v>125</v>
      </c>
      <c r="G937">
        <v>0</v>
      </c>
      <c r="H937">
        <v>0</v>
      </c>
      <c r="I937">
        <v>0</v>
      </c>
      <c r="J937">
        <v>119</v>
      </c>
      <c r="K937">
        <v>0</v>
      </c>
      <c r="L937">
        <v>0</v>
      </c>
      <c r="M937">
        <v>0</v>
      </c>
      <c r="N937">
        <v>0</v>
      </c>
      <c r="O937">
        <v>1</v>
      </c>
      <c r="P937">
        <v>5</v>
      </c>
      <c r="Q937">
        <v>0</v>
      </c>
      <c r="R937">
        <f>SUM(Table13[[#This Row],[Rank_All_Ranks_Total]:[Rank_SSPSPAddlSPCommandant]])</f>
        <v>250</v>
      </c>
    </row>
    <row r="938" spans="1:18" x14ac:dyDescent="0.3">
      <c r="A938" t="s">
        <v>28</v>
      </c>
      <c r="B938">
        <v>2007</v>
      </c>
      <c r="C938" t="str">
        <f>_xlfn.CONCAT(Table13[[#This Row],[STATE]],"-",Table13[[#This Row],[Year]])</f>
        <v>Sikkim-2007</v>
      </c>
      <c r="D938" t="s">
        <v>69</v>
      </c>
      <c r="E938" t="s">
        <v>70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f>SUM(Table13[[#This Row],[Rank_All_Ranks_Total]:[Rank_SSPSPAddlSPCommandant]])</f>
        <v>0</v>
      </c>
    </row>
    <row r="939" spans="1:18" x14ac:dyDescent="0.3">
      <c r="A939" t="s">
        <v>42</v>
      </c>
      <c r="B939">
        <v>2007</v>
      </c>
      <c r="C939" t="str">
        <f>_xlfn.CONCAT(Table13[[#This Row],[STATE]],"-",Table13[[#This Row],[Year]])</f>
        <v>Tamil Nadu-2007</v>
      </c>
      <c r="D939" t="s">
        <v>69</v>
      </c>
      <c r="E939" t="s">
        <v>70</v>
      </c>
      <c r="F939">
        <v>1415</v>
      </c>
      <c r="G939">
        <v>0</v>
      </c>
      <c r="H939">
        <v>0</v>
      </c>
      <c r="I939">
        <v>0</v>
      </c>
      <c r="J939">
        <v>1180</v>
      </c>
      <c r="K939">
        <v>0</v>
      </c>
      <c r="L939">
        <v>0</v>
      </c>
      <c r="M939">
        <v>196</v>
      </c>
      <c r="N939">
        <v>0</v>
      </c>
      <c r="O939">
        <v>8</v>
      </c>
      <c r="P939">
        <v>30</v>
      </c>
      <c r="Q939">
        <v>1</v>
      </c>
      <c r="R939">
        <f>SUM(Table13[[#This Row],[Rank_All_Ranks_Total]:[Rank_SSPSPAddlSPCommandant]])</f>
        <v>2830</v>
      </c>
    </row>
    <row r="940" spans="1:18" x14ac:dyDescent="0.3">
      <c r="A940" t="s">
        <v>30</v>
      </c>
      <c r="B940">
        <v>2007</v>
      </c>
      <c r="C940" t="str">
        <f>_xlfn.CONCAT(Table13[[#This Row],[STATE]],"-",Table13[[#This Row],[Year]])</f>
        <v>Tripura-2007</v>
      </c>
      <c r="D940" t="s">
        <v>69</v>
      </c>
      <c r="E940" t="s">
        <v>70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f>SUM(Table13[[#This Row],[Rank_All_Ranks_Total]:[Rank_SSPSPAddlSPCommandant]])</f>
        <v>0</v>
      </c>
    </row>
    <row r="941" spans="1:18" x14ac:dyDescent="0.3">
      <c r="A941" t="s">
        <v>31</v>
      </c>
      <c r="B941">
        <v>2007</v>
      </c>
      <c r="C941" t="str">
        <f>_xlfn.CONCAT(Table13[[#This Row],[STATE]],"-",Table13[[#This Row],[Year]])</f>
        <v>Uttar Pradesh-2007</v>
      </c>
      <c r="D941" t="s">
        <v>69</v>
      </c>
      <c r="E941" t="s">
        <v>70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f>SUM(Table13[[#This Row],[Rank_All_Ranks_Total]:[Rank_SSPSPAddlSPCommandant]])</f>
        <v>0</v>
      </c>
    </row>
    <row r="942" spans="1:18" x14ac:dyDescent="0.3">
      <c r="A942" t="s">
        <v>65</v>
      </c>
      <c r="B942">
        <v>2007</v>
      </c>
      <c r="C942" t="str">
        <f>_xlfn.CONCAT(Table13[[#This Row],[STATE]],"-",Table13[[#This Row],[Year]])</f>
        <v>Uttarakhand-2007</v>
      </c>
      <c r="D942" t="s">
        <v>69</v>
      </c>
      <c r="E942" t="s">
        <v>70</v>
      </c>
      <c r="F942">
        <v>220</v>
      </c>
      <c r="G942">
        <v>0</v>
      </c>
      <c r="H942">
        <v>0</v>
      </c>
      <c r="I942">
        <v>0</v>
      </c>
      <c r="J942">
        <v>194</v>
      </c>
      <c r="K942">
        <v>0</v>
      </c>
      <c r="L942">
        <v>0</v>
      </c>
      <c r="M942">
        <v>22</v>
      </c>
      <c r="N942">
        <v>0</v>
      </c>
      <c r="O942">
        <v>1</v>
      </c>
      <c r="P942">
        <v>3</v>
      </c>
      <c r="Q942">
        <v>0</v>
      </c>
      <c r="R942">
        <f>SUM(Table13[[#This Row],[Rank_All_Ranks_Total]:[Rank_SSPSPAddlSPCommandant]])</f>
        <v>440</v>
      </c>
    </row>
    <row r="943" spans="1:18" x14ac:dyDescent="0.3">
      <c r="A943" t="s">
        <v>33</v>
      </c>
      <c r="B943">
        <v>2007</v>
      </c>
      <c r="C943" t="str">
        <f>_xlfn.CONCAT(Table13[[#This Row],[STATE]],"-",Table13[[#This Row],[Year]])</f>
        <v>West Bengal-2007</v>
      </c>
      <c r="D943" t="s">
        <v>69</v>
      </c>
      <c r="E943" t="s">
        <v>70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f>SUM(Table13[[#This Row],[Rank_All_Ranks_Total]:[Rank_SSPSPAddlSPCommandant]])</f>
        <v>0</v>
      </c>
    </row>
    <row r="944" spans="1:18" x14ac:dyDescent="0.3">
      <c r="A944" t="s">
        <v>59</v>
      </c>
      <c r="B944">
        <v>2008</v>
      </c>
      <c r="C944" t="str">
        <f>_xlfn.CONCAT(Table13[[#This Row],[STATE]],"-",Table13[[#This Row],[Year]])</f>
        <v>Andaman &amp; Nicobar Islands-2008</v>
      </c>
      <c r="D944" t="s">
        <v>69</v>
      </c>
      <c r="E944" t="s">
        <v>70</v>
      </c>
      <c r="F944">
        <v>35</v>
      </c>
      <c r="G944">
        <v>0</v>
      </c>
      <c r="H944">
        <v>0</v>
      </c>
      <c r="I944">
        <v>0</v>
      </c>
      <c r="J944">
        <v>32</v>
      </c>
      <c r="K944">
        <v>0</v>
      </c>
      <c r="L944">
        <v>0</v>
      </c>
      <c r="M944">
        <v>2</v>
      </c>
      <c r="N944">
        <v>0</v>
      </c>
      <c r="O944">
        <v>1</v>
      </c>
      <c r="P944">
        <v>0</v>
      </c>
      <c r="Q944">
        <v>0</v>
      </c>
      <c r="R944">
        <f>SUM(Table13[[#This Row],[Rank_All_Ranks_Total]:[Rank_SSPSPAddlSPCommandant]])</f>
        <v>70</v>
      </c>
    </row>
    <row r="945" spans="1:18" x14ac:dyDescent="0.3">
      <c r="A945" t="s">
        <v>6</v>
      </c>
      <c r="B945">
        <v>2008</v>
      </c>
      <c r="C945" t="str">
        <f>_xlfn.CONCAT(Table13[[#This Row],[STATE]],"-",Table13[[#This Row],[Year]])</f>
        <v>Andhra Pradesh-2008</v>
      </c>
      <c r="D945" t="s">
        <v>69</v>
      </c>
      <c r="E945" t="s">
        <v>70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f>SUM(Table13[[#This Row],[Rank_All_Ranks_Total]:[Rank_SSPSPAddlSPCommandant]])</f>
        <v>0</v>
      </c>
    </row>
    <row r="946" spans="1:18" x14ac:dyDescent="0.3">
      <c r="A946" t="s">
        <v>7</v>
      </c>
      <c r="B946">
        <v>2008</v>
      </c>
      <c r="C946" t="str">
        <f>_xlfn.CONCAT(Table13[[#This Row],[STATE]],"-",Table13[[#This Row],[Year]])</f>
        <v>Arunachal Pradesh-2008</v>
      </c>
      <c r="D946" t="s">
        <v>69</v>
      </c>
      <c r="E946" t="s">
        <v>70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f>SUM(Table13[[#This Row],[Rank_All_Ranks_Total]:[Rank_SSPSPAddlSPCommandant]])</f>
        <v>0</v>
      </c>
    </row>
    <row r="947" spans="1:18" x14ac:dyDescent="0.3">
      <c r="A947" t="s">
        <v>8</v>
      </c>
      <c r="B947">
        <v>2008</v>
      </c>
      <c r="C947" t="str">
        <f>_xlfn.CONCAT(Table13[[#This Row],[STATE]],"-",Table13[[#This Row],[Year]])</f>
        <v>Assam-2008</v>
      </c>
      <c r="D947" t="s">
        <v>69</v>
      </c>
      <c r="E947" t="s">
        <v>70</v>
      </c>
      <c r="F947">
        <v>163</v>
      </c>
      <c r="G947">
        <v>9</v>
      </c>
      <c r="H947">
        <v>0</v>
      </c>
      <c r="I947">
        <v>5</v>
      </c>
      <c r="J947">
        <v>146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3</v>
      </c>
      <c r="Q947">
        <v>0</v>
      </c>
      <c r="R947">
        <f>SUM(Table13[[#This Row],[Rank_All_Ranks_Total]:[Rank_SSPSPAddlSPCommandant]])</f>
        <v>326</v>
      </c>
    </row>
    <row r="948" spans="1:18" x14ac:dyDescent="0.3">
      <c r="A948" t="s">
        <v>9</v>
      </c>
      <c r="B948">
        <v>2008</v>
      </c>
      <c r="C948" t="str">
        <f>_xlfn.CONCAT(Table13[[#This Row],[STATE]],"-",Table13[[#This Row],[Year]])</f>
        <v>Bihar-2008</v>
      </c>
      <c r="D948" t="s">
        <v>69</v>
      </c>
      <c r="E948" t="s">
        <v>70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f>SUM(Table13[[#This Row],[Rank_All_Ranks_Total]:[Rank_SSPSPAddlSPCommandant]])</f>
        <v>0</v>
      </c>
    </row>
    <row r="949" spans="1:18" x14ac:dyDescent="0.3">
      <c r="A949" t="s">
        <v>35</v>
      </c>
      <c r="B949">
        <v>2008</v>
      </c>
      <c r="C949" t="str">
        <f>_xlfn.CONCAT(Table13[[#This Row],[STATE]],"-",Table13[[#This Row],[Year]])</f>
        <v>Chandigarh-2008</v>
      </c>
      <c r="D949" t="s">
        <v>69</v>
      </c>
      <c r="E949" t="s">
        <v>70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f>SUM(Table13[[#This Row],[Rank_All_Ranks_Total]:[Rank_SSPSPAddlSPCommandant]])</f>
        <v>0</v>
      </c>
    </row>
    <row r="950" spans="1:18" x14ac:dyDescent="0.3">
      <c r="A950" t="s">
        <v>10</v>
      </c>
      <c r="B950">
        <v>2008</v>
      </c>
      <c r="C950" t="str">
        <f>_xlfn.CONCAT(Table13[[#This Row],[STATE]],"-",Table13[[#This Row],[Year]])</f>
        <v>Chhattisgarh-2008</v>
      </c>
      <c r="D950" t="s">
        <v>69</v>
      </c>
      <c r="E950" t="s">
        <v>70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f>SUM(Table13[[#This Row],[Rank_All_Ranks_Total]:[Rank_SSPSPAddlSPCommandant]])</f>
        <v>0</v>
      </c>
    </row>
    <row r="951" spans="1:18" x14ac:dyDescent="0.3">
      <c r="A951" t="s">
        <v>62</v>
      </c>
      <c r="B951">
        <v>2008</v>
      </c>
      <c r="C951" t="str">
        <f>_xlfn.CONCAT(Table13[[#This Row],[STATE]],"-",Table13[[#This Row],[Year]])</f>
        <v>Dadra &amp; Nagar Haveli-2008</v>
      </c>
      <c r="D951" t="s">
        <v>69</v>
      </c>
      <c r="E951" t="s">
        <v>70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f>SUM(Table13[[#This Row],[Rank_All_Ranks_Total]:[Rank_SSPSPAddlSPCommandant]])</f>
        <v>0</v>
      </c>
    </row>
    <row r="952" spans="1:18" x14ac:dyDescent="0.3">
      <c r="A952" t="s">
        <v>37</v>
      </c>
      <c r="B952">
        <v>2008</v>
      </c>
      <c r="C952" t="str">
        <f>_xlfn.CONCAT(Table13[[#This Row],[STATE]],"-",Table13[[#This Row],[Year]])</f>
        <v>Daman &amp; Diu-2008</v>
      </c>
      <c r="D952" t="s">
        <v>69</v>
      </c>
      <c r="E952" t="s">
        <v>70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f>SUM(Table13[[#This Row],[Rank_All_Ranks_Total]:[Rank_SSPSPAddlSPCommandant]])</f>
        <v>0</v>
      </c>
    </row>
    <row r="953" spans="1:18" x14ac:dyDescent="0.3">
      <c r="A953" t="s">
        <v>38</v>
      </c>
      <c r="B953">
        <v>2008</v>
      </c>
      <c r="C953" t="str">
        <f>_xlfn.CONCAT(Table13[[#This Row],[STATE]],"-",Table13[[#This Row],[Year]])</f>
        <v>Delhi-2008</v>
      </c>
      <c r="D953" t="s">
        <v>69</v>
      </c>
      <c r="E953" t="s">
        <v>70</v>
      </c>
      <c r="F953">
        <v>172</v>
      </c>
      <c r="G953">
        <v>2</v>
      </c>
      <c r="H953">
        <v>0</v>
      </c>
      <c r="I953">
        <v>0</v>
      </c>
      <c r="J953">
        <v>131</v>
      </c>
      <c r="K953">
        <v>0</v>
      </c>
      <c r="L953">
        <v>0</v>
      </c>
      <c r="M953">
        <v>36</v>
      </c>
      <c r="N953">
        <v>0</v>
      </c>
      <c r="O953">
        <v>0</v>
      </c>
      <c r="P953">
        <v>3</v>
      </c>
      <c r="Q953">
        <v>0</v>
      </c>
      <c r="R953">
        <f>SUM(Table13[[#This Row],[Rank_All_Ranks_Total]:[Rank_SSPSPAddlSPCommandant]])</f>
        <v>344</v>
      </c>
    </row>
    <row r="954" spans="1:18" x14ac:dyDescent="0.3">
      <c r="A954" t="s">
        <v>11</v>
      </c>
      <c r="B954">
        <v>2008</v>
      </c>
      <c r="C954" t="str">
        <f>_xlfn.CONCAT(Table13[[#This Row],[STATE]],"-",Table13[[#This Row],[Year]])</f>
        <v>Goa-2008</v>
      </c>
      <c r="D954" t="s">
        <v>69</v>
      </c>
      <c r="E954" t="s">
        <v>70</v>
      </c>
      <c r="F954">
        <v>97</v>
      </c>
      <c r="G954">
        <v>0</v>
      </c>
      <c r="H954">
        <v>0</v>
      </c>
      <c r="I954">
        <v>0</v>
      </c>
      <c r="J954">
        <v>96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1</v>
      </c>
      <c r="Q954">
        <v>0</v>
      </c>
      <c r="R954">
        <f>SUM(Table13[[#This Row],[Rank_All_Ranks_Total]:[Rank_SSPSPAddlSPCommandant]])</f>
        <v>194</v>
      </c>
    </row>
    <row r="955" spans="1:18" x14ac:dyDescent="0.3">
      <c r="A955" t="s">
        <v>12</v>
      </c>
      <c r="B955">
        <v>2008</v>
      </c>
      <c r="C955" t="str">
        <f>_xlfn.CONCAT(Table13[[#This Row],[STATE]],"-",Table13[[#This Row],[Year]])</f>
        <v>Gujarat-2008</v>
      </c>
      <c r="D955" t="s">
        <v>69</v>
      </c>
      <c r="E955" t="s">
        <v>70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f>SUM(Table13[[#This Row],[Rank_All_Ranks_Total]:[Rank_SSPSPAddlSPCommandant]])</f>
        <v>0</v>
      </c>
    </row>
    <row r="956" spans="1:18" x14ac:dyDescent="0.3">
      <c r="A956" t="s">
        <v>13</v>
      </c>
      <c r="B956">
        <v>2008</v>
      </c>
      <c r="C956" t="str">
        <f>_xlfn.CONCAT(Table13[[#This Row],[STATE]],"-",Table13[[#This Row],[Year]])</f>
        <v>Haryana-2008</v>
      </c>
      <c r="D956" t="s">
        <v>69</v>
      </c>
      <c r="E956" t="s">
        <v>70</v>
      </c>
      <c r="F956">
        <v>4</v>
      </c>
      <c r="G956">
        <v>0</v>
      </c>
      <c r="H956">
        <v>3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1</v>
      </c>
      <c r="R956">
        <f>SUM(Table13[[#This Row],[Rank_All_Ranks_Total]:[Rank_SSPSPAddlSPCommandant]])</f>
        <v>8</v>
      </c>
    </row>
    <row r="957" spans="1:18" x14ac:dyDescent="0.3">
      <c r="A957" t="s">
        <v>14</v>
      </c>
      <c r="B957">
        <v>2008</v>
      </c>
      <c r="C957" t="str">
        <f>_xlfn.CONCAT(Table13[[#This Row],[STATE]],"-",Table13[[#This Row],[Year]])</f>
        <v>Himachal Pradesh-2008</v>
      </c>
      <c r="D957" t="s">
        <v>69</v>
      </c>
      <c r="E957" t="s">
        <v>70</v>
      </c>
      <c r="F957">
        <v>171</v>
      </c>
      <c r="G957">
        <v>4</v>
      </c>
      <c r="H957">
        <v>1</v>
      </c>
      <c r="I957">
        <v>0</v>
      </c>
      <c r="J957">
        <v>151</v>
      </c>
      <c r="K957">
        <v>0</v>
      </c>
      <c r="L957">
        <v>0</v>
      </c>
      <c r="M957">
        <v>11</v>
      </c>
      <c r="N957">
        <v>0</v>
      </c>
      <c r="O957">
        <v>3</v>
      </c>
      <c r="P957">
        <v>1</v>
      </c>
      <c r="Q957">
        <v>0</v>
      </c>
      <c r="R957">
        <f>SUM(Table13[[#This Row],[Rank_All_Ranks_Total]:[Rank_SSPSPAddlSPCommandant]])</f>
        <v>342</v>
      </c>
    </row>
    <row r="958" spans="1:18" x14ac:dyDescent="0.3">
      <c r="A958" t="s">
        <v>15</v>
      </c>
      <c r="B958">
        <v>2008</v>
      </c>
      <c r="C958" t="str">
        <f>_xlfn.CONCAT(Table13[[#This Row],[STATE]],"-",Table13[[#This Row],[Year]])</f>
        <v>Jammu &amp; Kashmir-2008</v>
      </c>
      <c r="D958" t="s">
        <v>69</v>
      </c>
      <c r="E958" t="s">
        <v>70</v>
      </c>
      <c r="F958">
        <v>1214</v>
      </c>
      <c r="G958">
        <v>0</v>
      </c>
      <c r="H958">
        <v>14</v>
      </c>
      <c r="I958">
        <v>986</v>
      </c>
      <c r="J958">
        <v>113</v>
      </c>
      <c r="K958">
        <v>0</v>
      </c>
      <c r="L958">
        <v>0</v>
      </c>
      <c r="M958">
        <v>76</v>
      </c>
      <c r="N958">
        <v>0</v>
      </c>
      <c r="O958">
        <v>3</v>
      </c>
      <c r="P958">
        <v>18</v>
      </c>
      <c r="Q958">
        <v>4</v>
      </c>
      <c r="R958">
        <f>SUM(Table13[[#This Row],[Rank_All_Ranks_Total]:[Rank_SSPSPAddlSPCommandant]])</f>
        <v>2428</v>
      </c>
    </row>
    <row r="959" spans="1:18" x14ac:dyDescent="0.3">
      <c r="A959" t="s">
        <v>16</v>
      </c>
      <c r="B959">
        <v>2008</v>
      </c>
      <c r="C959" t="str">
        <f>_xlfn.CONCAT(Table13[[#This Row],[STATE]],"-",Table13[[#This Row],[Year]])</f>
        <v>Jharkhand-2008</v>
      </c>
      <c r="D959" t="s">
        <v>69</v>
      </c>
      <c r="E959" t="s">
        <v>70</v>
      </c>
      <c r="F959">
        <v>5</v>
      </c>
      <c r="G959">
        <v>0</v>
      </c>
      <c r="H959">
        <v>3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2</v>
      </c>
      <c r="R959">
        <f>SUM(Table13[[#This Row],[Rank_All_Ranks_Total]:[Rank_SSPSPAddlSPCommandant]])</f>
        <v>10</v>
      </c>
    </row>
    <row r="960" spans="1:18" x14ac:dyDescent="0.3">
      <c r="A960" t="s">
        <v>17</v>
      </c>
      <c r="B960">
        <v>2008</v>
      </c>
      <c r="C960" t="str">
        <f>_xlfn.CONCAT(Table13[[#This Row],[STATE]],"-",Table13[[#This Row],[Year]])</f>
        <v>Karnataka-2008</v>
      </c>
      <c r="D960" t="s">
        <v>69</v>
      </c>
      <c r="E960" t="s">
        <v>70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f>SUM(Table13[[#This Row],[Rank_All_Ranks_Total]:[Rank_SSPSPAddlSPCommandant]])</f>
        <v>0</v>
      </c>
    </row>
    <row r="961" spans="1:18" x14ac:dyDescent="0.3">
      <c r="A961" t="s">
        <v>18</v>
      </c>
      <c r="B961">
        <v>2008</v>
      </c>
      <c r="C961" t="str">
        <f>_xlfn.CONCAT(Table13[[#This Row],[STATE]],"-",Table13[[#This Row],[Year]])</f>
        <v>Kerala-2008</v>
      </c>
      <c r="D961" t="s">
        <v>69</v>
      </c>
      <c r="E961" t="s">
        <v>70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f>SUM(Table13[[#This Row],[Rank_All_Ranks_Total]:[Rank_SSPSPAddlSPCommandant]])</f>
        <v>0</v>
      </c>
    </row>
    <row r="962" spans="1:18" x14ac:dyDescent="0.3">
      <c r="A962" t="s">
        <v>39</v>
      </c>
      <c r="B962">
        <v>2008</v>
      </c>
      <c r="C962" t="str">
        <f>_xlfn.CONCAT(Table13[[#This Row],[STATE]],"-",Table13[[#This Row],[Year]])</f>
        <v>Lakshadweep-2008</v>
      </c>
      <c r="D962" t="s">
        <v>69</v>
      </c>
      <c r="E962" t="s">
        <v>70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f>SUM(Table13[[#This Row],[Rank_All_Ranks_Total]:[Rank_SSPSPAddlSPCommandant]])</f>
        <v>0</v>
      </c>
    </row>
    <row r="963" spans="1:18" x14ac:dyDescent="0.3">
      <c r="A963" t="s">
        <v>19</v>
      </c>
      <c r="B963">
        <v>2008</v>
      </c>
      <c r="C963" t="str">
        <f>_xlfn.CONCAT(Table13[[#This Row],[STATE]],"-",Table13[[#This Row],[Year]])</f>
        <v>Madhya Pradesh-2008</v>
      </c>
      <c r="D963" t="s">
        <v>69</v>
      </c>
      <c r="E963" t="s">
        <v>70</v>
      </c>
      <c r="F963">
        <v>132</v>
      </c>
      <c r="G963">
        <v>22</v>
      </c>
      <c r="H963">
        <v>0</v>
      </c>
      <c r="I963">
        <v>0</v>
      </c>
      <c r="J963">
        <v>9</v>
      </c>
      <c r="K963">
        <v>0</v>
      </c>
      <c r="L963">
        <v>0</v>
      </c>
      <c r="M963">
        <v>87</v>
      </c>
      <c r="N963">
        <v>0</v>
      </c>
      <c r="O963">
        <v>5</v>
      </c>
      <c r="P963">
        <v>9</v>
      </c>
      <c r="Q963">
        <v>0</v>
      </c>
      <c r="R963">
        <f>SUM(Table13[[#This Row],[Rank_All_Ranks_Total]:[Rank_SSPSPAddlSPCommandant]])</f>
        <v>264</v>
      </c>
    </row>
    <row r="964" spans="1:18" x14ac:dyDescent="0.3">
      <c r="A964" t="s">
        <v>20</v>
      </c>
      <c r="B964">
        <v>2008</v>
      </c>
      <c r="C964" t="str">
        <f>_xlfn.CONCAT(Table13[[#This Row],[STATE]],"-",Table13[[#This Row],[Year]])</f>
        <v>Maharashtra-2008</v>
      </c>
      <c r="D964" t="s">
        <v>69</v>
      </c>
      <c r="E964" t="s">
        <v>70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f>SUM(Table13[[#This Row],[Rank_All_Ranks_Total]:[Rank_SSPSPAddlSPCommandant]])</f>
        <v>0</v>
      </c>
    </row>
    <row r="965" spans="1:18" x14ac:dyDescent="0.3">
      <c r="A965" t="s">
        <v>21</v>
      </c>
      <c r="B965">
        <v>2008</v>
      </c>
      <c r="C965" t="str">
        <f>_xlfn.CONCAT(Table13[[#This Row],[STATE]],"-",Table13[[#This Row],[Year]])</f>
        <v>Manipur-2008</v>
      </c>
      <c r="D965" t="s">
        <v>69</v>
      </c>
      <c r="E965" t="s">
        <v>70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f>SUM(Table13[[#This Row],[Rank_All_Ranks_Total]:[Rank_SSPSPAddlSPCommandant]])</f>
        <v>0</v>
      </c>
    </row>
    <row r="966" spans="1:18" x14ac:dyDescent="0.3">
      <c r="A966" t="s">
        <v>22</v>
      </c>
      <c r="B966">
        <v>2008</v>
      </c>
      <c r="C966" t="str">
        <f>_xlfn.CONCAT(Table13[[#This Row],[STATE]],"-",Table13[[#This Row],[Year]])</f>
        <v>Meghalaya-2008</v>
      </c>
      <c r="D966" t="s">
        <v>69</v>
      </c>
      <c r="E966" t="s">
        <v>70</v>
      </c>
      <c r="F966">
        <v>95</v>
      </c>
      <c r="G966">
        <v>0</v>
      </c>
      <c r="H966">
        <v>0</v>
      </c>
      <c r="I966">
        <v>0</v>
      </c>
      <c r="J966">
        <v>95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f>SUM(Table13[[#This Row],[Rank_All_Ranks_Total]:[Rank_SSPSPAddlSPCommandant]])</f>
        <v>190</v>
      </c>
    </row>
    <row r="967" spans="1:18" x14ac:dyDescent="0.3">
      <c r="A967" t="s">
        <v>23</v>
      </c>
      <c r="B967">
        <v>2008</v>
      </c>
      <c r="C967" t="str">
        <f>_xlfn.CONCAT(Table13[[#This Row],[STATE]],"-",Table13[[#This Row],[Year]])</f>
        <v>Mizoram-2008</v>
      </c>
      <c r="D967" t="s">
        <v>69</v>
      </c>
      <c r="E967" t="s">
        <v>70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f>SUM(Table13[[#This Row],[Rank_All_Ranks_Total]:[Rank_SSPSPAddlSPCommandant]])</f>
        <v>0</v>
      </c>
    </row>
    <row r="968" spans="1:18" x14ac:dyDescent="0.3">
      <c r="A968" t="s">
        <v>24</v>
      </c>
      <c r="B968">
        <v>2008</v>
      </c>
      <c r="C968" t="str">
        <f>_xlfn.CONCAT(Table13[[#This Row],[STATE]],"-",Table13[[#This Row],[Year]])</f>
        <v>Nagaland-2008</v>
      </c>
      <c r="D968" t="s">
        <v>69</v>
      </c>
      <c r="E968" t="s">
        <v>70</v>
      </c>
      <c r="F968">
        <v>8</v>
      </c>
      <c r="G968">
        <v>0</v>
      </c>
      <c r="H968">
        <v>0</v>
      </c>
      <c r="I968">
        <v>0</v>
      </c>
      <c r="J968">
        <v>8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f>SUM(Table13[[#This Row],[Rank_All_Ranks_Total]:[Rank_SSPSPAddlSPCommandant]])</f>
        <v>16</v>
      </c>
    </row>
    <row r="969" spans="1:18" x14ac:dyDescent="0.3">
      <c r="A969" t="s">
        <v>63</v>
      </c>
      <c r="B969">
        <v>2008</v>
      </c>
      <c r="C969" t="str">
        <f>_xlfn.CONCAT(Table13[[#This Row],[STATE]],"-",Table13[[#This Row],[Year]])</f>
        <v>Odisha-2008</v>
      </c>
      <c r="D969" t="s">
        <v>69</v>
      </c>
      <c r="E969" t="s">
        <v>70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f>SUM(Table13[[#This Row],[Rank_All_Ranks_Total]:[Rank_SSPSPAddlSPCommandant]])</f>
        <v>0</v>
      </c>
    </row>
    <row r="970" spans="1:18" x14ac:dyDescent="0.3">
      <c r="A970" t="s">
        <v>64</v>
      </c>
      <c r="B970">
        <v>2008</v>
      </c>
      <c r="C970" t="str">
        <f>_xlfn.CONCAT(Table13[[#This Row],[STATE]],"-",Table13[[#This Row],[Year]])</f>
        <v>Puducherry-2008</v>
      </c>
      <c r="D970" t="s">
        <v>69</v>
      </c>
      <c r="E970" t="s">
        <v>70</v>
      </c>
      <c r="F970">
        <v>79</v>
      </c>
      <c r="G970">
        <v>0</v>
      </c>
      <c r="H970">
        <v>1</v>
      </c>
      <c r="I970">
        <v>0</v>
      </c>
      <c r="J970">
        <v>76</v>
      </c>
      <c r="K970">
        <v>0</v>
      </c>
      <c r="L970">
        <v>0</v>
      </c>
      <c r="M970">
        <v>2</v>
      </c>
      <c r="N970">
        <v>0</v>
      </c>
      <c r="O970">
        <v>0</v>
      </c>
      <c r="P970">
        <v>0</v>
      </c>
      <c r="Q970">
        <v>0</v>
      </c>
      <c r="R970">
        <f>SUM(Table13[[#This Row],[Rank_All_Ranks_Total]:[Rank_SSPSPAddlSPCommandant]])</f>
        <v>158</v>
      </c>
    </row>
    <row r="971" spans="1:18" x14ac:dyDescent="0.3">
      <c r="A971" t="s">
        <v>26</v>
      </c>
      <c r="B971">
        <v>2008</v>
      </c>
      <c r="C971" t="str">
        <f>_xlfn.CONCAT(Table13[[#This Row],[STATE]],"-",Table13[[#This Row],[Year]])</f>
        <v>Punjab-2008</v>
      </c>
      <c r="D971" t="s">
        <v>69</v>
      </c>
      <c r="E971" t="s">
        <v>70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f>SUM(Table13[[#This Row],[Rank_All_Ranks_Total]:[Rank_SSPSPAddlSPCommandant]])</f>
        <v>0</v>
      </c>
    </row>
    <row r="972" spans="1:18" x14ac:dyDescent="0.3">
      <c r="A972" t="s">
        <v>27</v>
      </c>
      <c r="B972">
        <v>2008</v>
      </c>
      <c r="C972" t="str">
        <f>_xlfn.CONCAT(Table13[[#This Row],[STATE]],"-",Table13[[#This Row],[Year]])</f>
        <v>Rajasthan-2008</v>
      </c>
      <c r="D972" t="s">
        <v>69</v>
      </c>
      <c r="E972" t="s">
        <v>70</v>
      </c>
      <c r="F972">
        <v>241</v>
      </c>
      <c r="G972">
        <v>0</v>
      </c>
      <c r="H972">
        <v>0</v>
      </c>
      <c r="I972">
        <v>0</v>
      </c>
      <c r="J972">
        <v>234</v>
      </c>
      <c r="K972">
        <v>0</v>
      </c>
      <c r="L972">
        <v>0</v>
      </c>
      <c r="M972">
        <v>0</v>
      </c>
      <c r="N972">
        <v>0</v>
      </c>
      <c r="O972">
        <v>1</v>
      </c>
      <c r="P972">
        <v>6</v>
      </c>
      <c r="Q972">
        <v>0</v>
      </c>
      <c r="R972">
        <f>SUM(Table13[[#This Row],[Rank_All_Ranks_Total]:[Rank_SSPSPAddlSPCommandant]])</f>
        <v>482</v>
      </c>
    </row>
    <row r="973" spans="1:18" x14ac:dyDescent="0.3">
      <c r="A973" t="s">
        <v>28</v>
      </c>
      <c r="B973">
        <v>2008</v>
      </c>
      <c r="C973" t="str">
        <f>_xlfn.CONCAT(Table13[[#This Row],[STATE]],"-",Table13[[#This Row],[Year]])</f>
        <v>Sikkim-2008</v>
      </c>
      <c r="D973" t="s">
        <v>69</v>
      </c>
      <c r="E973" t="s">
        <v>70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f>SUM(Table13[[#This Row],[Rank_All_Ranks_Total]:[Rank_SSPSPAddlSPCommandant]])</f>
        <v>0</v>
      </c>
    </row>
    <row r="974" spans="1:18" x14ac:dyDescent="0.3">
      <c r="A974" t="s">
        <v>42</v>
      </c>
      <c r="B974">
        <v>2008</v>
      </c>
      <c r="C974" t="str">
        <f>_xlfn.CONCAT(Table13[[#This Row],[STATE]],"-",Table13[[#This Row],[Year]])</f>
        <v>Tamil Nadu-2008</v>
      </c>
      <c r="D974" t="s">
        <v>69</v>
      </c>
      <c r="E974" t="s">
        <v>70</v>
      </c>
      <c r="F974">
        <v>1415</v>
      </c>
      <c r="G974">
        <v>0</v>
      </c>
      <c r="H974">
        <v>0</v>
      </c>
      <c r="I974">
        <v>0</v>
      </c>
      <c r="J974">
        <v>1180</v>
      </c>
      <c r="K974">
        <v>0</v>
      </c>
      <c r="L974">
        <v>0</v>
      </c>
      <c r="M974">
        <v>196</v>
      </c>
      <c r="N974">
        <v>0</v>
      </c>
      <c r="O974">
        <v>8</v>
      </c>
      <c r="P974">
        <v>30</v>
      </c>
      <c r="Q974">
        <v>1</v>
      </c>
      <c r="R974">
        <f>SUM(Table13[[#This Row],[Rank_All_Ranks_Total]:[Rank_SSPSPAddlSPCommandant]])</f>
        <v>2830</v>
      </c>
    </row>
    <row r="975" spans="1:18" x14ac:dyDescent="0.3">
      <c r="A975" t="s">
        <v>30</v>
      </c>
      <c r="B975">
        <v>2008</v>
      </c>
      <c r="C975" t="str">
        <f>_xlfn.CONCAT(Table13[[#This Row],[STATE]],"-",Table13[[#This Row],[Year]])</f>
        <v>Tripura-2008</v>
      </c>
      <c r="D975" t="s">
        <v>69</v>
      </c>
      <c r="E975" t="s">
        <v>70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f>SUM(Table13[[#This Row],[Rank_All_Ranks_Total]:[Rank_SSPSPAddlSPCommandant]])</f>
        <v>0</v>
      </c>
    </row>
    <row r="976" spans="1:18" x14ac:dyDescent="0.3">
      <c r="A976" t="s">
        <v>31</v>
      </c>
      <c r="B976">
        <v>2008</v>
      </c>
      <c r="C976" t="str">
        <f>_xlfn.CONCAT(Table13[[#This Row],[STATE]],"-",Table13[[#This Row],[Year]])</f>
        <v>Uttar Pradesh-2008</v>
      </c>
      <c r="D976" t="s">
        <v>69</v>
      </c>
      <c r="E976" t="s">
        <v>70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f>SUM(Table13[[#This Row],[Rank_All_Ranks_Total]:[Rank_SSPSPAddlSPCommandant]])</f>
        <v>0</v>
      </c>
    </row>
    <row r="977" spans="1:18" x14ac:dyDescent="0.3">
      <c r="A977" t="s">
        <v>65</v>
      </c>
      <c r="B977">
        <v>2008</v>
      </c>
      <c r="C977" t="str">
        <f>_xlfn.CONCAT(Table13[[#This Row],[STATE]],"-",Table13[[#This Row],[Year]])</f>
        <v>Uttarakhand-2008</v>
      </c>
      <c r="D977" t="s">
        <v>69</v>
      </c>
      <c r="E977" t="s">
        <v>70</v>
      </c>
      <c r="F977">
        <v>217</v>
      </c>
      <c r="G977">
        <v>0</v>
      </c>
      <c r="H977">
        <v>0</v>
      </c>
      <c r="I977">
        <v>0</v>
      </c>
      <c r="J977">
        <v>214</v>
      </c>
      <c r="K977">
        <v>0</v>
      </c>
      <c r="L977">
        <v>0</v>
      </c>
      <c r="M977">
        <v>3</v>
      </c>
      <c r="N977">
        <v>0</v>
      </c>
      <c r="O977">
        <v>0</v>
      </c>
      <c r="P977">
        <v>0</v>
      </c>
      <c r="Q977">
        <v>0</v>
      </c>
      <c r="R977">
        <f>SUM(Table13[[#This Row],[Rank_All_Ranks_Total]:[Rank_SSPSPAddlSPCommandant]])</f>
        <v>434</v>
      </c>
    </row>
    <row r="978" spans="1:18" x14ac:dyDescent="0.3">
      <c r="A978" t="s">
        <v>33</v>
      </c>
      <c r="B978">
        <v>2008</v>
      </c>
      <c r="C978" t="str">
        <f>_xlfn.CONCAT(Table13[[#This Row],[STATE]],"-",Table13[[#This Row],[Year]])</f>
        <v>West Bengal-2008</v>
      </c>
      <c r="D978" t="s">
        <v>69</v>
      </c>
      <c r="E978" t="s">
        <v>70</v>
      </c>
      <c r="F978">
        <v>1</v>
      </c>
      <c r="G978">
        <v>0</v>
      </c>
      <c r="H978">
        <v>1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f>SUM(Table13[[#This Row],[Rank_All_Ranks_Total]:[Rank_SSPSPAddlSPCommandant]])</f>
        <v>2</v>
      </c>
    </row>
    <row r="979" spans="1:18" x14ac:dyDescent="0.3">
      <c r="A979" t="s">
        <v>59</v>
      </c>
      <c r="B979">
        <v>2009</v>
      </c>
      <c r="C979" t="str">
        <f>_xlfn.CONCAT(Table13[[#This Row],[STATE]],"-",Table13[[#This Row],[Year]])</f>
        <v>Andaman &amp; Nicobar Islands-2009</v>
      </c>
      <c r="D979" t="s">
        <v>69</v>
      </c>
      <c r="E979" t="s">
        <v>70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f>SUM(Table13[[#This Row],[Rank_All_Ranks_Total]:[Rank_SSPSPAddlSPCommandant]])</f>
        <v>0</v>
      </c>
    </row>
    <row r="980" spans="1:18" x14ac:dyDescent="0.3">
      <c r="A980" t="s">
        <v>6</v>
      </c>
      <c r="B980">
        <v>2009</v>
      </c>
      <c r="C980" t="str">
        <f>_xlfn.CONCAT(Table13[[#This Row],[STATE]],"-",Table13[[#This Row],[Year]])</f>
        <v>Andhra Pradesh-2009</v>
      </c>
      <c r="D980" t="s">
        <v>69</v>
      </c>
      <c r="E980" t="s">
        <v>70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f>SUM(Table13[[#This Row],[Rank_All_Ranks_Total]:[Rank_SSPSPAddlSPCommandant]])</f>
        <v>0</v>
      </c>
    </row>
    <row r="981" spans="1:18" x14ac:dyDescent="0.3">
      <c r="A981" t="s">
        <v>7</v>
      </c>
      <c r="B981">
        <v>2009</v>
      </c>
      <c r="C981" t="str">
        <f>_xlfn.CONCAT(Table13[[#This Row],[STATE]],"-",Table13[[#This Row],[Year]])</f>
        <v>Arunachal Pradesh-2009</v>
      </c>
      <c r="D981" t="s">
        <v>69</v>
      </c>
      <c r="E981" t="s">
        <v>70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f>SUM(Table13[[#This Row],[Rank_All_Ranks_Total]:[Rank_SSPSPAddlSPCommandant]])</f>
        <v>0</v>
      </c>
    </row>
    <row r="982" spans="1:18" x14ac:dyDescent="0.3">
      <c r="A982" t="s">
        <v>8</v>
      </c>
      <c r="B982">
        <v>2009</v>
      </c>
      <c r="C982" t="str">
        <f>_xlfn.CONCAT(Table13[[#This Row],[STATE]],"-",Table13[[#This Row],[Year]])</f>
        <v>Assam-2009</v>
      </c>
      <c r="D982" t="s">
        <v>69</v>
      </c>
      <c r="E982" t="s">
        <v>70</v>
      </c>
      <c r="F982">
        <v>163</v>
      </c>
      <c r="G982">
        <v>9</v>
      </c>
      <c r="H982">
        <v>0</v>
      </c>
      <c r="I982">
        <v>5</v>
      </c>
      <c r="J982">
        <v>146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3</v>
      </c>
      <c r="Q982">
        <v>0</v>
      </c>
      <c r="R982">
        <f>SUM(Table13[[#This Row],[Rank_All_Ranks_Total]:[Rank_SSPSPAddlSPCommandant]])</f>
        <v>326</v>
      </c>
    </row>
    <row r="983" spans="1:18" x14ac:dyDescent="0.3">
      <c r="A983" t="s">
        <v>9</v>
      </c>
      <c r="B983">
        <v>2009</v>
      </c>
      <c r="C983" t="str">
        <f>_xlfn.CONCAT(Table13[[#This Row],[STATE]],"-",Table13[[#This Row],[Year]])</f>
        <v>Bihar-2009</v>
      </c>
      <c r="D983" t="s">
        <v>69</v>
      </c>
      <c r="E983" t="s">
        <v>70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f>SUM(Table13[[#This Row],[Rank_All_Ranks_Total]:[Rank_SSPSPAddlSPCommandant]])</f>
        <v>0</v>
      </c>
    </row>
    <row r="984" spans="1:18" x14ac:dyDescent="0.3">
      <c r="A984" t="s">
        <v>35</v>
      </c>
      <c r="B984">
        <v>2009</v>
      </c>
      <c r="C984" t="str">
        <f>_xlfn.CONCAT(Table13[[#This Row],[STATE]],"-",Table13[[#This Row],[Year]])</f>
        <v>Chandigarh-2009</v>
      </c>
      <c r="D984" t="s">
        <v>69</v>
      </c>
      <c r="E984" t="s">
        <v>70</v>
      </c>
      <c r="F984">
        <v>131</v>
      </c>
      <c r="G984">
        <v>0</v>
      </c>
      <c r="H984">
        <v>0</v>
      </c>
      <c r="I984">
        <v>0</v>
      </c>
      <c r="J984">
        <v>131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f>SUM(Table13[[#This Row],[Rank_All_Ranks_Total]:[Rank_SSPSPAddlSPCommandant]])</f>
        <v>262</v>
      </c>
    </row>
    <row r="985" spans="1:18" x14ac:dyDescent="0.3">
      <c r="A985" t="s">
        <v>10</v>
      </c>
      <c r="B985">
        <v>2009</v>
      </c>
      <c r="C985" t="str">
        <f>_xlfn.CONCAT(Table13[[#This Row],[STATE]],"-",Table13[[#This Row],[Year]])</f>
        <v>Chhattisgarh-2009</v>
      </c>
      <c r="D985" t="s">
        <v>69</v>
      </c>
      <c r="E985" t="s">
        <v>70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f>SUM(Table13[[#This Row],[Rank_All_Ranks_Total]:[Rank_SSPSPAddlSPCommandant]])</f>
        <v>0</v>
      </c>
    </row>
    <row r="986" spans="1:18" x14ac:dyDescent="0.3">
      <c r="A986" t="s">
        <v>62</v>
      </c>
      <c r="B986">
        <v>2009</v>
      </c>
      <c r="C986" t="str">
        <f>_xlfn.CONCAT(Table13[[#This Row],[STATE]],"-",Table13[[#This Row],[Year]])</f>
        <v>Dadra &amp; Nagar Haveli-2009</v>
      </c>
      <c r="D986" t="s">
        <v>69</v>
      </c>
      <c r="E986" t="s">
        <v>70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f>SUM(Table13[[#This Row],[Rank_All_Ranks_Total]:[Rank_SSPSPAddlSPCommandant]])</f>
        <v>0</v>
      </c>
    </row>
    <row r="987" spans="1:18" x14ac:dyDescent="0.3">
      <c r="A987" t="s">
        <v>37</v>
      </c>
      <c r="B987">
        <v>2009</v>
      </c>
      <c r="C987" t="str">
        <f>_xlfn.CONCAT(Table13[[#This Row],[STATE]],"-",Table13[[#This Row],[Year]])</f>
        <v>Daman &amp; Diu-2009</v>
      </c>
      <c r="D987" t="s">
        <v>69</v>
      </c>
      <c r="E987" t="s">
        <v>70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f>SUM(Table13[[#This Row],[Rank_All_Ranks_Total]:[Rank_SSPSPAddlSPCommandant]])</f>
        <v>0</v>
      </c>
    </row>
    <row r="988" spans="1:18" x14ac:dyDescent="0.3">
      <c r="A988" t="s">
        <v>38</v>
      </c>
      <c r="B988">
        <v>2009</v>
      </c>
      <c r="C988" t="str">
        <f>_xlfn.CONCAT(Table13[[#This Row],[STATE]],"-",Table13[[#This Row],[Year]])</f>
        <v>Delhi-2009</v>
      </c>
      <c r="D988" t="s">
        <v>69</v>
      </c>
      <c r="E988" t="s">
        <v>70</v>
      </c>
      <c r="F988">
        <v>142</v>
      </c>
      <c r="G988">
        <v>2</v>
      </c>
      <c r="H988">
        <v>0</v>
      </c>
      <c r="I988">
        <v>0</v>
      </c>
      <c r="J988">
        <v>112</v>
      </c>
      <c r="K988">
        <v>0</v>
      </c>
      <c r="L988">
        <v>0</v>
      </c>
      <c r="M988">
        <v>25</v>
      </c>
      <c r="N988">
        <v>0</v>
      </c>
      <c r="O988">
        <v>0</v>
      </c>
      <c r="P988">
        <v>3</v>
      </c>
      <c r="Q988">
        <v>0</v>
      </c>
      <c r="R988">
        <f>SUM(Table13[[#This Row],[Rank_All_Ranks_Total]:[Rank_SSPSPAddlSPCommandant]])</f>
        <v>284</v>
      </c>
    </row>
    <row r="989" spans="1:18" x14ac:dyDescent="0.3">
      <c r="A989" t="s">
        <v>11</v>
      </c>
      <c r="B989">
        <v>2009</v>
      </c>
      <c r="C989" t="str">
        <f>_xlfn.CONCAT(Table13[[#This Row],[STATE]],"-",Table13[[#This Row],[Year]])</f>
        <v>Goa-2009</v>
      </c>
      <c r="D989" t="s">
        <v>69</v>
      </c>
      <c r="E989" t="s">
        <v>70</v>
      </c>
      <c r="F989">
        <v>96</v>
      </c>
      <c r="G989">
        <v>0</v>
      </c>
      <c r="H989">
        <v>0</v>
      </c>
      <c r="I989">
        <v>0</v>
      </c>
      <c r="J989">
        <v>95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1</v>
      </c>
      <c r="Q989">
        <v>0</v>
      </c>
      <c r="R989">
        <f>SUM(Table13[[#This Row],[Rank_All_Ranks_Total]:[Rank_SSPSPAddlSPCommandant]])</f>
        <v>192</v>
      </c>
    </row>
    <row r="990" spans="1:18" x14ac:dyDescent="0.3">
      <c r="A990" t="s">
        <v>12</v>
      </c>
      <c r="B990">
        <v>2009</v>
      </c>
      <c r="C990" t="str">
        <f>_xlfn.CONCAT(Table13[[#This Row],[STATE]],"-",Table13[[#This Row],[Year]])</f>
        <v>Gujarat-2009</v>
      </c>
      <c r="D990" t="s">
        <v>69</v>
      </c>
      <c r="E990" t="s">
        <v>70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f>SUM(Table13[[#This Row],[Rank_All_Ranks_Total]:[Rank_SSPSPAddlSPCommandant]])</f>
        <v>0</v>
      </c>
    </row>
    <row r="991" spans="1:18" x14ac:dyDescent="0.3">
      <c r="A991" t="s">
        <v>13</v>
      </c>
      <c r="B991">
        <v>2009</v>
      </c>
      <c r="C991" t="str">
        <f>_xlfn.CONCAT(Table13[[#This Row],[STATE]],"-",Table13[[#This Row],[Year]])</f>
        <v>Haryana-2009</v>
      </c>
      <c r="D991" t="s">
        <v>69</v>
      </c>
      <c r="E991" t="s">
        <v>70</v>
      </c>
      <c r="F991">
        <v>3</v>
      </c>
      <c r="G991">
        <v>0</v>
      </c>
      <c r="H991">
        <v>3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f>SUM(Table13[[#This Row],[Rank_All_Ranks_Total]:[Rank_SSPSPAddlSPCommandant]])</f>
        <v>6</v>
      </c>
    </row>
    <row r="992" spans="1:18" x14ac:dyDescent="0.3">
      <c r="A992" t="s">
        <v>14</v>
      </c>
      <c r="B992">
        <v>2009</v>
      </c>
      <c r="C992" t="str">
        <f>_xlfn.CONCAT(Table13[[#This Row],[STATE]],"-",Table13[[#This Row],[Year]])</f>
        <v>Himachal Pradesh-2009</v>
      </c>
      <c r="D992" t="s">
        <v>69</v>
      </c>
      <c r="E992" t="s">
        <v>70</v>
      </c>
      <c r="F992">
        <v>593</v>
      </c>
      <c r="G992">
        <v>2</v>
      </c>
      <c r="H992">
        <v>1</v>
      </c>
      <c r="I992">
        <v>0</v>
      </c>
      <c r="J992">
        <v>564</v>
      </c>
      <c r="K992">
        <v>0</v>
      </c>
      <c r="L992">
        <v>0</v>
      </c>
      <c r="M992">
        <v>19</v>
      </c>
      <c r="N992">
        <v>0</v>
      </c>
      <c r="O992">
        <v>3</v>
      </c>
      <c r="P992">
        <v>3</v>
      </c>
      <c r="Q992">
        <v>1</v>
      </c>
      <c r="R992">
        <f>SUM(Table13[[#This Row],[Rank_All_Ranks_Total]:[Rank_SSPSPAddlSPCommandant]])</f>
        <v>1186</v>
      </c>
    </row>
    <row r="993" spans="1:18" x14ac:dyDescent="0.3">
      <c r="A993" t="s">
        <v>15</v>
      </c>
      <c r="B993">
        <v>2009</v>
      </c>
      <c r="C993" t="str">
        <f>_xlfn.CONCAT(Table13[[#This Row],[STATE]],"-",Table13[[#This Row],[Year]])</f>
        <v>Jammu &amp; Kashmir-2009</v>
      </c>
      <c r="D993" t="s">
        <v>69</v>
      </c>
      <c r="E993" t="s">
        <v>70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f>SUM(Table13[[#This Row],[Rank_All_Ranks_Total]:[Rank_SSPSPAddlSPCommandant]])</f>
        <v>0</v>
      </c>
    </row>
    <row r="994" spans="1:18" x14ac:dyDescent="0.3">
      <c r="A994" t="s">
        <v>16</v>
      </c>
      <c r="B994">
        <v>2009</v>
      </c>
      <c r="C994" t="str">
        <f>_xlfn.CONCAT(Table13[[#This Row],[STATE]],"-",Table13[[#This Row],[Year]])</f>
        <v>Jharkhand-2009</v>
      </c>
      <c r="D994" t="s">
        <v>69</v>
      </c>
      <c r="E994" t="s">
        <v>70</v>
      </c>
      <c r="F994">
        <v>490</v>
      </c>
      <c r="G994">
        <v>0</v>
      </c>
      <c r="H994">
        <v>2</v>
      </c>
      <c r="I994">
        <v>0</v>
      </c>
      <c r="J994">
        <v>488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f>SUM(Table13[[#This Row],[Rank_All_Ranks_Total]:[Rank_SSPSPAddlSPCommandant]])</f>
        <v>980</v>
      </c>
    </row>
    <row r="995" spans="1:18" x14ac:dyDescent="0.3">
      <c r="A995" t="s">
        <v>17</v>
      </c>
      <c r="B995">
        <v>2009</v>
      </c>
      <c r="C995" t="str">
        <f>_xlfn.CONCAT(Table13[[#This Row],[STATE]],"-",Table13[[#This Row],[Year]])</f>
        <v>Karnataka-2009</v>
      </c>
      <c r="D995" t="s">
        <v>69</v>
      </c>
      <c r="E995" t="s">
        <v>70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f>SUM(Table13[[#This Row],[Rank_All_Ranks_Total]:[Rank_SSPSPAddlSPCommandant]])</f>
        <v>0</v>
      </c>
    </row>
    <row r="996" spans="1:18" x14ac:dyDescent="0.3">
      <c r="A996" t="s">
        <v>18</v>
      </c>
      <c r="B996">
        <v>2009</v>
      </c>
      <c r="C996" t="str">
        <f>_xlfn.CONCAT(Table13[[#This Row],[STATE]],"-",Table13[[#This Row],[Year]])</f>
        <v>Kerala-2009</v>
      </c>
      <c r="D996" t="s">
        <v>69</v>
      </c>
      <c r="E996" t="s">
        <v>70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f>SUM(Table13[[#This Row],[Rank_All_Ranks_Total]:[Rank_SSPSPAddlSPCommandant]])</f>
        <v>0</v>
      </c>
    </row>
    <row r="997" spans="1:18" x14ac:dyDescent="0.3">
      <c r="A997" t="s">
        <v>39</v>
      </c>
      <c r="B997">
        <v>2009</v>
      </c>
      <c r="C997" t="str">
        <f>_xlfn.CONCAT(Table13[[#This Row],[STATE]],"-",Table13[[#This Row],[Year]])</f>
        <v>Lakshadweep-2009</v>
      </c>
      <c r="D997" t="s">
        <v>69</v>
      </c>
      <c r="E997" t="s">
        <v>70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f>SUM(Table13[[#This Row],[Rank_All_Ranks_Total]:[Rank_SSPSPAddlSPCommandant]])</f>
        <v>0</v>
      </c>
    </row>
    <row r="998" spans="1:18" x14ac:dyDescent="0.3">
      <c r="A998" t="s">
        <v>19</v>
      </c>
      <c r="B998">
        <v>2009</v>
      </c>
      <c r="C998" t="str">
        <f>_xlfn.CONCAT(Table13[[#This Row],[STATE]],"-",Table13[[#This Row],[Year]])</f>
        <v>Madhya Pradesh-2009</v>
      </c>
      <c r="D998" t="s">
        <v>69</v>
      </c>
      <c r="E998" t="s">
        <v>70</v>
      </c>
      <c r="F998">
        <v>132</v>
      </c>
      <c r="G998">
        <v>22</v>
      </c>
      <c r="H998">
        <v>0</v>
      </c>
      <c r="I998">
        <v>0</v>
      </c>
      <c r="J998">
        <v>9</v>
      </c>
      <c r="K998">
        <v>0</v>
      </c>
      <c r="L998">
        <v>0</v>
      </c>
      <c r="M998">
        <v>87</v>
      </c>
      <c r="N998">
        <v>0</v>
      </c>
      <c r="O998">
        <v>5</v>
      </c>
      <c r="P998">
        <v>9</v>
      </c>
      <c r="Q998">
        <v>0</v>
      </c>
      <c r="R998">
        <f>SUM(Table13[[#This Row],[Rank_All_Ranks_Total]:[Rank_SSPSPAddlSPCommandant]])</f>
        <v>264</v>
      </c>
    </row>
    <row r="999" spans="1:18" x14ac:dyDescent="0.3">
      <c r="A999" t="s">
        <v>20</v>
      </c>
      <c r="B999">
        <v>2009</v>
      </c>
      <c r="C999" t="str">
        <f>_xlfn.CONCAT(Table13[[#This Row],[STATE]],"-",Table13[[#This Row],[Year]])</f>
        <v>Maharashtra-2009</v>
      </c>
      <c r="D999" t="s">
        <v>69</v>
      </c>
      <c r="E999" t="s">
        <v>70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f>SUM(Table13[[#This Row],[Rank_All_Ranks_Total]:[Rank_SSPSPAddlSPCommandant]])</f>
        <v>0</v>
      </c>
    </row>
    <row r="1000" spans="1:18" x14ac:dyDescent="0.3">
      <c r="A1000" t="s">
        <v>21</v>
      </c>
      <c r="B1000">
        <v>2009</v>
      </c>
      <c r="C1000" t="str">
        <f>_xlfn.CONCAT(Table13[[#This Row],[STATE]],"-",Table13[[#This Row],[Year]])</f>
        <v>Manipur-2009</v>
      </c>
      <c r="D1000" t="s">
        <v>69</v>
      </c>
      <c r="E1000" t="s">
        <v>70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f>SUM(Table13[[#This Row],[Rank_All_Ranks_Total]:[Rank_SSPSPAddlSPCommandant]])</f>
        <v>0</v>
      </c>
    </row>
    <row r="1001" spans="1:18" x14ac:dyDescent="0.3">
      <c r="A1001" t="s">
        <v>22</v>
      </c>
      <c r="B1001">
        <v>2009</v>
      </c>
      <c r="C1001" t="str">
        <f>_xlfn.CONCAT(Table13[[#This Row],[STATE]],"-",Table13[[#This Row],[Year]])</f>
        <v>Meghalaya-2009</v>
      </c>
      <c r="D1001" t="s">
        <v>69</v>
      </c>
      <c r="E1001" t="s">
        <v>70</v>
      </c>
      <c r="F1001">
        <v>94</v>
      </c>
      <c r="G1001">
        <v>0</v>
      </c>
      <c r="H1001">
        <v>1</v>
      </c>
      <c r="I1001">
        <v>0</v>
      </c>
      <c r="J1001">
        <v>93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f>SUM(Table13[[#This Row],[Rank_All_Ranks_Total]:[Rank_SSPSPAddlSPCommandant]])</f>
        <v>188</v>
      </c>
    </row>
    <row r="1002" spans="1:18" x14ac:dyDescent="0.3">
      <c r="A1002" t="s">
        <v>23</v>
      </c>
      <c r="B1002">
        <v>2009</v>
      </c>
      <c r="C1002" t="str">
        <f>_xlfn.CONCAT(Table13[[#This Row],[STATE]],"-",Table13[[#This Row],[Year]])</f>
        <v>Mizoram-2009</v>
      </c>
      <c r="D1002" t="s">
        <v>69</v>
      </c>
      <c r="E1002" t="s">
        <v>70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f>SUM(Table13[[#This Row],[Rank_All_Ranks_Total]:[Rank_SSPSPAddlSPCommandant]])</f>
        <v>0</v>
      </c>
    </row>
    <row r="1003" spans="1:18" x14ac:dyDescent="0.3">
      <c r="A1003" t="s">
        <v>24</v>
      </c>
      <c r="B1003">
        <v>2009</v>
      </c>
      <c r="C1003" t="str">
        <f>_xlfn.CONCAT(Table13[[#This Row],[STATE]],"-",Table13[[#This Row],[Year]])</f>
        <v>Nagaland-2009</v>
      </c>
      <c r="D1003" t="s">
        <v>69</v>
      </c>
      <c r="E1003" t="s">
        <v>70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f>SUM(Table13[[#This Row],[Rank_All_Ranks_Total]:[Rank_SSPSPAddlSPCommandant]])</f>
        <v>0</v>
      </c>
    </row>
    <row r="1004" spans="1:18" x14ac:dyDescent="0.3">
      <c r="A1004" t="s">
        <v>63</v>
      </c>
      <c r="B1004">
        <v>2009</v>
      </c>
      <c r="C1004" t="str">
        <f>_xlfn.CONCAT(Table13[[#This Row],[STATE]],"-",Table13[[#This Row],[Year]])</f>
        <v>Odisha-2009</v>
      </c>
      <c r="D1004" t="s">
        <v>69</v>
      </c>
      <c r="E1004" t="s">
        <v>70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f>SUM(Table13[[#This Row],[Rank_All_Ranks_Total]:[Rank_SSPSPAddlSPCommandant]])</f>
        <v>0</v>
      </c>
    </row>
    <row r="1005" spans="1:18" x14ac:dyDescent="0.3">
      <c r="A1005" t="s">
        <v>64</v>
      </c>
      <c r="B1005">
        <v>2009</v>
      </c>
      <c r="C1005" t="str">
        <f>_xlfn.CONCAT(Table13[[#This Row],[STATE]],"-",Table13[[#This Row],[Year]])</f>
        <v>Puducherry-2009</v>
      </c>
      <c r="D1005" t="s">
        <v>69</v>
      </c>
      <c r="E1005" t="s">
        <v>70</v>
      </c>
      <c r="F1005">
        <v>70</v>
      </c>
      <c r="G1005">
        <v>0</v>
      </c>
      <c r="H1005">
        <v>0</v>
      </c>
      <c r="I1005">
        <v>0</v>
      </c>
      <c r="J1005">
        <v>69</v>
      </c>
      <c r="K1005">
        <v>0</v>
      </c>
      <c r="L1005">
        <v>0</v>
      </c>
      <c r="M1005">
        <v>1</v>
      </c>
      <c r="N1005">
        <v>0</v>
      </c>
      <c r="O1005">
        <v>0</v>
      </c>
      <c r="P1005">
        <v>0</v>
      </c>
      <c r="Q1005">
        <v>0</v>
      </c>
      <c r="R1005">
        <f>SUM(Table13[[#This Row],[Rank_All_Ranks_Total]:[Rank_SSPSPAddlSPCommandant]])</f>
        <v>140</v>
      </c>
    </row>
    <row r="1006" spans="1:18" x14ac:dyDescent="0.3">
      <c r="A1006" t="s">
        <v>26</v>
      </c>
      <c r="B1006">
        <v>2009</v>
      </c>
      <c r="C1006" t="str">
        <f>_xlfn.CONCAT(Table13[[#This Row],[STATE]],"-",Table13[[#This Row],[Year]])</f>
        <v>Punjab-2009</v>
      </c>
      <c r="D1006" t="s">
        <v>69</v>
      </c>
      <c r="E1006" t="s">
        <v>70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f>SUM(Table13[[#This Row],[Rank_All_Ranks_Total]:[Rank_SSPSPAddlSPCommandant]])</f>
        <v>0</v>
      </c>
    </row>
    <row r="1007" spans="1:18" x14ac:dyDescent="0.3">
      <c r="A1007" t="s">
        <v>27</v>
      </c>
      <c r="B1007">
        <v>2009</v>
      </c>
      <c r="C1007" t="str">
        <f>_xlfn.CONCAT(Table13[[#This Row],[STATE]],"-",Table13[[#This Row],[Year]])</f>
        <v>Rajasthan-2009</v>
      </c>
      <c r="D1007" t="s">
        <v>69</v>
      </c>
      <c r="E1007" t="s">
        <v>70</v>
      </c>
      <c r="F1007">
        <v>739</v>
      </c>
      <c r="G1007">
        <v>0</v>
      </c>
      <c r="H1007">
        <v>4</v>
      </c>
      <c r="I1007">
        <v>0</v>
      </c>
      <c r="J1007">
        <v>728</v>
      </c>
      <c r="K1007">
        <v>0</v>
      </c>
      <c r="L1007">
        <v>0</v>
      </c>
      <c r="M1007">
        <v>0</v>
      </c>
      <c r="N1007">
        <v>0</v>
      </c>
      <c r="O1007">
        <v>1</v>
      </c>
      <c r="P1007">
        <v>5</v>
      </c>
      <c r="Q1007">
        <v>1</v>
      </c>
      <c r="R1007">
        <f>SUM(Table13[[#This Row],[Rank_All_Ranks_Total]:[Rank_SSPSPAddlSPCommandant]])</f>
        <v>1478</v>
      </c>
    </row>
    <row r="1008" spans="1:18" x14ac:dyDescent="0.3">
      <c r="A1008" t="s">
        <v>28</v>
      </c>
      <c r="B1008">
        <v>2009</v>
      </c>
      <c r="C1008" t="str">
        <f>_xlfn.CONCAT(Table13[[#This Row],[STATE]],"-",Table13[[#This Row],[Year]])</f>
        <v>Sikkim-2009</v>
      </c>
      <c r="D1008" t="s">
        <v>69</v>
      </c>
      <c r="E1008" t="s">
        <v>70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f>SUM(Table13[[#This Row],[Rank_All_Ranks_Total]:[Rank_SSPSPAddlSPCommandant]])</f>
        <v>0</v>
      </c>
    </row>
    <row r="1009" spans="1:18" x14ac:dyDescent="0.3">
      <c r="A1009" t="s">
        <v>42</v>
      </c>
      <c r="B1009">
        <v>2009</v>
      </c>
      <c r="C1009" t="str">
        <f>_xlfn.CONCAT(Table13[[#This Row],[STATE]],"-",Table13[[#This Row],[Year]])</f>
        <v>Tamil Nadu-2009</v>
      </c>
      <c r="D1009" t="s">
        <v>69</v>
      </c>
      <c r="E1009" t="s">
        <v>70</v>
      </c>
      <c r="F1009">
        <v>1407</v>
      </c>
      <c r="G1009">
        <v>0</v>
      </c>
      <c r="H1009">
        <v>0</v>
      </c>
      <c r="I1009">
        <v>0</v>
      </c>
      <c r="J1009">
        <v>1180</v>
      </c>
      <c r="K1009">
        <v>0</v>
      </c>
      <c r="L1009">
        <v>0</v>
      </c>
      <c r="M1009">
        <v>196</v>
      </c>
      <c r="N1009">
        <v>0</v>
      </c>
      <c r="O1009">
        <v>0</v>
      </c>
      <c r="P1009">
        <v>30</v>
      </c>
      <c r="Q1009">
        <v>1</v>
      </c>
      <c r="R1009">
        <f>SUM(Table13[[#This Row],[Rank_All_Ranks_Total]:[Rank_SSPSPAddlSPCommandant]])</f>
        <v>2814</v>
      </c>
    </row>
    <row r="1010" spans="1:18" x14ac:dyDescent="0.3">
      <c r="A1010" t="s">
        <v>30</v>
      </c>
      <c r="B1010">
        <v>2009</v>
      </c>
      <c r="C1010" t="str">
        <f>_xlfn.CONCAT(Table13[[#This Row],[STATE]],"-",Table13[[#This Row],[Year]])</f>
        <v>Tripura-2009</v>
      </c>
      <c r="D1010" t="s">
        <v>69</v>
      </c>
      <c r="E1010" t="s">
        <v>70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f>SUM(Table13[[#This Row],[Rank_All_Ranks_Total]:[Rank_SSPSPAddlSPCommandant]])</f>
        <v>0</v>
      </c>
    </row>
    <row r="1011" spans="1:18" x14ac:dyDescent="0.3">
      <c r="A1011" t="s">
        <v>31</v>
      </c>
      <c r="B1011">
        <v>2009</v>
      </c>
      <c r="C1011" t="str">
        <f>_xlfn.CONCAT(Table13[[#This Row],[STATE]],"-",Table13[[#This Row],[Year]])</f>
        <v>Uttar Pradesh-2009</v>
      </c>
      <c r="D1011" t="s">
        <v>69</v>
      </c>
      <c r="E1011" t="s">
        <v>70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f>SUM(Table13[[#This Row],[Rank_All_Ranks_Total]:[Rank_SSPSPAddlSPCommandant]])</f>
        <v>0</v>
      </c>
    </row>
    <row r="1012" spans="1:18" x14ac:dyDescent="0.3">
      <c r="A1012" t="s">
        <v>65</v>
      </c>
      <c r="B1012">
        <v>2009</v>
      </c>
      <c r="C1012" t="str">
        <f>_xlfn.CONCAT(Table13[[#This Row],[STATE]],"-",Table13[[#This Row],[Year]])</f>
        <v>Uttarakhand-2009</v>
      </c>
      <c r="D1012" t="s">
        <v>69</v>
      </c>
      <c r="E1012" t="s">
        <v>70</v>
      </c>
      <c r="F1012">
        <v>221</v>
      </c>
      <c r="G1012">
        <v>0</v>
      </c>
      <c r="H1012">
        <v>0</v>
      </c>
      <c r="I1012">
        <v>0</v>
      </c>
      <c r="J1012">
        <v>209</v>
      </c>
      <c r="K1012">
        <v>0</v>
      </c>
      <c r="L1012">
        <v>0</v>
      </c>
      <c r="M1012">
        <v>3</v>
      </c>
      <c r="N1012">
        <v>0</v>
      </c>
      <c r="O1012">
        <v>0</v>
      </c>
      <c r="P1012">
        <v>9</v>
      </c>
      <c r="Q1012">
        <v>0</v>
      </c>
      <c r="R1012">
        <f>SUM(Table13[[#This Row],[Rank_All_Ranks_Total]:[Rank_SSPSPAddlSPCommandant]])</f>
        <v>442</v>
      </c>
    </row>
    <row r="1013" spans="1:18" x14ac:dyDescent="0.3">
      <c r="A1013" t="s">
        <v>33</v>
      </c>
      <c r="B1013">
        <v>2009</v>
      </c>
      <c r="C1013" t="str">
        <f>_xlfn.CONCAT(Table13[[#This Row],[STATE]],"-",Table13[[#This Row],[Year]])</f>
        <v>West Bengal-2009</v>
      </c>
      <c r="D1013" t="s">
        <v>69</v>
      </c>
      <c r="E1013" t="s">
        <v>70</v>
      </c>
      <c r="F1013">
        <v>1</v>
      </c>
      <c r="G1013">
        <v>0</v>
      </c>
      <c r="H1013">
        <v>1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f>SUM(Table13[[#This Row],[Rank_All_Ranks_Total]:[Rank_SSPSPAddlSPCommandant]])</f>
        <v>2</v>
      </c>
    </row>
    <row r="1014" spans="1:18" x14ac:dyDescent="0.3">
      <c r="A1014" t="s">
        <v>59</v>
      </c>
      <c r="B1014">
        <v>2010</v>
      </c>
      <c r="C1014" t="str">
        <f>_xlfn.CONCAT(Table13[[#This Row],[STATE]],"-",Table13[[#This Row],[Year]])</f>
        <v>Andaman &amp; Nicobar Islands-2010</v>
      </c>
      <c r="D1014" t="s">
        <v>69</v>
      </c>
      <c r="E1014" t="s">
        <v>70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f>SUM(Table13[[#This Row],[Rank_All_Ranks_Total]:[Rank_SSPSPAddlSPCommandant]])</f>
        <v>0</v>
      </c>
    </row>
    <row r="1015" spans="1:18" x14ac:dyDescent="0.3">
      <c r="A1015" t="s">
        <v>6</v>
      </c>
      <c r="B1015">
        <v>2010</v>
      </c>
      <c r="C1015" t="str">
        <f>_xlfn.CONCAT(Table13[[#This Row],[STATE]],"-",Table13[[#This Row],[Year]])</f>
        <v>Andhra Pradesh-2010</v>
      </c>
      <c r="D1015" t="s">
        <v>69</v>
      </c>
      <c r="E1015" t="s">
        <v>70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f>SUM(Table13[[#This Row],[Rank_All_Ranks_Total]:[Rank_SSPSPAddlSPCommandant]])</f>
        <v>0</v>
      </c>
    </row>
    <row r="1016" spans="1:18" x14ac:dyDescent="0.3">
      <c r="A1016" t="s">
        <v>7</v>
      </c>
      <c r="B1016">
        <v>2010</v>
      </c>
      <c r="C1016" t="str">
        <f>_xlfn.CONCAT(Table13[[#This Row],[STATE]],"-",Table13[[#This Row],[Year]])</f>
        <v>Arunachal Pradesh-2010</v>
      </c>
      <c r="D1016" t="s">
        <v>69</v>
      </c>
      <c r="E1016" t="s">
        <v>70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f>SUM(Table13[[#This Row],[Rank_All_Ranks_Total]:[Rank_SSPSPAddlSPCommandant]])</f>
        <v>0</v>
      </c>
    </row>
    <row r="1017" spans="1:18" x14ac:dyDescent="0.3">
      <c r="A1017" t="s">
        <v>8</v>
      </c>
      <c r="B1017">
        <v>2010</v>
      </c>
      <c r="C1017" t="str">
        <f>_xlfn.CONCAT(Table13[[#This Row],[STATE]],"-",Table13[[#This Row],[Year]])</f>
        <v>Assam-2010</v>
      </c>
      <c r="D1017" t="s">
        <v>69</v>
      </c>
      <c r="E1017" t="s">
        <v>70</v>
      </c>
      <c r="F1017">
        <v>163</v>
      </c>
      <c r="G1017">
        <v>9</v>
      </c>
      <c r="H1017">
        <v>0</v>
      </c>
      <c r="I1017">
        <v>5</v>
      </c>
      <c r="J1017">
        <v>146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3</v>
      </c>
      <c r="Q1017">
        <v>0</v>
      </c>
      <c r="R1017">
        <f>SUM(Table13[[#This Row],[Rank_All_Ranks_Total]:[Rank_SSPSPAddlSPCommandant]])</f>
        <v>326</v>
      </c>
    </row>
    <row r="1018" spans="1:18" x14ac:dyDescent="0.3">
      <c r="A1018" t="s">
        <v>9</v>
      </c>
      <c r="B1018">
        <v>2010</v>
      </c>
      <c r="C1018" t="str">
        <f>_xlfn.CONCAT(Table13[[#This Row],[STATE]],"-",Table13[[#This Row],[Year]])</f>
        <v>Bihar-2010</v>
      </c>
      <c r="D1018" t="s">
        <v>69</v>
      </c>
      <c r="E1018" t="s">
        <v>70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f>SUM(Table13[[#This Row],[Rank_All_Ranks_Total]:[Rank_SSPSPAddlSPCommandant]])</f>
        <v>0</v>
      </c>
    </row>
    <row r="1019" spans="1:18" x14ac:dyDescent="0.3">
      <c r="A1019" t="s">
        <v>35</v>
      </c>
      <c r="B1019">
        <v>2010</v>
      </c>
      <c r="C1019" t="str">
        <f>_xlfn.CONCAT(Table13[[#This Row],[STATE]],"-",Table13[[#This Row],[Year]])</f>
        <v>Chandigarh-2010</v>
      </c>
      <c r="D1019" t="s">
        <v>69</v>
      </c>
      <c r="E1019" t="s">
        <v>70</v>
      </c>
      <c r="F1019">
        <v>149</v>
      </c>
      <c r="G1019">
        <v>0</v>
      </c>
      <c r="H1019">
        <v>0</v>
      </c>
      <c r="I1019">
        <v>0</v>
      </c>
      <c r="J1019">
        <v>149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f>SUM(Table13[[#This Row],[Rank_All_Ranks_Total]:[Rank_SSPSPAddlSPCommandant]])</f>
        <v>298</v>
      </c>
    </row>
    <row r="1020" spans="1:18" x14ac:dyDescent="0.3">
      <c r="A1020" t="s">
        <v>10</v>
      </c>
      <c r="B1020">
        <v>2010</v>
      </c>
      <c r="C1020" t="str">
        <f>_xlfn.CONCAT(Table13[[#This Row],[STATE]],"-",Table13[[#This Row],[Year]])</f>
        <v>Chhattisgarh-2010</v>
      </c>
      <c r="D1020" t="s">
        <v>69</v>
      </c>
      <c r="E1020" t="s">
        <v>70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f>SUM(Table13[[#This Row],[Rank_All_Ranks_Total]:[Rank_SSPSPAddlSPCommandant]])</f>
        <v>0</v>
      </c>
    </row>
    <row r="1021" spans="1:18" x14ac:dyDescent="0.3">
      <c r="A1021" t="s">
        <v>62</v>
      </c>
      <c r="B1021">
        <v>2010</v>
      </c>
      <c r="C1021" t="str">
        <f>_xlfn.CONCAT(Table13[[#This Row],[STATE]],"-",Table13[[#This Row],[Year]])</f>
        <v>Dadra &amp; Nagar Haveli-2010</v>
      </c>
      <c r="D1021" t="s">
        <v>69</v>
      </c>
      <c r="E1021" t="s">
        <v>70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f>SUM(Table13[[#This Row],[Rank_All_Ranks_Total]:[Rank_SSPSPAddlSPCommandant]])</f>
        <v>0</v>
      </c>
    </row>
    <row r="1022" spans="1:18" x14ac:dyDescent="0.3">
      <c r="A1022" t="s">
        <v>37</v>
      </c>
      <c r="B1022">
        <v>2010</v>
      </c>
      <c r="C1022" t="str">
        <f>_xlfn.CONCAT(Table13[[#This Row],[STATE]],"-",Table13[[#This Row],[Year]])</f>
        <v>Daman &amp; Diu-2010</v>
      </c>
      <c r="D1022" t="s">
        <v>69</v>
      </c>
      <c r="E1022" t="s">
        <v>70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f>SUM(Table13[[#This Row],[Rank_All_Ranks_Total]:[Rank_SSPSPAddlSPCommandant]])</f>
        <v>0</v>
      </c>
    </row>
    <row r="1023" spans="1:18" x14ac:dyDescent="0.3">
      <c r="A1023" t="s">
        <v>38</v>
      </c>
      <c r="B1023">
        <v>2010</v>
      </c>
      <c r="C1023" t="str">
        <f>_xlfn.CONCAT(Table13[[#This Row],[STATE]],"-",Table13[[#This Row],[Year]])</f>
        <v>Delhi-2010</v>
      </c>
      <c r="D1023" t="s">
        <v>69</v>
      </c>
      <c r="E1023" t="s">
        <v>70</v>
      </c>
      <c r="F1023">
        <v>121</v>
      </c>
      <c r="G1023">
        <v>3</v>
      </c>
      <c r="H1023">
        <v>3</v>
      </c>
      <c r="I1023">
        <v>0</v>
      </c>
      <c r="J1023">
        <v>97</v>
      </c>
      <c r="K1023">
        <v>0</v>
      </c>
      <c r="L1023">
        <v>0</v>
      </c>
      <c r="M1023">
        <v>15</v>
      </c>
      <c r="N1023">
        <v>0</v>
      </c>
      <c r="O1023">
        <v>1</v>
      </c>
      <c r="P1023">
        <v>2</v>
      </c>
      <c r="Q1023">
        <v>0</v>
      </c>
      <c r="R1023">
        <f>SUM(Table13[[#This Row],[Rank_All_Ranks_Total]:[Rank_SSPSPAddlSPCommandant]])</f>
        <v>242</v>
      </c>
    </row>
    <row r="1024" spans="1:18" x14ac:dyDescent="0.3">
      <c r="A1024" t="s">
        <v>11</v>
      </c>
      <c r="B1024">
        <v>2010</v>
      </c>
      <c r="C1024" t="str">
        <f>_xlfn.CONCAT(Table13[[#This Row],[STATE]],"-",Table13[[#This Row],[Year]])</f>
        <v>Goa-2010</v>
      </c>
      <c r="D1024" t="s">
        <v>69</v>
      </c>
      <c r="E1024" t="s">
        <v>70</v>
      </c>
      <c r="F1024">
        <v>96</v>
      </c>
      <c r="G1024">
        <v>0</v>
      </c>
      <c r="H1024">
        <v>0</v>
      </c>
      <c r="I1024">
        <v>0</v>
      </c>
      <c r="J1024">
        <v>95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1</v>
      </c>
      <c r="Q1024">
        <v>0</v>
      </c>
      <c r="R1024">
        <f>SUM(Table13[[#This Row],[Rank_All_Ranks_Total]:[Rank_SSPSPAddlSPCommandant]])</f>
        <v>192</v>
      </c>
    </row>
    <row r="1025" spans="1:18" x14ac:dyDescent="0.3">
      <c r="A1025" t="s">
        <v>12</v>
      </c>
      <c r="B1025">
        <v>2010</v>
      </c>
      <c r="C1025" t="str">
        <f>_xlfn.CONCAT(Table13[[#This Row],[STATE]],"-",Table13[[#This Row],[Year]])</f>
        <v>Gujarat-2010</v>
      </c>
      <c r="D1025" t="s">
        <v>69</v>
      </c>
      <c r="E1025" t="s">
        <v>70</v>
      </c>
      <c r="F1025">
        <v>521</v>
      </c>
      <c r="G1025">
        <v>0</v>
      </c>
      <c r="H1025">
        <v>0</v>
      </c>
      <c r="I1025">
        <v>0</v>
      </c>
      <c r="J1025">
        <v>520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1</v>
      </c>
      <c r="R1025">
        <f>SUM(Table13[[#This Row],[Rank_All_Ranks_Total]:[Rank_SSPSPAddlSPCommandant]])</f>
        <v>1042</v>
      </c>
    </row>
    <row r="1026" spans="1:18" x14ac:dyDescent="0.3">
      <c r="A1026" t="s">
        <v>13</v>
      </c>
      <c r="B1026">
        <v>2010</v>
      </c>
      <c r="C1026" t="str">
        <f>_xlfn.CONCAT(Table13[[#This Row],[STATE]],"-",Table13[[#This Row],[Year]])</f>
        <v>Haryana-2010</v>
      </c>
      <c r="D1026" t="s">
        <v>69</v>
      </c>
      <c r="E1026" t="s">
        <v>70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f>SUM(Table13[[#This Row],[Rank_All_Ranks_Total]:[Rank_SSPSPAddlSPCommandant]])</f>
        <v>0</v>
      </c>
    </row>
    <row r="1027" spans="1:18" x14ac:dyDescent="0.3">
      <c r="A1027" t="s">
        <v>14</v>
      </c>
      <c r="B1027">
        <v>2010</v>
      </c>
      <c r="C1027" t="str">
        <f>_xlfn.CONCAT(Table13[[#This Row],[STATE]],"-",Table13[[#This Row],[Year]])</f>
        <v>Himachal Pradesh-2010</v>
      </c>
      <c r="D1027" t="s">
        <v>69</v>
      </c>
      <c r="E1027" t="s">
        <v>70</v>
      </c>
      <c r="F1027">
        <v>563</v>
      </c>
      <c r="G1027">
        <v>1</v>
      </c>
      <c r="H1027">
        <v>1</v>
      </c>
      <c r="I1027">
        <v>0</v>
      </c>
      <c r="J1027">
        <v>526</v>
      </c>
      <c r="K1027">
        <v>0</v>
      </c>
      <c r="L1027">
        <v>0</v>
      </c>
      <c r="M1027">
        <v>26</v>
      </c>
      <c r="N1027">
        <v>0</v>
      </c>
      <c r="O1027">
        <v>3</v>
      </c>
      <c r="P1027">
        <v>5</v>
      </c>
      <c r="Q1027">
        <v>1</v>
      </c>
      <c r="R1027">
        <f>SUM(Table13[[#This Row],[Rank_All_Ranks_Total]:[Rank_SSPSPAddlSPCommandant]])</f>
        <v>1126</v>
      </c>
    </row>
    <row r="1028" spans="1:18" x14ac:dyDescent="0.3">
      <c r="A1028" t="s">
        <v>15</v>
      </c>
      <c r="B1028">
        <v>2010</v>
      </c>
      <c r="C1028" t="str">
        <f>_xlfn.CONCAT(Table13[[#This Row],[STATE]],"-",Table13[[#This Row],[Year]])</f>
        <v>Jammu &amp; Kashmir-2010</v>
      </c>
      <c r="D1028" t="s">
        <v>69</v>
      </c>
      <c r="E1028" t="s">
        <v>70</v>
      </c>
      <c r="F1028">
        <v>1205</v>
      </c>
      <c r="G1028">
        <v>0</v>
      </c>
      <c r="H1028">
        <v>9</v>
      </c>
      <c r="I1028">
        <v>311</v>
      </c>
      <c r="J1028">
        <v>788</v>
      </c>
      <c r="K1028">
        <v>0</v>
      </c>
      <c r="L1028">
        <v>0</v>
      </c>
      <c r="M1028">
        <v>76</v>
      </c>
      <c r="N1028">
        <v>0</v>
      </c>
      <c r="O1028">
        <v>3</v>
      </c>
      <c r="P1028">
        <v>18</v>
      </c>
      <c r="Q1028">
        <v>0</v>
      </c>
      <c r="R1028">
        <f>SUM(Table13[[#This Row],[Rank_All_Ranks_Total]:[Rank_SSPSPAddlSPCommandant]])</f>
        <v>2410</v>
      </c>
    </row>
    <row r="1029" spans="1:18" x14ac:dyDescent="0.3">
      <c r="A1029" t="s">
        <v>16</v>
      </c>
      <c r="B1029">
        <v>2010</v>
      </c>
      <c r="C1029" t="str">
        <f>_xlfn.CONCAT(Table13[[#This Row],[STATE]],"-",Table13[[#This Row],[Year]])</f>
        <v>Jharkhand-2010</v>
      </c>
      <c r="D1029" t="s">
        <v>69</v>
      </c>
      <c r="E1029" t="s">
        <v>70</v>
      </c>
      <c r="F1029">
        <v>896</v>
      </c>
      <c r="G1029">
        <v>0</v>
      </c>
      <c r="H1029">
        <v>2</v>
      </c>
      <c r="I1029">
        <v>0</v>
      </c>
      <c r="J1029">
        <v>894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f>SUM(Table13[[#This Row],[Rank_All_Ranks_Total]:[Rank_SSPSPAddlSPCommandant]])</f>
        <v>1792</v>
      </c>
    </row>
    <row r="1030" spans="1:18" x14ac:dyDescent="0.3">
      <c r="A1030" t="s">
        <v>17</v>
      </c>
      <c r="B1030">
        <v>2010</v>
      </c>
      <c r="C1030" t="str">
        <f>_xlfn.CONCAT(Table13[[#This Row],[STATE]],"-",Table13[[#This Row],[Year]])</f>
        <v>Karnataka-2010</v>
      </c>
      <c r="D1030" t="s">
        <v>69</v>
      </c>
      <c r="E1030" t="s">
        <v>70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f>SUM(Table13[[#This Row],[Rank_All_Ranks_Total]:[Rank_SSPSPAddlSPCommandant]])</f>
        <v>0</v>
      </c>
    </row>
    <row r="1031" spans="1:18" x14ac:dyDescent="0.3">
      <c r="A1031" t="s">
        <v>18</v>
      </c>
      <c r="B1031">
        <v>2010</v>
      </c>
      <c r="C1031" t="str">
        <f>_xlfn.CONCAT(Table13[[#This Row],[STATE]],"-",Table13[[#This Row],[Year]])</f>
        <v>Kerala-2010</v>
      </c>
      <c r="D1031" t="s">
        <v>69</v>
      </c>
      <c r="E1031" t="s">
        <v>70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f>SUM(Table13[[#This Row],[Rank_All_Ranks_Total]:[Rank_SSPSPAddlSPCommandant]])</f>
        <v>0</v>
      </c>
    </row>
    <row r="1032" spans="1:18" x14ac:dyDescent="0.3">
      <c r="A1032" t="s">
        <v>39</v>
      </c>
      <c r="B1032">
        <v>2010</v>
      </c>
      <c r="C1032" t="str">
        <f>_xlfn.CONCAT(Table13[[#This Row],[STATE]],"-",Table13[[#This Row],[Year]])</f>
        <v>Lakshadweep-2010</v>
      </c>
      <c r="D1032" t="s">
        <v>69</v>
      </c>
      <c r="E1032" t="s">
        <v>70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f>SUM(Table13[[#This Row],[Rank_All_Ranks_Total]:[Rank_SSPSPAddlSPCommandant]])</f>
        <v>0</v>
      </c>
    </row>
    <row r="1033" spans="1:18" x14ac:dyDescent="0.3">
      <c r="A1033" t="s">
        <v>19</v>
      </c>
      <c r="B1033">
        <v>2010</v>
      </c>
      <c r="C1033" t="str">
        <f>_xlfn.CONCAT(Table13[[#This Row],[STATE]],"-",Table13[[#This Row],[Year]])</f>
        <v>Madhya Pradesh-2010</v>
      </c>
      <c r="D1033" t="s">
        <v>69</v>
      </c>
      <c r="E1033" t="s">
        <v>70</v>
      </c>
      <c r="F1033">
        <v>125</v>
      </c>
      <c r="G1033">
        <v>6</v>
      </c>
      <c r="H1033">
        <v>1</v>
      </c>
      <c r="I1033">
        <v>0</v>
      </c>
      <c r="J1033">
        <v>88</v>
      </c>
      <c r="K1033">
        <v>0</v>
      </c>
      <c r="L1033">
        <v>1</v>
      </c>
      <c r="M1033">
        <v>22</v>
      </c>
      <c r="N1033">
        <v>0</v>
      </c>
      <c r="O1033">
        <v>2</v>
      </c>
      <c r="P1033">
        <v>4</v>
      </c>
      <c r="Q1033">
        <v>1</v>
      </c>
      <c r="R1033">
        <f>SUM(Table13[[#This Row],[Rank_All_Ranks_Total]:[Rank_SSPSPAddlSPCommandant]])</f>
        <v>250</v>
      </c>
    </row>
    <row r="1034" spans="1:18" x14ac:dyDescent="0.3">
      <c r="A1034" t="s">
        <v>20</v>
      </c>
      <c r="B1034">
        <v>2010</v>
      </c>
      <c r="C1034" t="str">
        <f>_xlfn.CONCAT(Table13[[#This Row],[STATE]],"-",Table13[[#This Row],[Year]])</f>
        <v>Maharashtra-2010</v>
      </c>
      <c r="D1034" t="s">
        <v>69</v>
      </c>
      <c r="E1034" t="s">
        <v>70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f>SUM(Table13[[#This Row],[Rank_All_Ranks_Total]:[Rank_SSPSPAddlSPCommandant]])</f>
        <v>0</v>
      </c>
    </row>
    <row r="1035" spans="1:18" x14ac:dyDescent="0.3">
      <c r="A1035" t="s">
        <v>21</v>
      </c>
      <c r="B1035">
        <v>2010</v>
      </c>
      <c r="C1035" t="str">
        <f>_xlfn.CONCAT(Table13[[#This Row],[STATE]],"-",Table13[[#This Row],[Year]])</f>
        <v>Manipur-2010</v>
      </c>
      <c r="D1035" t="s">
        <v>69</v>
      </c>
      <c r="E1035" t="s">
        <v>70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f>SUM(Table13[[#This Row],[Rank_All_Ranks_Total]:[Rank_SSPSPAddlSPCommandant]])</f>
        <v>0</v>
      </c>
    </row>
    <row r="1036" spans="1:18" x14ac:dyDescent="0.3">
      <c r="A1036" t="s">
        <v>22</v>
      </c>
      <c r="B1036">
        <v>2010</v>
      </c>
      <c r="C1036" t="str">
        <f>_xlfn.CONCAT(Table13[[#This Row],[STATE]],"-",Table13[[#This Row],[Year]])</f>
        <v>Meghalaya-2010</v>
      </c>
      <c r="D1036" t="s">
        <v>69</v>
      </c>
      <c r="E1036" t="s">
        <v>70</v>
      </c>
      <c r="F1036">
        <v>93</v>
      </c>
      <c r="G1036">
        <v>0</v>
      </c>
      <c r="H1036">
        <v>0</v>
      </c>
      <c r="I1036">
        <v>0</v>
      </c>
      <c r="J1036">
        <v>93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f>SUM(Table13[[#This Row],[Rank_All_Ranks_Total]:[Rank_SSPSPAddlSPCommandant]])</f>
        <v>186</v>
      </c>
    </row>
    <row r="1037" spans="1:18" x14ac:dyDescent="0.3">
      <c r="A1037" t="s">
        <v>23</v>
      </c>
      <c r="B1037">
        <v>2010</v>
      </c>
      <c r="C1037" t="str">
        <f>_xlfn.CONCAT(Table13[[#This Row],[STATE]],"-",Table13[[#This Row],[Year]])</f>
        <v>Mizoram-2010</v>
      </c>
      <c r="D1037" t="s">
        <v>69</v>
      </c>
      <c r="E1037" t="s">
        <v>70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f>SUM(Table13[[#This Row],[Rank_All_Ranks_Total]:[Rank_SSPSPAddlSPCommandant]])</f>
        <v>0</v>
      </c>
    </row>
    <row r="1038" spans="1:18" x14ac:dyDescent="0.3">
      <c r="A1038" t="s">
        <v>24</v>
      </c>
      <c r="B1038">
        <v>2010</v>
      </c>
      <c r="C1038" t="str">
        <f>_xlfn.CONCAT(Table13[[#This Row],[STATE]],"-",Table13[[#This Row],[Year]])</f>
        <v>Nagaland-2010</v>
      </c>
      <c r="D1038" t="s">
        <v>69</v>
      </c>
      <c r="E1038" t="s">
        <v>70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f>SUM(Table13[[#This Row],[Rank_All_Ranks_Total]:[Rank_SSPSPAddlSPCommandant]])</f>
        <v>0</v>
      </c>
    </row>
    <row r="1039" spans="1:18" x14ac:dyDescent="0.3">
      <c r="A1039" t="s">
        <v>63</v>
      </c>
      <c r="B1039">
        <v>2010</v>
      </c>
      <c r="C1039" t="str">
        <f>_xlfn.CONCAT(Table13[[#This Row],[STATE]],"-",Table13[[#This Row],[Year]])</f>
        <v>Odisha-2010</v>
      </c>
      <c r="D1039" t="s">
        <v>69</v>
      </c>
      <c r="E1039" t="s">
        <v>70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f>SUM(Table13[[#This Row],[Rank_All_Ranks_Total]:[Rank_SSPSPAddlSPCommandant]])</f>
        <v>0</v>
      </c>
    </row>
    <row r="1040" spans="1:18" x14ac:dyDescent="0.3">
      <c r="A1040" t="s">
        <v>64</v>
      </c>
      <c r="B1040">
        <v>2010</v>
      </c>
      <c r="C1040" t="str">
        <f>_xlfn.CONCAT(Table13[[#This Row],[STATE]],"-",Table13[[#This Row],[Year]])</f>
        <v>Puducherry-2010</v>
      </c>
      <c r="D1040" t="s">
        <v>69</v>
      </c>
      <c r="E1040" t="s">
        <v>70</v>
      </c>
      <c r="F1040">
        <v>70</v>
      </c>
      <c r="G1040">
        <v>0</v>
      </c>
      <c r="H1040">
        <v>0</v>
      </c>
      <c r="I1040">
        <v>0</v>
      </c>
      <c r="J1040">
        <v>69</v>
      </c>
      <c r="K1040">
        <v>0</v>
      </c>
      <c r="L1040">
        <v>0</v>
      </c>
      <c r="M1040">
        <v>1</v>
      </c>
      <c r="N1040">
        <v>0</v>
      </c>
      <c r="O1040">
        <v>0</v>
      </c>
      <c r="P1040">
        <v>0</v>
      </c>
      <c r="Q1040">
        <v>0</v>
      </c>
      <c r="R1040">
        <f>SUM(Table13[[#This Row],[Rank_All_Ranks_Total]:[Rank_SSPSPAddlSPCommandant]])</f>
        <v>140</v>
      </c>
    </row>
    <row r="1041" spans="1:18" x14ac:dyDescent="0.3">
      <c r="A1041" t="s">
        <v>26</v>
      </c>
      <c r="B1041">
        <v>2010</v>
      </c>
      <c r="C1041" t="str">
        <f>_xlfn.CONCAT(Table13[[#This Row],[STATE]],"-",Table13[[#This Row],[Year]])</f>
        <v>Punjab-2010</v>
      </c>
      <c r="D1041" t="s">
        <v>69</v>
      </c>
      <c r="E1041" t="s">
        <v>70</v>
      </c>
      <c r="F1041">
        <v>200</v>
      </c>
      <c r="G1041">
        <v>0</v>
      </c>
      <c r="H1041">
        <v>0</v>
      </c>
      <c r="I1041">
        <v>0</v>
      </c>
      <c r="J1041">
        <v>200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f>SUM(Table13[[#This Row],[Rank_All_Ranks_Total]:[Rank_SSPSPAddlSPCommandant]])</f>
        <v>400</v>
      </c>
    </row>
    <row r="1042" spans="1:18" x14ac:dyDescent="0.3">
      <c r="A1042" t="s">
        <v>27</v>
      </c>
      <c r="B1042">
        <v>2010</v>
      </c>
      <c r="C1042" t="str">
        <f>_xlfn.CONCAT(Table13[[#This Row],[STATE]],"-",Table13[[#This Row],[Year]])</f>
        <v>Rajasthan-2010</v>
      </c>
      <c r="D1042" t="s">
        <v>69</v>
      </c>
      <c r="E1042" t="s">
        <v>70</v>
      </c>
      <c r="F1042">
        <v>752</v>
      </c>
      <c r="G1042">
        <v>0</v>
      </c>
      <c r="H1042">
        <v>0</v>
      </c>
      <c r="I1042">
        <v>0</v>
      </c>
      <c r="J1042">
        <v>723</v>
      </c>
      <c r="K1042">
        <v>0</v>
      </c>
      <c r="L1042">
        <v>0</v>
      </c>
      <c r="M1042">
        <v>0</v>
      </c>
      <c r="N1042">
        <v>0</v>
      </c>
      <c r="O1042">
        <v>1</v>
      </c>
      <c r="P1042">
        <v>28</v>
      </c>
      <c r="Q1042">
        <v>0</v>
      </c>
      <c r="R1042">
        <f>SUM(Table13[[#This Row],[Rank_All_Ranks_Total]:[Rank_SSPSPAddlSPCommandant]])</f>
        <v>1504</v>
      </c>
    </row>
    <row r="1043" spans="1:18" x14ac:dyDescent="0.3">
      <c r="A1043" t="s">
        <v>28</v>
      </c>
      <c r="B1043">
        <v>2010</v>
      </c>
      <c r="C1043" t="str">
        <f>_xlfn.CONCAT(Table13[[#This Row],[STATE]],"-",Table13[[#This Row],[Year]])</f>
        <v>Sikkim-2010</v>
      </c>
      <c r="D1043" t="s">
        <v>69</v>
      </c>
      <c r="E1043" t="s">
        <v>70</v>
      </c>
      <c r="F1043">
        <v>2</v>
      </c>
      <c r="G1043">
        <v>0</v>
      </c>
      <c r="H1043">
        <v>2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f>SUM(Table13[[#This Row],[Rank_All_Ranks_Total]:[Rank_SSPSPAddlSPCommandant]])</f>
        <v>4</v>
      </c>
    </row>
    <row r="1044" spans="1:18" x14ac:dyDescent="0.3">
      <c r="A1044" t="s">
        <v>42</v>
      </c>
      <c r="B1044">
        <v>2010</v>
      </c>
      <c r="C1044" t="str">
        <f>_xlfn.CONCAT(Table13[[#This Row],[STATE]],"-",Table13[[#This Row],[Year]])</f>
        <v>Tamil Nadu-2010</v>
      </c>
      <c r="D1044" t="s">
        <v>69</v>
      </c>
      <c r="E1044" t="s">
        <v>70</v>
      </c>
      <c r="F1044">
        <v>4114</v>
      </c>
      <c r="G1044">
        <v>0</v>
      </c>
      <c r="H1044">
        <v>0</v>
      </c>
      <c r="I1044">
        <v>0</v>
      </c>
      <c r="J1044">
        <v>4114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f>SUM(Table13[[#This Row],[Rank_All_Ranks_Total]:[Rank_SSPSPAddlSPCommandant]])</f>
        <v>8228</v>
      </c>
    </row>
    <row r="1045" spans="1:18" x14ac:dyDescent="0.3">
      <c r="A1045" t="s">
        <v>30</v>
      </c>
      <c r="B1045">
        <v>2010</v>
      </c>
      <c r="C1045" t="str">
        <f>_xlfn.CONCAT(Table13[[#This Row],[STATE]],"-",Table13[[#This Row],[Year]])</f>
        <v>Tripura-2010</v>
      </c>
      <c r="D1045" t="s">
        <v>69</v>
      </c>
      <c r="E1045" t="s">
        <v>70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f>SUM(Table13[[#This Row],[Rank_All_Ranks_Total]:[Rank_SSPSPAddlSPCommandant]])</f>
        <v>0</v>
      </c>
    </row>
    <row r="1046" spans="1:18" x14ac:dyDescent="0.3">
      <c r="A1046" t="s">
        <v>31</v>
      </c>
      <c r="B1046">
        <v>2010</v>
      </c>
      <c r="C1046" t="str">
        <f>_xlfn.CONCAT(Table13[[#This Row],[STATE]],"-",Table13[[#This Row],[Year]])</f>
        <v>Uttar Pradesh-2010</v>
      </c>
      <c r="D1046" t="s">
        <v>69</v>
      </c>
      <c r="E1046" t="s">
        <v>70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f>SUM(Table13[[#This Row],[Rank_All_Ranks_Total]:[Rank_SSPSPAddlSPCommandant]])</f>
        <v>0</v>
      </c>
    </row>
    <row r="1047" spans="1:18" x14ac:dyDescent="0.3">
      <c r="A1047" t="s">
        <v>65</v>
      </c>
      <c r="B1047">
        <v>2010</v>
      </c>
      <c r="C1047" t="str">
        <f>_xlfn.CONCAT(Table13[[#This Row],[STATE]],"-",Table13[[#This Row],[Year]])</f>
        <v>Uttarakhand-2010</v>
      </c>
      <c r="D1047" t="s">
        <v>69</v>
      </c>
      <c r="E1047" t="s">
        <v>70</v>
      </c>
      <c r="F1047">
        <v>234</v>
      </c>
      <c r="G1047">
        <v>0</v>
      </c>
      <c r="H1047">
        <v>0</v>
      </c>
      <c r="I1047">
        <v>0</v>
      </c>
      <c r="J1047">
        <v>221</v>
      </c>
      <c r="K1047">
        <v>0</v>
      </c>
      <c r="L1047">
        <v>0</v>
      </c>
      <c r="M1047">
        <v>4</v>
      </c>
      <c r="N1047">
        <v>0</v>
      </c>
      <c r="O1047">
        <v>0</v>
      </c>
      <c r="P1047">
        <v>9</v>
      </c>
      <c r="Q1047">
        <v>0</v>
      </c>
      <c r="R1047">
        <f>SUM(Table13[[#This Row],[Rank_All_Ranks_Total]:[Rank_SSPSPAddlSPCommandant]])</f>
        <v>468</v>
      </c>
    </row>
    <row r="1048" spans="1:18" x14ac:dyDescent="0.3">
      <c r="A1048" t="s">
        <v>33</v>
      </c>
      <c r="B1048">
        <v>2010</v>
      </c>
      <c r="C1048" t="str">
        <f>_xlfn.CONCAT(Table13[[#This Row],[STATE]],"-",Table13[[#This Row],[Year]])</f>
        <v>West Bengal-2010</v>
      </c>
      <c r="D1048" t="s">
        <v>69</v>
      </c>
      <c r="E1048" t="s">
        <v>70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f>SUM(Table13[[#This Row],[Rank_All_Ranks_Total]:[Rank_SSPSPAddlSPCommandant]])</f>
        <v>0</v>
      </c>
    </row>
    <row r="1049" spans="1:18" x14ac:dyDescent="0.3">
      <c r="A1049" t="s">
        <v>59</v>
      </c>
      <c r="B1049">
        <v>2001</v>
      </c>
      <c r="C1049" t="str">
        <f>_xlfn.CONCAT(Table13[[#This Row],[STATE]],"-",Table13[[#This Row],[Year]])</f>
        <v>Andaman &amp; Nicobar Islands-2001</v>
      </c>
      <c r="D1049" t="s">
        <v>71</v>
      </c>
      <c r="E1049" t="s">
        <v>72</v>
      </c>
      <c r="F1049">
        <v>86</v>
      </c>
      <c r="G1049">
        <v>6</v>
      </c>
      <c r="H1049">
        <v>0</v>
      </c>
      <c r="I1049">
        <v>0</v>
      </c>
      <c r="J1049">
        <v>68</v>
      </c>
      <c r="K1049">
        <v>0</v>
      </c>
      <c r="L1049">
        <v>0</v>
      </c>
      <c r="M1049">
        <v>10</v>
      </c>
      <c r="N1049">
        <v>0</v>
      </c>
      <c r="O1049">
        <v>0</v>
      </c>
      <c r="P1049">
        <v>2</v>
      </c>
      <c r="Q1049">
        <v>0</v>
      </c>
      <c r="R1049">
        <f>SUM(Table13[[#This Row],[Rank_All_Ranks_Total]:[Rank_SSPSPAddlSPCommandant]])</f>
        <v>172</v>
      </c>
    </row>
    <row r="1050" spans="1:18" x14ac:dyDescent="0.3">
      <c r="A1050" t="s">
        <v>6</v>
      </c>
      <c r="B1050">
        <v>2001</v>
      </c>
      <c r="C1050" t="str">
        <f>_xlfn.CONCAT(Table13[[#This Row],[STATE]],"-",Table13[[#This Row],[Year]])</f>
        <v>Andhra Pradesh-2001</v>
      </c>
      <c r="D1050" t="s">
        <v>71</v>
      </c>
      <c r="E1050" t="s">
        <v>72</v>
      </c>
      <c r="F1050">
        <v>1179</v>
      </c>
      <c r="G1050">
        <v>0</v>
      </c>
      <c r="H1050">
        <v>0</v>
      </c>
      <c r="I1050">
        <v>0</v>
      </c>
      <c r="J1050">
        <v>1106</v>
      </c>
      <c r="K1050">
        <v>0</v>
      </c>
      <c r="L1050">
        <v>0</v>
      </c>
      <c r="M1050">
        <v>47</v>
      </c>
      <c r="N1050">
        <v>0</v>
      </c>
      <c r="O1050">
        <v>0</v>
      </c>
      <c r="P1050">
        <v>26</v>
      </c>
      <c r="Q1050">
        <v>0</v>
      </c>
      <c r="R1050">
        <f>SUM(Table13[[#This Row],[Rank_All_Ranks_Total]:[Rank_SSPSPAddlSPCommandant]])</f>
        <v>2358</v>
      </c>
    </row>
    <row r="1051" spans="1:18" x14ac:dyDescent="0.3">
      <c r="A1051" t="s">
        <v>7</v>
      </c>
      <c r="B1051">
        <v>2001</v>
      </c>
      <c r="C1051" t="str">
        <f>_xlfn.CONCAT(Table13[[#This Row],[STATE]],"-",Table13[[#This Row],[Year]])</f>
        <v>Arunachal Pradesh-2001</v>
      </c>
      <c r="D1051" t="s">
        <v>71</v>
      </c>
      <c r="E1051" t="s">
        <v>72</v>
      </c>
      <c r="F1051">
        <v>138</v>
      </c>
      <c r="G1051">
        <v>5</v>
      </c>
      <c r="H1051">
        <v>0</v>
      </c>
      <c r="I1051">
        <v>0</v>
      </c>
      <c r="J1051">
        <v>114</v>
      </c>
      <c r="K1051">
        <v>0</v>
      </c>
      <c r="L1051">
        <v>0</v>
      </c>
      <c r="M1051">
        <v>11</v>
      </c>
      <c r="N1051">
        <v>0</v>
      </c>
      <c r="O1051">
        <v>0</v>
      </c>
      <c r="P1051">
        <v>8</v>
      </c>
      <c r="Q1051">
        <v>0</v>
      </c>
      <c r="R1051">
        <f>SUM(Table13[[#This Row],[Rank_All_Ranks_Total]:[Rank_SSPSPAddlSPCommandant]])</f>
        <v>276</v>
      </c>
    </row>
    <row r="1052" spans="1:18" x14ac:dyDescent="0.3">
      <c r="A1052" t="s">
        <v>8</v>
      </c>
      <c r="B1052">
        <v>2001</v>
      </c>
      <c r="C1052" t="str">
        <f>_xlfn.CONCAT(Table13[[#This Row],[STATE]],"-",Table13[[#This Row],[Year]])</f>
        <v>Assam-2001</v>
      </c>
      <c r="D1052" t="s">
        <v>71</v>
      </c>
      <c r="E1052" t="s">
        <v>72</v>
      </c>
      <c r="F1052">
        <v>223</v>
      </c>
      <c r="G1052">
        <v>5</v>
      </c>
      <c r="H1052">
        <v>0</v>
      </c>
      <c r="I1052">
        <v>8</v>
      </c>
      <c r="J1052">
        <v>185</v>
      </c>
      <c r="K1052">
        <v>0</v>
      </c>
      <c r="L1052">
        <v>0</v>
      </c>
      <c r="M1052">
        <v>8</v>
      </c>
      <c r="N1052">
        <v>0</v>
      </c>
      <c r="O1052">
        <v>0</v>
      </c>
      <c r="P1052">
        <v>17</v>
      </c>
      <c r="Q1052">
        <v>0</v>
      </c>
      <c r="R1052">
        <f>SUM(Table13[[#This Row],[Rank_All_Ranks_Total]:[Rank_SSPSPAddlSPCommandant]])</f>
        <v>446</v>
      </c>
    </row>
    <row r="1053" spans="1:18" x14ac:dyDescent="0.3">
      <c r="A1053" t="s">
        <v>9</v>
      </c>
      <c r="B1053">
        <v>2001</v>
      </c>
      <c r="C1053" t="str">
        <f>_xlfn.CONCAT(Table13[[#This Row],[STATE]],"-",Table13[[#This Row],[Year]])</f>
        <v>Bihar-2001</v>
      </c>
      <c r="D1053" t="s">
        <v>71</v>
      </c>
      <c r="E1053" t="s">
        <v>72</v>
      </c>
      <c r="F1053">
        <v>884</v>
      </c>
      <c r="G1053">
        <v>10</v>
      </c>
      <c r="H1053">
        <v>1</v>
      </c>
      <c r="I1053">
        <v>8</v>
      </c>
      <c r="J1053">
        <v>784</v>
      </c>
      <c r="K1053">
        <v>0</v>
      </c>
      <c r="L1053">
        <v>0</v>
      </c>
      <c r="M1053">
        <v>30</v>
      </c>
      <c r="N1053">
        <v>0</v>
      </c>
      <c r="O1053">
        <v>1</v>
      </c>
      <c r="P1053">
        <v>49</v>
      </c>
      <c r="Q1053">
        <v>1</v>
      </c>
      <c r="R1053">
        <f>SUM(Table13[[#This Row],[Rank_All_Ranks_Total]:[Rank_SSPSPAddlSPCommandant]])</f>
        <v>1768</v>
      </c>
    </row>
    <row r="1054" spans="1:18" x14ac:dyDescent="0.3">
      <c r="A1054" t="s">
        <v>35</v>
      </c>
      <c r="B1054">
        <v>2001</v>
      </c>
      <c r="C1054" t="str">
        <f>_xlfn.CONCAT(Table13[[#This Row],[STATE]],"-",Table13[[#This Row],[Year]])</f>
        <v>Chandigarh-2001</v>
      </c>
      <c r="D1054" t="s">
        <v>71</v>
      </c>
      <c r="E1054" t="s">
        <v>72</v>
      </c>
      <c r="F1054">
        <v>232</v>
      </c>
      <c r="G1054">
        <v>6</v>
      </c>
      <c r="H1054">
        <v>0</v>
      </c>
      <c r="I1054">
        <v>0</v>
      </c>
      <c r="J1054">
        <v>190</v>
      </c>
      <c r="K1054">
        <v>0</v>
      </c>
      <c r="L1054">
        <v>0</v>
      </c>
      <c r="M1054">
        <v>16</v>
      </c>
      <c r="N1054">
        <v>0</v>
      </c>
      <c r="O1054">
        <v>1</v>
      </c>
      <c r="P1054">
        <v>19</v>
      </c>
      <c r="Q1054">
        <v>0</v>
      </c>
      <c r="R1054">
        <f>SUM(Table13[[#This Row],[Rank_All_Ranks_Total]:[Rank_SSPSPAddlSPCommandant]])</f>
        <v>464</v>
      </c>
    </row>
    <row r="1055" spans="1:18" x14ac:dyDescent="0.3">
      <c r="A1055" t="s">
        <v>10</v>
      </c>
      <c r="B1055">
        <v>2001</v>
      </c>
      <c r="C1055" t="str">
        <f>_xlfn.CONCAT(Table13[[#This Row],[STATE]],"-",Table13[[#This Row],[Year]])</f>
        <v>Chhattisgarh-2001</v>
      </c>
      <c r="D1055" t="s">
        <v>71</v>
      </c>
      <c r="E1055" t="s">
        <v>72</v>
      </c>
      <c r="F1055">
        <v>410</v>
      </c>
      <c r="G1055">
        <v>10</v>
      </c>
      <c r="H1055">
        <v>0</v>
      </c>
      <c r="I1055">
        <v>0</v>
      </c>
      <c r="J1055">
        <v>252</v>
      </c>
      <c r="K1055">
        <v>0</v>
      </c>
      <c r="L1055">
        <v>0</v>
      </c>
      <c r="M1055">
        <v>86</v>
      </c>
      <c r="N1055">
        <v>0</v>
      </c>
      <c r="O1055">
        <v>25</v>
      </c>
      <c r="P1055">
        <v>37</v>
      </c>
      <c r="Q1055">
        <v>0</v>
      </c>
      <c r="R1055">
        <f>SUM(Table13[[#This Row],[Rank_All_Ranks_Total]:[Rank_SSPSPAddlSPCommandant]])</f>
        <v>820</v>
      </c>
    </row>
    <row r="1056" spans="1:18" x14ac:dyDescent="0.3">
      <c r="A1056" t="s">
        <v>62</v>
      </c>
      <c r="B1056">
        <v>2001</v>
      </c>
      <c r="C1056" t="str">
        <f>_xlfn.CONCAT(Table13[[#This Row],[STATE]],"-",Table13[[#This Row],[Year]])</f>
        <v>Dadra &amp; Nagar Haveli-2001</v>
      </c>
      <c r="D1056" t="s">
        <v>71</v>
      </c>
      <c r="E1056" t="s">
        <v>72</v>
      </c>
      <c r="F1056">
        <v>21</v>
      </c>
      <c r="G1056">
        <v>0</v>
      </c>
      <c r="H1056">
        <v>0</v>
      </c>
      <c r="I1056">
        <v>0</v>
      </c>
      <c r="J1056">
        <v>16</v>
      </c>
      <c r="K1056">
        <v>0</v>
      </c>
      <c r="L1056">
        <v>0</v>
      </c>
      <c r="M1056">
        <v>3</v>
      </c>
      <c r="N1056">
        <v>0</v>
      </c>
      <c r="O1056">
        <v>0</v>
      </c>
      <c r="P1056">
        <v>2</v>
      </c>
      <c r="Q1056">
        <v>0</v>
      </c>
      <c r="R1056">
        <f>SUM(Table13[[#This Row],[Rank_All_Ranks_Total]:[Rank_SSPSPAddlSPCommandant]])</f>
        <v>42</v>
      </c>
    </row>
    <row r="1057" spans="1:18" x14ac:dyDescent="0.3">
      <c r="A1057" t="s">
        <v>37</v>
      </c>
      <c r="B1057">
        <v>2001</v>
      </c>
      <c r="C1057" t="str">
        <f>_xlfn.CONCAT(Table13[[#This Row],[STATE]],"-",Table13[[#This Row],[Year]])</f>
        <v>Daman &amp; Diu-2001</v>
      </c>
      <c r="D1057" t="s">
        <v>71</v>
      </c>
      <c r="E1057" t="s">
        <v>72</v>
      </c>
      <c r="F1057">
        <v>3</v>
      </c>
      <c r="G1057">
        <v>0</v>
      </c>
      <c r="H1057">
        <v>0</v>
      </c>
      <c r="I1057">
        <v>0</v>
      </c>
      <c r="J1057">
        <v>3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f>SUM(Table13[[#This Row],[Rank_All_Ranks_Total]:[Rank_SSPSPAddlSPCommandant]])</f>
        <v>6</v>
      </c>
    </row>
    <row r="1058" spans="1:18" x14ac:dyDescent="0.3">
      <c r="A1058" t="s">
        <v>38</v>
      </c>
      <c r="B1058">
        <v>2001</v>
      </c>
      <c r="C1058" t="str">
        <f>_xlfn.CONCAT(Table13[[#This Row],[STATE]],"-",Table13[[#This Row],[Year]])</f>
        <v>Delhi-2001</v>
      </c>
      <c r="D1058" t="s">
        <v>71</v>
      </c>
      <c r="E1058" t="s">
        <v>72</v>
      </c>
      <c r="F1058">
        <v>2006</v>
      </c>
      <c r="G1058">
        <v>245</v>
      </c>
      <c r="H1058">
        <v>1</v>
      </c>
      <c r="I1058">
        <v>0</v>
      </c>
      <c r="J1058">
        <v>966</v>
      </c>
      <c r="K1058">
        <v>0</v>
      </c>
      <c r="L1058">
        <v>0</v>
      </c>
      <c r="M1058">
        <v>576</v>
      </c>
      <c r="N1058">
        <v>0</v>
      </c>
      <c r="O1058">
        <v>62</v>
      </c>
      <c r="P1058">
        <v>156</v>
      </c>
      <c r="Q1058">
        <v>0</v>
      </c>
      <c r="R1058">
        <f>SUM(Table13[[#This Row],[Rank_All_Ranks_Total]:[Rank_SSPSPAddlSPCommandant]])</f>
        <v>4012</v>
      </c>
    </row>
    <row r="1059" spans="1:18" x14ac:dyDescent="0.3">
      <c r="A1059" t="s">
        <v>11</v>
      </c>
      <c r="B1059">
        <v>2001</v>
      </c>
      <c r="C1059" t="str">
        <f>_xlfn.CONCAT(Table13[[#This Row],[STATE]],"-",Table13[[#This Row],[Year]])</f>
        <v>Goa-2001</v>
      </c>
      <c r="D1059" t="s">
        <v>71</v>
      </c>
      <c r="E1059" t="s">
        <v>72</v>
      </c>
      <c r="F1059">
        <v>193</v>
      </c>
      <c r="G1059">
        <v>2</v>
      </c>
      <c r="H1059">
        <v>1</v>
      </c>
      <c r="I1059">
        <v>0</v>
      </c>
      <c r="J1059">
        <v>155</v>
      </c>
      <c r="K1059">
        <v>0</v>
      </c>
      <c r="L1059">
        <v>0</v>
      </c>
      <c r="M1059">
        <v>27</v>
      </c>
      <c r="N1059">
        <v>0</v>
      </c>
      <c r="O1059">
        <v>6</v>
      </c>
      <c r="P1059">
        <v>2</v>
      </c>
      <c r="Q1059">
        <v>0</v>
      </c>
      <c r="R1059">
        <f>SUM(Table13[[#This Row],[Rank_All_Ranks_Total]:[Rank_SSPSPAddlSPCommandant]])</f>
        <v>386</v>
      </c>
    </row>
    <row r="1060" spans="1:18" x14ac:dyDescent="0.3">
      <c r="A1060" t="s">
        <v>12</v>
      </c>
      <c r="B1060">
        <v>2001</v>
      </c>
      <c r="C1060" t="str">
        <f>_xlfn.CONCAT(Table13[[#This Row],[STATE]],"-",Table13[[#This Row],[Year]])</f>
        <v>Gujarat-2001</v>
      </c>
      <c r="D1060" t="s">
        <v>71</v>
      </c>
      <c r="E1060" t="s">
        <v>72</v>
      </c>
      <c r="F1060">
        <v>1685</v>
      </c>
      <c r="G1060">
        <v>108</v>
      </c>
      <c r="H1060">
        <v>0</v>
      </c>
      <c r="I1060">
        <v>0</v>
      </c>
      <c r="J1060">
        <v>1297</v>
      </c>
      <c r="K1060">
        <v>0</v>
      </c>
      <c r="L1060">
        <v>1</v>
      </c>
      <c r="M1060">
        <v>236</v>
      </c>
      <c r="N1060">
        <v>1</v>
      </c>
      <c r="O1060">
        <v>11</v>
      </c>
      <c r="P1060">
        <v>30</v>
      </c>
      <c r="Q1060">
        <v>1</v>
      </c>
      <c r="R1060">
        <f>SUM(Table13[[#This Row],[Rank_All_Ranks_Total]:[Rank_SSPSPAddlSPCommandant]])</f>
        <v>3370</v>
      </c>
    </row>
    <row r="1061" spans="1:18" x14ac:dyDescent="0.3">
      <c r="A1061" t="s">
        <v>13</v>
      </c>
      <c r="B1061">
        <v>2001</v>
      </c>
      <c r="C1061" t="str">
        <f>_xlfn.CONCAT(Table13[[#This Row],[STATE]],"-",Table13[[#This Row],[Year]])</f>
        <v>Haryana-2001</v>
      </c>
      <c r="D1061" t="s">
        <v>71</v>
      </c>
      <c r="E1061" t="s">
        <v>72</v>
      </c>
      <c r="F1061">
        <v>235</v>
      </c>
      <c r="G1061">
        <v>12</v>
      </c>
      <c r="H1061">
        <v>0</v>
      </c>
      <c r="I1061">
        <v>0</v>
      </c>
      <c r="J1061">
        <v>168</v>
      </c>
      <c r="K1061">
        <v>0</v>
      </c>
      <c r="L1061">
        <v>0</v>
      </c>
      <c r="M1061">
        <v>46</v>
      </c>
      <c r="N1061">
        <v>0</v>
      </c>
      <c r="O1061">
        <v>0</v>
      </c>
      <c r="P1061">
        <v>9</v>
      </c>
      <c r="Q1061">
        <v>0</v>
      </c>
      <c r="R1061">
        <f>SUM(Table13[[#This Row],[Rank_All_Ranks_Total]:[Rank_SSPSPAddlSPCommandant]])</f>
        <v>470</v>
      </c>
    </row>
    <row r="1062" spans="1:18" x14ac:dyDescent="0.3">
      <c r="A1062" t="s">
        <v>14</v>
      </c>
      <c r="B1062">
        <v>2001</v>
      </c>
      <c r="C1062" t="str">
        <f>_xlfn.CONCAT(Table13[[#This Row],[STATE]],"-",Table13[[#This Row],[Year]])</f>
        <v>Himachal Pradesh-2001</v>
      </c>
      <c r="D1062" t="s">
        <v>71</v>
      </c>
      <c r="E1062" t="s">
        <v>72</v>
      </c>
      <c r="F1062">
        <v>472</v>
      </c>
      <c r="G1062">
        <v>10</v>
      </c>
      <c r="H1062">
        <v>3</v>
      </c>
      <c r="I1062">
        <v>6</v>
      </c>
      <c r="J1062">
        <v>415</v>
      </c>
      <c r="K1062">
        <v>0</v>
      </c>
      <c r="L1062">
        <v>0</v>
      </c>
      <c r="M1062">
        <v>17</v>
      </c>
      <c r="N1062">
        <v>0</v>
      </c>
      <c r="O1062">
        <v>5</v>
      </c>
      <c r="P1062">
        <v>14</v>
      </c>
      <c r="Q1062">
        <v>2</v>
      </c>
      <c r="R1062">
        <f>SUM(Table13[[#This Row],[Rank_All_Ranks_Total]:[Rank_SSPSPAddlSPCommandant]])</f>
        <v>944</v>
      </c>
    </row>
    <row r="1063" spans="1:18" x14ac:dyDescent="0.3">
      <c r="A1063" t="s">
        <v>15</v>
      </c>
      <c r="B1063">
        <v>2001</v>
      </c>
      <c r="C1063" t="str">
        <f>_xlfn.CONCAT(Table13[[#This Row],[STATE]],"-",Table13[[#This Row],[Year]])</f>
        <v>Jammu &amp; Kashmir-2001</v>
      </c>
      <c r="D1063" t="s">
        <v>71</v>
      </c>
      <c r="E1063" t="s">
        <v>72</v>
      </c>
      <c r="F1063">
        <v>1432</v>
      </c>
      <c r="G1063">
        <v>13</v>
      </c>
      <c r="H1063">
        <v>6</v>
      </c>
      <c r="I1063">
        <v>0</v>
      </c>
      <c r="J1063">
        <v>1374</v>
      </c>
      <c r="K1063">
        <v>0</v>
      </c>
      <c r="L1063">
        <v>1</v>
      </c>
      <c r="M1063">
        <v>9</v>
      </c>
      <c r="N1063">
        <v>0</v>
      </c>
      <c r="O1063">
        <v>9</v>
      </c>
      <c r="P1063">
        <v>18</v>
      </c>
      <c r="Q1063">
        <v>2</v>
      </c>
      <c r="R1063">
        <f>SUM(Table13[[#This Row],[Rank_All_Ranks_Total]:[Rank_SSPSPAddlSPCommandant]])</f>
        <v>2864</v>
      </c>
    </row>
    <row r="1064" spans="1:18" x14ac:dyDescent="0.3">
      <c r="A1064" t="s">
        <v>17</v>
      </c>
      <c r="B1064">
        <v>2001</v>
      </c>
      <c r="C1064" t="str">
        <f>_xlfn.CONCAT(Table13[[#This Row],[STATE]],"-",Table13[[#This Row],[Year]])</f>
        <v>Karnataka-2001</v>
      </c>
      <c r="D1064" t="s">
        <v>71</v>
      </c>
      <c r="E1064" t="s">
        <v>72</v>
      </c>
      <c r="F1064">
        <v>1174</v>
      </c>
      <c r="G1064">
        <v>11</v>
      </c>
      <c r="H1064">
        <v>0</v>
      </c>
      <c r="I1064">
        <v>0</v>
      </c>
      <c r="J1064">
        <v>813</v>
      </c>
      <c r="K1064">
        <v>0</v>
      </c>
      <c r="L1064">
        <v>0</v>
      </c>
      <c r="M1064">
        <v>318</v>
      </c>
      <c r="N1064">
        <v>0</v>
      </c>
      <c r="O1064">
        <v>2</v>
      </c>
      <c r="P1064">
        <v>30</v>
      </c>
      <c r="Q1064">
        <v>0</v>
      </c>
      <c r="R1064">
        <f>SUM(Table13[[#This Row],[Rank_All_Ranks_Total]:[Rank_SSPSPAddlSPCommandant]])</f>
        <v>2348</v>
      </c>
    </row>
    <row r="1065" spans="1:18" x14ac:dyDescent="0.3">
      <c r="A1065" t="s">
        <v>18</v>
      </c>
      <c r="B1065">
        <v>2001</v>
      </c>
      <c r="C1065" t="str">
        <f>_xlfn.CONCAT(Table13[[#This Row],[STATE]],"-",Table13[[#This Row],[Year]])</f>
        <v>Kerala-2001</v>
      </c>
      <c r="D1065" t="s">
        <v>71</v>
      </c>
      <c r="E1065" t="s">
        <v>72</v>
      </c>
      <c r="F1065">
        <v>466</v>
      </c>
      <c r="G1065">
        <v>0</v>
      </c>
      <c r="H1065">
        <v>1</v>
      </c>
      <c r="I1065">
        <v>0</v>
      </c>
      <c r="J1065">
        <v>280</v>
      </c>
      <c r="K1065">
        <v>0</v>
      </c>
      <c r="L1065">
        <v>0</v>
      </c>
      <c r="M1065">
        <v>130</v>
      </c>
      <c r="N1065">
        <v>0</v>
      </c>
      <c r="O1065">
        <v>11</v>
      </c>
      <c r="P1065">
        <v>44</v>
      </c>
      <c r="Q1065">
        <v>0</v>
      </c>
      <c r="R1065">
        <f>SUM(Table13[[#This Row],[Rank_All_Ranks_Total]:[Rank_SSPSPAddlSPCommandant]])</f>
        <v>932</v>
      </c>
    </row>
    <row r="1066" spans="1:18" x14ac:dyDescent="0.3">
      <c r="A1066" t="s">
        <v>39</v>
      </c>
      <c r="B1066">
        <v>2001</v>
      </c>
      <c r="C1066" t="str">
        <f>_xlfn.CONCAT(Table13[[#This Row],[STATE]],"-",Table13[[#This Row],[Year]])</f>
        <v>Lakshadweep-2001</v>
      </c>
      <c r="D1066" t="s">
        <v>71</v>
      </c>
      <c r="E1066" t="s">
        <v>72</v>
      </c>
      <c r="F1066">
        <v>17</v>
      </c>
      <c r="G1066">
        <v>0</v>
      </c>
      <c r="H1066">
        <v>0</v>
      </c>
      <c r="I1066">
        <v>0</v>
      </c>
      <c r="J1066">
        <v>16</v>
      </c>
      <c r="K1066">
        <v>0</v>
      </c>
      <c r="L1066">
        <v>0</v>
      </c>
      <c r="M1066">
        <v>1</v>
      </c>
      <c r="N1066">
        <v>0</v>
      </c>
      <c r="O1066">
        <v>0</v>
      </c>
      <c r="P1066">
        <v>0</v>
      </c>
      <c r="Q1066">
        <v>0</v>
      </c>
      <c r="R1066">
        <f>SUM(Table13[[#This Row],[Rank_All_Ranks_Total]:[Rank_SSPSPAddlSPCommandant]])</f>
        <v>34</v>
      </c>
    </row>
    <row r="1067" spans="1:18" x14ac:dyDescent="0.3">
      <c r="A1067" t="s">
        <v>19</v>
      </c>
      <c r="B1067">
        <v>2001</v>
      </c>
      <c r="C1067" t="str">
        <f>_xlfn.CONCAT(Table13[[#This Row],[STATE]],"-",Table13[[#This Row],[Year]])</f>
        <v>Madhya Pradesh-2001</v>
      </c>
      <c r="D1067" t="s">
        <v>71</v>
      </c>
      <c r="E1067" t="s">
        <v>72</v>
      </c>
      <c r="F1067">
        <v>1060</v>
      </c>
      <c r="G1067">
        <v>55</v>
      </c>
      <c r="H1067">
        <v>1</v>
      </c>
      <c r="I1067">
        <v>754</v>
      </c>
      <c r="J1067">
        <v>0</v>
      </c>
      <c r="K1067">
        <v>0</v>
      </c>
      <c r="L1067">
        <v>0</v>
      </c>
      <c r="M1067">
        <v>172</v>
      </c>
      <c r="N1067">
        <v>0</v>
      </c>
      <c r="O1067">
        <v>13</v>
      </c>
      <c r="P1067">
        <v>65</v>
      </c>
      <c r="Q1067">
        <v>0</v>
      </c>
      <c r="R1067">
        <f>SUM(Table13[[#This Row],[Rank_All_Ranks_Total]:[Rank_SSPSPAddlSPCommandant]])</f>
        <v>2120</v>
      </c>
    </row>
    <row r="1068" spans="1:18" x14ac:dyDescent="0.3">
      <c r="A1068" t="s">
        <v>20</v>
      </c>
      <c r="B1068">
        <v>2001</v>
      </c>
      <c r="C1068" t="str">
        <f>_xlfn.CONCAT(Table13[[#This Row],[STATE]],"-",Table13[[#This Row],[Year]])</f>
        <v>Maharashtra-2001</v>
      </c>
      <c r="D1068" t="s">
        <v>71</v>
      </c>
      <c r="E1068" t="s">
        <v>72</v>
      </c>
      <c r="F1068">
        <v>231</v>
      </c>
      <c r="G1068">
        <v>0</v>
      </c>
      <c r="H1068">
        <v>12</v>
      </c>
      <c r="I1068">
        <v>0</v>
      </c>
      <c r="J1068">
        <v>0</v>
      </c>
      <c r="K1068">
        <v>0</v>
      </c>
      <c r="L1068">
        <v>1</v>
      </c>
      <c r="M1068">
        <v>0</v>
      </c>
      <c r="N1068">
        <v>1</v>
      </c>
      <c r="O1068">
        <v>0</v>
      </c>
      <c r="P1068">
        <v>213</v>
      </c>
      <c r="Q1068">
        <v>4</v>
      </c>
      <c r="R1068">
        <f>SUM(Table13[[#This Row],[Rank_All_Ranks_Total]:[Rank_SSPSPAddlSPCommandant]])</f>
        <v>462</v>
      </c>
    </row>
    <row r="1069" spans="1:18" x14ac:dyDescent="0.3">
      <c r="A1069" t="s">
        <v>21</v>
      </c>
      <c r="B1069">
        <v>2001</v>
      </c>
      <c r="C1069" t="str">
        <f>_xlfn.CONCAT(Table13[[#This Row],[STATE]],"-",Table13[[#This Row],[Year]])</f>
        <v>Manipur-2001</v>
      </c>
      <c r="D1069" t="s">
        <v>71</v>
      </c>
      <c r="E1069" t="s">
        <v>72</v>
      </c>
      <c r="F1069">
        <v>250</v>
      </c>
      <c r="G1069">
        <v>0</v>
      </c>
      <c r="H1069">
        <v>0</v>
      </c>
      <c r="I1069">
        <v>3</v>
      </c>
      <c r="J1069">
        <v>242</v>
      </c>
      <c r="K1069">
        <v>0</v>
      </c>
      <c r="L1069">
        <v>0</v>
      </c>
      <c r="M1069">
        <v>3</v>
      </c>
      <c r="N1069">
        <v>0</v>
      </c>
      <c r="O1069">
        <v>0</v>
      </c>
      <c r="P1069">
        <v>2</v>
      </c>
      <c r="Q1069">
        <v>0</v>
      </c>
      <c r="R1069">
        <f>SUM(Table13[[#This Row],[Rank_All_Ranks_Total]:[Rank_SSPSPAddlSPCommandant]])</f>
        <v>500</v>
      </c>
    </row>
    <row r="1070" spans="1:18" x14ac:dyDescent="0.3">
      <c r="A1070" t="s">
        <v>22</v>
      </c>
      <c r="B1070">
        <v>2001</v>
      </c>
      <c r="C1070" t="str">
        <f>_xlfn.CONCAT(Table13[[#This Row],[STATE]],"-",Table13[[#This Row],[Year]])</f>
        <v>Meghalaya-2001</v>
      </c>
      <c r="D1070" t="s">
        <v>71</v>
      </c>
      <c r="E1070" t="s">
        <v>72</v>
      </c>
      <c r="F1070">
        <v>131</v>
      </c>
      <c r="G1070">
        <v>25</v>
      </c>
      <c r="H1070">
        <v>0</v>
      </c>
      <c r="I1070">
        <v>0</v>
      </c>
      <c r="J1070">
        <v>96</v>
      </c>
      <c r="K1070">
        <v>0</v>
      </c>
      <c r="L1070">
        <v>0</v>
      </c>
      <c r="M1070">
        <v>0</v>
      </c>
      <c r="N1070">
        <v>0</v>
      </c>
      <c r="O1070">
        <v>1</v>
      </c>
      <c r="P1070">
        <v>9</v>
      </c>
      <c r="Q1070">
        <v>0</v>
      </c>
      <c r="R1070">
        <f>SUM(Table13[[#This Row],[Rank_All_Ranks_Total]:[Rank_SSPSPAddlSPCommandant]])</f>
        <v>262</v>
      </c>
    </row>
    <row r="1071" spans="1:18" x14ac:dyDescent="0.3">
      <c r="A1071" t="s">
        <v>23</v>
      </c>
      <c r="B1071">
        <v>2001</v>
      </c>
      <c r="C1071" t="str">
        <f>_xlfn.CONCAT(Table13[[#This Row],[STATE]],"-",Table13[[#This Row],[Year]])</f>
        <v>Mizoram-2001</v>
      </c>
      <c r="D1071" t="s">
        <v>71</v>
      </c>
      <c r="E1071" t="s">
        <v>72</v>
      </c>
      <c r="F1071">
        <v>95</v>
      </c>
      <c r="G1071">
        <v>6</v>
      </c>
      <c r="H1071">
        <v>0</v>
      </c>
      <c r="I1071">
        <v>0</v>
      </c>
      <c r="J1071">
        <v>80</v>
      </c>
      <c r="K1071">
        <v>0</v>
      </c>
      <c r="L1071">
        <v>0</v>
      </c>
      <c r="M1071">
        <v>2</v>
      </c>
      <c r="N1071">
        <v>0</v>
      </c>
      <c r="O1071">
        <v>4</v>
      </c>
      <c r="P1071">
        <v>3</v>
      </c>
      <c r="Q1071">
        <v>0</v>
      </c>
      <c r="R1071">
        <f>SUM(Table13[[#This Row],[Rank_All_Ranks_Total]:[Rank_SSPSPAddlSPCommandant]])</f>
        <v>190</v>
      </c>
    </row>
    <row r="1072" spans="1:18" x14ac:dyDescent="0.3">
      <c r="A1072" t="s">
        <v>24</v>
      </c>
      <c r="B1072">
        <v>2001</v>
      </c>
      <c r="C1072" t="str">
        <f>_xlfn.CONCAT(Table13[[#This Row],[STATE]],"-",Table13[[#This Row],[Year]])</f>
        <v>Nagaland-2001</v>
      </c>
      <c r="D1072" t="s">
        <v>71</v>
      </c>
      <c r="E1072" t="s">
        <v>72</v>
      </c>
      <c r="F1072">
        <v>836</v>
      </c>
      <c r="G1072">
        <v>30</v>
      </c>
      <c r="H1072">
        <v>4</v>
      </c>
      <c r="I1072">
        <v>99</v>
      </c>
      <c r="J1072">
        <v>593</v>
      </c>
      <c r="K1072">
        <v>0</v>
      </c>
      <c r="L1072">
        <v>0</v>
      </c>
      <c r="M1072">
        <v>68</v>
      </c>
      <c r="N1072">
        <v>0</v>
      </c>
      <c r="O1072">
        <v>7</v>
      </c>
      <c r="P1072">
        <v>33</v>
      </c>
      <c r="Q1072">
        <v>2</v>
      </c>
      <c r="R1072">
        <f>SUM(Table13[[#This Row],[Rank_All_Ranks_Total]:[Rank_SSPSPAddlSPCommandant]])</f>
        <v>1672</v>
      </c>
    </row>
    <row r="1073" spans="1:18" x14ac:dyDescent="0.3">
      <c r="A1073" t="s">
        <v>63</v>
      </c>
      <c r="B1073">
        <v>2001</v>
      </c>
      <c r="C1073" t="str">
        <f>_xlfn.CONCAT(Table13[[#This Row],[STATE]],"-",Table13[[#This Row],[Year]])</f>
        <v>Odisha-2001</v>
      </c>
      <c r="D1073" t="s">
        <v>71</v>
      </c>
      <c r="E1073" t="s">
        <v>72</v>
      </c>
      <c r="F1073">
        <v>316</v>
      </c>
      <c r="G1073">
        <v>36</v>
      </c>
      <c r="H1073">
        <v>1</v>
      </c>
      <c r="I1073">
        <v>0</v>
      </c>
      <c r="J1073">
        <v>231</v>
      </c>
      <c r="K1073">
        <v>0</v>
      </c>
      <c r="L1073">
        <v>0</v>
      </c>
      <c r="M1073">
        <v>0</v>
      </c>
      <c r="N1073">
        <v>0</v>
      </c>
      <c r="O1073">
        <v>10</v>
      </c>
      <c r="P1073">
        <v>38</v>
      </c>
      <c r="Q1073">
        <v>0</v>
      </c>
      <c r="R1073">
        <f>SUM(Table13[[#This Row],[Rank_All_Ranks_Total]:[Rank_SSPSPAddlSPCommandant]])</f>
        <v>632</v>
      </c>
    </row>
    <row r="1074" spans="1:18" x14ac:dyDescent="0.3">
      <c r="A1074" t="s">
        <v>64</v>
      </c>
      <c r="B1074">
        <v>2001</v>
      </c>
      <c r="C1074" t="str">
        <f>_xlfn.CONCAT(Table13[[#This Row],[STATE]],"-",Table13[[#This Row],[Year]])</f>
        <v>Puducherry-2001</v>
      </c>
      <c r="D1074" t="s">
        <v>71</v>
      </c>
      <c r="E1074" t="s">
        <v>72</v>
      </c>
      <c r="F1074">
        <v>79</v>
      </c>
      <c r="G1074">
        <v>1</v>
      </c>
      <c r="H1074">
        <v>0</v>
      </c>
      <c r="I1074">
        <v>0</v>
      </c>
      <c r="J1074">
        <v>70</v>
      </c>
      <c r="K1074">
        <v>0</v>
      </c>
      <c r="L1074">
        <v>0</v>
      </c>
      <c r="M1074">
        <v>6</v>
      </c>
      <c r="N1074">
        <v>0</v>
      </c>
      <c r="O1074">
        <v>1</v>
      </c>
      <c r="P1074">
        <v>1</v>
      </c>
      <c r="Q1074">
        <v>0</v>
      </c>
      <c r="R1074">
        <f>SUM(Table13[[#This Row],[Rank_All_Ranks_Total]:[Rank_SSPSPAddlSPCommandant]])</f>
        <v>158</v>
      </c>
    </row>
    <row r="1075" spans="1:18" x14ac:dyDescent="0.3">
      <c r="A1075" t="s">
        <v>26</v>
      </c>
      <c r="B1075">
        <v>2001</v>
      </c>
      <c r="C1075" t="str">
        <f>_xlfn.CONCAT(Table13[[#This Row],[STATE]],"-",Table13[[#This Row],[Year]])</f>
        <v>Punjab-2001</v>
      </c>
      <c r="D1075" t="s">
        <v>71</v>
      </c>
      <c r="E1075" t="s">
        <v>72</v>
      </c>
      <c r="F1075">
        <v>1051</v>
      </c>
      <c r="G1075">
        <v>34</v>
      </c>
      <c r="H1075">
        <v>2</v>
      </c>
      <c r="I1075">
        <v>0</v>
      </c>
      <c r="J1075">
        <v>851</v>
      </c>
      <c r="K1075">
        <v>0</v>
      </c>
      <c r="L1075">
        <v>0</v>
      </c>
      <c r="M1075">
        <v>123</v>
      </c>
      <c r="N1075">
        <v>0</v>
      </c>
      <c r="O1075">
        <v>7</v>
      </c>
      <c r="P1075">
        <v>28</v>
      </c>
      <c r="Q1075">
        <v>6</v>
      </c>
      <c r="R1075">
        <f>SUM(Table13[[#This Row],[Rank_All_Ranks_Total]:[Rank_SSPSPAddlSPCommandant]])</f>
        <v>2102</v>
      </c>
    </row>
    <row r="1076" spans="1:18" x14ac:dyDescent="0.3">
      <c r="A1076" t="s">
        <v>27</v>
      </c>
      <c r="B1076">
        <v>2001</v>
      </c>
      <c r="C1076" t="str">
        <f>_xlfn.CONCAT(Table13[[#This Row],[STATE]],"-",Table13[[#This Row],[Year]])</f>
        <v>Rajasthan-2001</v>
      </c>
      <c r="D1076" t="s">
        <v>71</v>
      </c>
      <c r="E1076" t="s">
        <v>72</v>
      </c>
      <c r="F1076">
        <v>722</v>
      </c>
      <c r="G1076">
        <v>17</v>
      </c>
      <c r="H1076">
        <v>2</v>
      </c>
      <c r="I1076">
        <v>0</v>
      </c>
      <c r="J1076">
        <v>640</v>
      </c>
      <c r="K1076">
        <v>0</v>
      </c>
      <c r="L1076">
        <v>0</v>
      </c>
      <c r="M1076">
        <v>23</v>
      </c>
      <c r="N1076">
        <v>0</v>
      </c>
      <c r="O1076">
        <v>2</v>
      </c>
      <c r="P1076">
        <v>36</v>
      </c>
      <c r="Q1076">
        <v>2</v>
      </c>
      <c r="R1076">
        <f>SUM(Table13[[#This Row],[Rank_All_Ranks_Total]:[Rank_SSPSPAddlSPCommandant]])</f>
        <v>1444</v>
      </c>
    </row>
    <row r="1077" spans="1:18" x14ac:dyDescent="0.3">
      <c r="A1077" t="s">
        <v>28</v>
      </c>
      <c r="B1077">
        <v>2001</v>
      </c>
      <c r="C1077" t="str">
        <f>_xlfn.CONCAT(Table13[[#This Row],[STATE]],"-",Table13[[#This Row],[Year]])</f>
        <v>Sikkim-2001</v>
      </c>
      <c r="D1077" t="s">
        <v>71</v>
      </c>
      <c r="E1077" t="s">
        <v>72</v>
      </c>
      <c r="F1077">
        <v>108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88</v>
      </c>
      <c r="N1077">
        <v>0</v>
      </c>
      <c r="O1077">
        <v>0</v>
      </c>
      <c r="P1077">
        <v>19</v>
      </c>
      <c r="Q1077">
        <v>1</v>
      </c>
      <c r="R1077">
        <f>SUM(Table13[[#This Row],[Rank_All_Ranks_Total]:[Rank_SSPSPAddlSPCommandant]])</f>
        <v>216</v>
      </c>
    </row>
    <row r="1078" spans="1:18" x14ac:dyDescent="0.3">
      <c r="A1078" t="s">
        <v>42</v>
      </c>
      <c r="B1078">
        <v>2001</v>
      </c>
      <c r="C1078" t="str">
        <f>_xlfn.CONCAT(Table13[[#This Row],[STATE]],"-",Table13[[#This Row],[Year]])</f>
        <v>Tamil Nadu-2001</v>
      </c>
      <c r="D1078" t="s">
        <v>71</v>
      </c>
      <c r="E1078" t="s">
        <v>72</v>
      </c>
      <c r="F1078">
        <v>2054</v>
      </c>
      <c r="G1078">
        <v>0</v>
      </c>
      <c r="H1078">
        <v>26</v>
      </c>
      <c r="I1078">
        <v>127</v>
      </c>
      <c r="J1078">
        <v>1494</v>
      </c>
      <c r="K1078">
        <v>2</v>
      </c>
      <c r="L1078">
        <v>1</v>
      </c>
      <c r="M1078">
        <v>214</v>
      </c>
      <c r="N1078">
        <v>1</v>
      </c>
      <c r="O1078">
        <v>78</v>
      </c>
      <c r="P1078">
        <v>105</v>
      </c>
      <c r="Q1078">
        <v>6</v>
      </c>
      <c r="R1078">
        <f>SUM(Table13[[#This Row],[Rank_All_Ranks_Total]:[Rank_SSPSPAddlSPCommandant]])</f>
        <v>4108</v>
      </c>
    </row>
    <row r="1079" spans="1:18" x14ac:dyDescent="0.3">
      <c r="A1079" t="s">
        <v>30</v>
      </c>
      <c r="B1079">
        <v>2001</v>
      </c>
      <c r="C1079" t="str">
        <f>_xlfn.CONCAT(Table13[[#This Row],[STATE]],"-",Table13[[#This Row],[Year]])</f>
        <v>Tripura-2001</v>
      </c>
      <c r="D1079" t="s">
        <v>71</v>
      </c>
      <c r="E1079" t="s">
        <v>72</v>
      </c>
      <c r="F1079">
        <v>213</v>
      </c>
      <c r="G1079">
        <v>17</v>
      </c>
      <c r="H1079">
        <v>2</v>
      </c>
      <c r="I1079">
        <v>0</v>
      </c>
      <c r="J1079">
        <v>171</v>
      </c>
      <c r="K1079">
        <v>0</v>
      </c>
      <c r="L1079">
        <v>0</v>
      </c>
      <c r="M1079">
        <v>6</v>
      </c>
      <c r="N1079">
        <v>0</v>
      </c>
      <c r="O1079">
        <v>1</v>
      </c>
      <c r="P1079">
        <v>15</v>
      </c>
      <c r="Q1079">
        <v>1</v>
      </c>
      <c r="R1079">
        <f>SUM(Table13[[#This Row],[Rank_All_Ranks_Total]:[Rank_SSPSPAddlSPCommandant]])</f>
        <v>426</v>
      </c>
    </row>
    <row r="1080" spans="1:18" x14ac:dyDescent="0.3">
      <c r="A1080" t="s">
        <v>31</v>
      </c>
      <c r="B1080">
        <v>2001</v>
      </c>
      <c r="C1080" t="str">
        <f>_xlfn.CONCAT(Table13[[#This Row],[STATE]],"-",Table13[[#This Row],[Year]])</f>
        <v>Uttar Pradesh-2001</v>
      </c>
      <c r="D1080" t="s">
        <v>71</v>
      </c>
      <c r="E1080" t="s">
        <v>72</v>
      </c>
      <c r="F1080">
        <v>1900</v>
      </c>
      <c r="G1080">
        <v>0</v>
      </c>
      <c r="H1080">
        <v>24</v>
      </c>
      <c r="I1080">
        <v>0</v>
      </c>
      <c r="J1080">
        <v>1536</v>
      </c>
      <c r="K1080">
        <v>0</v>
      </c>
      <c r="L1080">
        <v>1</v>
      </c>
      <c r="M1080">
        <v>140</v>
      </c>
      <c r="N1080">
        <v>1</v>
      </c>
      <c r="O1080">
        <v>11</v>
      </c>
      <c r="P1080">
        <v>181</v>
      </c>
      <c r="Q1080">
        <v>6</v>
      </c>
      <c r="R1080">
        <f>SUM(Table13[[#This Row],[Rank_All_Ranks_Total]:[Rank_SSPSPAddlSPCommandant]])</f>
        <v>3800</v>
      </c>
    </row>
    <row r="1081" spans="1:18" x14ac:dyDescent="0.3">
      <c r="A1081" t="s">
        <v>65</v>
      </c>
      <c r="B1081">
        <v>2001</v>
      </c>
      <c r="C1081" t="str">
        <f>_xlfn.CONCAT(Table13[[#This Row],[STATE]],"-",Table13[[#This Row],[Year]])</f>
        <v>Uttarakhand-2001</v>
      </c>
      <c r="D1081" t="s">
        <v>71</v>
      </c>
      <c r="E1081" t="s">
        <v>72</v>
      </c>
      <c r="F1081">
        <v>174</v>
      </c>
      <c r="G1081">
        <v>0</v>
      </c>
      <c r="H1081">
        <v>1</v>
      </c>
      <c r="I1081">
        <v>0</v>
      </c>
      <c r="J1081">
        <v>159</v>
      </c>
      <c r="K1081">
        <v>0</v>
      </c>
      <c r="L1081">
        <v>0</v>
      </c>
      <c r="M1081">
        <v>9</v>
      </c>
      <c r="N1081">
        <v>0</v>
      </c>
      <c r="O1081">
        <v>0</v>
      </c>
      <c r="P1081">
        <v>5</v>
      </c>
      <c r="Q1081">
        <v>0</v>
      </c>
      <c r="R1081">
        <f>SUM(Table13[[#This Row],[Rank_All_Ranks_Total]:[Rank_SSPSPAddlSPCommandant]])</f>
        <v>348</v>
      </c>
    </row>
    <row r="1082" spans="1:18" x14ac:dyDescent="0.3">
      <c r="A1082" t="s">
        <v>33</v>
      </c>
      <c r="B1082">
        <v>2001</v>
      </c>
      <c r="C1082" t="str">
        <f>_xlfn.CONCAT(Table13[[#This Row],[STATE]],"-",Table13[[#This Row],[Year]])</f>
        <v>West Bengal-2001</v>
      </c>
      <c r="D1082" t="s">
        <v>71</v>
      </c>
      <c r="E1082" t="s">
        <v>72</v>
      </c>
      <c r="F1082">
        <v>1017</v>
      </c>
      <c r="G1082">
        <v>85</v>
      </c>
      <c r="H1082">
        <v>7</v>
      </c>
      <c r="I1082">
        <v>0</v>
      </c>
      <c r="J1082">
        <v>798</v>
      </c>
      <c r="K1082">
        <v>0</v>
      </c>
      <c r="L1082">
        <v>1</v>
      </c>
      <c r="M1082">
        <v>0</v>
      </c>
      <c r="N1082">
        <v>0</v>
      </c>
      <c r="O1082">
        <v>15</v>
      </c>
      <c r="P1082">
        <v>108</v>
      </c>
      <c r="Q1082">
        <v>3</v>
      </c>
      <c r="R1082">
        <f>SUM(Table13[[#This Row],[Rank_All_Ranks_Total]:[Rank_SSPSPAddlSPCommandant]])</f>
        <v>2034</v>
      </c>
    </row>
    <row r="1083" spans="1:18" x14ac:dyDescent="0.3">
      <c r="A1083" t="s">
        <v>59</v>
      </c>
      <c r="B1083">
        <v>2002</v>
      </c>
      <c r="C1083" t="str">
        <f>_xlfn.CONCAT(Table13[[#This Row],[STATE]],"-",Table13[[#This Row],[Year]])</f>
        <v>Andaman &amp; Nicobar Islands-2002</v>
      </c>
      <c r="D1083" t="s">
        <v>71</v>
      </c>
      <c r="E1083" t="s">
        <v>72</v>
      </c>
      <c r="F1083">
        <v>111</v>
      </c>
      <c r="G1083">
        <v>6</v>
      </c>
      <c r="H1083">
        <v>1</v>
      </c>
      <c r="I1083">
        <v>0</v>
      </c>
      <c r="J1083">
        <v>92</v>
      </c>
      <c r="K1083">
        <v>0</v>
      </c>
      <c r="L1083">
        <v>0</v>
      </c>
      <c r="M1083">
        <v>10</v>
      </c>
      <c r="N1083">
        <v>0</v>
      </c>
      <c r="O1083">
        <v>0</v>
      </c>
      <c r="P1083">
        <v>2</v>
      </c>
      <c r="Q1083">
        <v>0</v>
      </c>
      <c r="R1083">
        <f>SUM(Table13[[#This Row],[Rank_All_Ranks_Total]:[Rank_SSPSPAddlSPCommandant]])</f>
        <v>222</v>
      </c>
    </row>
    <row r="1084" spans="1:18" x14ac:dyDescent="0.3">
      <c r="A1084" t="s">
        <v>6</v>
      </c>
      <c r="B1084">
        <v>2002</v>
      </c>
      <c r="C1084" t="str">
        <f>_xlfn.CONCAT(Table13[[#This Row],[STATE]],"-",Table13[[#This Row],[Year]])</f>
        <v>Andhra Pradesh-2002</v>
      </c>
      <c r="D1084" t="s">
        <v>71</v>
      </c>
      <c r="E1084" t="s">
        <v>72</v>
      </c>
      <c r="F1084">
        <v>1300</v>
      </c>
      <c r="G1084">
        <v>0</v>
      </c>
      <c r="H1084">
        <v>0</v>
      </c>
      <c r="I1084">
        <v>0</v>
      </c>
      <c r="J1084">
        <v>1228</v>
      </c>
      <c r="K1084">
        <v>0</v>
      </c>
      <c r="L1084">
        <v>0</v>
      </c>
      <c r="M1084">
        <v>47</v>
      </c>
      <c r="N1084">
        <v>0</v>
      </c>
      <c r="O1084">
        <v>0</v>
      </c>
      <c r="P1084">
        <v>25</v>
      </c>
      <c r="Q1084">
        <v>0</v>
      </c>
      <c r="R1084">
        <f>SUM(Table13[[#This Row],[Rank_All_Ranks_Total]:[Rank_SSPSPAddlSPCommandant]])</f>
        <v>2600</v>
      </c>
    </row>
    <row r="1085" spans="1:18" x14ac:dyDescent="0.3">
      <c r="A1085" t="s">
        <v>7</v>
      </c>
      <c r="B1085">
        <v>2002</v>
      </c>
      <c r="C1085" t="str">
        <f>_xlfn.CONCAT(Table13[[#This Row],[STATE]],"-",Table13[[#This Row],[Year]])</f>
        <v>Arunachal Pradesh-2002</v>
      </c>
      <c r="D1085" t="s">
        <v>71</v>
      </c>
      <c r="E1085" t="s">
        <v>72</v>
      </c>
      <c r="F1085">
        <v>138</v>
      </c>
      <c r="G1085">
        <v>5</v>
      </c>
      <c r="H1085">
        <v>0</v>
      </c>
      <c r="I1085">
        <v>0</v>
      </c>
      <c r="J1085">
        <v>114</v>
      </c>
      <c r="K1085">
        <v>0</v>
      </c>
      <c r="L1085">
        <v>0</v>
      </c>
      <c r="M1085">
        <v>11</v>
      </c>
      <c r="N1085">
        <v>0</v>
      </c>
      <c r="O1085">
        <v>0</v>
      </c>
      <c r="P1085">
        <v>8</v>
      </c>
      <c r="Q1085">
        <v>0</v>
      </c>
      <c r="R1085">
        <f>SUM(Table13[[#This Row],[Rank_All_Ranks_Total]:[Rank_SSPSPAddlSPCommandant]])</f>
        <v>276</v>
      </c>
    </row>
    <row r="1086" spans="1:18" x14ac:dyDescent="0.3">
      <c r="A1086" t="s">
        <v>8</v>
      </c>
      <c r="B1086">
        <v>2002</v>
      </c>
      <c r="C1086" t="str">
        <f>_xlfn.CONCAT(Table13[[#This Row],[STATE]],"-",Table13[[#This Row],[Year]])</f>
        <v>Assam-2002</v>
      </c>
      <c r="D1086" t="s">
        <v>71</v>
      </c>
      <c r="E1086" t="s">
        <v>72</v>
      </c>
      <c r="F1086">
        <v>223</v>
      </c>
      <c r="G1086">
        <v>5</v>
      </c>
      <c r="H1086">
        <v>0</v>
      </c>
      <c r="I1086">
        <v>8</v>
      </c>
      <c r="J1086">
        <v>185</v>
      </c>
      <c r="K1086">
        <v>0</v>
      </c>
      <c r="L1086">
        <v>0</v>
      </c>
      <c r="M1086">
        <v>8</v>
      </c>
      <c r="N1086">
        <v>0</v>
      </c>
      <c r="O1086">
        <v>0</v>
      </c>
      <c r="P1086">
        <v>17</v>
      </c>
      <c r="Q1086">
        <v>0</v>
      </c>
      <c r="R1086">
        <f>SUM(Table13[[#This Row],[Rank_All_Ranks_Total]:[Rank_SSPSPAddlSPCommandant]])</f>
        <v>446</v>
      </c>
    </row>
    <row r="1087" spans="1:18" x14ac:dyDescent="0.3">
      <c r="A1087" t="s">
        <v>9</v>
      </c>
      <c r="B1087">
        <v>2002</v>
      </c>
      <c r="C1087" t="str">
        <f>_xlfn.CONCAT(Table13[[#This Row],[STATE]],"-",Table13[[#This Row],[Year]])</f>
        <v>Bihar-2002</v>
      </c>
      <c r="D1087" t="s">
        <v>71</v>
      </c>
      <c r="E1087" t="s">
        <v>72</v>
      </c>
      <c r="F1087">
        <v>901</v>
      </c>
      <c r="G1087">
        <v>11</v>
      </c>
      <c r="H1087">
        <v>4</v>
      </c>
      <c r="I1087">
        <v>0</v>
      </c>
      <c r="J1087">
        <v>805</v>
      </c>
      <c r="K1087">
        <v>0</v>
      </c>
      <c r="L1087">
        <v>0</v>
      </c>
      <c r="M1087">
        <v>25</v>
      </c>
      <c r="N1087">
        <v>0</v>
      </c>
      <c r="O1087">
        <v>1</v>
      </c>
      <c r="P1087">
        <v>51</v>
      </c>
      <c r="Q1087">
        <v>4</v>
      </c>
      <c r="R1087">
        <f>SUM(Table13[[#This Row],[Rank_All_Ranks_Total]:[Rank_SSPSPAddlSPCommandant]])</f>
        <v>1802</v>
      </c>
    </row>
    <row r="1088" spans="1:18" x14ac:dyDescent="0.3">
      <c r="A1088" t="s">
        <v>35</v>
      </c>
      <c r="B1088">
        <v>2002</v>
      </c>
      <c r="C1088" t="str">
        <f>_xlfn.CONCAT(Table13[[#This Row],[STATE]],"-",Table13[[#This Row],[Year]])</f>
        <v>Chandigarh-2002</v>
      </c>
      <c r="D1088" t="s">
        <v>71</v>
      </c>
      <c r="E1088" t="s">
        <v>72</v>
      </c>
      <c r="F1088">
        <v>231</v>
      </c>
      <c r="G1088">
        <v>8</v>
      </c>
      <c r="H1088">
        <v>0</v>
      </c>
      <c r="I1088">
        <v>0</v>
      </c>
      <c r="J1088">
        <v>190</v>
      </c>
      <c r="K1088">
        <v>0</v>
      </c>
      <c r="L1088">
        <v>0</v>
      </c>
      <c r="M1088">
        <v>13</v>
      </c>
      <c r="N1088">
        <v>0</v>
      </c>
      <c r="O1088">
        <v>0</v>
      </c>
      <c r="P1088">
        <v>20</v>
      </c>
      <c r="Q1088">
        <v>0</v>
      </c>
      <c r="R1088">
        <f>SUM(Table13[[#This Row],[Rank_All_Ranks_Total]:[Rank_SSPSPAddlSPCommandant]])</f>
        <v>462</v>
      </c>
    </row>
    <row r="1089" spans="1:18" x14ac:dyDescent="0.3">
      <c r="A1089" t="s">
        <v>10</v>
      </c>
      <c r="B1089">
        <v>2002</v>
      </c>
      <c r="C1089" t="str">
        <f>_xlfn.CONCAT(Table13[[#This Row],[STATE]],"-",Table13[[#This Row],[Year]])</f>
        <v>Chhattisgarh-2002</v>
      </c>
      <c r="D1089" t="s">
        <v>71</v>
      </c>
      <c r="E1089" t="s">
        <v>72</v>
      </c>
      <c r="F1089">
        <v>410</v>
      </c>
      <c r="G1089">
        <v>10</v>
      </c>
      <c r="H1089">
        <v>0</v>
      </c>
      <c r="I1089">
        <v>0</v>
      </c>
      <c r="J1089">
        <v>252</v>
      </c>
      <c r="K1089">
        <v>0</v>
      </c>
      <c r="L1089">
        <v>0</v>
      </c>
      <c r="M1089">
        <v>86</v>
      </c>
      <c r="N1089">
        <v>0</v>
      </c>
      <c r="O1089">
        <v>25</v>
      </c>
      <c r="P1089">
        <v>37</v>
      </c>
      <c r="Q1089">
        <v>0</v>
      </c>
      <c r="R1089">
        <f>SUM(Table13[[#This Row],[Rank_All_Ranks_Total]:[Rank_SSPSPAddlSPCommandant]])</f>
        <v>820</v>
      </c>
    </row>
    <row r="1090" spans="1:18" x14ac:dyDescent="0.3">
      <c r="A1090" t="s">
        <v>62</v>
      </c>
      <c r="B1090">
        <v>2002</v>
      </c>
      <c r="C1090" t="str">
        <f>_xlfn.CONCAT(Table13[[#This Row],[STATE]],"-",Table13[[#This Row],[Year]])</f>
        <v>Dadra &amp; Nagar Haveli-2002</v>
      </c>
      <c r="D1090" t="s">
        <v>71</v>
      </c>
      <c r="E1090" t="s">
        <v>72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f>SUM(Table13[[#This Row],[Rank_All_Ranks_Total]:[Rank_SSPSPAddlSPCommandant]])</f>
        <v>0</v>
      </c>
    </row>
    <row r="1091" spans="1:18" x14ac:dyDescent="0.3">
      <c r="A1091" t="s">
        <v>37</v>
      </c>
      <c r="B1091">
        <v>2002</v>
      </c>
      <c r="C1091" t="str">
        <f>_xlfn.CONCAT(Table13[[#This Row],[STATE]],"-",Table13[[#This Row],[Year]])</f>
        <v>Daman &amp; Diu-2002</v>
      </c>
      <c r="D1091" t="s">
        <v>71</v>
      </c>
      <c r="E1091" t="s">
        <v>72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f>SUM(Table13[[#This Row],[Rank_All_Ranks_Total]:[Rank_SSPSPAddlSPCommandant]])</f>
        <v>0</v>
      </c>
    </row>
    <row r="1092" spans="1:18" x14ac:dyDescent="0.3">
      <c r="A1092" t="s">
        <v>38</v>
      </c>
      <c r="B1092">
        <v>2002</v>
      </c>
      <c r="C1092" t="str">
        <f>_xlfn.CONCAT(Table13[[#This Row],[STATE]],"-",Table13[[#This Row],[Year]])</f>
        <v>Delhi-2002</v>
      </c>
      <c r="D1092" t="s">
        <v>71</v>
      </c>
      <c r="E1092" t="s">
        <v>72</v>
      </c>
      <c r="F1092">
        <v>2009</v>
      </c>
      <c r="G1092">
        <v>245</v>
      </c>
      <c r="H1092">
        <v>1</v>
      </c>
      <c r="I1092">
        <v>0</v>
      </c>
      <c r="J1092">
        <v>998</v>
      </c>
      <c r="K1092">
        <v>0</v>
      </c>
      <c r="L1092">
        <v>0</v>
      </c>
      <c r="M1092">
        <v>550</v>
      </c>
      <c r="N1092">
        <v>0</v>
      </c>
      <c r="O1092">
        <v>60</v>
      </c>
      <c r="P1092">
        <v>155</v>
      </c>
      <c r="Q1092">
        <v>0</v>
      </c>
      <c r="R1092">
        <f>SUM(Table13[[#This Row],[Rank_All_Ranks_Total]:[Rank_SSPSPAddlSPCommandant]])</f>
        <v>4018</v>
      </c>
    </row>
    <row r="1093" spans="1:18" x14ac:dyDescent="0.3">
      <c r="A1093" t="s">
        <v>11</v>
      </c>
      <c r="B1093">
        <v>2002</v>
      </c>
      <c r="C1093" t="str">
        <f>_xlfn.CONCAT(Table13[[#This Row],[STATE]],"-",Table13[[#This Row],[Year]])</f>
        <v>Goa-2002</v>
      </c>
      <c r="D1093" t="s">
        <v>71</v>
      </c>
      <c r="E1093" t="s">
        <v>72</v>
      </c>
      <c r="F1093">
        <v>236</v>
      </c>
      <c r="G1093">
        <v>6</v>
      </c>
      <c r="H1093">
        <v>1</v>
      </c>
      <c r="I1093">
        <v>0</v>
      </c>
      <c r="J1093">
        <v>188</v>
      </c>
      <c r="K1093">
        <v>0</v>
      </c>
      <c r="L1093">
        <v>0</v>
      </c>
      <c r="M1093">
        <v>28</v>
      </c>
      <c r="N1093">
        <v>0</v>
      </c>
      <c r="O1093">
        <v>7</v>
      </c>
      <c r="P1093">
        <v>6</v>
      </c>
      <c r="Q1093">
        <v>0</v>
      </c>
      <c r="R1093">
        <f>SUM(Table13[[#This Row],[Rank_All_Ranks_Total]:[Rank_SSPSPAddlSPCommandant]])</f>
        <v>472</v>
      </c>
    </row>
    <row r="1094" spans="1:18" x14ac:dyDescent="0.3">
      <c r="A1094" t="s">
        <v>12</v>
      </c>
      <c r="B1094">
        <v>2002</v>
      </c>
      <c r="C1094" t="str">
        <f>_xlfn.CONCAT(Table13[[#This Row],[STATE]],"-",Table13[[#This Row],[Year]])</f>
        <v>Gujarat-2002</v>
      </c>
      <c r="D1094" t="s">
        <v>71</v>
      </c>
      <c r="E1094" t="s">
        <v>72</v>
      </c>
      <c r="F1094">
        <v>1658</v>
      </c>
      <c r="G1094">
        <v>107</v>
      </c>
      <c r="H1094">
        <v>0</v>
      </c>
      <c r="I1094">
        <v>0</v>
      </c>
      <c r="J1094">
        <v>1256</v>
      </c>
      <c r="K1094">
        <v>0</v>
      </c>
      <c r="L1094">
        <v>0</v>
      </c>
      <c r="M1094">
        <v>252</v>
      </c>
      <c r="N1094">
        <v>0</v>
      </c>
      <c r="O1094">
        <v>11</v>
      </c>
      <c r="P1094">
        <v>32</v>
      </c>
      <c r="Q1094">
        <v>0</v>
      </c>
      <c r="R1094">
        <f>SUM(Table13[[#This Row],[Rank_All_Ranks_Total]:[Rank_SSPSPAddlSPCommandant]])</f>
        <v>3316</v>
      </c>
    </row>
    <row r="1095" spans="1:18" x14ac:dyDescent="0.3">
      <c r="A1095" t="s">
        <v>13</v>
      </c>
      <c r="B1095">
        <v>2002</v>
      </c>
      <c r="C1095" t="str">
        <f>_xlfn.CONCAT(Table13[[#This Row],[STATE]],"-",Table13[[#This Row],[Year]])</f>
        <v>Haryana-2002</v>
      </c>
      <c r="D1095" t="s">
        <v>71</v>
      </c>
      <c r="E1095" t="s">
        <v>72</v>
      </c>
      <c r="F1095">
        <v>503</v>
      </c>
      <c r="G1095">
        <v>36</v>
      </c>
      <c r="H1095">
        <v>0</v>
      </c>
      <c r="I1095">
        <v>0</v>
      </c>
      <c r="J1095">
        <v>368</v>
      </c>
      <c r="K1095">
        <v>0</v>
      </c>
      <c r="L1095">
        <v>0</v>
      </c>
      <c r="M1095">
        <v>75</v>
      </c>
      <c r="N1095">
        <v>0</v>
      </c>
      <c r="O1095">
        <v>4</v>
      </c>
      <c r="P1095">
        <v>20</v>
      </c>
      <c r="Q1095">
        <v>0</v>
      </c>
      <c r="R1095">
        <f>SUM(Table13[[#This Row],[Rank_All_Ranks_Total]:[Rank_SSPSPAddlSPCommandant]])</f>
        <v>1006</v>
      </c>
    </row>
    <row r="1096" spans="1:18" x14ac:dyDescent="0.3">
      <c r="A1096" t="s">
        <v>14</v>
      </c>
      <c r="B1096">
        <v>2002</v>
      </c>
      <c r="C1096" t="str">
        <f>_xlfn.CONCAT(Table13[[#This Row],[STATE]],"-",Table13[[#This Row],[Year]])</f>
        <v>Himachal Pradesh-2002</v>
      </c>
      <c r="D1096" t="s">
        <v>71</v>
      </c>
      <c r="E1096" t="s">
        <v>72</v>
      </c>
      <c r="F1096">
        <v>444</v>
      </c>
      <c r="G1096">
        <v>8</v>
      </c>
      <c r="H1096">
        <v>3</v>
      </c>
      <c r="I1096">
        <v>6</v>
      </c>
      <c r="J1096">
        <v>389</v>
      </c>
      <c r="K1096">
        <v>0</v>
      </c>
      <c r="L1096">
        <v>0</v>
      </c>
      <c r="M1096">
        <v>14</v>
      </c>
      <c r="N1096">
        <v>0</v>
      </c>
      <c r="O1096">
        <v>5</v>
      </c>
      <c r="P1096">
        <v>17</v>
      </c>
      <c r="Q1096">
        <v>2</v>
      </c>
      <c r="R1096">
        <f>SUM(Table13[[#This Row],[Rank_All_Ranks_Total]:[Rank_SSPSPAddlSPCommandant]])</f>
        <v>888</v>
      </c>
    </row>
    <row r="1097" spans="1:18" x14ac:dyDescent="0.3">
      <c r="A1097" t="s">
        <v>15</v>
      </c>
      <c r="B1097">
        <v>2002</v>
      </c>
      <c r="C1097" t="str">
        <f>_xlfn.CONCAT(Table13[[#This Row],[STATE]],"-",Table13[[#This Row],[Year]])</f>
        <v>Jammu &amp; Kashmir-2002</v>
      </c>
      <c r="D1097" t="s">
        <v>71</v>
      </c>
      <c r="E1097" t="s">
        <v>72</v>
      </c>
      <c r="F1097">
        <v>1432</v>
      </c>
      <c r="G1097">
        <v>13</v>
      </c>
      <c r="H1097">
        <v>6</v>
      </c>
      <c r="I1097">
        <v>0</v>
      </c>
      <c r="J1097">
        <v>1374</v>
      </c>
      <c r="K1097">
        <v>0</v>
      </c>
      <c r="L1097">
        <v>1</v>
      </c>
      <c r="M1097">
        <v>9</v>
      </c>
      <c r="N1097">
        <v>0</v>
      </c>
      <c r="O1097">
        <v>9</v>
      </c>
      <c r="P1097">
        <v>18</v>
      </c>
      <c r="Q1097">
        <v>2</v>
      </c>
      <c r="R1097">
        <f>SUM(Table13[[#This Row],[Rank_All_Ranks_Total]:[Rank_SSPSPAddlSPCommandant]])</f>
        <v>2864</v>
      </c>
    </row>
    <row r="1098" spans="1:18" x14ac:dyDescent="0.3">
      <c r="A1098" t="s">
        <v>16</v>
      </c>
      <c r="B1098">
        <v>2002</v>
      </c>
      <c r="C1098" t="str">
        <f>_xlfn.CONCAT(Table13[[#This Row],[STATE]],"-",Table13[[#This Row],[Year]])</f>
        <v>Jharkhand-2002</v>
      </c>
      <c r="D1098" t="s">
        <v>71</v>
      </c>
      <c r="E1098" t="s">
        <v>72</v>
      </c>
      <c r="F1098">
        <v>95</v>
      </c>
      <c r="G1098">
        <v>31</v>
      </c>
      <c r="H1098">
        <v>2</v>
      </c>
      <c r="I1098">
        <v>0</v>
      </c>
      <c r="J1098">
        <v>0</v>
      </c>
      <c r="K1098">
        <v>0</v>
      </c>
      <c r="L1098">
        <v>1</v>
      </c>
      <c r="M1098">
        <v>27</v>
      </c>
      <c r="N1098">
        <v>3</v>
      </c>
      <c r="O1098">
        <v>0</v>
      </c>
      <c r="P1098">
        <v>27</v>
      </c>
      <c r="Q1098">
        <v>4</v>
      </c>
      <c r="R1098">
        <f>SUM(Table13[[#This Row],[Rank_All_Ranks_Total]:[Rank_SSPSPAddlSPCommandant]])</f>
        <v>190</v>
      </c>
    </row>
    <row r="1099" spans="1:18" x14ac:dyDescent="0.3">
      <c r="A1099" t="s">
        <v>17</v>
      </c>
      <c r="B1099">
        <v>2002</v>
      </c>
      <c r="C1099" t="str">
        <f>_xlfn.CONCAT(Table13[[#This Row],[STATE]],"-",Table13[[#This Row],[Year]])</f>
        <v>Karnataka-2002</v>
      </c>
      <c r="D1099" t="s">
        <v>71</v>
      </c>
      <c r="E1099" t="s">
        <v>72</v>
      </c>
      <c r="F1099">
        <v>1569</v>
      </c>
      <c r="G1099">
        <v>25</v>
      </c>
      <c r="H1099">
        <v>0</v>
      </c>
      <c r="I1099">
        <v>0</v>
      </c>
      <c r="J1099">
        <v>1135</v>
      </c>
      <c r="K1099">
        <v>0</v>
      </c>
      <c r="L1099">
        <v>0</v>
      </c>
      <c r="M1099">
        <v>371</v>
      </c>
      <c r="N1099">
        <v>0</v>
      </c>
      <c r="O1099">
        <v>2</v>
      </c>
      <c r="P1099">
        <v>36</v>
      </c>
      <c r="Q1099">
        <v>0</v>
      </c>
      <c r="R1099">
        <f>SUM(Table13[[#This Row],[Rank_All_Ranks_Total]:[Rank_SSPSPAddlSPCommandant]])</f>
        <v>3138</v>
      </c>
    </row>
    <row r="1100" spans="1:18" x14ac:dyDescent="0.3">
      <c r="A1100" t="s">
        <v>18</v>
      </c>
      <c r="B1100">
        <v>2002</v>
      </c>
      <c r="C1100" t="str">
        <f>_xlfn.CONCAT(Table13[[#This Row],[STATE]],"-",Table13[[#This Row],[Year]])</f>
        <v>Kerala-2002</v>
      </c>
      <c r="D1100" t="s">
        <v>71</v>
      </c>
      <c r="E1100" t="s">
        <v>72</v>
      </c>
      <c r="F1100">
        <v>493</v>
      </c>
      <c r="G1100">
        <v>0</v>
      </c>
      <c r="H1100">
        <v>1</v>
      </c>
      <c r="I1100">
        <v>0</v>
      </c>
      <c r="J1100">
        <v>300</v>
      </c>
      <c r="K1100">
        <v>0</v>
      </c>
      <c r="L1100">
        <v>0</v>
      </c>
      <c r="M1100">
        <v>130</v>
      </c>
      <c r="N1100">
        <v>0</v>
      </c>
      <c r="O1100">
        <v>11</v>
      </c>
      <c r="P1100">
        <v>51</v>
      </c>
      <c r="Q1100">
        <v>0</v>
      </c>
      <c r="R1100">
        <f>SUM(Table13[[#This Row],[Rank_All_Ranks_Total]:[Rank_SSPSPAddlSPCommandant]])</f>
        <v>986</v>
      </c>
    </row>
    <row r="1101" spans="1:18" x14ac:dyDescent="0.3">
      <c r="A1101" t="s">
        <v>39</v>
      </c>
      <c r="B1101">
        <v>2002</v>
      </c>
      <c r="C1101" t="str">
        <f>_xlfn.CONCAT(Table13[[#This Row],[STATE]],"-",Table13[[#This Row],[Year]])</f>
        <v>Lakshadweep-2002</v>
      </c>
      <c r="D1101" t="s">
        <v>71</v>
      </c>
      <c r="E1101" t="s">
        <v>72</v>
      </c>
      <c r="F1101">
        <v>17</v>
      </c>
      <c r="G1101">
        <v>0</v>
      </c>
      <c r="H1101">
        <v>0</v>
      </c>
      <c r="I1101">
        <v>0</v>
      </c>
      <c r="J1101">
        <v>16</v>
      </c>
      <c r="K1101">
        <v>0</v>
      </c>
      <c r="L1101">
        <v>0</v>
      </c>
      <c r="M1101">
        <v>1</v>
      </c>
      <c r="N1101">
        <v>0</v>
      </c>
      <c r="O1101">
        <v>0</v>
      </c>
      <c r="P1101">
        <v>0</v>
      </c>
      <c r="Q1101">
        <v>0</v>
      </c>
      <c r="R1101">
        <f>SUM(Table13[[#This Row],[Rank_All_Ranks_Total]:[Rank_SSPSPAddlSPCommandant]])</f>
        <v>34</v>
      </c>
    </row>
    <row r="1102" spans="1:18" x14ac:dyDescent="0.3">
      <c r="A1102" t="s">
        <v>19</v>
      </c>
      <c r="B1102">
        <v>2002</v>
      </c>
      <c r="C1102" t="str">
        <f>_xlfn.CONCAT(Table13[[#This Row],[STATE]],"-",Table13[[#This Row],[Year]])</f>
        <v>Madhya Pradesh-2002</v>
      </c>
      <c r="D1102" t="s">
        <v>71</v>
      </c>
      <c r="E1102" t="s">
        <v>72</v>
      </c>
      <c r="F1102">
        <v>2008</v>
      </c>
      <c r="G1102">
        <v>45</v>
      </c>
      <c r="H1102">
        <v>39</v>
      </c>
      <c r="I1102">
        <v>0</v>
      </c>
      <c r="J1102">
        <v>1018</v>
      </c>
      <c r="K1102">
        <v>0</v>
      </c>
      <c r="L1102">
        <v>2</v>
      </c>
      <c r="M1102">
        <v>734</v>
      </c>
      <c r="N1102">
        <v>1</v>
      </c>
      <c r="O1102">
        <v>10</v>
      </c>
      <c r="P1102">
        <v>151</v>
      </c>
      <c r="Q1102">
        <v>8</v>
      </c>
      <c r="R1102">
        <f>SUM(Table13[[#This Row],[Rank_All_Ranks_Total]:[Rank_SSPSPAddlSPCommandant]])</f>
        <v>4016</v>
      </c>
    </row>
    <row r="1103" spans="1:18" x14ac:dyDescent="0.3">
      <c r="A1103" t="s">
        <v>20</v>
      </c>
      <c r="B1103">
        <v>2002</v>
      </c>
      <c r="C1103" t="str">
        <f>_xlfn.CONCAT(Table13[[#This Row],[STATE]],"-",Table13[[#This Row],[Year]])</f>
        <v>Maharashtra-2002</v>
      </c>
      <c r="D1103" t="s">
        <v>71</v>
      </c>
      <c r="E1103" t="s">
        <v>72</v>
      </c>
      <c r="F1103">
        <v>4381</v>
      </c>
      <c r="G1103">
        <v>125</v>
      </c>
      <c r="H1103">
        <v>20</v>
      </c>
      <c r="I1103">
        <v>235</v>
      </c>
      <c r="J1103">
        <v>3423</v>
      </c>
      <c r="K1103">
        <v>0</v>
      </c>
      <c r="L1103">
        <v>1</v>
      </c>
      <c r="M1103">
        <v>293</v>
      </c>
      <c r="N1103">
        <v>1</v>
      </c>
      <c r="O1103">
        <v>18</v>
      </c>
      <c r="P1103">
        <v>260</v>
      </c>
      <c r="Q1103">
        <v>5</v>
      </c>
      <c r="R1103">
        <f>SUM(Table13[[#This Row],[Rank_All_Ranks_Total]:[Rank_SSPSPAddlSPCommandant]])</f>
        <v>8762</v>
      </c>
    </row>
    <row r="1104" spans="1:18" x14ac:dyDescent="0.3">
      <c r="A1104" t="s">
        <v>21</v>
      </c>
      <c r="B1104">
        <v>2002</v>
      </c>
      <c r="C1104" t="str">
        <f>_xlfn.CONCAT(Table13[[#This Row],[STATE]],"-",Table13[[#This Row],[Year]])</f>
        <v>Manipur-2002</v>
      </c>
      <c r="D1104" t="s">
        <v>71</v>
      </c>
      <c r="E1104" t="s">
        <v>72</v>
      </c>
      <c r="F1104">
        <v>250</v>
      </c>
      <c r="G1104">
        <v>0</v>
      </c>
      <c r="H1104">
        <v>0</v>
      </c>
      <c r="I1104">
        <v>3</v>
      </c>
      <c r="J1104">
        <v>242</v>
      </c>
      <c r="K1104">
        <v>0</v>
      </c>
      <c r="L1104">
        <v>0</v>
      </c>
      <c r="M1104">
        <v>3</v>
      </c>
      <c r="N1104">
        <v>0</v>
      </c>
      <c r="O1104">
        <v>0</v>
      </c>
      <c r="P1104">
        <v>2</v>
      </c>
      <c r="Q1104">
        <v>0</v>
      </c>
      <c r="R1104">
        <f>SUM(Table13[[#This Row],[Rank_All_Ranks_Total]:[Rank_SSPSPAddlSPCommandant]])</f>
        <v>500</v>
      </c>
    </row>
    <row r="1105" spans="1:18" x14ac:dyDescent="0.3">
      <c r="A1105" t="s">
        <v>22</v>
      </c>
      <c r="B1105">
        <v>2002</v>
      </c>
      <c r="C1105" t="str">
        <f>_xlfn.CONCAT(Table13[[#This Row],[STATE]],"-",Table13[[#This Row],[Year]])</f>
        <v>Meghalaya-2002</v>
      </c>
      <c r="D1105" t="s">
        <v>71</v>
      </c>
      <c r="E1105" t="s">
        <v>72</v>
      </c>
      <c r="F1105">
        <v>135</v>
      </c>
      <c r="G1105">
        <v>25</v>
      </c>
      <c r="H1105">
        <v>3</v>
      </c>
      <c r="I1105">
        <v>0</v>
      </c>
      <c r="J1105">
        <v>96</v>
      </c>
      <c r="K1105">
        <v>0</v>
      </c>
      <c r="L1105">
        <v>0</v>
      </c>
      <c r="M1105">
        <v>0</v>
      </c>
      <c r="N1105">
        <v>0</v>
      </c>
      <c r="O1105">
        <v>1</v>
      </c>
      <c r="P1105">
        <v>9</v>
      </c>
      <c r="Q1105">
        <v>1</v>
      </c>
      <c r="R1105">
        <f>SUM(Table13[[#This Row],[Rank_All_Ranks_Total]:[Rank_SSPSPAddlSPCommandant]])</f>
        <v>270</v>
      </c>
    </row>
    <row r="1106" spans="1:18" x14ac:dyDescent="0.3">
      <c r="A1106" t="s">
        <v>23</v>
      </c>
      <c r="B1106">
        <v>2002</v>
      </c>
      <c r="C1106" t="str">
        <f>_xlfn.CONCAT(Table13[[#This Row],[STATE]],"-",Table13[[#This Row],[Year]])</f>
        <v>Mizoram-2002</v>
      </c>
      <c r="D1106" t="s">
        <v>71</v>
      </c>
      <c r="E1106" t="s">
        <v>72</v>
      </c>
      <c r="F1106">
        <v>348</v>
      </c>
      <c r="G1106">
        <v>42</v>
      </c>
      <c r="H1106">
        <v>1</v>
      </c>
      <c r="I1106">
        <v>28</v>
      </c>
      <c r="J1106">
        <v>184</v>
      </c>
      <c r="K1106">
        <v>0</v>
      </c>
      <c r="L1106">
        <v>0</v>
      </c>
      <c r="M1106">
        <v>41</v>
      </c>
      <c r="N1106">
        <v>0</v>
      </c>
      <c r="O1106">
        <v>12</v>
      </c>
      <c r="P1106">
        <v>39</v>
      </c>
      <c r="Q1106">
        <v>1</v>
      </c>
      <c r="R1106">
        <f>SUM(Table13[[#This Row],[Rank_All_Ranks_Total]:[Rank_SSPSPAddlSPCommandant]])</f>
        <v>696</v>
      </c>
    </row>
    <row r="1107" spans="1:18" x14ac:dyDescent="0.3">
      <c r="A1107" t="s">
        <v>24</v>
      </c>
      <c r="B1107">
        <v>2002</v>
      </c>
      <c r="C1107" t="str">
        <f>_xlfn.CONCAT(Table13[[#This Row],[STATE]],"-",Table13[[#This Row],[Year]])</f>
        <v>Nagaland-2002</v>
      </c>
      <c r="D1107" t="s">
        <v>71</v>
      </c>
      <c r="E1107" t="s">
        <v>72</v>
      </c>
      <c r="F1107">
        <v>824</v>
      </c>
      <c r="G1107">
        <v>30</v>
      </c>
      <c r="H1107">
        <v>4</v>
      </c>
      <c r="I1107">
        <v>99</v>
      </c>
      <c r="J1107">
        <v>581</v>
      </c>
      <c r="K1107">
        <v>0</v>
      </c>
      <c r="L1107">
        <v>0</v>
      </c>
      <c r="M1107">
        <v>68</v>
      </c>
      <c r="N1107">
        <v>0</v>
      </c>
      <c r="O1107">
        <v>7</v>
      </c>
      <c r="P1107">
        <v>33</v>
      </c>
      <c r="Q1107">
        <v>2</v>
      </c>
      <c r="R1107">
        <f>SUM(Table13[[#This Row],[Rank_All_Ranks_Total]:[Rank_SSPSPAddlSPCommandant]])</f>
        <v>1648</v>
      </c>
    </row>
    <row r="1108" spans="1:18" x14ac:dyDescent="0.3">
      <c r="A1108" t="s">
        <v>63</v>
      </c>
      <c r="B1108">
        <v>2002</v>
      </c>
      <c r="C1108" t="str">
        <f>_xlfn.CONCAT(Table13[[#This Row],[STATE]],"-",Table13[[#This Row],[Year]])</f>
        <v>Odisha-2002</v>
      </c>
      <c r="D1108" t="s">
        <v>71</v>
      </c>
      <c r="E1108" t="s">
        <v>72</v>
      </c>
      <c r="F1108">
        <v>329</v>
      </c>
      <c r="G1108">
        <v>39</v>
      </c>
      <c r="H1108">
        <v>1</v>
      </c>
      <c r="I1108">
        <v>0</v>
      </c>
      <c r="J1108">
        <v>241</v>
      </c>
      <c r="K1108">
        <v>0</v>
      </c>
      <c r="L1108">
        <v>0</v>
      </c>
      <c r="M1108">
        <v>0</v>
      </c>
      <c r="N1108">
        <v>0</v>
      </c>
      <c r="O1108">
        <v>10</v>
      </c>
      <c r="P1108">
        <v>38</v>
      </c>
      <c r="Q1108">
        <v>0</v>
      </c>
      <c r="R1108">
        <f>SUM(Table13[[#This Row],[Rank_All_Ranks_Total]:[Rank_SSPSPAddlSPCommandant]])</f>
        <v>658</v>
      </c>
    </row>
    <row r="1109" spans="1:18" x14ac:dyDescent="0.3">
      <c r="A1109" t="s">
        <v>64</v>
      </c>
      <c r="B1109">
        <v>2002</v>
      </c>
      <c r="C1109" t="str">
        <f>_xlfn.CONCAT(Table13[[#This Row],[STATE]],"-",Table13[[#This Row],[Year]])</f>
        <v>Puducherry-2002</v>
      </c>
      <c r="D1109" t="s">
        <v>71</v>
      </c>
      <c r="E1109" t="s">
        <v>72</v>
      </c>
      <c r="F1109">
        <v>79</v>
      </c>
      <c r="G1109">
        <v>1</v>
      </c>
      <c r="H1109">
        <v>0</v>
      </c>
      <c r="I1109">
        <v>0</v>
      </c>
      <c r="J1109">
        <v>70</v>
      </c>
      <c r="K1109">
        <v>0</v>
      </c>
      <c r="L1109">
        <v>0</v>
      </c>
      <c r="M1109">
        <v>6</v>
      </c>
      <c r="N1109">
        <v>0</v>
      </c>
      <c r="O1109">
        <v>1</v>
      </c>
      <c r="P1109">
        <v>1</v>
      </c>
      <c r="Q1109">
        <v>0</v>
      </c>
      <c r="R1109">
        <f>SUM(Table13[[#This Row],[Rank_All_Ranks_Total]:[Rank_SSPSPAddlSPCommandant]])</f>
        <v>158</v>
      </c>
    </row>
    <row r="1110" spans="1:18" x14ac:dyDescent="0.3">
      <c r="A1110" t="s">
        <v>26</v>
      </c>
      <c r="B1110">
        <v>2002</v>
      </c>
      <c r="C1110" t="str">
        <f>_xlfn.CONCAT(Table13[[#This Row],[STATE]],"-",Table13[[#This Row],[Year]])</f>
        <v>Punjab-2002</v>
      </c>
      <c r="D1110" t="s">
        <v>71</v>
      </c>
      <c r="E1110" t="s">
        <v>72</v>
      </c>
      <c r="F1110">
        <v>1051</v>
      </c>
      <c r="G1110">
        <v>34</v>
      </c>
      <c r="H1110">
        <v>2</v>
      </c>
      <c r="I1110">
        <v>0</v>
      </c>
      <c r="J1110">
        <v>851</v>
      </c>
      <c r="K1110">
        <v>0</v>
      </c>
      <c r="L1110">
        <v>0</v>
      </c>
      <c r="M1110">
        <v>123</v>
      </c>
      <c r="N1110">
        <v>0</v>
      </c>
      <c r="O1110">
        <v>7</v>
      </c>
      <c r="P1110">
        <v>28</v>
      </c>
      <c r="Q1110">
        <v>6</v>
      </c>
      <c r="R1110">
        <f>SUM(Table13[[#This Row],[Rank_All_Ranks_Total]:[Rank_SSPSPAddlSPCommandant]])</f>
        <v>2102</v>
      </c>
    </row>
    <row r="1111" spans="1:18" x14ac:dyDescent="0.3">
      <c r="A1111" t="s">
        <v>27</v>
      </c>
      <c r="B1111">
        <v>2002</v>
      </c>
      <c r="C1111" t="str">
        <f>_xlfn.CONCAT(Table13[[#This Row],[STATE]],"-",Table13[[#This Row],[Year]])</f>
        <v>Rajasthan-2002</v>
      </c>
      <c r="D1111" t="s">
        <v>71</v>
      </c>
      <c r="E1111" t="s">
        <v>72</v>
      </c>
      <c r="F1111">
        <v>722</v>
      </c>
      <c r="G1111">
        <v>17</v>
      </c>
      <c r="H1111">
        <v>2</v>
      </c>
      <c r="I1111">
        <v>0</v>
      </c>
      <c r="J1111">
        <v>640</v>
      </c>
      <c r="K1111">
        <v>0</v>
      </c>
      <c r="L1111">
        <v>0</v>
      </c>
      <c r="M1111">
        <v>23</v>
      </c>
      <c r="N1111">
        <v>0</v>
      </c>
      <c r="O1111">
        <v>2</v>
      </c>
      <c r="P1111">
        <v>36</v>
      </c>
      <c r="Q1111">
        <v>2</v>
      </c>
      <c r="R1111">
        <f>SUM(Table13[[#This Row],[Rank_All_Ranks_Total]:[Rank_SSPSPAddlSPCommandant]])</f>
        <v>1444</v>
      </c>
    </row>
    <row r="1112" spans="1:18" x14ac:dyDescent="0.3">
      <c r="A1112" t="s">
        <v>28</v>
      </c>
      <c r="B1112">
        <v>2002</v>
      </c>
      <c r="C1112" t="str">
        <f>_xlfn.CONCAT(Table13[[#This Row],[STATE]],"-",Table13[[#This Row],[Year]])</f>
        <v>Sikkim-2002</v>
      </c>
      <c r="D1112" t="s">
        <v>71</v>
      </c>
      <c r="E1112" t="s">
        <v>72</v>
      </c>
      <c r="F1112">
        <v>154</v>
      </c>
      <c r="G1112">
        <v>0</v>
      </c>
      <c r="H1112">
        <v>0</v>
      </c>
      <c r="I1112">
        <v>6</v>
      </c>
      <c r="J1112">
        <v>127</v>
      </c>
      <c r="K1112">
        <v>0</v>
      </c>
      <c r="L1112">
        <v>0</v>
      </c>
      <c r="M1112">
        <v>0</v>
      </c>
      <c r="N1112">
        <v>0</v>
      </c>
      <c r="O1112">
        <v>8</v>
      </c>
      <c r="P1112">
        <v>13</v>
      </c>
      <c r="Q1112">
        <v>0</v>
      </c>
      <c r="R1112">
        <f>SUM(Table13[[#This Row],[Rank_All_Ranks_Total]:[Rank_SSPSPAddlSPCommandant]])</f>
        <v>308</v>
      </c>
    </row>
    <row r="1113" spans="1:18" x14ac:dyDescent="0.3">
      <c r="A1113" t="s">
        <v>42</v>
      </c>
      <c r="B1113">
        <v>2002</v>
      </c>
      <c r="C1113" t="str">
        <f>_xlfn.CONCAT(Table13[[#This Row],[STATE]],"-",Table13[[#This Row],[Year]])</f>
        <v>Tamil Nadu-2002</v>
      </c>
      <c r="D1113" t="s">
        <v>71</v>
      </c>
      <c r="E1113" t="s">
        <v>72</v>
      </c>
      <c r="F1113">
        <v>5496</v>
      </c>
      <c r="G1113">
        <v>0</v>
      </c>
      <c r="H1113">
        <v>31</v>
      </c>
      <c r="I1113">
        <v>437</v>
      </c>
      <c r="J1113">
        <v>4312</v>
      </c>
      <c r="K1113">
        <v>2</v>
      </c>
      <c r="L1113">
        <v>1</v>
      </c>
      <c r="M1113">
        <v>485</v>
      </c>
      <c r="N1113">
        <v>1</v>
      </c>
      <c r="O1113">
        <v>105</v>
      </c>
      <c r="P1113">
        <v>118</v>
      </c>
      <c r="Q1113">
        <v>4</v>
      </c>
      <c r="R1113">
        <f>SUM(Table13[[#This Row],[Rank_All_Ranks_Total]:[Rank_SSPSPAddlSPCommandant]])</f>
        <v>10992</v>
      </c>
    </row>
    <row r="1114" spans="1:18" x14ac:dyDescent="0.3">
      <c r="A1114" t="s">
        <v>30</v>
      </c>
      <c r="B1114">
        <v>2002</v>
      </c>
      <c r="C1114" t="str">
        <f>_xlfn.CONCAT(Table13[[#This Row],[STATE]],"-",Table13[[#This Row],[Year]])</f>
        <v>Tripura-2002</v>
      </c>
      <c r="D1114" t="s">
        <v>71</v>
      </c>
      <c r="E1114" t="s">
        <v>72</v>
      </c>
      <c r="F1114">
        <v>210</v>
      </c>
      <c r="G1114">
        <v>15</v>
      </c>
      <c r="H1114">
        <v>1</v>
      </c>
      <c r="I1114">
        <v>0</v>
      </c>
      <c r="J1114">
        <v>175</v>
      </c>
      <c r="K1114">
        <v>0</v>
      </c>
      <c r="L1114">
        <v>0</v>
      </c>
      <c r="M1114">
        <v>0</v>
      </c>
      <c r="N1114">
        <v>0</v>
      </c>
      <c r="O1114">
        <v>1</v>
      </c>
      <c r="P1114">
        <v>17</v>
      </c>
      <c r="Q1114">
        <v>1</v>
      </c>
      <c r="R1114">
        <f>SUM(Table13[[#This Row],[Rank_All_Ranks_Total]:[Rank_SSPSPAddlSPCommandant]])</f>
        <v>420</v>
      </c>
    </row>
    <row r="1115" spans="1:18" x14ac:dyDescent="0.3">
      <c r="A1115" t="s">
        <v>31</v>
      </c>
      <c r="B1115">
        <v>2002</v>
      </c>
      <c r="C1115" t="str">
        <f>_xlfn.CONCAT(Table13[[#This Row],[STATE]],"-",Table13[[#This Row],[Year]])</f>
        <v>Uttar Pradesh-2002</v>
      </c>
      <c r="D1115" t="s">
        <v>71</v>
      </c>
      <c r="E1115" t="s">
        <v>72</v>
      </c>
      <c r="F1115">
        <v>1898</v>
      </c>
      <c r="G1115">
        <v>0</v>
      </c>
      <c r="H1115">
        <v>24</v>
      </c>
      <c r="I1115">
        <v>0</v>
      </c>
      <c r="J1115">
        <v>1536</v>
      </c>
      <c r="K1115">
        <v>0</v>
      </c>
      <c r="L1115">
        <v>1</v>
      </c>
      <c r="M1115">
        <v>140</v>
      </c>
      <c r="N1115">
        <v>0</v>
      </c>
      <c r="O1115">
        <v>11</v>
      </c>
      <c r="P1115">
        <v>181</v>
      </c>
      <c r="Q1115">
        <v>5</v>
      </c>
      <c r="R1115">
        <f>SUM(Table13[[#This Row],[Rank_All_Ranks_Total]:[Rank_SSPSPAddlSPCommandant]])</f>
        <v>3796</v>
      </c>
    </row>
    <row r="1116" spans="1:18" x14ac:dyDescent="0.3">
      <c r="A1116" t="s">
        <v>65</v>
      </c>
      <c r="B1116">
        <v>2002</v>
      </c>
      <c r="C1116" t="str">
        <f>_xlfn.CONCAT(Table13[[#This Row],[STATE]],"-",Table13[[#This Row],[Year]])</f>
        <v>Uttarakhand-2002</v>
      </c>
      <c r="D1116" t="s">
        <v>71</v>
      </c>
      <c r="E1116" t="s">
        <v>72</v>
      </c>
      <c r="F1116">
        <v>280</v>
      </c>
      <c r="G1116">
        <v>0</v>
      </c>
      <c r="H1116">
        <v>1</v>
      </c>
      <c r="I1116">
        <v>0</v>
      </c>
      <c r="J1116">
        <v>261</v>
      </c>
      <c r="K1116">
        <v>1</v>
      </c>
      <c r="L1116">
        <v>0</v>
      </c>
      <c r="M1116">
        <v>8</v>
      </c>
      <c r="N1116">
        <v>0</v>
      </c>
      <c r="O1116">
        <v>0</v>
      </c>
      <c r="P1116">
        <v>9</v>
      </c>
      <c r="Q1116">
        <v>0</v>
      </c>
      <c r="R1116">
        <f>SUM(Table13[[#This Row],[Rank_All_Ranks_Total]:[Rank_SSPSPAddlSPCommandant]])</f>
        <v>560</v>
      </c>
    </row>
    <row r="1117" spans="1:18" x14ac:dyDescent="0.3">
      <c r="A1117" t="s">
        <v>33</v>
      </c>
      <c r="B1117">
        <v>2002</v>
      </c>
      <c r="C1117" t="str">
        <f>_xlfn.CONCAT(Table13[[#This Row],[STATE]],"-",Table13[[#This Row],[Year]])</f>
        <v>West Bengal-2002</v>
      </c>
      <c r="D1117" t="s">
        <v>71</v>
      </c>
      <c r="E1117" t="s">
        <v>72</v>
      </c>
      <c r="F1117">
        <v>1108</v>
      </c>
      <c r="G1117">
        <v>76</v>
      </c>
      <c r="H1117">
        <v>10</v>
      </c>
      <c r="I1117">
        <v>0</v>
      </c>
      <c r="J1117">
        <v>866</v>
      </c>
      <c r="K1117">
        <v>0</v>
      </c>
      <c r="L1117">
        <v>1</v>
      </c>
      <c r="M1117">
        <v>0</v>
      </c>
      <c r="N1117">
        <v>0</v>
      </c>
      <c r="O1117">
        <v>16</v>
      </c>
      <c r="P1117">
        <v>137</v>
      </c>
      <c r="Q1117">
        <v>2</v>
      </c>
      <c r="R1117">
        <f>SUM(Table13[[#This Row],[Rank_All_Ranks_Total]:[Rank_SSPSPAddlSPCommandant]])</f>
        <v>2216</v>
      </c>
    </row>
    <row r="1118" spans="1:18" x14ac:dyDescent="0.3">
      <c r="A1118" t="s">
        <v>59</v>
      </c>
      <c r="B1118">
        <v>2003</v>
      </c>
      <c r="C1118" t="str">
        <f>_xlfn.CONCAT(Table13[[#This Row],[STATE]],"-",Table13[[#This Row],[Year]])</f>
        <v>Andaman &amp; Nicobar Islands-2003</v>
      </c>
      <c r="D1118" t="s">
        <v>71</v>
      </c>
      <c r="E1118" t="s">
        <v>72</v>
      </c>
      <c r="F1118">
        <v>122</v>
      </c>
      <c r="G1118">
        <v>8</v>
      </c>
      <c r="H1118">
        <v>1</v>
      </c>
      <c r="I1118">
        <v>0</v>
      </c>
      <c r="J1118">
        <v>99</v>
      </c>
      <c r="K1118">
        <v>0</v>
      </c>
      <c r="L1118">
        <v>0</v>
      </c>
      <c r="M1118">
        <v>10</v>
      </c>
      <c r="N1118">
        <v>0</v>
      </c>
      <c r="O1118">
        <v>0</v>
      </c>
      <c r="P1118">
        <v>4</v>
      </c>
      <c r="Q1118">
        <v>0</v>
      </c>
      <c r="R1118">
        <f>SUM(Table13[[#This Row],[Rank_All_Ranks_Total]:[Rank_SSPSPAddlSPCommandant]])</f>
        <v>244</v>
      </c>
    </row>
    <row r="1119" spans="1:18" x14ac:dyDescent="0.3">
      <c r="A1119" t="s">
        <v>6</v>
      </c>
      <c r="B1119">
        <v>2003</v>
      </c>
      <c r="C1119" t="str">
        <f>_xlfn.CONCAT(Table13[[#This Row],[STATE]],"-",Table13[[#This Row],[Year]])</f>
        <v>Andhra Pradesh-2003</v>
      </c>
      <c r="D1119" t="s">
        <v>71</v>
      </c>
      <c r="E1119" t="s">
        <v>72</v>
      </c>
      <c r="F1119">
        <v>1328</v>
      </c>
      <c r="G1119">
        <v>0</v>
      </c>
      <c r="H1119">
        <v>0</v>
      </c>
      <c r="I1119">
        <v>0</v>
      </c>
      <c r="J1119">
        <v>1251</v>
      </c>
      <c r="K1119">
        <v>0</v>
      </c>
      <c r="L1119">
        <v>0</v>
      </c>
      <c r="M1119">
        <v>49</v>
      </c>
      <c r="N1119">
        <v>0</v>
      </c>
      <c r="O1119">
        <v>0</v>
      </c>
      <c r="P1119">
        <v>28</v>
      </c>
      <c r="Q1119">
        <v>0</v>
      </c>
      <c r="R1119">
        <f>SUM(Table13[[#This Row],[Rank_All_Ranks_Total]:[Rank_SSPSPAddlSPCommandant]])</f>
        <v>2656</v>
      </c>
    </row>
    <row r="1120" spans="1:18" x14ac:dyDescent="0.3">
      <c r="A1120" t="s">
        <v>7</v>
      </c>
      <c r="B1120">
        <v>2003</v>
      </c>
      <c r="C1120" t="str">
        <f>_xlfn.CONCAT(Table13[[#This Row],[STATE]],"-",Table13[[#This Row],[Year]])</f>
        <v>Arunachal Pradesh-2003</v>
      </c>
      <c r="D1120" t="s">
        <v>71</v>
      </c>
      <c r="E1120" t="s">
        <v>72</v>
      </c>
      <c r="F1120">
        <v>138</v>
      </c>
      <c r="G1120">
        <v>5</v>
      </c>
      <c r="H1120">
        <v>0</v>
      </c>
      <c r="I1120">
        <v>0</v>
      </c>
      <c r="J1120">
        <v>114</v>
      </c>
      <c r="K1120">
        <v>0</v>
      </c>
      <c r="L1120">
        <v>0</v>
      </c>
      <c r="M1120">
        <v>11</v>
      </c>
      <c r="N1120">
        <v>0</v>
      </c>
      <c r="O1120">
        <v>0</v>
      </c>
      <c r="P1120">
        <v>8</v>
      </c>
      <c r="Q1120">
        <v>0</v>
      </c>
      <c r="R1120">
        <f>SUM(Table13[[#This Row],[Rank_All_Ranks_Total]:[Rank_SSPSPAddlSPCommandant]])</f>
        <v>276</v>
      </c>
    </row>
    <row r="1121" spans="1:18" x14ac:dyDescent="0.3">
      <c r="A1121" t="s">
        <v>8</v>
      </c>
      <c r="B1121">
        <v>2003</v>
      </c>
      <c r="C1121" t="str">
        <f>_xlfn.CONCAT(Table13[[#This Row],[STATE]],"-",Table13[[#This Row],[Year]])</f>
        <v>Assam-2003</v>
      </c>
      <c r="D1121" t="s">
        <v>71</v>
      </c>
      <c r="E1121" t="s">
        <v>72</v>
      </c>
      <c r="F1121">
        <v>223</v>
      </c>
      <c r="G1121">
        <v>5</v>
      </c>
      <c r="H1121">
        <v>0</v>
      </c>
      <c r="I1121">
        <v>8</v>
      </c>
      <c r="J1121">
        <v>185</v>
      </c>
      <c r="K1121">
        <v>0</v>
      </c>
      <c r="L1121">
        <v>0</v>
      </c>
      <c r="M1121">
        <v>8</v>
      </c>
      <c r="N1121">
        <v>0</v>
      </c>
      <c r="O1121">
        <v>0</v>
      </c>
      <c r="P1121">
        <v>17</v>
      </c>
      <c r="Q1121">
        <v>0</v>
      </c>
      <c r="R1121">
        <f>SUM(Table13[[#This Row],[Rank_All_Ranks_Total]:[Rank_SSPSPAddlSPCommandant]])</f>
        <v>446</v>
      </c>
    </row>
    <row r="1122" spans="1:18" x14ac:dyDescent="0.3">
      <c r="A1122" t="s">
        <v>9</v>
      </c>
      <c r="B1122">
        <v>2003</v>
      </c>
      <c r="C1122" t="str">
        <f>_xlfn.CONCAT(Table13[[#This Row],[STATE]],"-",Table13[[#This Row],[Year]])</f>
        <v>Bihar-2003</v>
      </c>
      <c r="D1122" t="s">
        <v>71</v>
      </c>
      <c r="E1122" t="s">
        <v>72</v>
      </c>
      <c r="F1122">
        <v>890</v>
      </c>
      <c r="G1122">
        <v>10</v>
      </c>
      <c r="H1122">
        <v>3</v>
      </c>
      <c r="I1122">
        <v>0</v>
      </c>
      <c r="J1122">
        <v>800</v>
      </c>
      <c r="K1122">
        <v>0</v>
      </c>
      <c r="L1122">
        <v>0</v>
      </c>
      <c r="M1122">
        <v>22</v>
      </c>
      <c r="N1122">
        <v>0</v>
      </c>
      <c r="O1122">
        <v>1</v>
      </c>
      <c r="P1122">
        <v>50</v>
      </c>
      <c r="Q1122">
        <v>4</v>
      </c>
      <c r="R1122">
        <f>SUM(Table13[[#This Row],[Rank_All_Ranks_Total]:[Rank_SSPSPAddlSPCommandant]])</f>
        <v>1780</v>
      </c>
    </row>
    <row r="1123" spans="1:18" x14ac:dyDescent="0.3">
      <c r="A1123" t="s">
        <v>35</v>
      </c>
      <c r="B1123">
        <v>2003</v>
      </c>
      <c r="C1123" t="str">
        <f>_xlfn.CONCAT(Table13[[#This Row],[STATE]],"-",Table13[[#This Row],[Year]])</f>
        <v>Chandigarh-2003</v>
      </c>
      <c r="D1123" t="s">
        <v>71</v>
      </c>
      <c r="E1123" t="s">
        <v>72</v>
      </c>
      <c r="F1123">
        <v>231</v>
      </c>
      <c r="G1123">
        <v>8</v>
      </c>
      <c r="H1123">
        <v>0</v>
      </c>
      <c r="I1123">
        <v>0</v>
      </c>
      <c r="J1123">
        <v>190</v>
      </c>
      <c r="K1123">
        <v>0</v>
      </c>
      <c r="L1123">
        <v>0</v>
      </c>
      <c r="M1123">
        <v>13</v>
      </c>
      <c r="N1123">
        <v>0</v>
      </c>
      <c r="O1123">
        <v>0</v>
      </c>
      <c r="P1123">
        <v>20</v>
      </c>
      <c r="Q1123">
        <v>0</v>
      </c>
      <c r="R1123">
        <f>SUM(Table13[[#This Row],[Rank_All_Ranks_Total]:[Rank_SSPSPAddlSPCommandant]])</f>
        <v>462</v>
      </c>
    </row>
    <row r="1124" spans="1:18" x14ac:dyDescent="0.3">
      <c r="A1124" t="s">
        <v>10</v>
      </c>
      <c r="B1124">
        <v>2003</v>
      </c>
      <c r="C1124" t="str">
        <f>_xlfn.CONCAT(Table13[[#This Row],[STATE]],"-",Table13[[#This Row],[Year]])</f>
        <v>Chhattisgarh-2003</v>
      </c>
      <c r="D1124" t="s">
        <v>71</v>
      </c>
      <c r="E1124" t="s">
        <v>72</v>
      </c>
      <c r="F1124">
        <v>1039</v>
      </c>
      <c r="G1124">
        <v>667</v>
      </c>
      <c r="H1124">
        <v>5</v>
      </c>
      <c r="I1124">
        <v>0</v>
      </c>
      <c r="J1124">
        <v>254</v>
      </c>
      <c r="K1124">
        <v>0</v>
      </c>
      <c r="L1124">
        <v>0</v>
      </c>
      <c r="M1124">
        <v>54</v>
      </c>
      <c r="N1124">
        <v>0</v>
      </c>
      <c r="O1124">
        <v>3</v>
      </c>
      <c r="P1124">
        <v>56</v>
      </c>
      <c r="Q1124">
        <v>0</v>
      </c>
      <c r="R1124">
        <f>SUM(Table13[[#This Row],[Rank_All_Ranks_Total]:[Rank_SSPSPAddlSPCommandant]])</f>
        <v>2078</v>
      </c>
    </row>
    <row r="1125" spans="1:18" x14ac:dyDescent="0.3">
      <c r="A1125" t="s">
        <v>62</v>
      </c>
      <c r="B1125">
        <v>2003</v>
      </c>
      <c r="C1125" t="str">
        <f>_xlfn.CONCAT(Table13[[#This Row],[STATE]],"-",Table13[[#This Row],[Year]])</f>
        <v>Dadra &amp; Nagar Haveli-2003</v>
      </c>
      <c r="D1125" t="s">
        <v>71</v>
      </c>
      <c r="E1125" t="s">
        <v>72</v>
      </c>
      <c r="F1125">
        <v>9</v>
      </c>
      <c r="G1125">
        <v>0</v>
      </c>
      <c r="H1125">
        <v>0</v>
      </c>
      <c r="I1125">
        <v>0</v>
      </c>
      <c r="J1125">
        <v>4</v>
      </c>
      <c r="K1125">
        <v>0</v>
      </c>
      <c r="L1125">
        <v>0</v>
      </c>
      <c r="M1125">
        <v>3</v>
      </c>
      <c r="N1125">
        <v>0</v>
      </c>
      <c r="O1125">
        <v>0</v>
      </c>
      <c r="P1125">
        <v>2</v>
      </c>
      <c r="Q1125">
        <v>0</v>
      </c>
      <c r="R1125">
        <f>SUM(Table13[[#This Row],[Rank_All_Ranks_Total]:[Rank_SSPSPAddlSPCommandant]])</f>
        <v>18</v>
      </c>
    </row>
    <row r="1126" spans="1:18" x14ac:dyDescent="0.3">
      <c r="A1126" t="s">
        <v>37</v>
      </c>
      <c r="B1126">
        <v>2003</v>
      </c>
      <c r="C1126" t="str">
        <f>_xlfn.CONCAT(Table13[[#This Row],[STATE]],"-",Table13[[#This Row],[Year]])</f>
        <v>Daman &amp; Diu-2003</v>
      </c>
      <c r="D1126" t="s">
        <v>71</v>
      </c>
      <c r="E1126" t="s">
        <v>72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f>SUM(Table13[[#This Row],[Rank_All_Ranks_Total]:[Rank_SSPSPAddlSPCommandant]])</f>
        <v>0</v>
      </c>
    </row>
    <row r="1127" spans="1:18" x14ac:dyDescent="0.3">
      <c r="A1127" t="s">
        <v>38</v>
      </c>
      <c r="B1127">
        <v>2003</v>
      </c>
      <c r="C1127" t="str">
        <f>_xlfn.CONCAT(Table13[[#This Row],[STATE]],"-",Table13[[#This Row],[Year]])</f>
        <v>Delhi-2003</v>
      </c>
      <c r="D1127" t="s">
        <v>71</v>
      </c>
      <c r="E1127" t="s">
        <v>72</v>
      </c>
      <c r="F1127">
        <v>2029</v>
      </c>
      <c r="G1127">
        <v>243</v>
      </c>
      <c r="H1127">
        <v>1</v>
      </c>
      <c r="I1127">
        <v>0</v>
      </c>
      <c r="J1127">
        <v>1020</v>
      </c>
      <c r="K1127">
        <v>0</v>
      </c>
      <c r="L1127">
        <v>0</v>
      </c>
      <c r="M1127">
        <v>553</v>
      </c>
      <c r="N1127">
        <v>0</v>
      </c>
      <c r="O1127">
        <v>61</v>
      </c>
      <c r="P1127">
        <v>151</v>
      </c>
      <c r="Q1127">
        <v>0</v>
      </c>
      <c r="R1127">
        <f>SUM(Table13[[#This Row],[Rank_All_Ranks_Total]:[Rank_SSPSPAddlSPCommandant]])</f>
        <v>4058</v>
      </c>
    </row>
    <row r="1128" spans="1:18" x14ac:dyDescent="0.3">
      <c r="A1128" t="s">
        <v>11</v>
      </c>
      <c r="B1128">
        <v>2003</v>
      </c>
      <c r="C1128" t="str">
        <f>_xlfn.CONCAT(Table13[[#This Row],[STATE]],"-",Table13[[#This Row],[Year]])</f>
        <v>Goa-2003</v>
      </c>
      <c r="D1128" t="s">
        <v>71</v>
      </c>
      <c r="E1128" t="s">
        <v>72</v>
      </c>
      <c r="F1128">
        <v>212</v>
      </c>
      <c r="G1128">
        <v>10</v>
      </c>
      <c r="H1128">
        <v>2</v>
      </c>
      <c r="I1128">
        <v>0</v>
      </c>
      <c r="J1128">
        <v>166</v>
      </c>
      <c r="K1128">
        <v>0</v>
      </c>
      <c r="L1128">
        <v>0</v>
      </c>
      <c r="M1128">
        <v>21</v>
      </c>
      <c r="N1128">
        <v>0</v>
      </c>
      <c r="O1128">
        <v>7</v>
      </c>
      <c r="P1128">
        <v>6</v>
      </c>
      <c r="Q1128">
        <v>0</v>
      </c>
      <c r="R1128">
        <f>SUM(Table13[[#This Row],[Rank_All_Ranks_Total]:[Rank_SSPSPAddlSPCommandant]])</f>
        <v>424</v>
      </c>
    </row>
    <row r="1129" spans="1:18" x14ac:dyDescent="0.3">
      <c r="A1129" t="s">
        <v>12</v>
      </c>
      <c r="B1129">
        <v>2003</v>
      </c>
      <c r="C1129" t="str">
        <f>_xlfn.CONCAT(Table13[[#This Row],[STATE]],"-",Table13[[#This Row],[Year]])</f>
        <v>Gujarat-2003</v>
      </c>
      <c r="D1129" t="s">
        <v>71</v>
      </c>
      <c r="E1129" t="s">
        <v>72</v>
      </c>
      <c r="F1129">
        <v>1632</v>
      </c>
      <c r="G1129">
        <v>123</v>
      </c>
      <c r="H1129">
        <v>0</v>
      </c>
      <c r="I1129">
        <v>0</v>
      </c>
      <c r="J1129">
        <v>1212</v>
      </c>
      <c r="K1129">
        <v>0</v>
      </c>
      <c r="L1129">
        <v>0</v>
      </c>
      <c r="M1129">
        <v>257</v>
      </c>
      <c r="N1129">
        <v>0</v>
      </c>
      <c r="O1129">
        <v>8</v>
      </c>
      <c r="P1129">
        <v>32</v>
      </c>
      <c r="Q1129">
        <v>0</v>
      </c>
      <c r="R1129">
        <f>SUM(Table13[[#This Row],[Rank_All_Ranks_Total]:[Rank_SSPSPAddlSPCommandant]])</f>
        <v>3264</v>
      </c>
    </row>
    <row r="1130" spans="1:18" x14ac:dyDescent="0.3">
      <c r="A1130" t="s">
        <v>13</v>
      </c>
      <c r="B1130">
        <v>2003</v>
      </c>
      <c r="C1130" t="str">
        <f>_xlfn.CONCAT(Table13[[#This Row],[STATE]],"-",Table13[[#This Row],[Year]])</f>
        <v>Haryana-2003</v>
      </c>
      <c r="D1130" t="s">
        <v>71</v>
      </c>
      <c r="E1130" t="s">
        <v>72</v>
      </c>
      <c r="F1130">
        <v>577</v>
      </c>
      <c r="G1130">
        <v>36</v>
      </c>
      <c r="H1130">
        <v>2</v>
      </c>
      <c r="I1130">
        <v>0</v>
      </c>
      <c r="J1130">
        <v>461</v>
      </c>
      <c r="K1130">
        <v>0</v>
      </c>
      <c r="L1130">
        <v>0</v>
      </c>
      <c r="M1130">
        <v>48</v>
      </c>
      <c r="N1130">
        <v>1</v>
      </c>
      <c r="O1130">
        <v>4</v>
      </c>
      <c r="P1130">
        <v>20</v>
      </c>
      <c r="Q1130">
        <v>5</v>
      </c>
      <c r="R1130">
        <f>SUM(Table13[[#This Row],[Rank_All_Ranks_Total]:[Rank_SSPSPAddlSPCommandant]])</f>
        <v>1154</v>
      </c>
    </row>
    <row r="1131" spans="1:18" x14ac:dyDescent="0.3">
      <c r="A1131" t="s">
        <v>14</v>
      </c>
      <c r="B1131">
        <v>2003</v>
      </c>
      <c r="C1131" t="str">
        <f>_xlfn.CONCAT(Table13[[#This Row],[STATE]],"-",Table13[[#This Row],[Year]])</f>
        <v>Himachal Pradesh-2003</v>
      </c>
      <c r="D1131" t="s">
        <v>71</v>
      </c>
      <c r="E1131" t="s">
        <v>72</v>
      </c>
      <c r="F1131">
        <v>464</v>
      </c>
      <c r="G1131">
        <v>7</v>
      </c>
      <c r="H1131">
        <v>2</v>
      </c>
      <c r="I1131">
        <v>0</v>
      </c>
      <c r="J1131">
        <v>416</v>
      </c>
      <c r="K1131">
        <v>0</v>
      </c>
      <c r="L1131">
        <v>0</v>
      </c>
      <c r="M1131">
        <v>13</v>
      </c>
      <c r="N1131">
        <v>0</v>
      </c>
      <c r="O1131">
        <v>6</v>
      </c>
      <c r="P1131">
        <v>18</v>
      </c>
      <c r="Q1131">
        <v>2</v>
      </c>
      <c r="R1131">
        <f>SUM(Table13[[#This Row],[Rank_All_Ranks_Total]:[Rank_SSPSPAddlSPCommandant]])</f>
        <v>928</v>
      </c>
    </row>
    <row r="1132" spans="1:18" x14ac:dyDescent="0.3">
      <c r="A1132" t="s">
        <v>15</v>
      </c>
      <c r="B1132">
        <v>2003</v>
      </c>
      <c r="C1132" t="str">
        <f>_xlfn.CONCAT(Table13[[#This Row],[STATE]],"-",Table13[[#This Row],[Year]])</f>
        <v>Jammu &amp; Kashmir-2003</v>
      </c>
      <c r="D1132" t="s">
        <v>71</v>
      </c>
      <c r="E1132" t="s">
        <v>72</v>
      </c>
      <c r="F1132">
        <v>1432</v>
      </c>
      <c r="G1132">
        <v>13</v>
      </c>
      <c r="H1132">
        <v>6</v>
      </c>
      <c r="I1132">
        <v>0</v>
      </c>
      <c r="J1132">
        <v>1374</v>
      </c>
      <c r="K1132">
        <v>0</v>
      </c>
      <c r="L1132">
        <v>1</v>
      </c>
      <c r="M1132">
        <v>9</v>
      </c>
      <c r="N1132">
        <v>0</v>
      </c>
      <c r="O1132">
        <v>9</v>
      </c>
      <c r="P1132">
        <v>18</v>
      </c>
      <c r="Q1132">
        <v>2</v>
      </c>
      <c r="R1132">
        <f>SUM(Table13[[#This Row],[Rank_All_Ranks_Total]:[Rank_SSPSPAddlSPCommandant]])</f>
        <v>2864</v>
      </c>
    </row>
    <row r="1133" spans="1:18" x14ac:dyDescent="0.3">
      <c r="A1133" t="s">
        <v>16</v>
      </c>
      <c r="B1133">
        <v>2003</v>
      </c>
      <c r="C1133" t="str">
        <f>_xlfn.CONCAT(Table13[[#This Row],[STATE]],"-",Table13[[#This Row],[Year]])</f>
        <v>Jharkhand-2003</v>
      </c>
      <c r="D1133" t="s">
        <v>71</v>
      </c>
      <c r="E1133" t="s">
        <v>72</v>
      </c>
      <c r="F1133">
        <v>245</v>
      </c>
      <c r="G1133">
        <v>12</v>
      </c>
      <c r="H1133">
        <v>0</v>
      </c>
      <c r="I1133">
        <v>0</v>
      </c>
      <c r="J1133">
        <v>216</v>
      </c>
      <c r="K1133">
        <v>0</v>
      </c>
      <c r="L1133">
        <v>0</v>
      </c>
      <c r="M1133">
        <v>6</v>
      </c>
      <c r="N1133">
        <v>0</v>
      </c>
      <c r="O1133">
        <v>0</v>
      </c>
      <c r="P1133">
        <v>11</v>
      </c>
      <c r="Q1133">
        <v>0</v>
      </c>
      <c r="R1133">
        <f>SUM(Table13[[#This Row],[Rank_All_Ranks_Total]:[Rank_SSPSPAddlSPCommandant]])</f>
        <v>490</v>
      </c>
    </row>
    <row r="1134" spans="1:18" x14ac:dyDescent="0.3">
      <c r="A1134" t="s">
        <v>17</v>
      </c>
      <c r="B1134">
        <v>2003</v>
      </c>
      <c r="C1134" t="str">
        <f>_xlfn.CONCAT(Table13[[#This Row],[STATE]],"-",Table13[[#This Row],[Year]])</f>
        <v>Karnataka-2003</v>
      </c>
      <c r="D1134" t="s">
        <v>71</v>
      </c>
      <c r="E1134" t="s">
        <v>72</v>
      </c>
      <c r="F1134">
        <v>2772</v>
      </c>
      <c r="G1134">
        <v>121</v>
      </c>
      <c r="H1134">
        <v>4</v>
      </c>
      <c r="I1134">
        <v>0</v>
      </c>
      <c r="J1134">
        <v>1867</v>
      </c>
      <c r="K1134">
        <v>0</v>
      </c>
      <c r="L1134">
        <v>0</v>
      </c>
      <c r="M1134">
        <v>694</v>
      </c>
      <c r="N1134">
        <v>0</v>
      </c>
      <c r="O1134">
        <v>19</v>
      </c>
      <c r="P1134">
        <v>65</v>
      </c>
      <c r="Q1134">
        <v>2</v>
      </c>
      <c r="R1134">
        <f>SUM(Table13[[#This Row],[Rank_All_Ranks_Total]:[Rank_SSPSPAddlSPCommandant]])</f>
        <v>5544</v>
      </c>
    </row>
    <row r="1135" spans="1:18" x14ac:dyDescent="0.3">
      <c r="A1135" t="s">
        <v>18</v>
      </c>
      <c r="B1135">
        <v>2003</v>
      </c>
      <c r="C1135" t="str">
        <f>_xlfn.CONCAT(Table13[[#This Row],[STATE]],"-",Table13[[#This Row],[Year]])</f>
        <v>Kerala-2003</v>
      </c>
      <c r="D1135" t="s">
        <v>71</v>
      </c>
      <c r="E1135" t="s">
        <v>72</v>
      </c>
      <c r="F1135">
        <v>1391</v>
      </c>
      <c r="G1135">
        <v>0</v>
      </c>
      <c r="H1135">
        <v>0</v>
      </c>
      <c r="I1135">
        <v>0</v>
      </c>
      <c r="J1135">
        <v>1139</v>
      </c>
      <c r="K1135">
        <v>0</v>
      </c>
      <c r="L1135">
        <v>0</v>
      </c>
      <c r="M1135">
        <v>177</v>
      </c>
      <c r="N1135">
        <v>0</v>
      </c>
      <c r="O1135">
        <v>16</v>
      </c>
      <c r="P1135">
        <v>58</v>
      </c>
      <c r="Q1135">
        <v>1</v>
      </c>
      <c r="R1135">
        <f>SUM(Table13[[#This Row],[Rank_All_Ranks_Total]:[Rank_SSPSPAddlSPCommandant]])</f>
        <v>2782</v>
      </c>
    </row>
    <row r="1136" spans="1:18" x14ac:dyDescent="0.3">
      <c r="A1136" t="s">
        <v>39</v>
      </c>
      <c r="B1136">
        <v>2003</v>
      </c>
      <c r="C1136" t="str">
        <f>_xlfn.CONCAT(Table13[[#This Row],[STATE]],"-",Table13[[#This Row],[Year]])</f>
        <v>Lakshadweep-2003</v>
      </c>
      <c r="D1136" t="s">
        <v>71</v>
      </c>
      <c r="E1136" t="s">
        <v>72</v>
      </c>
      <c r="F1136">
        <v>18</v>
      </c>
      <c r="G1136">
        <v>0</v>
      </c>
      <c r="H1136">
        <v>0</v>
      </c>
      <c r="I1136">
        <v>0</v>
      </c>
      <c r="J1136">
        <v>16</v>
      </c>
      <c r="K1136">
        <v>0</v>
      </c>
      <c r="L1136">
        <v>0</v>
      </c>
      <c r="M1136">
        <v>1</v>
      </c>
      <c r="N1136">
        <v>0</v>
      </c>
      <c r="O1136">
        <v>0</v>
      </c>
      <c r="P1136">
        <v>1</v>
      </c>
      <c r="Q1136">
        <v>0</v>
      </c>
      <c r="R1136">
        <f>SUM(Table13[[#This Row],[Rank_All_Ranks_Total]:[Rank_SSPSPAddlSPCommandant]])</f>
        <v>36</v>
      </c>
    </row>
    <row r="1137" spans="1:18" x14ac:dyDescent="0.3">
      <c r="A1137" t="s">
        <v>19</v>
      </c>
      <c r="B1137">
        <v>2003</v>
      </c>
      <c r="C1137" t="str">
        <f>_xlfn.CONCAT(Table13[[#This Row],[STATE]],"-",Table13[[#This Row],[Year]])</f>
        <v>Madhya Pradesh-2003</v>
      </c>
      <c r="D1137" t="s">
        <v>71</v>
      </c>
      <c r="E1137" t="s">
        <v>72</v>
      </c>
      <c r="F1137">
        <v>1955</v>
      </c>
      <c r="G1137">
        <v>47</v>
      </c>
      <c r="H1137">
        <v>36</v>
      </c>
      <c r="I1137">
        <v>0</v>
      </c>
      <c r="J1137">
        <v>1018</v>
      </c>
      <c r="K1137">
        <v>0</v>
      </c>
      <c r="L1137">
        <v>1</v>
      </c>
      <c r="M1137">
        <v>734</v>
      </c>
      <c r="N1137">
        <v>1</v>
      </c>
      <c r="O1137">
        <v>14</v>
      </c>
      <c r="P1137">
        <v>100</v>
      </c>
      <c r="Q1137">
        <v>4</v>
      </c>
      <c r="R1137">
        <f>SUM(Table13[[#This Row],[Rank_All_Ranks_Total]:[Rank_SSPSPAddlSPCommandant]])</f>
        <v>3910</v>
      </c>
    </row>
    <row r="1138" spans="1:18" x14ac:dyDescent="0.3">
      <c r="A1138" t="s">
        <v>20</v>
      </c>
      <c r="B1138">
        <v>2003</v>
      </c>
      <c r="C1138" t="str">
        <f>_xlfn.CONCAT(Table13[[#This Row],[STATE]],"-",Table13[[#This Row],[Year]])</f>
        <v>Maharashtra-2003</v>
      </c>
      <c r="D1138" t="s">
        <v>71</v>
      </c>
      <c r="E1138" t="s">
        <v>72</v>
      </c>
      <c r="F1138">
        <v>5571</v>
      </c>
      <c r="G1138">
        <v>156</v>
      </c>
      <c r="H1138">
        <v>17</v>
      </c>
      <c r="I1138">
        <v>386</v>
      </c>
      <c r="J1138">
        <v>4334</v>
      </c>
      <c r="K1138">
        <v>0</v>
      </c>
      <c r="L1138">
        <v>0</v>
      </c>
      <c r="M1138">
        <v>385</v>
      </c>
      <c r="N1138">
        <v>1</v>
      </c>
      <c r="O1138">
        <v>19</v>
      </c>
      <c r="P1138">
        <v>267</v>
      </c>
      <c r="Q1138">
        <v>6</v>
      </c>
      <c r="R1138">
        <f>SUM(Table13[[#This Row],[Rank_All_Ranks_Total]:[Rank_SSPSPAddlSPCommandant]])</f>
        <v>11142</v>
      </c>
    </row>
    <row r="1139" spans="1:18" x14ac:dyDescent="0.3">
      <c r="A1139" t="s">
        <v>21</v>
      </c>
      <c r="B1139">
        <v>2003</v>
      </c>
      <c r="C1139" t="str">
        <f>_xlfn.CONCAT(Table13[[#This Row],[STATE]],"-",Table13[[#This Row],[Year]])</f>
        <v>Manipur-2003</v>
      </c>
      <c r="D1139" t="s">
        <v>71</v>
      </c>
      <c r="E1139" t="s">
        <v>72</v>
      </c>
      <c r="F1139">
        <v>247</v>
      </c>
      <c r="G1139">
        <v>2</v>
      </c>
      <c r="H1139">
        <v>0</v>
      </c>
      <c r="I1139">
        <v>3</v>
      </c>
      <c r="J1139">
        <v>238</v>
      </c>
      <c r="K1139">
        <v>0</v>
      </c>
      <c r="L1139">
        <v>0</v>
      </c>
      <c r="M1139">
        <v>1</v>
      </c>
      <c r="N1139">
        <v>0</v>
      </c>
      <c r="O1139">
        <v>0</v>
      </c>
      <c r="P1139">
        <v>3</v>
      </c>
      <c r="Q1139">
        <v>0</v>
      </c>
      <c r="R1139">
        <f>SUM(Table13[[#This Row],[Rank_All_Ranks_Total]:[Rank_SSPSPAddlSPCommandant]])</f>
        <v>494</v>
      </c>
    </row>
    <row r="1140" spans="1:18" x14ac:dyDescent="0.3">
      <c r="A1140" t="s">
        <v>22</v>
      </c>
      <c r="B1140">
        <v>2003</v>
      </c>
      <c r="C1140" t="str">
        <f>_xlfn.CONCAT(Table13[[#This Row],[STATE]],"-",Table13[[#This Row],[Year]])</f>
        <v>Meghalaya-2003</v>
      </c>
      <c r="D1140" t="s">
        <v>71</v>
      </c>
      <c r="E1140" t="s">
        <v>72</v>
      </c>
      <c r="F1140">
        <v>133</v>
      </c>
      <c r="G1140">
        <v>32</v>
      </c>
      <c r="H1140">
        <v>1</v>
      </c>
      <c r="I1140">
        <v>0</v>
      </c>
      <c r="J1140">
        <v>96</v>
      </c>
      <c r="K1140">
        <v>0</v>
      </c>
      <c r="L1140">
        <v>0</v>
      </c>
      <c r="M1140">
        <v>0</v>
      </c>
      <c r="N1140">
        <v>0</v>
      </c>
      <c r="O1140">
        <v>3</v>
      </c>
      <c r="P1140">
        <v>0</v>
      </c>
      <c r="Q1140">
        <v>1</v>
      </c>
      <c r="R1140">
        <f>SUM(Table13[[#This Row],[Rank_All_Ranks_Total]:[Rank_SSPSPAddlSPCommandant]])</f>
        <v>266</v>
      </c>
    </row>
    <row r="1141" spans="1:18" x14ac:dyDescent="0.3">
      <c r="A1141" t="s">
        <v>23</v>
      </c>
      <c r="B1141">
        <v>2003</v>
      </c>
      <c r="C1141" t="str">
        <f>_xlfn.CONCAT(Table13[[#This Row],[STATE]],"-",Table13[[#This Row],[Year]])</f>
        <v>Mizoram-2003</v>
      </c>
      <c r="D1141" t="s">
        <v>71</v>
      </c>
      <c r="E1141" t="s">
        <v>72</v>
      </c>
      <c r="F1141">
        <v>263</v>
      </c>
      <c r="G1141">
        <v>45</v>
      </c>
      <c r="H1141">
        <v>0</v>
      </c>
      <c r="I1141">
        <v>0</v>
      </c>
      <c r="J1141">
        <v>103</v>
      </c>
      <c r="K1141">
        <v>0</v>
      </c>
      <c r="L1141">
        <v>0</v>
      </c>
      <c r="M1141">
        <v>78</v>
      </c>
      <c r="N1141">
        <v>0</v>
      </c>
      <c r="O1141">
        <v>4</v>
      </c>
      <c r="P1141">
        <v>33</v>
      </c>
      <c r="Q1141">
        <v>0</v>
      </c>
      <c r="R1141">
        <f>SUM(Table13[[#This Row],[Rank_All_Ranks_Total]:[Rank_SSPSPAddlSPCommandant]])</f>
        <v>526</v>
      </c>
    </row>
    <row r="1142" spans="1:18" x14ac:dyDescent="0.3">
      <c r="A1142" t="s">
        <v>24</v>
      </c>
      <c r="B1142">
        <v>2003</v>
      </c>
      <c r="C1142" t="str">
        <f>_xlfn.CONCAT(Table13[[#This Row],[STATE]],"-",Table13[[#This Row],[Year]])</f>
        <v>Nagaland-2003</v>
      </c>
      <c r="D1142" t="s">
        <v>71</v>
      </c>
      <c r="E1142" t="s">
        <v>72</v>
      </c>
      <c r="F1142">
        <v>24</v>
      </c>
      <c r="G1142">
        <v>0</v>
      </c>
      <c r="H1142">
        <v>0</v>
      </c>
      <c r="I1142">
        <v>0</v>
      </c>
      <c r="J1142">
        <v>24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f>SUM(Table13[[#This Row],[Rank_All_Ranks_Total]:[Rank_SSPSPAddlSPCommandant]])</f>
        <v>48</v>
      </c>
    </row>
    <row r="1143" spans="1:18" x14ac:dyDescent="0.3">
      <c r="A1143" t="s">
        <v>63</v>
      </c>
      <c r="B1143">
        <v>2003</v>
      </c>
      <c r="C1143" t="str">
        <f>_xlfn.CONCAT(Table13[[#This Row],[STATE]],"-",Table13[[#This Row],[Year]])</f>
        <v>Odisha-2003</v>
      </c>
      <c r="D1143" t="s">
        <v>71</v>
      </c>
      <c r="E1143" t="s">
        <v>72</v>
      </c>
      <c r="F1143">
        <v>334</v>
      </c>
      <c r="G1143">
        <v>41</v>
      </c>
      <c r="H1143">
        <v>1</v>
      </c>
      <c r="I1143">
        <v>0</v>
      </c>
      <c r="J1143">
        <v>241</v>
      </c>
      <c r="K1143">
        <v>0</v>
      </c>
      <c r="L1143">
        <v>0</v>
      </c>
      <c r="M1143">
        <v>0</v>
      </c>
      <c r="N1143">
        <v>0</v>
      </c>
      <c r="O1143">
        <v>12</v>
      </c>
      <c r="P1143">
        <v>39</v>
      </c>
      <c r="Q1143">
        <v>0</v>
      </c>
      <c r="R1143">
        <f>SUM(Table13[[#This Row],[Rank_All_Ranks_Total]:[Rank_SSPSPAddlSPCommandant]])</f>
        <v>668</v>
      </c>
    </row>
    <row r="1144" spans="1:18" x14ac:dyDescent="0.3">
      <c r="A1144" t="s">
        <v>64</v>
      </c>
      <c r="B1144">
        <v>2003</v>
      </c>
      <c r="C1144" t="str">
        <f>_xlfn.CONCAT(Table13[[#This Row],[STATE]],"-",Table13[[#This Row],[Year]])</f>
        <v>Puducherry-2003</v>
      </c>
      <c r="D1144" t="s">
        <v>71</v>
      </c>
      <c r="E1144" t="s">
        <v>72</v>
      </c>
      <c r="F1144">
        <v>79</v>
      </c>
      <c r="G1144">
        <v>1</v>
      </c>
      <c r="H1144">
        <v>0</v>
      </c>
      <c r="I1144">
        <v>0</v>
      </c>
      <c r="J1144">
        <v>70</v>
      </c>
      <c r="K1144">
        <v>0</v>
      </c>
      <c r="L1144">
        <v>0</v>
      </c>
      <c r="M1144">
        <v>6</v>
      </c>
      <c r="N1144">
        <v>0</v>
      </c>
      <c r="O1144">
        <v>1</v>
      </c>
      <c r="P1144">
        <v>1</v>
      </c>
      <c r="Q1144">
        <v>0</v>
      </c>
      <c r="R1144">
        <f>SUM(Table13[[#This Row],[Rank_All_Ranks_Total]:[Rank_SSPSPAddlSPCommandant]])</f>
        <v>158</v>
      </c>
    </row>
    <row r="1145" spans="1:18" x14ac:dyDescent="0.3">
      <c r="A1145" t="s">
        <v>26</v>
      </c>
      <c r="B1145">
        <v>2003</v>
      </c>
      <c r="C1145" t="str">
        <f>_xlfn.CONCAT(Table13[[#This Row],[STATE]],"-",Table13[[#This Row],[Year]])</f>
        <v>Punjab-2003</v>
      </c>
      <c r="D1145" t="s">
        <v>71</v>
      </c>
      <c r="E1145" t="s">
        <v>72</v>
      </c>
      <c r="F1145">
        <v>1051</v>
      </c>
      <c r="G1145">
        <v>34</v>
      </c>
      <c r="H1145">
        <v>2</v>
      </c>
      <c r="I1145">
        <v>0</v>
      </c>
      <c r="J1145">
        <v>851</v>
      </c>
      <c r="K1145">
        <v>0</v>
      </c>
      <c r="L1145">
        <v>0</v>
      </c>
      <c r="M1145">
        <v>123</v>
      </c>
      <c r="N1145">
        <v>0</v>
      </c>
      <c r="O1145">
        <v>7</v>
      </c>
      <c r="P1145">
        <v>28</v>
      </c>
      <c r="Q1145">
        <v>6</v>
      </c>
      <c r="R1145">
        <f>SUM(Table13[[#This Row],[Rank_All_Ranks_Total]:[Rank_SSPSPAddlSPCommandant]])</f>
        <v>2102</v>
      </c>
    </row>
    <row r="1146" spans="1:18" x14ac:dyDescent="0.3">
      <c r="A1146" t="s">
        <v>27</v>
      </c>
      <c r="B1146">
        <v>2003</v>
      </c>
      <c r="C1146" t="str">
        <f>_xlfn.CONCAT(Table13[[#This Row],[STATE]],"-",Table13[[#This Row],[Year]])</f>
        <v>Rajasthan-2003</v>
      </c>
      <c r="D1146" t="s">
        <v>71</v>
      </c>
      <c r="E1146" t="s">
        <v>72</v>
      </c>
      <c r="F1146">
        <v>1153</v>
      </c>
      <c r="G1146">
        <v>6</v>
      </c>
      <c r="H1146">
        <v>2</v>
      </c>
      <c r="I1146">
        <v>0</v>
      </c>
      <c r="J1146">
        <v>1062</v>
      </c>
      <c r="K1146">
        <v>0</v>
      </c>
      <c r="L1146">
        <v>0</v>
      </c>
      <c r="M1146">
        <v>32</v>
      </c>
      <c r="N1146">
        <v>0</v>
      </c>
      <c r="O1146">
        <v>2</v>
      </c>
      <c r="P1146">
        <v>47</v>
      </c>
      <c r="Q1146">
        <v>2</v>
      </c>
      <c r="R1146">
        <f>SUM(Table13[[#This Row],[Rank_All_Ranks_Total]:[Rank_SSPSPAddlSPCommandant]])</f>
        <v>2306</v>
      </c>
    </row>
    <row r="1147" spans="1:18" x14ac:dyDescent="0.3">
      <c r="A1147" t="s">
        <v>28</v>
      </c>
      <c r="B1147">
        <v>2003</v>
      </c>
      <c r="C1147" t="str">
        <f>_xlfn.CONCAT(Table13[[#This Row],[STATE]],"-",Table13[[#This Row],[Year]])</f>
        <v>Sikkim-2003</v>
      </c>
      <c r="D1147" t="s">
        <v>71</v>
      </c>
      <c r="E1147" t="s">
        <v>72</v>
      </c>
      <c r="F1147">
        <v>154</v>
      </c>
      <c r="G1147">
        <v>0</v>
      </c>
      <c r="H1147">
        <v>0</v>
      </c>
      <c r="I1147">
        <v>6</v>
      </c>
      <c r="J1147">
        <v>127</v>
      </c>
      <c r="K1147">
        <v>0</v>
      </c>
      <c r="L1147">
        <v>0</v>
      </c>
      <c r="M1147">
        <v>0</v>
      </c>
      <c r="N1147">
        <v>0</v>
      </c>
      <c r="O1147">
        <v>8</v>
      </c>
      <c r="P1147">
        <v>13</v>
      </c>
      <c r="Q1147">
        <v>0</v>
      </c>
      <c r="R1147">
        <f>SUM(Table13[[#This Row],[Rank_All_Ranks_Total]:[Rank_SSPSPAddlSPCommandant]])</f>
        <v>308</v>
      </c>
    </row>
    <row r="1148" spans="1:18" x14ac:dyDescent="0.3">
      <c r="A1148" t="s">
        <v>42</v>
      </c>
      <c r="B1148">
        <v>2003</v>
      </c>
      <c r="C1148" t="str">
        <f>_xlfn.CONCAT(Table13[[#This Row],[STATE]],"-",Table13[[#This Row],[Year]])</f>
        <v>Tamil Nadu-2003</v>
      </c>
      <c r="D1148" t="s">
        <v>71</v>
      </c>
      <c r="E1148" t="s">
        <v>72</v>
      </c>
      <c r="F1148">
        <v>6583</v>
      </c>
      <c r="G1148">
        <v>0</v>
      </c>
      <c r="H1148">
        <v>31</v>
      </c>
      <c r="I1148">
        <v>35</v>
      </c>
      <c r="J1148">
        <v>4937</v>
      </c>
      <c r="K1148">
        <v>2</v>
      </c>
      <c r="L1148">
        <v>1</v>
      </c>
      <c r="M1148">
        <v>946</v>
      </c>
      <c r="N1148">
        <v>1</v>
      </c>
      <c r="O1148">
        <v>108</v>
      </c>
      <c r="P1148">
        <v>518</v>
      </c>
      <c r="Q1148">
        <v>4</v>
      </c>
      <c r="R1148">
        <f>SUM(Table13[[#This Row],[Rank_All_Ranks_Total]:[Rank_SSPSPAddlSPCommandant]])</f>
        <v>13166</v>
      </c>
    </row>
    <row r="1149" spans="1:18" x14ac:dyDescent="0.3">
      <c r="A1149" t="s">
        <v>30</v>
      </c>
      <c r="B1149">
        <v>2003</v>
      </c>
      <c r="C1149" t="str">
        <f>_xlfn.CONCAT(Table13[[#This Row],[STATE]],"-",Table13[[#This Row],[Year]])</f>
        <v>Tripura-2003</v>
      </c>
      <c r="D1149" t="s">
        <v>71</v>
      </c>
      <c r="E1149" t="s">
        <v>72</v>
      </c>
      <c r="F1149">
        <v>210</v>
      </c>
      <c r="G1149">
        <v>15</v>
      </c>
      <c r="H1149">
        <v>1</v>
      </c>
      <c r="I1149">
        <v>0</v>
      </c>
      <c r="J1149">
        <v>175</v>
      </c>
      <c r="K1149">
        <v>0</v>
      </c>
      <c r="L1149">
        <v>0</v>
      </c>
      <c r="M1149">
        <v>0</v>
      </c>
      <c r="N1149">
        <v>0</v>
      </c>
      <c r="O1149">
        <v>1</v>
      </c>
      <c r="P1149">
        <v>17</v>
      </c>
      <c r="Q1149">
        <v>1</v>
      </c>
      <c r="R1149">
        <f>SUM(Table13[[#This Row],[Rank_All_Ranks_Total]:[Rank_SSPSPAddlSPCommandant]])</f>
        <v>420</v>
      </c>
    </row>
    <row r="1150" spans="1:18" x14ac:dyDescent="0.3">
      <c r="A1150" t="s">
        <v>31</v>
      </c>
      <c r="B1150">
        <v>2003</v>
      </c>
      <c r="C1150" t="str">
        <f>_xlfn.CONCAT(Table13[[#This Row],[STATE]],"-",Table13[[#This Row],[Year]])</f>
        <v>Uttar Pradesh-2003</v>
      </c>
      <c r="D1150" t="s">
        <v>71</v>
      </c>
      <c r="E1150" t="s">
        <v>72</v>
      </c>
      <c r="F1150">
        <v>1902</v>
      </c>
      <c r="G1150">
        <v>0</v>
      </c>
      <c r="H1150">
        <v>25</v>
      </c>
      <c r="I1150">
        <v>0</v>
      </c>
      <c r="J1150">
        <v>1539</v>
      </c>
      <c r="K1150">
        <v>0</v>
      </c>
      <c r="L1150">
        <v>1</v>
      </c>
      <c r="M1150">
        <v>140</v>
      </c>
      <c r="N1150">
        <v>0</v>
      </c>
      <c r="O1150">
        <v>11</v>
      </c>
      <c r="P1150">
        <v>182</v>
      </c>
      <c r="Q1150">
        <v>4</v>
      </c>
      <c r="R1150">
        <f>SUM(Table13[[#This Row],[Rank_All_Ranks_Total]:[Rank_SSPSPAddlSPCommandant]])</f>
        <v>3804</v>
      </c>
    </row>
    <row r="1151" spans="1:18" x14ac:dyDescent="0.3">
      <c r="A1151" t="s">
        <v>65</v>
      </c>
      <c r="B1151">
        <v>2003</v>
      </c>
      <c r="C1151" t="str">
        <f>_xlfn.CONCAT(Table13[[#This Row],[STATE]],"-",Table13[[#This Row],[Year]])</f>
        <v>Uttarakhand-2003</v>
      </c>
      <c r="D1151" t="s">
        <v>71</v>
      </c>
      <c r="E1151" t="s">
        <v>72</v>
      </c>
      <c r="F1151">
        <v>421</v>
      </c>
      <c r="G1151">
        <v>0</v>
      </c>
      <c r="H1151">
        <v>0</v>
      </c>
      <c r="I1151">
        <v>0</v>
      </c>
      <c r="J1151">
        <v>394</v>
      </c>
      <c r="K1151">
        <v>1</v>
      </c>
      <c r="L1151">
        <v>0</v>
      </c>
      <c r="M1151">
        <v>7</v>
      </c>
      <c r="N1151">
        <v>0</v>
      </c>
      <c r="O1151">
        <v>0</v>
      </c>
      <c r="P1151">
        <v>19</v>
      </c>
      <c r="Q1151">
        <v>0</v>
      </c>
      <c r="R1151">
        <f>SUM(Table13[[#This Row],[Rank_All_Ranks_Total]:[Rank_SSPSPAddlSPCommandant]])</f>
        <v>842</v>
      </c>
    </row>
    <row r="1152" spans="1:18" x14ac:dyDescent="0.3">
      <c r="A1152" t="s">
        <v>33</v>
      </c>
      <c r="B1152">
        <v>2003</v>
      </c>
      <c r="C1152" t="str">
        <f>_xlfn.CONCAT(Table13[[#This Row],[STATE]],"-",Table13[[#This Row],[Year]])</f>
        <v>West Bengal-2003</v>
      </c>
      <c r="D1152" t="s">
        <v>71</v>
      </c>
      <c r="E1152" t="s">
        <v>72</v>
      </c>
      <c r="F1152">
        <v>1132</v>
      </c>
      <c r="G1152">
        <v>85</v>
      </c>
      <c r="H1152">
        <v>10</v>
      </c>
      <c r="I1152">
        <v>0</v>
      </c>
      <c r="J1152">
        <v>871</v>
      </c>
      <c r="K1152">
        <v>0</v>
      </c>
      <c r="L1152">
        <v>2</v>
      </c>
      <c r="M1152">
        <v>7</v>
      </c>
      <c r="N1152">
        <v>0</v>
      </c>
      <c r="O1152">
        <v>17</v>
      </c>
      <c r="P1152">
        <v>139</v>
      </c>
      <c r="Q1152">
        <v>1</v>
      </c>
      <c r="R1152">
        <f>SUM(Table13[[#This Row],[Rank_All_Ranks_Total]:[Rank_SSPSPAddlSPCommandant]])</f>
        <v>2264</v>
      </c>
    </row>
    <row r="1153" spans="1:18" x14ac:dyDescent="0.3">
      <c r="A1153" t="s">
        <v>59</v>
      </c>
      <c r="B1153">
        <v>2004</v>
      </c>
      <c r="C1153" t="str">
        <f>_xlfn.CONCAT(Table13[[#This Row],[STATE]],"-",Table13[[#This Row],[Year]])</f>
        <v>Andaman &amp; Nicobar Islands-2004</v>
      </c>
      <c r="D1153" t="s">
        <v>71</v>
      </c>
      <c r="E1153" t="s">
        <v>72</v>
      </c>
      <c r="F1153">
        <v>130</v>
      </c>
      <c r="G1153">
        <v>5</v>
      </c>
      <c r="H1153">
        <v>1</v>
      </c>
      <c r="I1153">
        <v>0</v>
      </c>
      <c r="J1153">
        <v>107</v>
      </c>
      <c r="K1153">
        <v>0</v>
      </c>
      <c r="L1153">
        <v>0</v>
      </c>
      <c r="M1153">
        <v>8</v>
      </c>
      <c r="N1153">
        <v>0</v>
      </c>
      <c r="O1153">
        <v>0</v>
      </c>
      <c r="P1153">
        <v>8</v>
      </c>
      <c r="Q1153">
        <v>1</v>
      </c>
      <c r="R1153">
        <f>SUM(Table13[[#This Row],[Rank_All_Ranks_Total]:[Rank_SSPSPAddlSPCommandant]])</f>
        <v>260</v>
      </c>
    </row>
    <row r="1154" spans="1:18" x14ac:dyDescent="0.3">
      <c r="A1154" t="s">
        <v>6</v>
      </c>
      <c r="B1154">
        <v>2004</v>
      </c>
      <c r="C1154" t="str">
        <f>_xlfn.CONCAT(Table13[[#This Row],[STATE]],"-",Table13[[#This Row],[Year]])</f>
        <v>Andhra Pradesh-2004</v>
      </c>
      <c r="D1154" t="s">
        <v>71</v>
      </c>
      <c r="E1154" t="s">
        <v>72</v>
      </c>
      <c r="F1154">
        <v>1351</v>
      </c>
      <c r="G1154">
        <v>0</v>
      </c>
      <c r="H1154">
        <v>0</v>
      </c>
      <c r="I1154">
        <v>0</v>
      </c>
      <c r="J1154">
        <v>1266</v>
      </c>
      <c r="K1154">
        <v>0</v>
      </c>
      <c r="L1154">
        <v>0</v>
      </c>
      <c r="M1154">
        <v>50</v>
      </c>
      <c r="N1154">
        <v>0</v>
      </c>
      <c r="O1154">
        <v>0</v>
      </c>
      <c r="P1154">
        <v>35</v>
      </c>
      <c r="Q1154">
        <v>0</v>
      </c>
      <c r="R1154">
        <f>SUM(Table13[[#This Row],[Rank_All_Ranks_Total]:[Rank_SSPSPAddlSPCommandant]])</f>
        <v>2702</v>
      </c>
    </row>
    <row r="1155" spans="1:18" x14ac:dyDescent="0.3">
      <c r="A1155" t="s">
        <v>7</v>
      </c>
      <c r="B1155">
        <v>2004</v>
      </c>
      <c r="C1155" t="str">
        <f>_xlfn.CONCAT(Table13[[#This Row],[STATE]],"-",Table13[[#This Row],[Year]])</f>
        <v>Arunachal Pradesh-2004</v>
      </c>
      <c r="D1155" t="s">
        <v>71</v>
      </c>
      <c r="E1155" t="s">
        <v>72</v>
      </c>
      <c r="F1155">
        <v>138</v>
      </c>
      <c r="G1155">
        <v>5</v>
      </c>
      <c r="H1155">
        <v>0</v>
      </c>
      <c r="I1155">
        <v>0</v>
      </c>
      <c r="J1155">
        <v>114</v>
      </c>
      <c r="K1155">
        <v>0</v>
      </c>
      <c r="L1155">
        <v>0</v>
      </c>
      <c r="M1155">
        <v>11</v>
      </c>
      <c r="N1155">
        <v>0</v>
      </c>
      <c r="O1155">
        <v>0</v>
      </c>
      <c r="P1155">
        <v>8</v>
      </c>
      <c r="Q1155">
        <v>0</v>
      </c>
      <c r="R1155">
        <f>SUM(Table13[[#This Row],[Rank_All_Ranks_Total]:[Rank_SSPSPAddlSPCommandant]])</f>
        <v>276</v>
      </c>
    </row>
    <row r="1156" spans="1:18" x14ac:dyDescent="0.3">
      <c r="A1156" t="s">
        <v>8</v>
      </c>
      <c r="B1156">
        <v>2004</v>
      </c>
      <c r="C1156" t="str">
        <f>_xlfn.CONCAT(Table13[[#This Row],[STATE]],"-",Table13[[#This Row],[Year]])</f>
        <v>Assam-2004</v>
      </c>
      <c r="D1156" t="s">
        <v>71</v>
      </c>
      <c r="E1156" t="s">
        <v>72</v>
      </c>
      <c r="F1156">
        <v>223</v>
      </c>
      <c r="G1156">
        <v>5</v>
      </c>
      <c r="H1156">
        <v>0</v>
      </c>
      <c r="I1156">
        <v>8</v>
      </c>
      <c r="J1156">
        <v>185</v>
      </c>
      <c r="K1156">
        <v>0</v>
      </c>
      <c r="L1156">
        <v>0</v>
      </c>
      <c r="M1156">
        <v>8</v>
      </c>
      <c r="N1156">
        <v>0</v>
      </c>
      <c r="O1156">
        <v>0</v>
      </c>
      <c r="P1156">
        <v>17</v>
      </c>
      <c r="Q1156">
        <v>0</v>
      </c>
      <c r="R1156">
        <f>SUM(Table13[[#This Row],[Rank_All_Ranks_Total]:[Rank_SSPSPAddlSPCommandant]])</f>
        <v>446</v>
      </c>
    </row>
    <row r="1157" spans="1:18" x14ac:dyDescent="0.3">
      <c r="A1157" t="s">
        <v>9</v>
      </c>
      <c r="B1157">
        <v>2004</v>
      </c>
      <c r="C1157" t="str">
        <f>_xlfn.CONCAT(Table13[[#This Row],[STATE]],"-",Table13[[#This Row],[Year]])</f>
        <v>Bihar-2004</v>
      </c>
      <c r="D1157" t="s">
        <v>71</v>
      </c>
      <c r="E1157" t="s">
        <v>72</v>
      </c>
      <c r="F1157">
        <v>890</v>
      </c>
      <c r="G1157">
        <v>10</v>
      </c>
      <c r="H1157">
        <v>3</v>
      </c>
      <c r="I1157">
        <v>0</v>
      </c>
      <c r="J1157">
        <v>800</v>
      </c>
      <c r="K1157">
        <v>0</v>
      </c>
      <c r="L1157">
        <v>0</v>
      </c>
      <c r="M1157">
        <v>22</v>
      </c>
      <c r="N1157">
        <v>0</v>
      </c>
      <c r="O1157">
        <v>1</v>
      </c>
      <c r="P1157">
        <v>50</v>
      </c>
      <c r="Q1157">
        <v>4</v>
      </c>
      <c r="R1157">
        <f>SUM(Table13[[#This Row],[Rank_All_Ranks_Total]:[Rank_SSPSPAddlSPCommandant]])</f>
        <v>1780</v>
      </c>
    </row>
    <row r="1158" spans="1:18" x14ac:dyDescent="0.3">
      <c r="A1158" t="s">
        <v>35</v>
      </c>
      <c r="B1158">
        <v>2004</v>
      </c>
      <c r="C1158" t="str">
        <f>_xlfn.CONCAT(Table13[[#This Row],[STATE]],"-",Table13[[#This Row],[Year]])</f>
        <v>Chandigarh-2004</v>
      </c>
      <c r="D1158" t="s">
        <v>71</v>
      </c>
      <c r="E1158" t="s">
        <v>72</v>
      </c>
      <c r="F1158">
        <v>231</v>
      </c>
      <c r="G1158">
        <v>8</v>
      </c>
      <c r="H1158">
        <v>0</v>
      </c>
      <c r="I1158">
        <v>0</v>
      </c>
      <c r="J1158">
        <v>190</v>
      </c>
      <c r="K1158">
        <v>0</v>
      </c>
      <c r="L1158">
        <v>0</v>
      </c>
      <c r="M1158">
        <v>13</v>
      </c>
      <c r="N1158">
        <v>0</v>
      </c>
      <c r="O1158">
        <v>0</v>
      </c>
      <c r="P1158">
        <v>20</v>
      </c>
      <c r="Q1158">
        <v>0</v>
      </c>
      <c r="R1158">
        <f>SUM(Table13[[#This Row],[Rank_All_Ranks_Total]:[Rank_SSPSPAddlSPCommandant]])</f>
        <v>462</v>
      </c>
    </row>
    <row r="1159" spans="1:18" x14ac:dyDescent="0.3">
      <c r="A1159" t="s">
        <v>10</v>
      </c>
      <c r="B1159">
        <v>2004</v>
      </c>
      <c r="C1159" t="str">
        <f>_xlfn.CONCAT(Table13[[#This Row],[STATE]],"-",Table13[[#This Row],[Year]])</f>
        <v>Chhattisgarh-2004</v>
      </c>
      <c r="D1159" t="s">
        <v>71</v>
      </c>
      <c r="E1159" t="s">
        <v>72</v>
      </c>
      <c r="F1159">
        <v>1039</v>
      </c>
      <c r="G1159">
        <v>667</v>
      </c>
      <c r="H1159">
        <v>5</v>
      </c>
      <c r="I1159">
        <v>0</v>
      </c>
      <c r="J1159">
        <v>254</v>
      </c>
      <c r="K1159">
        <v>0</v>
      </c>
      <c r="L1159">
        <v>0</v>
      </c>
      <c r="M1159">
        <v>54</v>
      </c>
      <c r="N1159">
        <v>0</v>
      </c>
      <c r="O1159">
        <v>3</v>
      </c>
      <c r="P1159">
        <v>56</v>
      </c>
      <c r="Q1159">
        <v>0</v>
      </c>
      <c r="R1159">
        <f>SUM(Table13[[#This Row],[Rank_All_Ranks_Total]:[Rank_SSPSPAddlSPCommandant]])</f>
        <v>2078</v>
      </c>
    </row>
    <row r="1160" spans="1:18" x14ac:dyDescent="0.3">
      <c r="A1160" t="s">
        <v>62</v>
      </c>
      <c r="B1160">
        <v>2004</v>
      </c>
      <c r="C1160" t="str">
        <f>_xlfn.CONCAT(Table13[[#This Row],[STATE]],"-",Table13[[#This Row],[Year]])</f>
        <v>Dadra &amp; Nagar Haveli-2004</v>
      </c>
      <c r="D1160" t="s">
        <v>71</v>
      </c>
      <c r="E1160" t="s">
        <v>72</v>
      </c>
      <c r="F1160">
        <v>8</v>
      </c>
      <c r="G1160">
        <v>0</v>
      </c>
      <c r="H1160">
        <v>0</v>
      </c>
      <c r="I1160">
        <v>0</v>
      </c>
      <c r="J1160">
        <v>4</v>
      </c>
      <c r="K1160">
        <v>0</v>
      </c>
      <c r="L1160">
        <v>0</v>
      </c>
      <c r="M1160">
        <v>2</v>
      </c>
      <c r="N1160">
        <v>0</v>
      </c>
      <c r="O1160">
        <v>0</v>
      </c>
      <c r="P1160">
        <v>2</v>
      </c>
      <c r="Q1160">
        <v>0</v>
      </c>
      <c r="R1160">
        <f>SUM(Table13[[#This Row],[Rank_All_Ranks_Total]:[Rank_SSPSPAddlSPCommandant]])</f>
        <v>16</v>
      </c>
    </row>
    <row r="1161" spans="1:18" x14ac:dyDescent="0.3">
      <c r="A1161" t="s">
        <v>37</v>
      </c>
      <c r="B1161">
        <v>2004</v>
      </c>
      <c r="C1161" t="str">
        <f>_xlfn.CONCAT(Table13[[#This Row],[STATE]],"-",Table13[[#This Row],[Year]])</f>
        <v>Daman &amp; Diu-2004</v>
      </c>
      <c r="D1161" t="s">
        <v>71</v>
      </c>
      <c r="E1161" t="s">
        <v>72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f>SUM(Table13[[#This Row],[Rank_All_Ranks_Total]:[Rank_SSPSPAddlSPCommandant]])</f>
        <v>0</v>
      </c>
    </row>
    <row r="1162" spans="1:18" x14ac:dyDescent="0.3">
      <c r="A1162" t="s">
        <v>38</v>
      </c>
      <c r="B1162">
        <v>2004</v>
      </c>
      <c r="C1162" t="str">
        <f>_xlfn.CONCAT(Table13[[#This Row],[STATE]],"-",Table13[[#This Row],[Year]])</f>
        <v>Delhi-2004</v>
      </c>
      <c r="D1162" t="s">
        <v>71</v>
      </c>
      <c r="E1162" t="s">
        <v>72</v>
      </c>
      <c r="F1162">
        <v>2052</v>
      </c>
      <c r="G1162">
        <v>241</v>
      </c>
      <c r="H1162">
        <v>7</v>
      </c>
      <c r="I1162">
        <v>0</v>
      </c>
      <c r="J1162">
        <v>1038</v>
      </c>
      <c r="K1162">
        <v>0</v>
      </c>
      <c r="L1162">
        <v>0</v>
      </c>
      <c r="M1162">
        <v>561</v>
      </c>
      <c r="N1162">
        <v>0</v>
      </c>
      <c r="O1162">
        <v>69</v>
      </c>
      <c r="P1162">
        <v>136</v>
      </c>
      <c r="Q1162">
        <v>0</v>
      </c>
      <c r="R1162">
        <f>SUM(Table13[[#This Row],[Rank_All_Ranks_Total]:[Rank_SSPSPAddlSPCommandant]])</f>
        <v>4104</v>
      </c>
    </row>
    <row r="1163" spans="1:18" x14ac:dyDescent="0.3">
      <c r="A1163" t="s">
        <v>11</v>
      </c>
      <c r="B1163">
        <v>2004</v>
      </c>
      <c r="C1163" t="str">
        <f>_xlfn.CONCAT(Table13[[#This Row],[STATE]],"-",Table13[[#This Row],[Year]])</f>
        <v>Goa-2004</v>
      </c>
      <c r="D1163" t="s">
        <v>71</v>
      </c>
      <c r="E1163" t="s">
        <v>72</v>
      </c>
      <c r="F1163">
        <v>202</v>
      </c>
      <c r="G1163">
        <v>10</v>
      </c>
      <c r="H1163">
        <v>2</v>
      </c>
      <c r="I1163">
        <v>0</v>
      </c>
      <c r="J1163">
        <v>156</v>
      </c>
      <c r="K1163">
        <v>0</v>
      </c>
      <c r="L1163">
        <v>0</v>
      </c>
      <c r="M1163">
        <v>21</v>
      </c>
      <c r="N1163">
        <v>0</v>
      </c>
      <c r="O1163">
        <v>7</v>
      </c>
      <c r="P1163">
        <v>6</v>
      </c>
      <c r="Q1163">
        <v>0</v>
      </c>
      <c r="R1163">
        <f>SUM(Table13[[#This Row],[Rank_All_Ranks_Total]:[Rank_SSPSPAddlSPCommandant]])</f>
        <v>404</v>
      </c>
    </row>
    <row r="1164" spans="1:18" x14ac:dyDescent="0.3">
      <c r="A1164" t="s">
        <v>12</v>
      </c>
      <c r="B1164">
        <v>2004</v>
      </c>
      <c r="C1164" t="str">
        <f>_xlfn.CONCAT(Table13[[#This Row],[STATE]],"-",Table13[[#This Row],[Year]])</f>
        <v>Gujarat-2004</v>
      </c>
      <c r="D1164" t="s">
        <v>71</v>
      </c>
      <c r="E1164" t="s">
        <v>72</v>
      </c>
      <c r="F1164">
        <v>1632</v>
      </c>
      <c r="G1164">
        <v>123</v>
      </c>
      <c r="H1164">
        <v>0</v>
      </c>
      <c r="I1164">
        <v>0</v>
      </c>
      <c r="J1164">
        <v>1212</v>
      </c>
      <c r="K1164">
        <v>0</v>
      </c>
      <c r="L1164">
        <v>0</v>
      </c>
      <c r="M1164">
        <v>257</v>
      </c>
      <c r="N1164">
        <v>0</v>
      </c>
      <c r="O1164">
        <v>8</v>
      </c>
      <c r="P1164">
        <v>32</v>
      </c>
      <c r="Q1164">
        <v>0</v>
      </c>
      <c r="R1164">
        <f>SUM(Table13[[#This Row],[Rank_All_Ranks_Total]:[Rank_SSPSPAddlSPCommandant]])</f>
        <v>3264</v>
      </c>
    </row>
    <row r="1165" spans="1:18" x14ac:dyDescent="0.3">
      <c r="A1165" t="s">
        <v>13</v>
      </c>
      <c r="B1165">
        <v>2004</v>
      </c>
      <c r="C1165" t="str">
        <f>_xlfn.CONCAT(Table13[[#This Row],[STATE]],"-",Table13[[#This Row],[Year]])</f>
        <v>Haryana-2004</v>
      </c>
      <c r="D1165" t="s">
        <v>71</v>
      </c>
      <c r="E1165" t="s">
        <v>72</v>
      </c>
      <c r="F1165">
        <v>883</v>
      </c>
      <c r="G1165">
        <v>36</v>
      </c>
      <c r="H1165">
        <v>0</v>
      </c>
      <c r="I1165">
        <v>0</v>
      </c>
      <c r="J1165">
        <v>748</v>
      </c>
      <c r="K1165">
        <v>0</v>
      </c>
      <c r="L1165">
        <v>0</v>
      </c>
      <c r="M1165">
        <v>75</v>
      </c>
      <c r="N1165">
        <v>0</v>
      </c>
      <c r="O1165">
        <v>4</v>
      </c>
      <c r="P1165">
        <v>20</v>
      </c>
      <c r="Q1165">
        <v>0</v>
      </c>
      <c r="R1165">
        <f>SUM(Table13[[#This Row],[Rank_All_Ranks_Total]:[Rank_SSPSPAddlSPCommandant]])</f>
        <v>1766</v>
      </c>
    </row>
    <row r="1166" spans="1:18" x14ac:dyDescent="0.3">
      <c r="A1166" t="s">
        <v>14</v>
      </c>
      <c r="B1166">
        <v>2004</v>
      </c>
      <c r="C1166" t="str">
        <f>_xlfn.CONCAT(Table13[[#This Row],[STATE]],"-",Table13[[#This Row],[Year]])</f>
        <v>Himachal Pradesh-2004</v>
      </c>
      <c r="D1166" t="s">
        <v>71</v>
      </c>
      <c r="E1166" t="s">
        <v>72</v>
      </c>
      <c r="F1166">
        <v>479</v>
      </c>
      <c r="G1166">
        <v>8</v>
      </c>
      <c r="H1166">
        <v>4</v>
      </c>
      <c r="I1166">
        <v>0</v>
      </c>
      <c r="J1166">
        <v>427</v>
      </c>
      <c r="K1166">
        <v>0</v>
      </c>
      <c r="L1166">
        <v>0</v>
      </c>
      <c r="M1166">
        <v>16</v>
      </c>
      <c r="N1166">
        <v>0</v>
      </c>
      <c r="O1166">
        <v>9</v>
      </c>
      <c r="P1166">
        <v>13</v>
      </c>
      <c r="Q1166">
        <v>2</v>
      </c>
      <c r="R1166">
        <f>SUM(Table13[[#This Row],[Rank_All_Ranks_Total]:[Rank_SSPSPAddlSPCommandant]])</f>
        <v>958</v>
      </c>
    </row>
    <row r="1167" spans="1:18" x14ac:dyDescent="0.3">
      <c r="A1167" t="s">
        <v>15</v>
      </c>
      <c r="B1167">
        <v>2004</v>
      </c>
      <c r="C1167" t="str">
        <f>_xlfn.CONCAT(Table13[[#This Row],[STATE]],"-",Table13[[#This Row],[Year]])</f>
        <v>Jammu &amp; Kashmir-2004</v>
      </c>
      <c r="D1167" t="s">
        <v>71</v>
      </c>
      <c r="E1167" t="s">
        <v>72</v>
      </c>
      <c r="F1167">
        <v>1432</v>
      </c>
      <c r="G1167">
        <v>13</v>
      </c>
      <c r="H1167">
        <v>6</v>
      </c>
      <c r="I1167">
        <v>0</v>
      </c>
      <c r="J1167">
        <v>1374</v>
      </c>
      <c r="K1167">
        <v>0</v>
      </c>
      <c r="L1167">
        <v>1</v>
      </c>
      <c r="M1167">
        <v>9</v>
      </c>
      <c r="N1167">
        <v>0</v>
      </c>
      <c r="O1167">
        <v>9</v>
      </c>
      <c r="P1167">
        <v>18</v>
      </c>
      <c r="Q1167">
        <v>2</v>
      </c>
      <c r="R1167">
        <f>SUM(Table13[[#This Row],[Rank_All_Ranks_Total]:[Rank_SSPSPAddlSPCommandant]])</f>
        <v>2864</v>
      </c>
    </row>
    <row r="1168" spans="1:18" x14ac:dyDescent="0.3">
      <c r="A1168" t="s">
        <v>16</v>
      </c>
      <c r="B1168">
        <v>2004</v>
      </c>
      <c r="C1168" t="str">
        <f>_xlfn.CONCAT(Table13[[#This Row],[STATE]],"-",Table13[[#This Row],[Year]])</f>
        <v>Jharkhand-2004</v>
      </c>
      <c r="D1168" t="s">
        <v>71</v>
      </c>
      <c r="E1168" t="s">
        <v>72</v>
      </c>
      <c r="F1168">
        <v>245</v>
      </c>
      <c r="G1168">
        <v>12</v>
      </c>
      <c r="H1168">
        <v>0</v>
      </c>
      <c r="I1168">
        <v>0</v>
      </c>
      <c r="J1168">
        <v>216</v>
      </c>
      <c r="K1168">
        <v>0</v>
      </c>
      <c r="L1168">
        <v>0</v>
      </c>
      <c r="M1168">
        <v>6</v>
      </c>
      <c r="N1168">
        <v>0</v>
      </c>
      <c r="O1168">
        <v>0</v>
      </c>
      <c r="P1168">
        <v>11</v>
      </c>
      <c r="Q1168">
        <v>0</v>
      </c>
      <c r="R1168">
        <f>SUM(Table13[[#This Row],[Rank_All_Ranks_Total]:[Rank_SSPSPAddlSPCommandant]])</f>
        <v>490</v>
      </c>
    </row>
    <row r="1169" spans="1:18" x14ac:dyDescent="0.3">
      <c r="A1169" t="s">
        <v>17</v>
      </c>
      <c r="B1169">
        <v>2004</v>
      </c>
      <c r="C1169" t="str">
        <f>_xlfn.CONCAT(Table13[[#This Row],[STATE]],"-",Table13[[#This Row],[Year]])</f>
        <v>Karnataka-2004</v>
      </c>
      <c r="D1169" t="s">
        <v>71</v>
      </c>
      <c r="E1169" t="s">
        <v>72</v>
      </c>
      <c r="F1169">
        <v>4183</v>
      </c>
      <c r="G1169">
        <v>190</v>
      </c>
      <c r="H1169">
        <v>7</v>
      </c>
      <c r="I1169">
        <v>0</v>
      </c>
      <c r="J1169">
        <v>2782</v>
      </c>
      <c r="K1169">
        <v>0</v>
      </c>
      <c r="L1169">
        <v>0</v>
      </c>
      <c r="M1169">
        <v>1061</v>
      </c>
      <c r="N1169">
        <v>0</v>
      </c>
      <c r="O1169">
        <v>34</v>
      </c>
      <c r="P1169">
        <v>105</v>
      </c>
      <c r="Q1169">
        <v>4</v>
      </c>
      <c r="R1169">
        <f>SUM(Table13[[#This Row],[Rank_All_Ranks_Total]:[Rank_SSPSPAddlSPCommandant]])</f>
        <v>8366</v>
      </c>
    </row>
    <row r="1170" spans="1:18" x14ac:dyDescent="0.3">
      <c r="A1170" t="s">
        <v>18</v>
      </c>
      <c r="B1170">
        <v>2004</v>
      </c>
      <c r="C1170" t="str">
        <f>_xlfn.CONCAT(Table13[[#This Row],[STATE]],"-",Table13[[#This Row],[Year]])</f>
        <v>Kerala-2004</v>
      </c>
      <c r="D1170" t="s">
        <v>71</v>
      </c>
      <c r="E1170" t="s">
        <v>72</v>
      </c>
      <c r="F1170">
        <v>1391</v>
      </c>
      <c r="G1170">
        <v>0</v>
      </c>
      <c r="H1170">
        <v>0</v>
      </c>
      <c r="I1170">
        <v>0</v>
      </c>
      <c r="J1170">
        <v>1139</v>
      </c>
      <c r="K1170">
        <v>0</v>
      </c>
      <c r="L1170">
        <v>0</v>
      </c>
      <c r="M1170">
        <v>177</v>
      </c>
      <c r="N1170">
        <v>0</v>
      </c>
      <c r="O1170">
        <v>16</v>
      </c>
      <c r="P1170">
        <v>58</v>
      </c>
      <c r="Q1170">
        <v>1</v>
      </c>
      <c r="R1170">
        <f>SUM(Table13[[#This Row],[Rank_All_Ranks_Total]:[Rank_SSPSPAddlSPCommandant]])</f>
        <v>2782</v>
      </c>
    </row>
    <row r="1171" spans="1:18" x14ac:dyDescent="0.3">
      <c r="A1171" t="s">
        <v>39</v>
      </c>
      <c r="B1171">
        <v>2004</v>
      </c>
      <c r="C1171" t="str">
        <f>_xlfn.CONCAT(Table13[[#This Row],[STATE]],"-",Table13[[#This Row],[Year]])</f>
        <v>Lakshadweep-2004</v>
      </c>
      <c r="D1171" t="s">
        <v>71</v>
      </c>
      <c r="E1171" t="s">
        <v>72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f>SUM(Table13[[#This Row],[Rank_All_Ranks_Total]:[Rank_SSPSPAddlSPCommandant]])</f>
        <v>0</v>
      </c>
    </row>
    <row r="1172" spans="1:18" x14ac:dyDescent="0.3">
      <c r="A1172" t="s">
        <v>19</v>
      </c>
      <c r="B1172">
        <v>2004</v>
      </c>
      <c r="C1172" t="str">
        <f>_xlfn.CONCAT(Table13[[#This Row],[STATE]],"-",Table13[[#This Row],[Year]])</f>
        <v>Madhya Pradesh-2004</v>
      </c>
      <c r="D1172" t="s">
        <v>71</v>
      </c>
      <c r="E1172" t="s">
        <v>72</v>
      </c>
      <c r="F1172">
        <v>1955</v>
      </c>
      <c r="G1172">
        <v>47</v>
      </c>
      <c r="H1172">
        <v>36</v>
      </c>
      <c r="I1172">
        <v>0</v>
      </c>
      <c r="J1172">
        <v>1018</v>
      </c>
      <c r="K1172">
        <v>0</v>
      </c>
      <c r="L1172">
        <v>1</v>
      </c>
      <c r="M1172">
        <v>734</v>
      </c>
      <c r="N1172">
        <v>1</v>
      </c>
      <c r="O1172">
        <v>14</v>
      </c>
      <c r="P1172">
        <v>100</v>
      </c>
      <c r="Q1172">
        <v>4</v>
      </c>
      <c r="R1172">
        <f>SUM(Table13[[#This Row],[Rank_All_Ranks_Total]:[Rank_SSPSPAddlSPCommandant]])</f>
        <v>3910</v>
      </c>
    </row>
    <row r="1173" spans="1:18" x14ac:dyDescent="0.3">
      <c r="A1173" t="s">
        <v>20</v>
      </c>
      <c r="B1173">
        <v>2004</v>
      </c>
      <c r="C1173" t="str">
        <f>_xlfn.CONCAT(Table13[[#This Row],[STATE]],"-",Table13[[#This Row],[Year]])</f>
        <v>Maharashtra-2004</v>
      </c>
      <c r="D1173" t="s">
        <v>71</v>
      </c>
      <c r="E1173" t="s">
        <v>72</v>
      </c>
      <c r="F1173">
        <v>7283</v>
      </c>
      <c r="G1173">
        <v>212</v>
      </c>
      <c r="H1173">
        <v>16</v>
      </c>
      <c r="I1173">
        <v>524</v>
      </c>
      <c r="J1173">
        <v>5637</v>
      </c>
      <c r="K1173">
        <v>0</v>
      </c>
      <c r="L1173">
        <v>0</v>
      </c>
      <c r="M1173">
        <v>578</v>
      </c>
      <c r="N1173">
        <v>2</v>
      </c>
      <c r="O1173">
        <v>39</v>
      </c>
      <c r="P1173">
        <v>267</v>
      </c>
      <c r="Q1173">
        <v>8</v>
      </c>
      <c r="R1173">
        <f>SUM(Table13[[#This Row],[Rank_All_Ranks_Total]:[Rank_SSPSPAddlSPCommandant]])</f>
        <v>14566</v>
      </c>
    </row>
    <row r="1174" spans="1:18" x14ac:dyDescent="0.3">
      <c r="A1174" t="s">
        <v>21</v>
      </c>
      <c r="B1174">
        <v>2004</v>
      </c>
      <c r="C1174" t="str">
        <f>_xlfn.CONCAT(Table13[[#This Row],[STATE]],"-",Table13[[#This Row],[Year]])</f>
        <v>Manipur-2004</v>
      </c>
      <c r="D1174" t="s">
        <v>71</v>
      </c>
      <c r="E1174" t="s">
        <v>72</v>
      </c>
      <c r="F1174">
        <v>244</v>
      </c>
      <c r="G1174">
        <v>2</v>
      </c>
      <c r="H1174">
        <v>0</v>
      </c>
      <c r="I1174">
        <v>3</v>
      </c>
      <c r="J1174">
        <v>235</v>
      </c>
      <c r="K1174">
        <v>0</v>
      </c>
      <c r="L1174">
        <v>0</v>
      </c>
      <c r="M1174">
        <v>1</v>
      </c>
      <c r="N1174">
        <v>0</v>
      </c>
      <c r="O1174">
        <v>0</v>
      </c>
      <c r="P1174">
        <v>3</v>
      </c>
      <c r="Q1174">
        <v>0</v>
      </c>
      <c r="R1174">
        <f>SUM(Table13[[#This Row],[Rank_All_Ranks_Total]:[Rank_SSPSPAddlSPCommandant]])</f>
        <v>488</v>
      </c>
    </row>
    <row r="1175" spans="1:18" x14ac:dyDescent="0.3">
      <c r="A1175" t="s">
        <v>22</v>
      </c>
      <c r="B1175">
        <v>2004</v>
      </c>
      <c r="C1175" t="str">
        <f>_xlfn.CONCAT(Table13[[#This Row],[STATE]],"-",Table13[[#This Row],[Year]])</f>
        <v>Meghalaya-2004</v>
      </c>
      <c r="D1175" t="s">
        <v>71</v>
      </c>
      <c r="E1175" t="s">
        <v>72</v>
      </c>
      <c r="F1175">
        <v>133</v>
      </c>
      <c r="G1175">
        <v>32</v>
      </c>
      <c r="H1175">
        <v>1</v>
      </c>
      <c r="I1175">
        <v>0</v>
      </c>
      <c r="J1175">
        <v>96</v>
      </c>
      <c r="K1175">
        <v>0</v>
      </c>
      <c r="L1175">
        <v>0</v>
      </c>
      <c r="M1175">
        <v>0</v>
      </c>
      <c r="N1175">
        <v>0</v>
      </c>
      <c r="O1175">
        <v>3</v>
      </c>
      <c r="P1175">
        <v>0</v>
      </c>
      <c r="Q1175">
        <v>1</v>
      </c>
      <c r="R1175">
        <f>SUM(Table13[[#This Row],[Rank_All_Ranks_Total]:[Rank_SSPSPAddlSPCommandant]])</f>
        <v>266</v>
      </c>
    </row>
    <row r="1176" spans="1:18" x14ac:dyDescent="0.3">
      <c r="A1176" t="s">
        <v>23</v>
      </c>
      <c r="B1176">
        <v>2004</v>
      </c>
      <c r="C1176" t="str">
        <f>_xlfn.CONCAT(Table13[[#This Row],[STATE]],"-",Table13[[#This Row],[Year]])</f>
        <v>Mizoram-2004</v>
      </c>
      <c r="D1176" t="s">
        <v>71</v>
      </c>
      <c r="E1176" t="s">
        <v>72</v>
      </c>
      <c r="F1176">
        <v>263</v>
      </c>
      <c r="G1176">
        <v>45</v>
      </c>
      <c r="H1176">
        <v>0</v>
      </c>
      <c r="I1176">
        <v>0</v>
      </c>
      <c r="J1176">
        <v>103</v>
      </c>
      <c r="K1176">
        <v>0</v>
      </c>
      <c r="L1176">
        <v>0</v>
      </c>
      <c r="M1176">
        <v>78</v>
      </c>
      <c r="N1176">
        <v>0</v>
      </c>
      <c r="O1176">
        <v>4</v>
      </c>
      <c r="P1176">
        <v>33</v>
      </c>
      <c r="Q1176">
        <v>0</v>
      </c>
      <c r="R1176">
        <f>SUM(Table13[[#This Row],[Rank_All_Ranks_Total]:[Rank_SSPSPAddlSPCommandant]])</f>
        <v>526</v>
      </c>
    </row>
    <row r="1177" spans="1:18" x14ac:dyDescent="0.3">
      <c r="A1177" t="s">
        <v>24</v>
      </c>
      <c r="B1177">
        <v>2004</v>
      </c>
      <c r="C1177" t="str">
        <f>_xlfn.CONCAT(Table13[[#This Row],[STATE]],"-",Table13[[#This Row],[Year]])</f>
        <v>Nagaland-2004</v>
      </c>
      <c r="D1177" t="s">
        <v>71</v>
      </c>
      <c r="E1177" t="s">
        <v>72</v>
      </c>
      <c r="F1177">
        <v>24</v>
      </c>
      <c r="G1177">
        <v>0</v>
      </c>
      <c r="H1177">
        <v>0</v>
      </c>
      <c r="I1177">
        <v>0</v>
      </c>
      <c r="J1177">
        <v>24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f>SUM(Table13[[#This Row],[Rank_All_Ranks_Total]:[Rank_SSPSPAddlSPCommandant]])</f>
        <v>48</v>
      </c>
    </row>
    <row r="1178" spans="1:18" x14ac:dyDescent="0.3">
      <c r="A1178" t="s">
        <v>63</v>
      </c>
      <c r="B1178">
        <v>2004</v>
      </c>
      <c r="C1178" t="str">
        <f>_xlfn.CONCAT(Table13[[#This Row],[STATE]],"-",Table13[[#This Row],[Year]])</f>
        <v>Odisha-2004</v>
      </c>
      <c r="D1178" t="s">
        <v>71</v>
      </c>
      <c r="E1178" t="s">
        <v>72</v>
      </c>
      <c r="F1178">
        <v>331</v>
      </c>
      <c r="G1178">
        <v>38</v>
      </c>
      <c r="H1178">
        <v>1</v>
      </c>
      <c r="I1178">
        <v>0</v>
      </c>
      <c r="J1178">
        <v>241</v>
      </c>
      <c r="K1178">
        <v>0</v>
      </c>
      <c r="L1178">
        <v>0</v>
      </c>
      <c r="M1178">
        <v>0</v>
      </c>
      <c r="N1178">
        <v>0</v>
      </c>
      <c r="O1178">
        <v>12</v>
      </c>
      <c r="P1178">
        <v>39</v>
      </c>
      <c r="Q1178">
        <v>0</v>
      </c>
      <c r="R1178">
        <f>SUM(Table13[[#This Row],[Rank_All_Ranks_Total]:[Rank_SSPSPAddlSPCommandant]])</f>
        <v>662</v>
      </c>
    </row>
    <row r="1179" spans="1:18" x14ac:dyDescent="0.3">
      <c r="A1179" t="s">
        <v>64</v>
      </c>
      <c r="B1179">
        <v>2004</v>
      </c>
      <c r="C1179" t="str">
        <f>_xlfn.CONCAT(Table13[[#This Row],[STATE]],"-",Table13[[#This Row],[Year]])</f>
        <v>Puducherry-2004</v>
      </c>
      <c r="D1179" t="s">
        <v>71</v>
      </c>
      <c r="E1179" t="s">
        <v>72</v>
      </c>
      <c r="F1179">
        <v>79</v>
      </c>
      <c r="G1179">
        <v>2</v>
      </c>
      <c r="H1179">
        <v>0</v>
      </c>
      <c r="I1179">
        <v>0</v>
      </c>
      <c r="J1179">
        <v>70</v>
      </c>
      <c r="K1179">
        <v>0</v>
      </c>
      <c r="L1179">
        <v>0</v>
      </c>
      <c r="M1179">
        <v>4</v>
      </c>
      <c r="N1179">
        <v>0</v>
      </c>
      <c r="O1179">
        <v>2</v>
      </c>
      <c r="P1179">
        <v>1</v>
      </c>
      <c r="Q1179">
        <v>0</v>
      </c>
      <c r="R1179">
        <f>SUM(Table13[[#This Row],[Rank_All_Ranks_Total]:[Rank_SSPSPAddlSPCommandant]])</f>
        <v>158</v>
      </c>
    </row>
    <row r="1180" spans="1:18" x14ac:dyDescent="0.3">
      <c r="A1180" t="s">
        <v>26</v>
      </c>
      <c r="B1180">
        <v>2004</v>
      </c>
      <c r="C1180" t="str">
        <f>_xlfn.CONCAT(Table13[[#This Row],[STATE]],"-",Table13[[#This Row],[Year]])</f>
        <v>Punjab-2004</v>
      </c>
      <c r="D1180" t="s">
        <v>71</v>
      </c>
      <c r="E1180" t="s">
        <v>72</v>
      </c>
      <c r="F1180">
        <v>1515</v>
      </c>
      <c r="G1180">
        <v>106</v>
      </c>
      <c r="H1180">
        <v>0</v>
      </c>
      <c r="I1180">
        <v>0</v>
      </c>
      <c r="J1180">
        <v>1100</v>
      </c>
      <c r="K1180">
        <v>0</v>
      </c>
      <c r="L1180">
        <v>0</v>
      </c>
      <c r="M1180">
        <v>240</v>
      </c>
      <c r="N1180">
        <v>0</v>
      </c>
      <c r="O1180">
        <v>21</v>
      </c>
      <c r="P1180">
        <v>48</v>
      </c>
      <c r="Q1180">
        <v>0</v>
      </c>
      <c r="R1180">
        <f>SUM(Table13[[#This Row],[Rank_All_Ranks_Total]:[Rank_SSPSPAddlSPCommandant]])</f>
        <v>3030</v>
      </c>
    </row>
    <row r="1181" spans="1:18" x14ac:dyDescent="0.3">
      <c r="A1181" t="s">
        <v>27</v>
      </c>
      <c r="B1181">
        <v>2004</v>
      </c>
      <c r="C1181" t="str">
        <f>_xlfn.CONCAT(Table13[[#This Row],[STATE]],"-",Table13[[#This Row],[Year]])</f>
        <v>Rajasthan-2004</v>
      </c>
      <c r="D1181" t="s">
        <v>71</v>
      </c>
      <c r="E1181" t="s">
        <v>72</v>
      </c>
      <c r="F1181">
        <v>1686</v>
      </c>
      <c r="G1181">
        <v>35</v>
      </c>
      <c r="H1181">
        <v>2</v>
      </c>
      <c r="I1181">
        <v>0</v>
      </c>
      <c r="J1181">
        <v>1550</v>
      </c>
      <c r="K1181">
        <v>0</v>
      </c>
      <c r="L1181">
        <v>0</v>
      </c>
      <c r="M1181">
        <v>43</v>
      </c>
      <c r="N1181">
        <v>0</v>
      </c>
      <c r="O1181">
        <v>2</v>
      </c>
      <c r="P1181">
        <v>54</v>
      </c>
      <c r="Q1181">
        <v>0</v>
      </c>
      <c r="R1181">
        <f>SUM(Table13[[#This Row],[Rank_All_Ranks_Total]:[Rank_SSPSPAddlSPCommandant]])</f>
        <v>3372</v>
      </c>
    </row>
    <row r="1182" spans="1:18" x14ac:dyDescent="0.3">
      <c r="A1182" t="s">
        <v>28</v>
      </c>
      <c r="B1182">
        <v>2004</v>
      </c>
      <c r="C1182" t="str">
        <f>_xlfn.CONCAT(Table13[[#This Row],[STATE]],"-",Table13[[#This Row],[Year]])</f>
        <v>Sikkim-2004</v>
      </c>
      <c r="D1182" t="s">
        <v>71</v>
      </c>
      <c r="E1182" t="s">
        <v>72</v>
      </c>
      <c r="F1182">
        <v>117</v>
      </c>
      <c r="G1182">
        <v>0</v>
      </c>
      <c r="H1182">
        <v>1</v>
      </c>
      <c r="I1182">
        <v>0</v>
      </c>
      <c r="J1182">
        <v>93</v>
      </c>
      <c r="K1182">
        <v>0</v>
      </c>
      <c r="L1182">
        <v>0</v>
      </c>
      <c r="M1182">
        <v>1</v>
      </c>
      <c r="N1182">
        <v>0</v>
      </c>
      <c r="O1182">
        <v>4</v>
      </c>
      <c r="P1182">
        <v>17</v>
      </c>
      <c r="Q1182">
        <v>1</v>
      </c>
      <c r="R1182">
        <f>SUM(Table13[[#This Row],[Rank_All_Ranks_Total]:[Rank_SSPSPAddlSPCommandant]])</f>
        <v>234</v>
      </c>
    </row>
    <row r="1183" spans="1:18" x14ac:dyDescent="0.3">
      <c r="A1183" t="s">
        <v>42</v>
      </c>
      <c r="B1183">
        <v>2004</v>
      </c>
      <c r="C1183" t="str">
        <f>_xlfn.CONCAT(Table13[[#This Row],[STATE]],"-",Table13[[#This Row],[Year]])</f>
        <v>Tamil Nadu-2004</v>
      </c>
      <c r="D1183" t="s">
        <v>71</v>
      </c>
      <c r="E1183" t="s">
        <v>72</v>
      </c>
      <c r="F1183">
        <v>8051</v>
      </c>
      <c r="G1183">
        <v>0</v>
      </c>
      <c r="H1183">
        <v>26</v>
      </c>
      <c r="I1183">
        <v>35</v>
      </c>
      <c r="J1183">
        <v>6575</v>
      </c>
      <c r="K1183">
        <v>2</v>
      </c>
      <c r="L1183">
        <v>2</v>
      </c>
      <c r="M1183">
        <v>526</v>
      </c>
      <c r="N1183">
        <v>1</v>
      </c>
      <c r="O1183">
        <v>171</v>
      </c>
      <c r="P1183">
        <v>689</v>
      </c>
      <c r="Q1183">
        <v>24</v>
      </c>
      <c r="R1183">
        <f>SUM(Table13[[#This Row],[Rank_All_Ranks_Total]:[Rank_SSPSPAddlSPCommandant]])</f>
        <v>16102</v>
      </c>
    </row>
    <row r="1184" spans="1:18" x14ac:dyDescent="0.3">
      <c r="A1184" t="s">
        <v>30</v>
      </c>
      <c r="B1184">
        <v>2004</v>
      </c>
      <c r="C1184" t="str">
        <f>_xlfn.CONCAT(Table13[[#This Row],[STATE]],"-",Table13[[#This Row],[Year]])</f>
        <v>Tripura-2004</v>
      </c>
      <c r="D1184" t="s">
        <v>71</v>
      </c>
      <c r="E1184" t="s">
        <v>72</v>
      </c>
      <c r="F1184">
        <v>224</v>
      </c>
      <c r="G1184">
        <v>11</v>
      </c>
      <c r="H1184">
        <v>2</v>
      </c>
      <c r="I1184">
        <v>0</v>
      </c>
      <c r="J1184">
        <v>193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17</v>
      </c>
      <c r="Q1184">
        <v>1</v>
      </c>
      <c r="R1184">
        <f>SUM(Table13[[#This Row],[Rank_All_Ranks_Total]:[Rank_SSPSPAddlSPCommandant]])</f>
        <v>448</v>
      </c>
    </row>
    <row r="1185" spans="1:18" x14ac:dyDescent="0.3">
      <c r="A1185" t="s">
        <v>31</v>
      </c>
      <c r="B1185">
        <v>2004</v>
      </c>
      <c r="C1185" t="str">
        <f>_xlfn.CONCAT(Table13[[#This Row],[STATE]],"-",Table13[[#This Row],[Year]])</f>
        <v>Uttar Pradesh-2004</v>
      </c>
      <c r="D1185" t="s">
        <v>71</v>
      </c>
      <c r="E1185" t="s">
        <v>72</v>
      </c>
      <c r="F1185">
        <v>1901</v>
      </c>
      <c r="G1185">
        <v>0</v>
      </c>
      <c r="H1185">
        <v>24</v>
      </c>
      <c r="I1185">
        <v>0</v>
      </c>
      <c r="J1185">
        <v>1539</v>
      </c>
      <c r="K1185">
        <v>0</v>
      </c>
      <c r="L1185">
        <v>0</v>
      </c>
      <c r="M1185">
        <v>140</v>
      </c>
      <c r="N1185">
        <v>0</v>
      </c>
      <c r="O1185">
        <v>11</v>
      </c>
      <c r="P1185">
        <v>182</v>
      </c>
      <c r="Q1185">
        <v>5</v>
      </c>
      <c r="R1185">
        <f>SUM(Table13[[#This Row],[Rank_All_Ranks_Total]:[Rank_SSPSPAddlSPCommandant]])</f>
        <v>3802</v>
      </c>
    </row>
    <row r="1186" spans="1:18" x14ac:dyDescent="0.3">
      <c r="A1186" t="s">
        <v>65</v>
      </c>
      <c r="B1186">
        <v>2004</v>
      </c>
      <c r="C1186" t="str">
        <f>_xlfn.CONCAT(Table13[[#This Row],[STATE]],"-",Table13[[#This Row],[Year]])</f>
        <v>Uttarakhand-2004</v>
      </c>
      <c r="D1186" t="s">
        <v>71</v>
      </c>
      <c r="E1186" t="s">
        <v>72</v>
      </c>
      <c r="F1186">
        <v>469</v>
      </c>
      <c r="G1186">
        <v>0</v>
      </c>
      <c r="H1186">
        <v>1</v>
      </c>
      <c r="I1186">
        <v>0</v>
      </c>
      <c r="J1186">
        <v>437</v>
      </c>
      <c r="K1186">
        <v>1</v>
      </c>
      <c r="L1186">
        <v>0</v>
      </c>
      <c r="M1186">
        <v>7</v>
      </c>
      <c r="N1186">
        <v>0</v>
      </c>
      <c r="O1186">
        <v>1</v>
      </c>
      <c r="P1186">
        <v>22</v>
      </c>
      <c r="Q1186">
        <v>0</v>
      </c>
      <c r="R1186">
        <f>SUM(Table13[[#This Row],[Rank_All_Ranks_Total]:[Rank_SSPSPAddlSPCommandant]])</f>
        <v>938</v>
      </c>
    </row>
    <row r="1187" spans="1:18" x14ac:dyDescent="0.3">
      <c r="A1187" t="s">
        <v>33</v>
      </c>
      <c r="B1187">
        <v>2004</v>
      </c>
      <c r="C1187" t="str">
        <f>_xlfn.CONCAT(Table13[[#This Row],[STATE]],"-",Table13[[#This Row],[Year]])</f>
        <v>West Bengal-2004</v>
      </c>
      <c r="D1187" t="s">
        <v>71</v>
      </c>
      <c r="E1187" t="s">
        <v>72</v>
      </c>
      <c r="F1187">
        <v>1155</v>
      </c>
      <c r="G1187">
        <v>94</v>
      </c>
      <c r="H1187">
        <v>9</v>
      </c>
      <c r="I1187">
        <v>0</v>
      </c>
      <c r="J1187">
        <v>877</v>
      </c>
      <c r="K1187">
        <v>0</v>
      </c>
      <c r="L1187">
        <v>1</v>
      </c>
      <c r="M1187">
        <v>7</v>
      </c>
      <c r="N1187">
        <v>1</v>
      </c>
      <c r="O1187">
        <v>17</v>
      </c>
      <c r="P1187">
        <v>147</v>
      </c>
      <c r="Q1187">
        <v>2</v>
      </c>
      <c r="R1187">
        <f>SUM(Table13[[#This Row],[Rank_All_Ranks_Total]:[Rank_SSPSPAddlSPCommandant]])</f>
        <v>2310</v>
      </c>
    </row>
    <row r="1188" spans="1:18" x14ac:dyDescent="0.3">
      <c r="A1188" t="s">
        <v>59</v>
      </c>
      <c r="B1188">
        <v>2005</v>
      </c>
      <c r="C1188" t="str">
        <f>_xlfn.CONCAT(Table13[[#This Row],[STATE]],"-",Table13[[#This Row],[Year]])</f>
        <v>Andaman &amp; Nicobar Islands-2005</v>
      </c>
      <c r="D1188" t="s">
        <v>71</v>
      </c>
      <c r="E1188" t="s">
        <v>72</v>
      </c>
      <c r="F1188">
        <v>129</v>
      </c>
      <c r="G1188">
        <v>3</v>
      </c>
      <c r="H1188">
        <v>0</v>
      </c>
      <c r="I1188">
        <v>0</v>
      </c>
      <c r="J1188">
        <v>102</v>
      </c>
      <c r="K1188">
        <v>0</v>
      </c>
      <c r="L1188">
        <v>0</v>
      </c>
      <c r="M1188">
        <v>15</v>
      </c>
      <c r="N1188">
        <v>0</v>
      </c>
      <c r="O1188">
        <v>0</v>
      </c>
      <c r="P1188">
        <v>9</v>
      </c>
      <c r="Q1188">
        <v>0</v>
      </c>
      <c r="R1188">
        <f>SUM(Table13[[#This Row],[Rank_All_Ranks_Total]:[Rank_SSPSPAddlSPCommandant]])</f>
        <v>258</v>
      </c>
    </row>
    <row r="1189" spans="1:18" x14ac:dyDescent="0.3">
      <c r="A1189" t="s">
        <v>6</v>
      </c>
      <c r="B1189">
        <v>2005</v>
      </c>
      <c r="C1189" t="str">
        <f>_xlfn.CONCAT(Table13[[#This Row],[STATE]],"-",Table13[[#This Row],[Year]])</f>
        <v>Andhra Pradesh-2005</v>
      </c>
      <c r="D1189" t="s">
        <v>71</v>
      </c>
      <c r="E1189" t="s">
        <v>72</v>
      </c>
      <c r="F1189">
        <v>1393</v>
      </c>
      <c r="G1189">
        <v>0</v>
      </c>
      <c r="H1189">
        <v>2</v>
      </c>
      <c r="I1189">
        <v>0</v>
      </c>
      <c r="J1189">
        <v>1275</v>
      </c>
      <c r="K1189">
        <v>1</v>
      </c>
      <c r="L1189">
        <v>2</v>
      </c>
      <c r="M1189">
        <v>52</v>
      </c>
      <c r="N1189">
        <v>1</v>
      </c>
      <c r="O1189">
        <v>8</v>
      </c>
      <c r="P1189">
        <v>45</v>
      </c>
      <c r="Q1189">
        <v>7</v>
      </c>
      <c r="R1189">
        <f>SUM(Table13[[#This Row],[Rank_All_Ranks_Total]:[Rank_SSPSPAddlSPCommandant]])</f>
        <v>2786</v>
      </c>
    </row>
    <row r="1190" spans="1:18" x14ac:dyDescent="0.3">
      <c r="A1190" t="s">
        <v>7</v>
      </c>
      <c r="B1190">
        <v>2005</v>
      </c>
      <c r="C1190" t="str">
        <f>_xlfn.CONCAT(Table13[[#This Row],[STATE]],"-",Table13[[#This Row],[Year]])</f>
        <v>Arunachal Pradesh-2005</v>
      </c>
      <c r="D1190" t="s">
        <v>71</v>
      </c>
      <c r="E1190" t="s">
        <v>72</v>
      </c>
      <c r="F1190">
        <v>138</v>
      </c>
      <c r="G1190">
        <v>5</v>
      </c>
      <c r="H1190">
        <v>0</v>
      </c>
      <c r="I1190">
        <v>0</v>
      </c>
      <c r="J1190">
        <v>114</v>
      </c>
      <c r="K1190">
        <v>0</v>
      </c>
      <c r="L1190">
        <v>0</v>
      </c>
      <c r="M1190">
        <v>11</v>
      </c>
      <c r="N1190">
        <v>0</v>
      </c>
      <c r="O1190">
        <v>0</v>
      </c>
      <c r="P1190">
        <v>8</v>
      </c>
      <c r="Q1190">
        <v>0</v>
      </c>
      <c r="R1190">
        <f>SUM(Table13[[#This Row],[Rank_All_Ranks_Total]:[Rank_SSPSPAddlSPCommandant]])</f>
        <v>276</v>
      </c>
    </row>
    <row r="1191" spans="1:18" x14ac:dyDescent="0.3">
      <c r="A1191" t="s">
        <v>8</v>
      </c>
      <c r="B1191">
        <v>2005</v>
      </c>
      <c r="C1191" t="str">
        <f>_xlfn.CONCAT(Table13[[#This Row],[STATE]],"-",Table13[[#This Row],[Year]])</f>
        <v>Assam-2005</v>
      </c>
      <c r="D1191" t="s">
        <v>71</v>
      </c>
      <c r="E1191" t="s">
        <v>72</v>
      </c>
      <c r="F1191">
        <v>223</v>
      </c>
      <c r="G1191">
        <v>5</v>
      </c>
      <c r="H1191">
        <v>0</v>
      </c>
      <c r="I1191">
        <v>8</v>
      </c>
      <c r="J1191">
        <v>185</v>
      </c>
      <c r="K1191">
        <v>0</v>
      </c>
      <c r="L1191">
        <v>0</v>
      </c>
      <c r="M1191">
        <v>8</v>
      </c>
      <c r="N1191">
        <v>0</v>
      </c>
      <c r="O1191">
        <v>0</v>
      </c>
      <c r="P1191">
        <v>17</v>
      </c>
      <c r="Q1191">
        <v>0</v>
      </c>
      <c r="R1191">
        <f>SUM(Table13[[#This Row],[Rank_All_Ranks_Total]:[Rank_SSPSPAddlSPCommandant]])</f>
        <v>446</v>
      </c>
    </row>
    <row r="1192" spans="1:18" x14ac:dyDescent="0.3">
      <c r="A1192" t="s">
        <v>9</v>
      </c>
      <c r="B1192">
        <v>2005</v>
      </c>
      <c r="C1192" t="str">
        <f>_xlfn.CONCAT(Table13[[#This Row],[STATE]],"-",Table13[[#This Row],[Year]])</f>
        <v>Bihar-2005</v>
      </c>
      <c r="D1192" t="s">
        <v>71</v>
      </c>
      <c r="E1192" t="s">
        <v>72</v>
      </c>
      <c r="F1192">
        <v>890</v>
      </c>
      <c r="G1192">
        <v>10</v>
      </c>
      <c r="H1192">
        <v>3</v>
      </c>
      <c r="I1192">
        <v>0</v>
      </c>
      <c r="J1192">
        <v>800</v>
      </c>
      <c r="K1192">
        <v>0</v>
      </c>
      <c r="L1192">
        <v>0</v>
      </c>
      <c r="M1192">
        <v>22</v>
      </c>
      <c r="N1192">
        <v>0</v>
      </c>
      <c r="O1192">
        <v>1</v>
      </c>
      <c r="P1192">
        <v>50</v>
      </c>
      <c r="Q1192">
        <v>4</v>
      </c>
      <c r="R1192">
        <f>SUM(Table13[[#This Row],[Rank_All_Ranks_Total]:[Rank_SSPSPAddlSPCommandant]])</f>
        <v>1780</v>
      </c>
    </row>
    <row r="1193" spans="1:18" x14ac:dyDescent="0.3">
      <c r="A1193" t="s">
        <v>35</v>
      </c>
      <c r="B1193">
        <v>2005</v>
      </c>
      <c r="C1193" t="str">
        <f>_xlfn.CONCAT(Table13[[#This Row],[STATE]],"-",Table13[[#This Row],[Year]])</f>
        <v>Chandigarh-2005</v>
      </c>
      <c r="D1193" t="s">
        <v>71</v>
      </c>
      <c r="E1193" t="s">
        <v>72</v>
      </c>
      <c r="F1193">
        <v>261</v>
      </c>
      <c r="G1193">
        <v>9</v>
      </c>
      <c r="H1193">
        <v>0</v>
      </c>
      <c r="I1193">
        <v>0</v>
      </c>
      <c r="J1193">
        <v>220</v>
      </c>
      <c r="K1193">
        <v>0</v>
      </c>
      <c r="L1193">
        <v>0</v>
      </c>
      <c r="M1193">
        <v>11</v>
      </c>
      <c r="N1193">
        <v>0</v>
      </c>
      <c r="O1193">
        <v>0</v>
      </c>
      <c r="P1193">
        <v>21</v>
      </c>
      <c r="Q1193">
        <v>0</v>
      </c>
      <c r="R1193">
        <f>SUM(Table13[[#This Row],[Rank_All_Ranks_Total]:[Rank_SSPSPAddlSPCommandant]])</f>
        <v>522</v>
      </c>
    </row>
    <row r="1194" spans="1:18" x14ac:dyDescent="0.3">
      <c r="A1194" t="s">
        <v>10</v>
      </c>
      <c r="B1194">
        <v>2005</v>
      </c>
      <c r="C1194" t="str">
        <f>_xlfn.CONCAT(Table13[[#This Row],[STATE]],"-",Table13[[#This Row],[Year]])</f>
        <v>Chhattisgarh-2005</v>
      </c>
      <c r="D1194" t="s">
        <v>71</v>
      </c>
      <c r="E1194" t="s">
        <v>72</v>
      </c>
      <c r="F1194">
        <v>567</v>
      </c>
      <c r="G1194">
        <v>15</v>
      </c>
      <c r="H1194">
        <v>0</v>
      </c>
      <c r="I1194">
        <v>0</v>
      </c>
      <c r="J1194">
        <v>422</v>
      </c>
      <c r="K1194">
        <v>0</v>
      </c>
      <c r="L1194">
        <v>0</v>
      </c>
      <c r="M1194">
        <v>63</v>
      </c>
      <c r="N1194">
        <v>0</v>
      </c>
      <c r="O1194">
        <v>4</v>
      </c>
      <c r="P1194">
        <v>63</v>
      </c>
      <c r="Q1194">
        <v>0</v>
      </c>
      <c r="R1194">
        <f>SUM(Table13[[#This Row],[Rank_All_Ranks_Total]:[Rank_SSPSPAddlSPCommandant]])</f>
        <v>1134</v>
      </c>
    </row>
    <row r="1195" spans="1:18" x14ac:dyDescent="0.3">
      <c r="A1195" t="s">
        <v>62</v>
      </c>
      <c r="B1195">
        <v>2005</v>
      </c>
      <c r="C1195" t="str">
        <f>_xlfn.CONCAT(Table13[[#This Row],[STATE]],"-",Table13[[#This Row],[Year]])</f>
        <v>Dadra &amp; Nagar Haveli-2005</v>
      </c>
      <c r="D1195" t="s">
        <v>71</v>
      </c>
      <c r="E1195" t="s">
        <v>72</v>
      </c>
      <c r="F1195">
        <v>8</v>
      </c>
      <c r="G1195">
        <v>0</v>
      </c>
      <c r="H1195">
        <v>0</v>
      </c>
      <c r="I1195">
        <v>0</v>
      </c>
      <c r="J1195">
        <v>4</v>
      </c>
      <c r="K1195">
        <v>0</v>
      </c>
      <c r="L1195">
        <v>0</v>
      </c>
      <c r="M1195">
        <v>2</v>
      </c>
      <c r="N1195">
        <v>0</v>
      </c>
      <c r="O1195">
        <v>0</v>
      </c>
      <c r="P1195">
        <v>2</v>
      </c>
      <c r="Q1195">
        <v>0</v>
      </c>
      <c r="R1195">
        <f>SUM(Table13[[#This Row],[Rank_All_Ranks_Total]:[Rank_SSPSPAddlSPCommandant]])</f>
        <v>16</v>
      </c>
    </row>
    <row r="1196" spans="1:18" x14ac:dyDescent="0.3">
      <c r="A1196" t="s">
        <v>37</v>
      </c>
      <c r="B1196">
        <v>2005</v>
      </c>
      <c r="C1196" t="str">
        <f>_xlfn.CONCAT(Table13[[#This Row],[STATE]],"-",Table13[[#This Row],[Year]])</f>
        <v>Daman &amp; Diu-2005</v>
      </c>
      <c r="D1196" t="s">
        <v>71</v>
      </c>
      <c r="E1196" t="s">
        <v>72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f>SUM(Table13[[#This Row],[Rank_All_Ranks_Total]:[Rank_SSPSPAddlSPCommandant]])</f>
        <v>0</v>
      </c>
    </row>
    <row r="1197" spans="1:18" x14ac:dyDescent="0.3">
      <c r="A1197" t="s">
        <v>38</v>
      </c>
      <c r="B1197">
        <v>2005</v>
      </c>
      <c r="C1197" t="str">
        <f>_xlfn.CONCAT(Table13[[#This Row],[STATE]],"-",Table13[[#This Row],[Year]])</f>
        <v>Delhi-2005</v>
      </c>
      <c r="D1197" t="s">
        <v>71</v>
      </c>
      <c r="E1197" t="s">
        <v>72</v>
      </c>
      <c r="F1197">
        <v>2027</v>
      </c>
      <c r="G1197">
        <v>285</v>
      </c>
      <c r="H1197">
        <v>1</v>
      </c>
      <c r="I1197">
        <v>0</v>
      </c>
      <c r="J1197">
        <v>938</v>
      </c>
      <c r="K1197">
        <v>0</v>
      </c>
      <c r="L1197">
        <v>0</v>
      </c>
      <c r="M1197">
        <v>595</v>
      </c>
      <c r="N1197">
        <v>0</v>
      </c>
      <c r="O1197">
        <v>67</v>
      </c>
      <c r="P1197">
        <v>141</v>
      </c>
      <c r="Q1197">
        <v>0</v>
      </c>
      <c r="R1197">
        <f>SUM(Table13[[#This Row],[Rank_All_Ranks_Total]:[Rank_SSPSPAddlSPCommandant]])</f>
        <v>4054</v>
      </c>
    </row>
    <row r="1198" spans="1:18" x14ac:dyDescent="0.3">
      <c r="A1198" t="s">
        <v>11</v>
      </c>
      <c r="B1198">
        <v>2005</v>
      </c>
      <c r="C1198" t="str">
        <f>_xlfn.CONCAT(Table13[[#This Row],[STATE]],"-",Table13[[#This Row],[Year]])</f>
        <v>Goa-2005</v>
      </c>
      <c r="D1198" t="s">
        <v>71</v>
      </c>
      <c r="E1198" t="s">
        <v>72</v>
      </c>
      <c r="F1198">
        <v>223</v>
      </c>
      <c r="G1198">
        <v>9</v>
      </c>
      <c r="H1198">
        <v>1</v>
      </c>
      <c r="I1198">
        <v>0</v>
      </c>
      <c r="J1198">
        <v>161</v>
      </c>
      <c r="K1198">
        <v>0</v>
      </c>
      <c r="L1198">
        <v>0</v>
      </c>
      <c r="M1198">
        <v>39</v>
      </c>
      <c r="N1198">
        <v>0</v>
      </c>
      <c r="O1198">
        <v>6</v>
      </c>
      <c r="P1198">
        <v>7</v>
      </c>
      <c r="Q1198">
        <v>0</v>
      </c>
      <c r="R1198">
        <f>SUM(Table13[[#This Row],[Rank_All_Ranks_Total]:[Rank_SSPSPAddlSPCommandant]])</f>
        <v>446</v>
      </c>
    </row>
    <row r="1199" spans="1:18" x14ac:dyDescent="0.3">
      <c r="A1199" t="s">
        <v>12</v>
      </c>
      <c r="B1199">
        <v>2005</v>
      </c>
      <c r="C1199" t="str">
        <f>_xlfn.CONCAT(Table13[[#This Row],[STATE]],"-",Table13[[#This Row],[Year]])</f>
        <v>Gujarat-2005</v>
      </c>
      <c r="D1199" t="s">
        <v>71</v>
      </c>
      <c r="E1199" t="s">
        <v>72</v>
      </c>
      <c r="F1199">
        <v>1632</v>
      </c>
      <c r="G1199">
        <v>123</v>
      </c>
      <c r="H1199">
        <v>0</v>
      </c>
      <c r="I1199">
        <v>0</v>
      </c>
      <c r="J1199">
        <v>1212</v>
      </c>
      <c r="K1199">
        <v>0</v>
      </c>
      <c r="L1199">
        <v>0</v>
      </c>
      <c r="M1199">
        <v>257</v>
      </c>
      <c r="N1199">
        <v>0</v>
      </c>
      <c r="O1199">
        <v>8</v>
      </c>
      <c r="P1199">
        <v>32</v>
      </c>
      <c r="Q1199">
        <v>0</v>
      </c>
      <c r="R1199">
        <f>SUM(Table13[[#This Row],[Rank_All_Ranks_Total]:[Rank_SSPSPAddlSPCommandant]])</f>
        <v>3264</v>
      </c>
    </row>
    <row r="1200" spans="1:18" x14ac:dyDescent="0.3">
      <c r="A1200" t="s">
        <v>13</v>
      </c>
      <c r="B1200">
        <v>2005</v>
      </c>
      <c r="C1200" t="str">
        <f>_xlfn.CONCAT(Table13[[#This Row],[STATE]],"-",Table13[[#This Row],[Year]])</f>
        <v>Haryana-2005</v>
      </c>
      <c r="D1200" t="s">
        <v>71</v>
      </c>
      <c r="E1200" t="s">
        <v>72</v>
      </c>
      <c r="F1200">
        <v>829</v>
      </c>
      <c r="G1200">
        <v>29</v>
      </c>
      <c r="H1200">
        <v>0</v>
      </c>
      <c r="I1200">
        <v>0</v>
      </c>
      <c r="J1200">
        <v>663</v>
      </c>
      <c r="K1200">
        <v>0</v>
      </c>
      <c r="L1200">
        <v>0</v>
      </c>
      <c r="M1200">
        <v>66</v>
      </c>
      <c r="N1200">
        <v>0</v>
      </c>
      <c r="O1200">
        <v>23</v>
      </c>
      <c r="P1200">
        <v>47</v>
      </c>
      <c r="Q1200">
        <v>1</v>
      </c>
      <c r="R1200">
        <f>SUM(Table13[[#This Row],[Rank_All_Ranks_Total]:[Rank_SSPSPAddlSPCommandant]])</f>
        <v>1658</v>
      </c>
    </row>
    <row r="1201" spans="1:18" x14ac:dyDescent="0.3">
      <c r="A1201" t="s">
        <v>14</v>
      </c>
      <c r="B1201">
        <v>2005</v>
      </c>
      <c r="C1201" t="str">
        <f>_xlfn.CONCAT(Table13[[#This Row],[STATE]],"-",Table13[[#This Row],[Year]])</f>
        <v>Himachal Pradesh-2005</v>
      </c>
      <c r="D1201" t="s">
        <v>71</v>
      </c>
      <c r="E1201" t="s">
        <v>72</v>
      </c>
      <c r="F1201">
        <v>475</v>
      </c>
      <c r="G1201">
        <v>8</v>
      </c>
      <c r="H1201">
        <v>4</v>
      </c>
      <c r="I1201">
        <v>0</v>
      </c>
      <c r="J1201">
        <v>423</v>
      </c>
      <c r="K1201">
        <v>0</v>
      </c>
      <c r="L1201">
        <v>0</v>
      </c>
      <c r="M1201">
        <v>16</v>
      </c>
      <c r="N1201">
        <v>0</v>
      </c>
      <c r="O1201">
        <v>9</v>
      </c>
      <c r="P1201">
        <v>13</v>
      </c>
      <c r="Q1201">
        <v>2</v>
      </c>
      <c r="R1201">
        <f>SUM(Table13[[#This Row],[Rank_All_Ranks_Total]:[Rank_SSPSPAddlSPCommandant]])</f>
        <v>950</v>
      </c>
    </row>
    <row r="1202" spans="1:18" x14ac:dyDescent="0.3">
      <c r="A1202" t="s">
        <v>15</v>
      </c>
      <c r="B1202">
        <v>2005</v>
      </c>
      <c r="C1202" t="str">
        <f>_xlfn.CONCAT(Table13[[#This Row],[STATE]],"-",Table13[[#This Row],[Year]])</f>
        <v>Jammu &amp; Kashmir-2005</v>
      </c>
      <c r="D1202" t="s">
        <v>71</v>
      </c>
      <c r="E1202" t="s">
        <v>72</v>
      </c>
      <c r="F1202">
        <v>888</v>
      </c>
      <c r="G1202">
        <v>59</v>
      </c>
      <c r="H1202">
        <v>7</v>
      </c>
      <c r="I1202">
        <v>174</v>
      </c>
      <c r="J1202">
        <v>523</v>
      </c>
      <c r="K1202">
        <v>0</v>
      </c>
      <c r="L1202">
        <v>0</v>
      </c>
      <c r="M1202">
        <v>49</v>
      </c>
      <c r="N1202">
        <v>1</v>
      </c>
      <c r="O1202">
        <v>17</v>
      </c>
      <c r="P1202">
        <v>55</v>
      </c>
      <c r="Q1202">
        <v>3</v>
      </c>
      <c r="R1202">
        <f>SUM(Table13[[#This Row],[Rank_All_Ranks_Total]:[Rank_SSPSPAddlSPCommandant]])</f>
        <v>1776</v>
      </c>
    </row>
    <row r="1203" spans="1:18" x14ac:dyDescent="0.3">
      <c r="A1203" t="s">
        <v>16</v>
      </c>
      <c r="B1203">
        <v>2005</v>
      </c>
      <c r="C1203" t="str">
        <f>_xlfn.CONCAT(Table13[[#This Row],[STATE]],"-",Table13[[#This Row],[Year]])</f>
        <v>Jharkhand-2005</v>
      </c>
      <c r="D1203" t="s">
        <v>71</v>
      </c>
      <c r="E1203" t="s">
        <v>72</v>
      </c>
      <c r="F1203">
        <v>245</v>
      </c>
      <c r="G1203">
        <v>12</v>
      </c>
      <c r="H1203">
        <v>0</v>
      </c>
      <c r="I1203">
        <v>0</v>
      </c>
      <c r="J1203">
        <v>216</v>
      </c>
      <c r="K1203">
        <v>0</v>
      </c>
      <c r="L1203">
        <v>0</v>
      </c>
      <c r="M1203">
        <v>6</v>
      </c>
      <c r="N1203">
        <v>0</v>
      </c>
      <c r="O1203">
        <v>0</v>
      </c>
      <c r="P1203">
        <v>11</v>
      </c>
      <c r="Q1203">
        <v>0</v>
      </c>
      <c r="R1203">
        <f>SUM(Table13[[#This Row],[Rank_All_Ranks_Total]:[Rank_SSPSPAddlSPCommandant]])</f>
        <v>490</v>
      </c>
    </row>
    <row r="1204" spans="1:18" x14ac:dyDescent="0.3">
      <c r="A1204" t="s">
        <v>17</v>
      </c>
      <c r="B1204">
        <v>2005</v>
      </c>
      <c r="C1204" t="str">
        <f>_xlfn.CONCAT(Table13[[#This Row],[STATE]],"-",Table13[[#This Row],[Year]])</f>
        <v>Karnataka-2005</v>
      </c>
      <c r="D1204" t="s">
        <v>71</v>
      </c>
      <c r="E1204" t="s">
        <v>72</v>
      </c>
      <c r="F1204">
        <v>3112</v>
      </c>
      <c r="G1204">
        <v>110</v>
      </c>
      <c r="H1204">
        <v>3</v>
      </c>
      <c r="I1204">
        <v>0</v>
      </c>
      <c r="J1204">
        <v>2154</v>
      </c>
      <c r="K1204">
        <v>0</v>
      </c>
      <c r="L1204">
        <v>0</v>
      </c>
      <c r="M1204">
        <v>755</v>
      </c>
      <c r="N1204">
        <v>0</v>
      </c>
      <c r="O1204">
        <v>16</v>
      </c>
      <c r="P1204">
        <v>72</v>
      </c>
      <c r="Q1204">
        <v>2</v>
      </c>
      <c r="R1204">
        <f>SUM(Table13[[#This Row],[Rank_All_Ranks_Total]:[Rank_SSPSPAddlSPCommandant]])</f>
        <v>6224</v>
      </c>
    </row>
    <row r="1205" spans="1:18" x14ac:dyDescent="0.3">
      <c r="A1205" t="s">
        <v>18</v>
      </c>
      <c r="B1205">
        <v>2005</v>
      </c>
      <c r="C1205" t="str">
        <f>_xlfn.CONCAT(Table13[[#This Row],[STATE]],"-",Table13[[#This Row],[Year]])</f>
        <v>Kerala-2005</v>
      </c>
      <c r="D1205" t="s">
        <v>71</v>
      </c>
      <c r="E1205" t="s">
        <v>72</v>
      </c>
      <c r="F1205">
        <v>2018</v>
      </c>
      <c r="G1205">
        <v>0</v>
      </c>
      <c r="H1205">
        <v>1</v>
      </c>
      <c r="I1205">
        <v>0</v>
      </c>
      <c r="J1205">
        <v>1766</v>
      </c>
      <c r="K1205">
        <v>0</v>
      </c>
      <c r="L1205">
        <v>0</v>
      </c>
      <c r="M1205">
        <v>170</v>
      </c>
      <c r="N1205">
        <v>0</v>
      </c>
      <c r="O1205">
        <v>21</v>
      </c>
      <c r="P1205">
        <v>59</v>
      </c>
      <c r="Q1205">
        <v>1</v>
      </c>
      <c r="R1205">
        <f>SUM(Table13[[#This Row],[Rank_All_Ranks_Total]:[Rank_SSPSPAddlSPCommandant]])</f>
        <v>4036</v>
      </c>
    </row>
    <row r="1206" spans="1:18" x14ac:dyDescent="0.3">
      <c r="A1206" t="s">
        <v>39</v>
      </c>
      <c r="B1206">
        <v>2005</v>
      </c>
      <c r="C1206" t="str">
        <f>_xlfn.CONCAT(Table13[[#This Row],[STATE]],"-",Table13[[#This Row],[Year]])</f>
        <v>Lakshadweep-2005</v>
      </c>
      <c r="D1206" t="s">
        <v>71</v>
      </c>
      <c r="E1206" t="s">
        <v>72</v>
      </c>
      <c r="F1206">
        <v>16</v>
      </c>
      <c r="G1206">
        <v>0</v>
      </c>
      <c r="H1206">
        <v>0</v>
      </c>
      <c r="I1206">
        <v>0</v>
      </c>
      <c r="J1206">
        <v>15</v>
      </c>
      <c r="K1206">
        <v>0</v>
      </c>
      <c r="L1206">
        <v>0</v>
      </c>
      <c r="M1206">
        <v>1</v>
      </c>
      <c r="N1206">
        <v>0</v>
      </c>
      <c r="O1206">
        <v>0</v>
      </c>
      <c r="P1206">
        <v>0</v>
      </c>
      <c r="Q1206">
        <v>0</v>
      </c>
      <c r="R1206">
        <f>SUM(Table13[[#This Row],[Rank_All_Ranks_Total]:[Rank_SSPSPAddlSPCommandant]])</f>
        <v>32</v>
      </c>
    </row>
    <row r="1207" spans="1:18" x14ac:dyDescent="0.3">
      <c r="A1207" t="s">
        <v>19</v>
      </c>
      <c r="B1207">
        <v>2005</v>
      </c>
      <c r="C1207" t="str">
        <f>_xlfn.CONCAT(Table13[[#This Row],[STATE]],"-",Table13[[#This Row],[Year]])</f>
        <v>Madhya Pradesh-2005</v>
      </c>
      <c r="D1207" t="s">
        <v>71</v>
      </c>
      <c r="E1207" t="s">
        <v>72</v>
      </c>
      <c r="F1207">
        <v>1955</v>
      </c>
      <c r="G1207">
        <v>47</v>
      </c>
      <c r="H1207">
        <v>36</v>
      </c>
      <c r="I1207">
        <v>0</v>
      </c>
      <c r="J1207">
        <v>1018</v>
      </c>
      <c r="K1207">
        <v>0</v>
      </c>
      <c r="L1207">
        <v>1</v>
      </c>
      <c r="M1207">
        <v>734</v>
      </c>
      <c r="N1207">
        <v>1</v>
      </c>
      <c r="O1207">
        <v>14</v>
      </c>
      <c r="P1207">
        <v>100</v>
      </c>
      <c r="Q1207">
        <v>4</v>
      </c>
      <c r="R1207">
        <f>SUM(Table13[[#This Row],[Rank_All_Ranks_Total]:[Rank_SSPSPAddlSPCommandant]])</f>
        <v>3910</v>
      </c>
    </row>
    <row r="1208" spans="1:18" x14ac:dyDescent="0.3">
      <c r="A1208" t="s">
        <v>20</v>
      </c>
      <c r="B1208">
        <v>2005</v>
      </c>
      <c r="C1208" t="str">
        <f>_xlfn.CONCAT(Table13[[#This Row],[STATE]],"-",Table13[[#This Row],[Year]])</f>
        <v>Maharashtra-2005</v>
      </c>
      <c r="D1208" t="s">
        <v>71</v>
      </c>
      <c r="E1208" t="s">
        <v>72</v>
      </c>
      <c r="F1208">
        <v>7283</v>
      </c>
      <c r="G1208">
        <v>212</v>
      </c>
      <c r="H1208">
        <v>16</v>
      </c>
      <c r="I1208">
        <v>524</v>
      </c>
      <c r="J1208">
        <v>5637</v>
      </c>
      <c r="K1208">
        <v>0</v>
      </c>
      <c r="L1208">
        <v>0</v>
      </c>
      <c r="M1208">
        <v>578</v>
      </c>
      <c r="N1208">
        <v>2</v>
      </c>
      <c r="O1208">
        <v>39</v>
      </c>
      <c r="P1208">
        <v>267</v>
      </c>
      <c r="Q1208">
        <v>8</v>
      </c>
      <c r="R1208">
        <f>SUM(Table13[[#This Row],[Rank_All_Ranks_Total]:[Rank_SSPSPAddlSPCommandant]])</f>
        <v>14566</v>
      </c>
    </row>
    <row r="1209" spans="1:18" x14ac:dyDescent="0.3">
      <c r="A1209" t="s">
        <v>21</v>
      </c>
      <c r="B1209">
        <v>2005</v>
      </c>
      <c r="C1209" t="str">
        <f>_xlfn.CONCAT(Table13[[#This Row],[STATE]],"-",Table13[[#This Row],[Year]])</f>
        <v>Manipur-2005</v>
      </c>
      <c r="D1209" t="s">
        <v>71</v>
      </c>
      <c r="E1209" t="s">
        <v>72</v>
      </c>
      <c r="F1209">
        <v>234</v>
      </c>
      <c r="G1209">
        <v>2</v>
      </c>
      <c r="H1209">
        <v>0</v>
      </c>
      <c r="I1209">
        <v>0</v>
      </c>
      <c r="J1209">
        <v>221</v>
      </c>
      <c r="K1209">
        <v>0</v>
      </c>
      <c r="L1209">
        <v>0</v>
      </c>
      <c r="M1209">
        <v>6</v>
      </c>
      <c r="N1209">
        <v>0</v>
      </c>
      <c r="O1209">
        <v>0</v>
      </c>
      <c r="P1209">
        <v>5</v>
      </c>
      <c r="Q1209">
        <v>0</v>
      </c>
      <c r="R1209">
        <f>SUM(Table13[[#This Row],[Rank_All_Ranks_Total]:[Rank_SSPSPAddlSPCommandant]])</f>
        <v>468</v>
      </c>
    </row>
    <row r="1210" spans="1:18" x14ac:dyDescent="0.3">
      <c r="A1210" t="s">
        <v>22</v>
      </c>
      <c r="B1210">
        <v>2005</v>
      </c>
      <c r="C1210" t="str">
        <f>_xlfn.CONCAT(Table13[[#This Row],[STATE]],"-",Table13[[#This Row],[Year]])</f>
        <v>Meghalaya-2005</v>
      </c>
      <c r="D1210" t="s">
        <v>71</v>
      </c>
      <c r="E1210" t="s">
        <v>72</v>
      </c>
      <c r="F1210">
        <v>125</v>
      </c>
      <c r="G1210">
        <v>0</v>
      </c>
      <c r="H1210">
        <v>3</v>
      </c>
      <c r="I1210">
        <v>0</v>
      </c>
      <c r="J1210">
        <v>82</v>
      </c>
      <c r="K1210">
        <v>0</v>
      </c>
      <c r="L1210">
        <v>0</v>
      </c>
      <c r="M1210">
        <v>4</v>
      </c>
      <c r="N1210">
        <v>0</v>
      </c>
      <c r="O1210">
        <v>4</v>
      </c>
      <c r="P1210">
        <v>30</v>
      </c>
      <c r="Q1210">
        <v>2</v>
      </c>
      <c r="R1210">
        <f>SUM(Table13[[#This Row],[Rank_All_Ranks_Total]:[Rank_SSPSPAddlSPCommandant]])</f>
        <v>250</v>
      </c>
    </row>
    <row r="1211" spans="1:18" x14ac:dyDescent="0.3">
      <c r="A1211" t="s">
        <v>23</v>
      </c>
      <c r="B1211">
        <v>2005</v>
      </c>
      <c r="C1211" t="str">
        <f>_xlfn.CONCAT(Table13[[#This Row],[STATE]],"-",Table13[[#This Row],[Year]])</f>
        <v>Mizoram-2005</v>
      </c>
      <c r="D1211" t="s">
        <v>71</v>
      </c>
      <c r="E1211" t="s">
        <v>72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f>SUM(Table13[[#This Row],[Rank_All_Ranks_Total]:[Rank_SSPSPAddlSPCommandant]])</f>
        <v>0</v>
      </c>
    </row>
    <row r="1212" spans="1:18" x14ac:dyDescent="0.3">
      <c r="A1212" t="s">
        <v>24</v>
      </c>
      <c r="B1212">
        <v>2005</v>
      </c>
      <c r="C1212" t="str">
        <f>_xlfn.CONCAT(Table13[[#This Row],[STATE]],"-",Table13[[#This Row],[Year]])</f>
        <v>Nagaland-2005</v>
      </c>
      <c r="D1212" t="s">
        <v>71</v>
      </c>
      <c r="E1212" t="s">
        <v>72</v>
      </c>
      <c r="F1212">
        <v>19</v>
      </c>
      <c r="G1212">
        <v>0</v>
      </c>
      <c r="H1212">
        <v>0</v>
      </c>
      <c r="I1212">
        <v>0</v>
      </c>
      <c r="J1212">
        <v>18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1</v>
      </c>
      <c r="Q1212">
        <v>0</v>
      </c>
      <c r="R1212">
        <f>SUM(Table13[[#This Row],[Rank_All_Ranks_Total]:[Rank_SSPSPAddlSPCommandant]])</f>
        <v>38</v>
      </c>
    </row>
    <row r="1213" spans="1:18" x14ac:dyDescent="0.3">
      <c r="A1213" t="s">
        <v>63</v>
      </c>
      <c r="B1213">
        <v>2005</v>
      </c>
      <c r="C1213" t="str">
        <f>_xlfn.CONCAT(Table13[[#This Row],[STATE]],"-",Table13[[#This Row],[Year]])</f>
        <v>Odisha-2005</v>
      </c>
      <c r="D1213" t="s">
        <v>71</v>
      </c>
      <c r="E1213" t="s">
        <v>72</v>
      </c>
      <c r="F1213">
        <v>323</v>
      </c>
      <c r="G1213">
        <v>30</v>
      </c>
      <c r="H1213">
        <v>1</v>
      </c>
      <c r="I1213">
        <v>0</v>
      </c>
      <c r="J1213">
        <v>241</v>
      </c>
      <c r="K1213">
        <v>0</v>
      </c>
      <c r="L1213">
        <v>0</v>
      </c>
      <c r="M1213">
        <v>0</v>
      </c>
      <c r="N1213">
        <v>0</v>
      </c>
      <c r="O1213">
        <v>11</v>
      </c>
      <c r="P1213">
        <v>40</v>
      </c>
      <c r="Q1213">
        <v>0</v>
      </c>
      <c r="R1213">
        <f>SUM(Table13[[#This Row],[Rank_All_Ranks_Total]:[Rank_SSPSPAddlSPCommandant]])</f>
        <v>646</v>
      </c>
    </row>
    <row r="1214" spans="1:18" x14ac:dyDescent="0.3">
      <c r="A1214" t="s">
        <v>64</v>
      </c>
      <c r="B1214">
        <v>2005</v>
      </c>
      <c r="C1214" t="str">
        <f>_xlfn.CONCAT(Table13[[#This Row],[STATE]],"-",Table13[[#This Row],[Year]])</f>
        <v>Puducherry-2005</v>
      </c>
      <c r="D1214" t="s">
        <v>71</v>
      </c>
      <c r="E1214" t="s">
        <v>72</v>
      </c>
      <c r="F1214">
        <v>60</v>
      </c>
      <c r="G1214">
        <v>2</v>
      </c>
      <c r="H1214">
        <v>0</v>
      </c>
      <c r="I1214">
        <v>0</v>
      </c>
      <c r="J1214">
        <v>51</v>
      </c>
      <c r="K1214">
        <v>0</v>
      </c>
      <c r="L1214">
        <v>0</v>
      </c>
      <c r="M1214">
        <v>4</v>
      </c>
      <c r="N1214">
        <v>0</v>
      </c>
      <c r="O1214">
        <v>1</v>
      </c>
      <c r="P1214">
        <v>1</v>
      </c>
      <c r="Q1214">
        <v>1</v>
      </c>
      <c r="R1214">
        <f>SUM(Table13[[#This Row],[Rank_All_Ranks_Total]:[Rank_SSPSPAddlSPCommandant]])</f>
        <v>120</v>
      </c>
    </row>
    <row r="1215" spans="1:18" x14ac:dyDescent="0.3">
      <c r="A1215" t="s">
        <v>26</v>
      </c>
      <c r="B1215">
        <v>2005</v>
      </c>
      <c r="C1215" t="str">
        <f>_xlfn.CONCAT(Table13[[#This Row],[STATE]],"-",Table13[[#This Row],[Year]])</f>
        <v>Punjab-2005</v>
      </c>
      <c r="D1215" t="s">
        <v>71</v>
      </c>
      <c r="E1215" t="s">
        <v>72</v>
      </c>
      <c r="F1215">
        <v>1515</v>
      </c>
      <c r="G1215">
        <v>106</v>
      </c>
      <c r="H1215">
        <v>0</v>
      </c>
      <c r="I1215">
        <v>0</v>
      </c>
      <c r="J1215">
        <v>1100</v>
      </c>
      <c r="K1215">
        <v>0</v>
      </c>
      <c r="L1215">
        <v>0</v>
      </c>
      <c r="M1215">
        <v>240</v>
      </c>
      <c r="N1215">
        <v>0</v>
      </c>
      <c r="O1215">
        <v>21</v>
      </c>
      <c r="P1215">
        <v>48</v>
      </c>
      <c r="Q1215">
        <v>0</v>
      </c>
      <c r="R1215">
        <f>SUM(Table13[[#This Row],[Rank_All_Ranks_Total]:[Rank_SSPSPAddlSPCommandant]])</f>
        <v>3030</v>
      </c>
    </row>
    <row r="1216" spans="1:18" x14ac:dyDescent="0.3">
      <c r="A1216" t="s">
        <v>27</v>
      </c>
      <c r="B1216">
        <v>2005</v>
      </c>
      <c r="C1216" t="str">
        <f>_xlfn.CONCAT(Table13[[#This Row],[STATE]],"-",Table13[[#This Row],[Year]])</f>
        <v>Rajasthan-2005</v>
      </c>
      <c r="D1216" t="s">
        <v>71</v>
      </c>
      <c r="E1216" t="s">
        <v>72</v>
      </c>
      <c r="F1216">
        <v>1250</v>
      </c>
      <c r="G1216">
        <v>33</v>
      </c>
      <c r="H1216">
        <v>2</v>
      </c>
      <c r="I1216">
        <v>0</v>
      </c>
      <c r="J1216">
        <v>1096</v>
      </c>
      <c r="K1216">
        <v>0</v>
      </c>
      <c r="L1216">
        <v>0</v>
      </c>
      <c r="M1216">
        <v>33</v>
      </c>
      <c r="N1216">
        <v>0</v>
      </c>
      <c r="O1216">
        <v>2</v>
      </c>
      <c r="P1216">
        <v>84</v>
      </c>
      <c r="Q1216">
        <v>0</v>
      </c>
      <c r="R1216">
        <f>SUM(Table13[[#This Row],[Rank_All_Ranks_Total]:[Rank_SSPSPAddlSPCommandant]])</f>
        <v>2500</v>
      </c>
    </row>
    <row r="1217" spans="1:18" x14ac:dyDescent="0.3">
      <c r="A1217" t="s">
        <v>28</v>
      </c>
      <c r="B1217">
        <v>2005</v>
      </c>
      <c r="C1217" t="str">
        <f>_xlfn.CONCAT(Table13[[#This Row],[STATE]],"-",Table13[[#This Row],[Year]])</f>
        <v>Sikkim-2005</v>
      </c>
      <c r="D1217" t="s">
        <v>71</v>
      </c>
      <c r="E1217" t="s">
        <v>72</v>
      </c>
      <c r="F1217">
        <v>178</v>
      </c>
      <c r="G1217">
        <v>1</v>
      </c>
      <c r="H1217">
        <v>0</v>
      </c>
      <c r="I1217">
        <v>0</v>
      </c>
      <c r="J1217">
        <v>143</v>
      </c>
      <c r="K1217">
        <v>0</v>
      </c>
      <c r="L1217">
        <v>0</v>
      </c>
      <c r="M1217">
        <v>1</v>
      </c>
      <c r="N1217">
        <v>0</v>
      </c>
      <c r="O1217">
        <v>8</v>
      </c>
      <c r="P1217">
        <v>23</v>
      </c>
      <c r="Q1217">
        <v>2</v>
      </c>
      <c r="R1217">
        <f>SUM(Table13[[#This Row],[Rank_All_Ranks_Total]:[Rank_SSPSPAddlSPCommandant]])</f>
        <v>356</v>
      </c>
    </row>
    <row r="1218" spans="1:18" x14ac:dyDescent="0.3">
      <c r="A1218" t="s">
        <v>42</v>
      </c>
      <c r="B1218">
        <v>2005</v>
      </c>
      <c r="C1218" t="str">
        <f>_xlfn.CONCAT(Table13[[#This Row],[STATE]],"-",Table13[[#This Row],[Year]])</f>
        <v>Tamil Nadu-2005</v>
      </c>
      <c r="D1218" t="s">
        <v>71</v>
      </c>
      <c r="E1218" t="s">
        <v>72</v>
      </c>
      <c r="F1218">
        <v>7980</v>
      </c>
      <c r="G1218">
        <v>0</v>
      </c>
      <c r="H1218">
        <v>26</v>
      </c>
      <c r="I1218">
        <v>35</v>
      </c>
      <c r="J1218">
        <v>6575</v>
      </c>
      <c r="K1218">
        <v>2</v>
      </c>
      <c r="L1218">
        <v>2</v>
      </c>
      <c r="M1218">
        <v>486</v>
      </c>
      <c r="N1218">
        <v>1</v>
      </c>
      <c r="O1218">
        <v>170</v>
      </c>
      <c r="P1218">
        <v>659</v>
      </c>
      <c r="Q1218">
        <v>24</v>
      </c>
      <c r="R1218">
        <f>SUM(Table13[[#This Row],[Rank_All_Ranks_Total]:[Rank_SSPSPAddlSPCommandant]])</f>
        <v>15960</v>
      </c>
    </row>
    <row r="1219" spans="1:18" x14ac:dyDescent="0.3">
      <c r="A1219" t="s">
        <v>30</v>
      </c>
      <c r="B1219">
        <v>2005</v>
      </c>
      <c r="C1219" t="str">
        <f>_xlfn.CONCAT(Table13[[#This Row],[STATE]],"-",Table13[[#This Row],[Year]])</f>
        <v>Tripura-2005</v>
      </c>
      <c r="D1219" t="s">
        <v>71</v>
      </c>
      <c r="E1219" t="s">
        <v>72</v>
      </c>
      <c r="F1219">
        <v>224</v>
      </c>
      <c r="G1219">
        <v>11</v>
      </c>
      <c r="H1219">
        <v>2</v>
      </c>
      <c r="I1219">
        <v>0</v>
      </c>
      <c r="J1219">
        <v>193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17</v>
      </c>
      <c r="Q1219">
        <v>1</v>
      </c>
      <c r="R1219">
        <f>SUM(Table13[[#This Row],[Rank_All_Ranks_Total]:[Rank_SSPSPAddlSPCommandant]])</f>
        <v>448</v>
      </c>
    </row>
    <row r="1220" spans="1:18" x14ac:dyDescent="0.3">
      <c r="A1220" t="s">
        <v>31</v>
      </c>
      <c r="B1220">
        <v>2005</v>
      </c>
      <c r="C1220" t="str">
        <f>_xlfn.CONCAT(Table13[[#This Row],[STATE]],"-",Table13[[#This Row],[Year]])</f>
        <v>Uttar Pradesh-2005</v>
      </c>
      <c r="D1220" t="s">
        <v>71</v>
      </c>
      <c r="E1220" t="s">
        <v>72</v>
      </c>
      <c r="F1220">
        <v>2128</v>
      </c>
      <c r="G1220">
        <v>0</v>
      </c>
      <c r="H1220">
        <v>24</v>
      </c>
      <c r="I1220">
        <v>0</v>
      </c>
      <c r="J1220">
        <v>1852</v>
      </c>
      <c r="K1220">
        <v>0</v>
      </c>
      <c r="L1220">
        <v>1</v>
      </c>
      <c r="M1220">
        <v>104</v>
      </c>
      <c r="N1220">
        <v>0</v>
      </c>
      <c r="O1220">
        <v>11</v>
      </c>
      <c r="P1220">
        <v>127</v>
      </c>
      <c r="Q1220">
        <v>9</v>
      </c>
      <c r="R1220">
        <f>SUM(Table13[[#This Row],[Rank_All_Ranks_Total]:[Rank_SSPSPAddlSPCommandant]])</f>
        <v>4256</v>
      </c>
    </row>
    <row r="1221" spans="1:18" x14ac:dyDescent="0.3">
      <c r="A1221" t="s">
        <v>65</v>
      </c>
      <c r="B1221">
        <v>2005</v>
      </c>
      <c r="C1221" t="str">
        <f>_xlfn.CONCAT(Table13[[#This Row],[STATE]],"-",Table13[[#This Row],[Year]])</f>
        <v>Uttarakhand-2005</v>
      </c>
      <c r="D1221" t="s">
        <v>71</v>
      </c>
      <c r="E1221" t="s">
        <v>72</v>
      </c>
      <c r="F1221">
        <v>435</v>
      </c>
      <c r="G1221">
        <v>0</v>
      </c>
      <c r="H1221">
        <v>0</v>
      </c>
      <c r="I1221">
        <v>0</v>
      </c>
      <c r="J1221">
        <v>392</v>
      </c>
      <c r="K1221">
        <v>1</v>
      </c>
      <c r="L1221">
        <v>0</v>
      </c>
      <c r="M1221">
        <v>10</v>
      </c>
      <c r="N1221">
        <v>0</v>
      </c>
      <c r="O1221">
        <v>1</v>
      </c>
      <c r="P1221">
        <v>30</v>
      </c>
      <c r="Q1221">
        <v>1</v>
      </c>
      <c r="R1221">
        <f>SUM(Table13[[#This Row],[Rank_All_Ranks_Total]:[Rank_SSPSPAddlSPCommandant]])</f>
        <v>870</v>
      </c>
    </row>
    <row r="1222" spans="1:18" x14ac:dyDescent="0.3">
      <c r="A1222" t="s">
        <v>33</v>
      </c>
      <c r="B1222">
        <v>2005</v>
      </c>
      <c r="C1222" t="str">
        <f>_xlfn.CONCAT(Table13[[#This Row],[STATE]],"-",Table13[[#This Row],[Year]])</f>
        <v>West Bengal-2005</v>
      </c>
      <c r="D1222" t="s">
        <v>71</v>
      </c>
      <c r="E1222" t="s">
        <v>72</v>
      </c>
      <c r="F1222">
        <v>1318</v>
      </c>
      <c r="G1222">
        <v>107</v>
      </c>
      <c r="H1222">
        <v>10</v>
      </c>
      <c r="I1222">
        <v>0</v>
      </c>
      <c r="J1222">
        <v>1035</v>
      </c>
      <c r="K1222">
        <v>0</v>
      </c>
      <c r="L1222">
        <v>1</v>
      </c>
      <c r="M1222">
        <v>7</v>
      </c>
      <c r="N1222">
        <v>0</v>
      </c>
      <c r="O1222">
        <v>16</v>
      </c>
      <c r="P1222">
        <v>139</v>
      </c>
      <c r="Q1222">
        <v>3</v>
      </c>
      <c r="R1222">
        <f>SUM(Table13[[#This Row],[Rank_All_Ranks_Total]:[Rank_SSPSPAddlSPCommandant]])</f>
        <v>2636</v>
      </c>
    </row>
    <row r="1223" spans="1:18" x14ac:dyDescent="0.3">
      <c r="A1223" t="s">
        <v>59</v>
      </c>
      <c r="B1223">
        <v>2006</v>
      </c>
      <c r="C1223" t="str">
        <f>_xlfn.CONCAT(Table13[[#This Row],[STATE]],"-",Table13[[#This Row],[Year]])</f>
        <v>Andaman &amp; Nicobar Islands-2006</v>
      </c>
      <c r="D1223" t="s">
        <v>71</v>
      </c>
      <c r="E1223" t="s">
        <v>72</v>
      </c>
      <c r="F1223">
        <v>109</v>
      </c>
      <c r="G1223">
        <v>6</v>
      </c>
      <c r="H1223">
        <v>0</v>
      </c>
      <c r="I1223">
        <v>0</v>
      </c>
      <c r="J1223">
        <v>77</v>
      </c>
      <c r="K1223">
        <v>0</v>
      </c>
      <c r="L1223">
        <v>0</v>
      </c>
      <c r="M1223">
        <v>13</v>
      </c>
      <c r="N1223">
        <v>0</v>
      </c>
      <c r="O1223">
        <v>2</v>
      </c>
      <c r="P1223">
        <v>11</v>
      </c>
      <c r="Q1223">
        <v>0</v>
      </c>
      <c r="R1223">
        <f>SUM(Table13[[#This Row],[Rank_All_Ranks_Total]:[Rank_SSPSPAddlSPCommandant]])</f>
        <v>218</v>
      </c>
    </row>
    <row r="1224" spans="1:18" x14ac:dyDescent="0.3">
      <c r="A1224" t="s">
        <v>6</v>
      </c>
      <c r="B1224">
        <v>2006</v>
      </c>
      <c r="C1224" t="str">
        <f>_xlfn.CONCAT(Table13[[#This Row],[STATE]],"-",Table13[[#This Row],[Year]])</f>
        <v>Andhra Pradesh-2006</v>
      </c>
      <c r="D1224" t="s">
        <v>71</v>
      </c>
      <c r="E1224" t="s">
        <v>72</v>
      </c>
      <c r="F1224">
        <v>1325</v>
      </c>
      <c r="G1224">
        <v>0</v>
      </c>
      <c r="H1224">
        <v>2</v>
      </c>
      <c r="I1224">
        <v>0</v>
      </c>
      <c r="J1224">
        <v>1222</v>
      </c>
      <c r="K1224">
        <v>1</v>
      </c>
      <c r="L1224">
        <v>2</v>
      </c>
      <c r="M1224">
        <v>52</v>
      </c>
      <c r="N1224">
        <v>1</v>
      </c>
      <c r="O1224">
        <v>2</v>
      </c>
      <c r="P1224">
        <v>36</v>
      </c>
      <c r="Q1224">
        <v>7</v>
      </c>
      <c r="R1224">
        <f>SUM(Table13[[#This Row],[Rank_All_Ranks_Total]:[Rank_SSPSPAddlSPCommandant]])</f>
        <v>2650</v>
      </c>
    </row>
    <row r="1225" spans="1:18" x14ac:dyDescent="0.3">
      <c r="A1225" t="s">
        <v>7</v>
      </c>
      <c r="B1225">
        <v>2006</v>
      </c>
      <c r="C1225" t="str">
        <f>_xlfn.CONCAT(Table13[[#This Row],[STATE]],"-",Table13[[#This Row],[Year]])</f>
        <v>Arunachal Pradesh-2006</v>
      </c>
      <c r="D1225" t="s">
        <v>71</v>
      </c>
      <c r="E1225" t="s">
        <v>72</v>
      </c>
      <c r="F1225">
        <v>283</v>
      </c>
      <c r="G1225">
        <v>6</v>
      </c>
      <c r="H1225">
        <v>0</v>
      </c>
      <c r="I1225">
        <v>0</v>
      </c>
      <c r="J1225">
        <v>259</v>
      </c>
      <c r="K1225">
        <v>0</v>
      </c>
      <c r="L1225">
        <v>0</v>
      </c>
      <c r="M1225">
        <v>11</v>
      </c>
      <c r="N1225">
        <v>0</v>
      </c>
      <c r="O1225">
        <v>2</v>
      </c>
      <c r="P1225">
        <v>5</v>
      </c>
      <c r="Q1225">
        <v>0</v>
      </c>
      <c r="R1225">
        <f>SUM(Table13[[#This Row],[Rank_All_Ranks_Total]:[Rank_SSPSPAddlSPCommandant]])</f>
        <v>566</v>
      </c>
    </row>
    <row r="1226" spans="1:18" x14ac:dyDescent="0.3">
      <c r="A1226" t="s">
        <v>8</v>
      </c>
      <c r="B1226">
        <v>2006</v>
      </c>
      <c r="C1226" t="str">
        <f>_xlfn.CONCAT(Table13[[#This Row],[STATE]],"-",Table13[[#This Row],[Year]])</f>
        <v>Assam-2006</v>
      </c>
      <c r="D1226" t="s">
        <v>71</v>
      </c>
      <c r="E1226" t="s">
        <v>72</v>
      </c>
      <c r="F1226">
        <v>223</v>
      </c>
      <c r="G1226">
        <v>5</v>
      </c>
      <c r="H1226">
        <v>0</v>
      </c>
      <c r="I1226">
        <v>8</v>
      </c>
      <c r="J1226">
        <v>185</v>
      </c>
      <c r="K1226">
        <v>0</v>
      </c>
      <c r="L1226">
        <v>0</v>
      </c>
      <c r="M1226">
        <v>8</v>
      </c>
      <c r="N1226">
        <v>0</v>
      </c>
      <c r="O1226">
        <v>0</v>
      </c>
      <c r="P1226">
        <v>17</v>
      </c>
      <c r="Q1226">
        <v>0</v>
      </c>
      <c r="R1226">
        <f>SUM(Table13[[#This Row],[Rank_All_Ranks_Total]:[Rank_SSPSPAddlSPCommandant]])</f>
        <v>446</v>
      </c>
    </row>
    <row r="1227" spans="1:18" x14ac:dyDescent="0.3">
      <c r="A1227" t="s">
        <v>9</v>
      </c>
      <c r="B1227">
        <v>2006</v>
      </c>
      <c r="C1227" t="str">
        <f>_xlfn.CONCAT(Table13[[#This Row],[STATE]],"-",Table13[[#This Row],[Year]])</f>
        <v>Bihar-2006</v>
      </c>
      <c r="D1227" t="s">
        <v>71</v>
      </c>
      <c r="E1227" t="s">
        <v>72</v>
      </c>
      <c r="F1227">
        <v>873</v>
      </c>
      <c r="G1227">
        <v>26</v>
      </c>
      <c r="H1227">
        <v>0</v>
      </c>
      <c r="I1227">
        <v>0</v>
      </c>
      <c r="J1227">
        <v>776</v>
      </c>
      <c r="K1227">
        <v>0</v>
      </c>
      <c r="L1227">
        <v>0</v>
      </c>
      <c r="M1227">
        <v>27</v>
      </c>
      <c r="N1227">
        <v>0</v>
      </c>
      <c r="O1227">
        <v>1</v>
      </c>
      <c r="P1227">
        <v>43</v>
      </c>
      <c r="Q1227">
        <v>0</v>
      </c>
      <c r="R1227">
        <f>SUM(Table13[[#This Row],[Rank_All_Ranks_Total]:[Rank_SSPSPAddlSPCommandant]])</f>
        <v>1746</v>
      </c>
    </row>
    <row r="1228" spans="1:18" x14ac:dyDescent="0.3">
      <c r="A1228" t="s">
        <v>35</v>
      </c>
      <c r="B1228">
        <v>2006</v>
      </c>
      <c r="C1228" t="str">
        <f>_xlfn.CONCAT(Table13[[#This Row],[STATE]],"-",Table13[[#This Row],[Year]])</f>
        <v>Chandigarh-2006</v>
      </c>
      <c r="D1228" t="s">
        <v>71</v>
      </c>
      <c r="E1228" t="s">
        <v>72</v>
      </c>
      <c r="F1228">
        <v>261</v>
      </c>
      <c r="G1228">
        <v>9</v>
      </c>
      <c r="H1228">
        <v>0</v>
      </c>
      <c r="I1228">
        <v>0</v>
      </c>
      <c r="J1228">
        <v>220</v>
      </c>
      <c r="K1228">
        <v>0</v>
      </c>
      <c r="L1228">
        <v>0</v>
      </c>
      <c r="M1228">
        <v>11</v>
      </c>
      <c r="N1228">
        <v>0</v>
      </c>
      <c r="O1228">
        <v>0</v>
      </c>
      <c r="P1228">
        <v>21</v>
      </c>
      <c r="Q1228">
        <v>0</v>
      </c>
      <c r="R1228">
        <f>SUM(Table13[[#This Row],[Rank_All_Ranks_Total]:[Rank_SSPSPAddlSPCommandant]])</f>
        <v>522</v>
      </c>
    </row>
    <row r="1229" spans="1:18" x14ac:dyDescent="0.3">
      <c r="A1229" t="s">
        <v>10</v>
      </c>
      <c r="B1229">
        <v>2006</v>
      </c>
      <c r="C1229" t="str">
        <f>_xlfn.CONCAT(Table13[[#This Row],[STATE]],"-",Table13[[#This Row],[Year]])</f>
        <v>Chhattisgarh-2006</v>
      </c>
      <c r="D1229" t="s">
        <v>71</v>
      </c>
      <c r="E1229" t="s">
        <v>72</v>
      </c>
      <c r="F1229">
        <v>667</v>
      </c>
      <c r="G1229">
        <v>653</v>
      </c>
      <c r="H1229">
        <v>13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1</v>
      </c>
      <c r="R1229">
        <f>SUM(Table13[[#This Row],[Rank_All_Ranks_Total]:[Rank_SSPSPAddlSPCommandant]])</f>
        <v>1334</v>
      </c>
    </row>
    <row r="1230" spans="1:18" x14ac:dyDescent="0.3">
      <c r="A1230" t="s">
        <v>62</v>
      </c>
      <c r="B1230">
        <v>2006</v>
      </c>
      <c r="C1230" t="str">
        <f>_xlfn.CONCAT(Table13[[#This Row],[STATE]],"-",Table13[[#This Row],[Year]])</f>
        <v>Dadra &amp; Nagar Haveli-2006</v>
      </c>
      <c r="D1230" t="s">
        <v>71</v>
      </c>
      <c r="E1230" t="s">
        <v>72</v>
      </c>
      <c r="F1230">
        <v>9</v>
      </c>
      <c r="G1230">
        <v>0</v>
      </c>
      <c r="H1230">
        <v>0</v>
      </c>
      <c r="I1230">
        <v>0</v>
      </c>
      <c r="J1230">
        <v>4</v>
      </c>
      <c r="K1230">
        <v>0</v>
      </c>
      <c r="L1230">
        <v>0</v>
      </c>
      <c r="M1230">
        <v>3</v>
      </c>
      <c r="N1230">
        <v>0</v>
      </c>
      <c r="O1230">
        <v>0</v>
      </c>
      <c r="P1230">
        <v>2</v>
      </c>
      <c r="Q1230">
        <v>0</v>
      </c>
      <c r="R1230">
        <f>SUM(Table13[[#This Row],[Rank_All_Ranks_Total]:[Rank_SSPSPAddlSPCommandant]])</f>
        <v>18</v>
      </c>
    </row>
    <row r="1231" spans="1:18" x14ac:dyDescent="0.3">
      <c r="A1231" t="s">
        <v>37</v>
      </c>
      <c r="B1231">
        <v>2006</v>
      </c>
      <c r="C1231" t="str">
        <f>_xlfn.CONCAT(Table13[[#This Row],[STATE]],"-",Table13[[#This Row],[Year]])</f>
        <v>Daman &amp; Diu-2006</v>
      </c>
      <c r="D1231" t="s">
        <v>71</v>
      </c>
      <c r="E1231" t="s">
        <v>72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f>SUM(Table13[[#This Row],[Rank_All_Ranks_Total]:[Rank_SSPSPAddlSPCommandant]])</f>
        <v>0</v>
      </c>
    </row>
    <row r="1232" spans="1:18" x14ac:dyDescent="0.3">
      <c r="A1232" t="s">
        <v>38</v>
      </c>
      <c r="B1232">
        <v>2006</v>
      </c>
      <c r="C1232" t="str">
        <f>_xlfn.CONCAT(Table13[[#This Row],[STATE]],"-",Table13[[#This Row],[Year]])</f>
        <v>Delhi-2006</v>
      </c>
      <c r="D1232" t="s">
        <v>71</v>
      </c>
      <c r="E1232" t="s">
        <v>72</v>
      </c>
      <c r="F1232">
        <v>3360</v>
      </c>
      <c r="G1232">
        <v>481</v>
      </c>
      <c r="H1232">
        <v>22</v>
      </c>
      <c r="I1232">
        <v>0</v>
      </c>
      <c r="J1232">
        <v>1889</v>
      </c>
      <c r="K1232">
        <v>0</v>
      </c>
      <c r="L1232">
        <v>0</v>
      </c>
      <c r="M1232">
        <v>728</v>
      </c>
      <c r="N1232">
        <v>1</v>
      </c>
      <c r="O1232">
        <v>73</v>
      </c>
      <c r="P1232">
        <v>163</v>
      </c>
      <c r="Q1232">
        <v>3</v>
      </c>
      <c r="R1232">
        <f>SUM(Table13[[#This Row],[Rank_All_Ranks_Total]:[Rank_SSPSPAddlSPCommandant]])</f>
        <v>6720</v>
      </c>
    </row>
    <row r="1233" spans="1:18" x14ac:dyDescent="0.3">
      <c r="A1233" t="s">
        <v>11</v>
      </c>
      <c r="B1233">
        <v>2006</v>
      </c>
      <c r="C1233" t="str">
        <f>_xlfn.CONCAT(Table13[[#This Row],[STATE]],"-",Table13[[#This Row],[Year]])</f>
        <v>Goa-2006</v>
      </c>
      <c r="D1233" t="s">
        <v>71</v>
      </c>
      <c r="E1233" t="s">
        <v>72</v>
      </c>
      <c r="F1233">
        <v>228</v>
      </c>
      <c r="G1233">
        <v>8</v>
      </c>
      <c r="H1233">
        <v>1</v>
      </c>
      <c r="I1233">
        <v>0</v>
      </c>
      <c r="J1233">
        <v>143</v>
      </c>
      <c r="K1233">
        <v>0</v>
      </c>
      <c r="L1233">
        <v>0</v>
      </c>
      <c r="M1233">
        <v>60</v>
      </c>
      <c r="N1233">
        <v>0</v>
      </c>
      <c r="O1233">
        <v>6</v>
      </c>
      <c r="P1233">
        <v>9</v>
      </c>
      <c r="Q1233">
        <v>1</v>
      </c>
      <c r="R1233">
        <f>SUM(Table13[[#This Row],[Rank_All_Ranks_Total]:[Rank_SSPSPAddlSPCommandant]])</f>
        <v>456</v>
      </c>
    </row>
    <row r="1234" spans="1:18" x14ac:dyDescent="0.3">
      <c r="A1234" t="s">
        <v>12</v>
      </c>
      <c r="B1234">
        <v>2006</v>
      </c>
      <c r="C1234" t="str">
        <f>_xlfn.CONCAT(Table13[[#This Row],[STATE]],"-",Table13[[#This Row],[Year]])</f>
        <v>Gujarat-2006</v>
      </c>
      <c r="D1234" t="s">
        <v>71</v>
      </c>
      <c r="E1234" t="s">
        <v>72</v>
      </c>
      <c r="F1234">
        <v>2463</v>
      </c>
      <c r="G1234">
        <v>226</v>
      </c>
      <c r="H1234">
        <v>0</v>
      </c>
      <c r="I1234">
        <v>0</v>
      </c>
      <c r="J1234">
        <v>1705</v>
      </c>
      <c r="K1234">
        <v>0</v>
      </c>
      <c r="L1234">
        <v>0</v>
      </c>
      <c r="M1234">
        <v>476</v>
      </c>
      <c r="N1234">
        <v>0</v>
      </c>
      <c r="O1234">
        <v>11</v>
      </c>
      <c r="P1234">
        <v>45</v>
      </c>
      <c r="Q1234">
        <v>0</v>
      </c>
      <c r="R1234">
        <f>SUM(Table13[[#This Row],[Rank_All_Ranks_Total]:[Rank_SSPSPAddlSPCommandant]])</f>
        <v>4926</v>
      </c>
    </row>
    <row r="1235" spans="1:18" x14ac:dyDescent="0.3">
      <c r="A1235" t="s">
        <v>13</v>
      </c>
      <c r="B1235">
        <v>2006</v>
      </c>
      <c r="C1235" t="str">
        <f>_xlfn.CONCAT(Table13[[#This Row],[STATE]],"-",Table13[[#This Row],[Year]])</f>
        <v>Haryana-2006</v>
      </c>
      <c r="D1235" t="s">
        <v>71</v>
      </c>
      <c r="E1235" t="s">
        <v>72</v>
      </c>
      <c r="F1235">
        <v>820</v>
      </c>
      <c r="G1235">
        <v>36</v>
      </c>
      <c r="H1235">
        <v>0</v>
      </c>
      <c r="I1235">
        <v>0</v>
      </c>
      <c r="J1235">
        <v>675</v>
      </c>
      <c r="K1235">
        <v>0</v>
      </c>
      <c r="L1235">
        <v>0</v>
      </c>
      <c r="M1235">
        <v>65</v>
      </c>
      <c r="N1235">
        <v>0</v>
      </c>
      <c r="O1235">
        <v>4</v>
      </c>
      <c r="P1235">
        <v>40</v>
      </c>
      <c r="Q1235">
        <v>0</v>
      </c>
      <c r="R1235">
        <f>SUM(Table13[[#This Row],[Rank_All_Ranks_Total]:[Rank_SSPSPAddlSPCommandant]])</f>
        <v>1640</v>
      </c>
    </row>
    <row r="1236" spans="1:18" x14ac:dyDescent="0.3">
      <c r="A1236" t="s">
        <v>14</v>
      </c>
      <c r="B1236">
        <v>2006</v>
      </c>
      <c r="C1236" t="str">
        <f>_xlfn.CONCAT(Table13[[#This Row],[STATE]],"-",Table13[[#This Row],[Year]])</f>
        <v>Himachal Pradesh-2006</v>
      </c>
      <c r="D1236" t="s">
        <v>71</v>
      </c>
      <c r="E1236" t="s">
        <v>72</v>
      </c>
      <c r="F1236">
        <v>564</v>
      </c>
      <c r="G1236">
        <v>7</v>
      </c>
      <c r="H1236">
        <v>4</v>
      </c>
      <c r="I1236">
        <v>0</v>
      </c>
      <c r="J1236">
        <v>502</v>
      </c>
      <c r="K1236">
        <v>0</v>
      </c>
      <c r="L1236">
        <v>0</v>
      </c>
      <c r="M1236">
        <v>24</v>
      </c>
      <c r="N1236">
        <v>0</v>
      </c>
      <c r="O1236">
        <v>8</v>
      </c>
      <c r="P1236">
        <v>16</v>
      </c>
      <c r="Q1236">
        <v>3</v>
      </c>
      <c r="R1236">
        <f>SUM(Table13[[#This Row],[Rank_All_Ranks_Total]:[Rank_SSPSPAddlSPCommandant]])</f>
        <v>1128</v>
      </c>
    </row>
    <row r="1237" spans="1:18" x14ac:dyDescent="0.3">
      <c r="A1237" t="s">
        <v>15</v>
      </c>
      <c r="B1237">
        <v>2006</v>
      </c>
      <c r="C1237" t="str">
        <f>_xlfn.CONCAT(Table13[[#This Row],[STATE]],"-",Table13[[#This Row],[Year]])</f>
        <v>Jammu &amp; Kashmir-2006</v>
      </c>
      <c r="D1237" t="s">
        <v>71</v>
      </c>
      <c r="E1237" t="s">
        <v>72</v>
      </c>
      <c r="F1237">
        <v>972</v>
      </c>
      <c r="G1237">
        <v>58</v>
      </c>
      <c r="H1237">
        <v>7</v>
      </c>
      <c r="I1237">
        <v>703</v>
      </c>
      <c r="J1237">
        <v>85</v>
      </c>
      <c r="K1237">
        <v>0</v>
      </c>
      <c r="L1237">
        <v>0</v>
      </c>
      <c r="M1237">
        <v>44</v>
      </c>
      <c r="N1237">
        <v>1</v>
      </c>
      <c r="O1237">
        <v>18</v>
      </c>
      <c r="P1237">
        <v>53</v>
      </c>
      <c r="Q1237">
        <v>3</v>
      </c>
      <c r="R1237">
        <f>SUM(Table13[[#This Row],[Rank_All_Ranks_Total]:[Rank_SSPSPAddlSPCommandant]])</f>
        <v>1944</v>
      </c>
    </row>
    <row r="1238" spans="1:18" x14ac:dyDescent="0.3">
      <c r="A1238" t="s">
        <v>16</v>
      </c>
      <c r="B1238">
        <v>2006</v>
      </c>
      <c r="C1238" t="str">
        <f>_xlfn.CONCAT(Table13[[#This Row],[STATE]],"-",Table13[[#This Row],[Year]])</f>
        <v>Jharkhand-2006</v>
      </c>
      <c r="D1238" t="s">
        <v>71</v>
      </c>
      <c r="E1238" t="s">
        <v>72</v>
      </c>
      <c r="F1238">
        <v>553</v>
      </c>
      <c r="G1238">
        <v>46</v>
      </c>
      <c r="H1238">
        <v>0</v>
      </c>
      <c r="I1238">
        <v>0</v>
      </c>
      <c r="J1238">
        <v>453</v>
      </c>
      <c r="K1238">
        <v>0</v>
      </c>
      <c r="L1238">
        <v>0</v>
      </c>
      <c r="M1238">
        <v>46</v>
      </c>
      <c r="N1238">
        <v>0</v>
      </c>
      <c r="O1238">
        <v>0</v>
      </c>
      <c r="P1238">
        <v>8</v>
      </c>
      <c r="Q1238">
        <v>0</v>
      </c>
      <c r="R1238">
        <f>SUM(Table13[[#This Row],[Rank_All_Ranks_Total]:[Rank_SSPSPAddlSPCommandant]])</f>
        <v>1106</v>
      </c>
    </row>
    <row r="1239" spans="1:18" x14ac:dyDescent="0.3">
      <c r="A1239" t="s">
        <v>17</v>
      </c>
      <c r="B1239">
        <v>2006</v>
      </c>
      <c r="C1239" t="str">
        <f>_xlfn.CONCAT(Table13[[#This Row],[STATE]],"-",Table13[[#This Row],[Year]])</f>
        <v>Karnataka-2006</v>
      </c>
      <c r="D1239" t="s">
        <v>71</v>
      </c>
      <c r="E1239" t="s">
        <v>72</v>
      </c>
      <c r="F1239">
        <v>3586</v>
      </c>
      <c r="G1239">
        <v>136</v>
      </c>
      <c r="H1239">
        <v>4</v>
      </c>
      <c r="I1239">
        <v>0</v>
      </c>
      <c r="J1239">
        <v>2502</v>
      </c>
      <c r="K1239">
        <v>0</v>
      </c>
      <c r="L1239">
        <v>0</v>
      </c>
      <c r="M1239">
        <v>838</v>
      </c>
      <c r="N1239">
        <v>0</v>
      </c>
      <c r="O1239">
        <v>19</v>
      </c>
      <c r="P1239">
        <v>85</v>
      </c>
      <c r="Q1239">
        <v>2</v>
      </c>
      <c r="R1239">
        <f>SUM(Table13[[#This Row],[Rank_All_Ranks_Total]:[Rank_SSPSPAddlSPCommandant]])</f>
        <v>7172</v>
      </c>
    </row>
    <row r="1240" spans="1:18" x14ac:dyDescent="0.3">
      <c r="A1240" t="s">
        <v>18</v>
      </c>
      <c r="B1240">
        <v>2006</v>
      </c>
      <c r="C1240" t="str">
        <f>_xlfn.CONCAT(Table13[[#This Row],[STATE]],"-",Table13[[#This Row],[Year]])</f>
        <v>Kerala-2006</v>
      </c>
      <c r="D1240" t="s">
        <v>71</v>
      </c>
      <c r="E1240" t="s">
        <v>72</v>
      </c>
      <c r="F1240">
        <v>2433</v>
      </c>
      <c r="G1240">
        <v>0</v>
      </c>
      <c r="H1240">
        <v>1</v>
      </c>
      <c r="I1240">
        <v>0</v>
      </c>
      <c r="J1240">
        <v>2182</v>
      </c>
      <c r="K1240">
        <v>0</v>
      </c>
      <c r="L1240">
        <v>0</v>
      </c>
      <c r="M1240">
        <v>168</v>
      </c>
      <c r="N1240">
        <v>0</v>
      </c>
      <c r="O1240">
        <v>20</v>
      </c>
      <c r="P1240">
        <v>62</v>
      </c>
      <c r="Q1240">
        <v>0</v>
      </c>
      <c r="R1240">
        <f>SUM(Table13[[#This Row],[Rank_All_Ranks_Total]:[Rank_SSPSPAddlSPCommandant]])</f>
        <v>4866</v>
      </c>
    </row>
    <row r="1241" spans="1:18" x14ac:dyDescent="0.3">
      <c r="A1241" t="s">
        <v>39</v>
      </c>
      <c r="B1241">
        <v>2006</v>
      </c>
      <c r="C1241" t="str">
        <f>_xlfn.CONCAT(Table13[[#This Row],[STATE]],"-",Table13[[#This Row],[Year]])</f>
        <v>Lakshadweep-2006</v>
      </c>
      <c r="D1241" t="s">
        <v>71</v>
      </c>
      <c r="E1241" t="s">
        <v>72</v>
      </c>
      <c r="F1241">
        <v>16</v>
      </c>
      <c r="G1241">
        <v>0</v>
      </c>
      <c r="H1241">
        <v>0</v>
      </c>
      <c r="I1241">
        <v>0</v>
      </c>
      <c r="J1241">
        <v>15</v>
      </c>
      <c r="K1241">
        <v>0</v>
      </c>
      <c r="L1241">
        <v>0</v>
      </c>
      <c r="M1241">
        <v>1</v>
      </c>
      <c r="N1241">
        <v>0</v>
      </c>
      <c r="O1241">
        <v>0</v>
      </c>
      <c r="P1241">
        <v>0</v>
      </c>
      <c r="Q1241">
        <v>0</v>
      </c>
      <c r="R1241">
        <f>SUM(Table13[[#This Row],[Rank_All_Ranks_Total]:[Rank_SSPSPAddlSPCommandant]])</f>
        <v>32</v>
      </c>
    </row>
    <row r="1242" spans="1:18" x14ac:dyDescent="0.3">
      <c r="A1242" t="s">
        <v>19</v>
      </c>
      <c r="B1242">
        <v>2006</v>
      </c>
      <c r="C1242" t="str">
        <f>_xlfn.CONCAT(Table13[[#This Row],[STATE]],"-",Table13[[#This Row],[Year]])</f>
        <v>Madhya Pradesh-2006</v>
      </c>
      <c r="D1242" t="s">
        <v>71</v>
      </c>
      <c r="E1242" t="s">
        <v>72</v>
      </c>
      <c r="F1242">
        <v>1955</v>
      </c>
      <c r="G1242">
        <v>47</v>
      </c>
      <c r="H1242">
        <v>36</v>
      </c>
      <c r="I1242">
        <v>0</v>
      </c>
      <c r="J1242">
        <v>1018</v>
      </c>
      <c r="K1242">
        <v>0</v>
      </c>
      <c r="L1242">
        <v>1</v>
      </c>
      <c r="M1242">
        <v>734</v>
      </c>
      <c r="N1242">
        <v>1</v>
      </c>
      <c r="O1242">
        <v>14</v>
      </c>
      <c r="P1242">
        <v>100</v>
      </c>
      <c r="Q1242">
        <v>4</v>
      </c>
      <c r="R1242">
        <f>SUM(Table13[[#This Row],[Rank_All_Ranks_Total]:[Rank_SSPSPAddlSPCommandant]])</f>
        <v>3910</v>
      </c>
    </row>
    <row r="1243" spans="1:18" x14ac:dyDescent="0.3">
      <c r="A1243" t="s">
        <v>20</v>
      </c>
      <c r="B1243">
        <v>2006</v>
      </c>
      <c r="C1243" t="str">
        <f>_xlfn.CONCAT(Table13[[#This Row],[STATE]],"-",Table13[[#This Row],[Year]])</f>
        <v>Maharashtra-2006</v>
      </c>
      <c r="D1243" t="s">
        <v>71</v>
      </c>
      <c r="E1243" t="s">
        <v>72</v>
      </c>
      <c r="F1243">
        <v>7477</v>
      </c>
      <c r="G1243">
        <v>171</v>
      </c>
      <c r="H1243">
        <v>24</v>
      </c>
      <c r="I1243">
        <v>390</v>
      </c>
      <c r="J1243">
        <v>5985</v>
      </c>
      <c r="K1243">
        <v>1</v>
      </c>
      <c r="L1243">
        <v>2</v>
      </c>
      <c r="M1243">
        <v>430</v>
      </c>
      <c r="N1243">
        <v>1</v>
      </c>
      <c r="O1243">
        <v>45</v>
      </c>
      <c r="P1243">
        <v>421</v>
      </c>
      <c r="Q1243">
        <v>7</v>
      </c>
      <c r="R1243">
        <f>SUM(Table13[[#This Row],[Rank_All_Ranks_Total]:[Rank_SSPSPAddlSPCommandant]])</f>
        <v>14954</v>
      </c>
    </row>
    <row r="1244" spans="1:18" x14ac:dyDescent="0.3">
      <c r="A1244" t="s">
        <v>21</v>
      </c>
      <c r="B1244">
        <v>2006</v>
      </c>
      <c r="C1244" t="str">
        <f>_xlfn.CONCAT(Table13[[#This Row],[STATE]],"-",Table13[[#This Row],[Year]])</f>
        <v>Manipur-2006</v>
      </c>
      <c r="D1244" t="s">
        <v>71</v>
      </c>
      <c r="E1244" t="s">
        <v>72</v>
      </c>
      <c r="F1244">
        <v>236</v>
      </c>
      <c r="G1244">
        <v>2</v>
      </c>
      <c r="H1244">
        <v>0</v>
      </c>
      <c r="I1244">
        <v>0</v>
      </c>
      <c r="J1244">
        <v>191</v>
      </c>
      <c r="K1244">
        <v>0</v>
      </c>
      <c r="L1244">
        <v>0</v>
      </c>
      <c r="M1244">
        <v>40</v>
      </c>
      <c r="N1244">
        <v>0</v>
      </c>
      <c r="O1244">
        <v>0</v>
      </c>
      <c r="P1244">
        <v>3</v>
      </c>
      <c r="Q1244">
        <v>0</v>
      </c>
      <c r="R1244">
        <f>SUM(Table13[[#This Row],[Rank_All_Ranks_Total]:[Rank_SSPSPAddlSPCommandant]])</f>
        <v>472</v>
      </c>
    </row>
    <row r="1245" spans="1:18" x14ac:dyDescent="0.3">
      <c r="A1245" t="s">
        <v>22</v>
      </c>
      <c r="B1245">
        <v>2006</v>
      </c>
      <c r="C1245" t="str">
        <f>_xlfn.CONCAT(Table13[[#This Row],[STATE]],"-",Table13[[#This Row],[Year]])</f>
        <v>Meghalaya-2006</v>
      </c>
      <c r="D1245" t="s">
        <v>71</v>
      </c>
      <c r="E1245" t="s">
        <v>72</v>
      </c>
      <c r="F1245">
        <v>126</v>
      </c>
      <c r="G1245">
        <v>0</v>
      </c>
      <c r="H1245">
        <v>3</v>
      </c>
      <c r="I1245">
        <v>0</v>
      </c>
      <c r="J1245">
        <v>83</v>
      </c>
      <c r="K1245">
        <v>0</v>
      </c>
      <c r="L1245">
        <v>0</v>
      </c>
      <c r="M1245">
        <v>4</v>
      </c>
      <c r="N1245">
        <v>0</v>
      </c>
      <c r="O1245">
        <v>4</v>
      </c>
      <c r="P1245">
        <v>30</v>
      </c>
      <c r="Q1245">
        <v>2</v>
      </c>
      <c r="R1245">
        <f>SUM(Table13[[#This Row],[Rank_All_Ranks_Total]:[Rank_SSPSPAddlSPCommandant]])</f>
        <v>252</v>
      </c>
    </row>
    <row r="1246" spans="1:18" x14ac:dyDescent="0.3">
      <c r="A1246" t="s">
        <v>23</v>
      </c>
      <c r="B1246">
        <v>2006</v>
      </c>
      <c r="C1246" t="str">
        <f>_xlfn.CONCAT(Table13[[#This Row],[STATE]],"-",Table13[[#This Row],[Year]])</f>
        <v>Mizoram-2006</v>
      </c>
      <c r="D1246" t="s">
        <v>71</v>
      </c>
      <c r="E1246" t="s">
        <v>72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f>SUM(Table13[[#This Row],[Rank_All_Ranks_Total]:[Rank_SSPSPAddlSPCommandant]])</f>
        <v>0</v>
      </c>
    </row>
    <row r="1247" spans="1:18" x14ac:dyDescent="0.3">
      <c r="A1247" t="s">
        <v>24</v>
      </c>
      <c r="B1247">
        <v>2006</v>
      </c>
      <c r="C1247" t="str">
        <f>_xlfn.CONCAT(Table13[[#This Row],[STATE]],"-",Table13[[#This Row],[Year]])</f>
        <v>Nagaland-2006</v>
      </c>
      <c r="D1247" t="s">
        <v>71</v>
      </c>
      <c r="E1247" t="s">
        <v>72</v>
      </c>
      <c r="F1247">
        <v>20</v>
      </c>
      <c r="G1247">
        <v>0</v>
      </c>
      <c r="H1247">
        <v>1</v>
      </c>
      <c r="I1247">
        <v>0</v>
      </c>
      <c r="J1247">
        <v>18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1</v>
      </c>
      <c r="Q1247">
        <v>0</v>
      </c>
      <c r="R1247">
        <f>SUM(Table13[[#This Row],[Rank_All_Ranks_Total]:[Rank_SSPSPAddlSPCommandant]])</f>
        <v>40</v>
      </c>
    </row>
    <row r="1248" spans="1:18" x14ac:dyDescent="0.3">
      <c r="A1248" t="s">
        <v>63</v>
      </c>
      <c r="B1248">
        <v>2006</v>
      </c>
      <c r="C1248" t="str">
        <f>_xlfn.CONCAT(Table13[[#This Row],[STATE]],"-",Table13[[#This Row],[Year]])</f>
        <v>Odisha-2006</v>
      </c>
      <c r="D1248" t="s">
        <v>71</v>
      </c>
      <c r="E1248" t="s">
        <v>72</v>
      </c>
      <c r="F1248">
        <v>2669</v>
      </c>
      <c r="G1248">
        <v>40</v>
      </c>
      <c r="H1248">
        <v>3</v>
      </c>
      <c r="I1248">
        <v>0</v>
      </c>
      <c r="J1248">
        <v>2392</v>
      </c>
      <c r="K1248">
        <v>0</v>
      </c>
      <c r="L1248">
        <v>2</v>
      </c>
      <c r="M1248">
        <v>0</v>
      </c>
      <c r="N1248">
        <v>0</v>
      </c>
      <c r="O1248">
        <v>28</v>
      </c>
      <c r="P1248">
        <v>197</v>
      </c>
      <c r="Q1248">
        <v>7</v>
      </c>
      <c r="R1248">
        <f>SUM(Table13[[#This Row],[Rank_All_Ranks_Total]:[Rank_SSPSPAddlSPCommandant]])</f>
        <v>5338</v>
      </c>
    </row>
    <row r="1249" spans="1:18" x14ac:dyDescent="0.3">
      <c r="A1249" t="s">
        <v>64</v>
      </c>
      <c r="B1249">
        <v>2006</v>
      </c>
      <c r="C1249" t="str">
        <f>_xlfn.CONCAT(Table13[[#This Row],[STATE]],"-",Table13[[#This Row],[Year]])</f>
        <v>Puducherry-2006</v>
      </c>
      <c r="D1249" t="s">
        <v>71</v>
      </c>
      <c r="E1249" t="s">
        <v>72</v>
      </c>
      <c r="F1249">
        <v>58</v>
      </c>
      <c r="G1249">
        <v>2</v>
      </c>
      <c r="H1249">
        <v>0</v>
      </c>
      <c r="I1249">
        <v>0</v>
      </c>
      <c r="J1249">
        <v>47</v>
      </c>
      <c r="K1249">
        <v>0</v>
      </c>
      <c r="L1249">
        <v>0</v>
      </c>
      <c r="M1249">
        <v>4</v>
      </c>
      <c r="N1249">
        <v>0</v>
      </c>
      <c r="O1249">
        <v>1</v>
      </c>
      <c r="P1249">
        <v>2</v>
      </c>
      <c r="Q1249">
        <v>2</v>
      </c>
      <c r="R1249">
        <f>SUM(Table13[[#This Row],[Rank_All_Ranks_Total]:[Rank_SSPSPAddlSPCommandant]])</f>
        <v>116</v>
      </c>
    </row>
    <row r="1250" spans="1:18" x14ac:dyDescent="0.3">
      <c r="A1250" t="s">
        <v>26</v>
      </c>
      <c r="B1250">
        <v>2006</v>
      </c>
      <c r="C1250" t="str">
        <f>_xlfn.CONCAT(Table13[[#This Row],[STATE]],"-",Table13[[#This Row],[Year]])</f>
        <v>Punjab-2006</v>
      </c>
      <c r="D1250" t="s">
        <v>71</v>
      </c>
      <c r="E1250" t="s">
        <v>72</v>
      </c>
      <c r="F1250">
        <v>1515</v>
      </c>
      <c r="G1250">
        <v>106</v>
      </c>
      <c r="H1250">
        <v>0</v>
      </c>
      <c r="I1250">
        <v>0</v>
      </c>
      <c r="J1250">
        <v>1100</v>
      </c>
      <c r="K1250">
        <v>0</v>
      </c>
      <c r="L1250">
        <v>0</v>
      </c>
      <c r="M1250">
        <v>240</v>
      </c>
      <c r="N1250">
        <v>0</v>
      </c>
      <c r="O1250">
        <v>21</v>
      </c>
      <c r="P1250">
        <v>48</v>
      </c>
      <c r="Q1250">
        <v>0</v>
      </c>
      <c r="R1250">
        <f>SUM(Table13[[#This Row],[Rank_All_Ranks_Total]:[Rank_SSPSPAddlSPCommandant]])</f>
        <v>3030</v>
      </c>
    </row>
    <row r="1251" spans="1:18" x14ac:dyDescent="0.3">
      <c r="A1251" t="s">
        <v>27</v>
      </c>
      <c r="B1251">
        <v>2006</v>
      </c>
      <c r="C1251" t="str">
        <f>_xlfn.CONCAT(Table13[[#This Row],[STATE]],"-",Table13[[#This Row],[Year]])</f>
        <v>Rajasthan-2006</v>
      </c>
      <c r="D1251" t="s">
        <v>71</v>
      </c>
      <c r="E1251" t="s">
        <v>72</v>
      </c>
      <c r="F1251">
        <v>2226</v>
      </c>
      <c r="G1251">
        <v>39</v>
      </c>
      <c r="H1251">
        <v>0</v>
      </c>
      <c r="I1251">
        <v>0</v>
      </c>
      <c r="J1251">
        <v>2044</v>
      </c>
      <c r="K1251">
        <v>0</v>
      </c>
      <c r="L1251">
        <v>0</v>
      </c>
      <c r="M1251">
        <v>45</v>
      </c>
      <c r="N1251">
        <v>0</v>
      </c>
      <c r="O1251">
        <v>0</v>
      </c>
      <c r="P1251">
        <v>98</v>
      </c>
      <c r="Q1251">
        <v>0</v>
      </c>
      <c r="R1251">
        <f>SUM(Table13[[#This Row],[Rank_All_Ranks_Total]:[Rank_SSPSPAddlSPCommandant]])</f>
        <v>4452</v>
      </c>
    </row>
    <row r="1252" spans="1:18" x14ac:dyDescent="0.3">
      <c r="A1252" t="s">
        <v>28</v>
      </c>
      <c r="B1252">
        <v>2006</v>
      </c>
      <c r="C1252" t="str">
        <f>_xlfn.CONCAT(Table13[[#This Row],[STATE]],"-",Table13[[#This Row],[Year]])</f>
        <v>Sikkim-2006</v>
      </c>
      <c r="D1252" t="s">
        <v>71</v>
      </c>
      <c r="E1252" t="s">
        <v>72</v>
      </c>
      <c r="F1252">
        <v>178</v>
      </c>
      <c r="G1252">
        <v>1</v>
      </c>
      <c r="H1252">
        <v>0</v>
      </c>
      <c r="I1252">
        <v>0</v>
      </c>
      <c r="J1252">
        <v>143</v>
      </c>
      <c r="K1252">
        <v>0</v>
      </c>
      <c r="L1252">
        <v>0</v>
      </c>
      <c r="M1252">
        <v>1</v>
      </c>
      <c r="N1252">
        <v>0</v>
      </c>
      <c r="O1252">
        <v>8</v>
      </c>
      <c r="P1252">
        <v>23</v>
      </c>
      <c r="Q1252">
        <v>2</v>
      </c>
      <c r="R1252">
        <f>SUM(Table13[[#This Row],[Rank_All_Ranks_Total]:[Rank_SSPSPAddlSPCommandant]])</f>
        <v>356</v>
      </c>
    </row>
    <row r="1253" spans="1:18" x14ac:dyDescent="0.3">
      <c r="A1253" t="s">
        <v>42</v>
      </c>
      <c r="B1253">
        <v>2006</v>
      </c>
      <c r="C1253" t="str">
        <f>_xlfn.CONCAT(Table13[[#This Row],[STATE]],"-",Table13[[#This Row],[Year]])</f>
        <v>Tamil Nadu-2006</v>
      </c>
      <c r="D1253" t="s">
        <v>71</v>
      </c>
      <c r="E1253" t="s">
        <v>72</v>
      </c>
      <c r="F1253">
        <v>8646</v>
      </c>
      <c r="G1253">
        <v>0</v>
      </c>
      <c r="H1253">
        <v>38</v>
      </c>
      <c r="I1253">
        <v>35</v>
      </c>
      <c r="J1253">
        <v>6763</v>
      </c>
      <c r="K1253">
        <v>3</v>
      </c>
      <c r="L1253">
        <v>1</v>
      </c>
      <c r="M1253">
        <v>330</v>
      </c>
      <c r="N1253">
        <v>1</v>
      </c>
      <c r="O1253">
        <v>150</v>
      </c>
      <c r="P1253">
        <v>1301</v>
      </c>
      <c r="Q1253">
        <v>24</v>
      </c>
      <c r="R1253">
        <f>SUM(Table13[[#This Row],[Rank_All_Ranks_Total]:[Rank_SSPSPAddlSPCommandant]])</f>
        <v>17292</v>
      </c>
    </row>
    <row r="1254" spans="1:18" x14ac:dyDescent="0.3">
      <c r="A1254" t="s">
        <v>30</v>
      </c>
      <c r="B1254">
        <v>2006</v>
      </c>
      <c r="C1254" t="str">
        <f>_xlfn.CONCAT(Table13[[#This Row],[STATE]],"-",Table13[[#This Row],[Year]])</f>
        <v>Tripura-2006</v>
      </c>
      <c r="D1254" t="s">
        <v>71</v>
      </c>
      <c r="E1254" t="s">
        <v>72</v>
      </c>
      <c r="F1254">
        <v>661</v>
      </c>
      <c r="G1254">
        <v>11</v>
      </c>
      <c r="H1254">
        <v>2</v>
      </c>
      <c r="I1254">
        <v>0</v>
      </c>
      <c r="J1254">
        <v>627</v>
      </c>
      <c r="K1254">
        <v>0</v>
      </c>
      <c r="L1254">
        <v>0</v>
      </c>
      <c r="M1254">
        <v>0</v>
      </c>
      <c r="N1254">
        <v>0</v>
      </c>
      <c r="O1254">
        <v>1</v>
      </c>
      <c r="P1254">
        <v>20</v>
      </c>
      <c r="Q1254">
        <v>0</v>
      </c>
      <c r="R1254">
        <f>SUM(Table13[[#This Row],[Rank_All_Ranks_Total]:[Rank_SSPSPAddlSPCommandant]])</f>
        <v>1322</v>
      </c>
    </row>
    <row r="1255" spans="1:18" x14ac:dyDescent="0.3">
      <c r="A1255" t="s">
        <v>31</v>
      </c>
      <c r="B1255">
        <v>2006</v>
      </c>
      <c r="C1255" t="str">
        <f>_xlfn.CONCAT(Table13[[#This Row],[STATE]],"-",Table13[[#This Row],[Year]])</f>
        <v>Uttar Pradesh-2006</v>
      </c>
      <c r="D1255" t="s">
        <v>71</v>
      </c>
      <c r="E1255" t="s">
        <v>72</v>
      </c>
      <c r="F1255">
        <v>2128</v>
      </c>
      <c r="G1255">
        <v>0</v>
      </c>
      <c r="H1255">
        <v>24</v>
      </c>
      <c r="I1255">
        <v>0</v>
      </c>
      <c r="J1255">
        <v>1852</v>
      </c>
      <c r="K1255">
        <v>0</v>
      </c>
      <c r="L1255">
        <v>1</v>
      </c>
      <c r="M1255">
        <v>104</v>
      </c>
      <c r="N1255">
        <v>0</v>
      </c>
      <c r="O1255">
        <v>11</v>
      </c>
      <c r="P1255">
        <v>127</v>
      </c>
      <c r="Q1255">
        <v>9</v>
      </c>
      <c r="R1255">
        <f>SUM(Table13[[#This Row],[Rank_All_Ranks_Total]:[Rank_SSPSPAddlSPCommandant]])</f>
        <v>4256</v>
      </c>
    </row>
    <row r="1256" spans="1:18" x14ac:dyDescent="0.3">
      <c r="A1256" t="s">
        <v>65</v>
      </c>
      <c r="B1256">
        <v>2006</v>
      </c>
      <c r="C1256" t="str">
        <f>_xlfn.CONCAT(Table13[[#This Row],[STATE]],"-",Table13[[#This Row],[Year]])</f>
        <v>Uttarakhand-2006</v>
      </c>
      <c r="D1256" t="s">
        <v>71</v>
      </c>
      <c r="E1256" t="s">
        <v>72</v>
      </c>
      <c r="F1256">
        <v>546</v>
      </c>
      <c r="G1256">
        <v>0</v>
      </c>
      <c r="H1256">
        <v>7</v>
      </c>
      <c r="I1256">
        <v>0</v>
      </c>
      <c r="J1256">
        <v>477</v>
      </c>
      <c r="K1256">
        <v>1</v>
      </c>
      <c r="L1256">
        <v>0</v>
      </c>
      <c r="M1256">
        <v>28</v>
      </c>
      <c r="N1256">
        <v>0</v>
      </c>
      <c r="O1256">
        <v>1</v>
      </c>
      <c r="P1256">
        <v>29</v>
      </c>
      <c r="Q1256">
        <v>3</v>
      </c>
      <c r="R1256">
        <f>SUM(Table13[[#This Row],[Rank_All_Ranks_Total]:[Rank_SSPSPAddlSPCommandant]])</f>
        <v>1092</v>
      </c>
    </row>
    <row r="1257" spans="1:18" x14ac:dyDescent="0.3">
      <c r="A1257" t="s">
        <v>33</v>
      </c>
      <c r="B1257">
        <v>2006</v>
      </c>
      <c r="C1257" t="str">
        <f>_xlfn.CONCAT(Table13[[#This Row],[STATE]],"-",Table13[[#This Row],[Year]])</f>
        <v>West Bengal-2006</v>
      </c>
      <c r="D1257" t="s">
        <v>71</v>
      </c>
      <c r="E1257" t="s">
        <v>72</v>
      </c>
      <c r="F1257">
        <v>1439</v>
      </c>
      <c r="G1257">
        <v>108</v>
      </c>
      <c r="H1257">
        <v>8</v>
      </c>
      <c r="I1257">
        <v>0</v>
      </c>
      <c r="J1257">
        <v>1169</v>
      </c>
      <c r="K1257">
        <v>0</v>
      </c>
      <c r="L1257">
        <v>0</v>
      </c>
      <c r="M1257">
        <v>7</v>
      </c>
      <c r="N1257">
        <v>1</v>
      </c>
      <c r="O1257">
        <v>17</v>
      </c>
      <c r="P1257">
        <v>127</v>
      </c>
      <c r="Q1257">
        <v>2</v>
      </c>
      <c r="R1257">
        <f>SUM(Table13[[#This Row],[Rank_All_Ranks_Total]:[Rank_SSPSPAddlSPCommandant]])</f>
        <v>2878</v>
      </c>
    </row>
    <row r="1258" spans="1:18" x14ac:dyDescent="0.3">
      <c r="A1258" t="s">
        <v>59</v>
      </c>
      <c r="B1258">
        <v>2007</v>
      </c>
      <c r="C1258" t="str">
        <f>_xlfn.CONCAT(Table13[[#This Row],[STATE]],"-",Table13[[#This Row],[Year]])</f>
        <v>Andaman &amp; Nicobar Islands-2007</v>
      </c>
      <c r="D1258" t="s">
        <v>71</v>
      </c>
      <c r="E1258" t="s">
        <v>72</v>
      </c>
      <c r="F1258">
        <v>178</v>
      </c>
      <c r="G1258">
        <v>9</v>
      </c>
      <c r="H1258">
        <v>0</v>
      </c>
      <c r="I1258">
        <v>0</v>
      </c>
      <c r="J1258">
        <v>140</v>
      </c>
      <c r="K1258">
        <v>0</v>
      </c>
      <c r="L1258">
        <v>0</v>
      </c>
      <c r="M1258">
        <v>15</v>
      </c>
      <c r="N1258">
        <v>0</v>
      </c>
      <c r="O1258">
        <v>3</v>
      </c>
      <c r="P1258">
        <v>11</v>
      </c>
      <c r="Q1258">
        <v>0</v>
      </c>
      <c r="R1258">
        <f>SUM(Table13[[#This Row],[Rank_All_Ranks_Total]:[Rank_SSPSPAddlSPCommandant]])</f>
        <v>356</v>
      </c>
    </row>
    <row r="1259" spans="1:18" x14ac:dyDescent="0.3">
      <c r="A1259" t="s">
        <v>6</v>
      </c>
      <c r="B1259">
        <v>2007</v>
      </c>
      <c r="C1259" t="str">
        <f>_xlfn.CONCAT(Table13[[#This Row],[STATE]],"-",Table13[[#This Row],[Year]])</f>
        <v>Andhra Pradesh-2007</v>
      </c>
      <c r="D1259" t="s">
        <v>71</v>
      </c>
      <c r="E1259" t="s">
        <v>72</v>
      </c>
      <c r="F1259">
        <v>1169</v>
      </c>
      <c r="G1259">
        <v>0</v>
      </c>
      <c r="H1259">
        <v>2</v>
      </c>
      <c r="I1259">
        <v>0</v>
      </c>
      <c r="J1259">
        <v>1093</v>
      </c>
      <c r="K1259">
        <v>1</v>
      </c>
      <c r="L1259">
        <v>2</v>
      </c>
      <c r="M1259">
        <v>33</v>
      </c>
      <c r="N1259">
        <v>1</v>
      </c>
      <c r="O1259">
        <v>2</v>
      </c>
      <c r="P1259">
        <v>28</v>
      </c>
      <c r="Q1259">
        <v>7</v>
      </c>
      <c r="R1259">
        <f>SUM(Table13[[#This Row],[Rank_All_Ranks_Total]:[Rank_SSPSPAddlSPCommandant]])</f>
        <v>2338</v>
      </c>
    </row>
    <row r="1260" spans="1:18" x14ac:dyDescent="0.3">
      <c r="A1260" t="s">
        <v>7</v>
      </c>
      <c r="B1260">
        <v>2007</v>
      </c>
      <c r="C1260" t="str">
        <f>_xlfn.CONCAT(Table13[[#This Row],[STATE]],"-",Table13[[#This Row],[Year]])</f>
        <v>Arunachal Pradesh-2007</v>
      </c>
      <c r="D1260" t="s">
        <v>71</v>
      </c>
      <c r="E1260" t="s">
        <v>72</v>
      </c>
      <c r="F1260">
        <v>283</v>
      </c>
      <c r="G1260">
        <v>6</v>
      </c>
      <c r="H1260">
        <v>0</v>
      </c>
      <c r="I1260">
        <v>0</v>
      </c>
      <c r="J1260">
        <v>259</v>
      </c>
      <c r="K1260">
        <v>0</v>
      </c>
      <c r="L1260">
        <v>0</v>
      </c>
      <c r="M1260">
        <v>11</v>
      </c>
      <c r="N1260">
        <v>0</v>
      </c>
      <c r="O1260">
        <v>2</v>
      </c>
      <c r="P1260">
        <v>5</v>
      </c>
      <c r="Q1260">
        <v>0</v>
      </c>
      <c r="R1260">
        <f>SUM(Table13[[#This Row],[Rank_All_Ranks_Total]:[Rank_SSPSPAddlSPCommandant]])</f>
        <v>566</v>
      </c>
    </row>
    <row r="1261" spans="1:18" x14ac:dyDescent="0.3">
      <c r="A1261" t="s">
        <v>8</v>
      </c>
      <c r="B1261">
        <v>2007</v>
      </c>
      <c r="C1261" t="str">
        <f>_xlfn.CONCAT(Table13[[#This Row],[STATE]],"-",Table13[[#This Row],[Year]])</f>
        <v>Assam-2007</v>
      </c>
      <c r="D1261" t="s">
        <v>71</v>
      </c>
      <c r="E1261" t="s">
        <v>72</v>
      </c>
      <c r="F1261">
        <v>223</v>
      </c>
      <c r="G1261">
        <v>5</v>
      </c>
      <c r="H1261">
        <v>0</v>
      </c>
      <c r="I1261">
        <v>8</v>
      </c>
      <c r="J1261">
        <v>185</v>
      </c>
      <c r="K1261">
        <v>0</v>
      </c>
      <c r="L1261">
        <v>0</v>
      </c>
      <c r="M1261">
        <v>8</v>
      </c>
      <c r="N1261">
        <v>0</v>
      </c>
      <c r="O1261">
        <v>0</v>
      </c>
      <c r="P1261">
        <v>17</v>
      </c>
      <c r="Q1261">
        <v>0</v>
      </c>
      <c r="R1261">
        <f>SUM(Table13[[#This Row],[Rank_All_Ranks_Total]:[Rank_SSPSPAddlSPCommandant]])</f>
        <v>446</v>
      </c>
    </row>
    <row r="1262" spans="1:18" x14ac:dyDescent="0.3">
      <c r="A1262" t="s">
        <v>9</v>
      </c>
      <c r="B1262">
        <v>2007</v>
      </c>
      <c r="C1262" t="str">
        <f>_xlfn.CONCAT(Table13[[#This Row],[STATE]],"-",Table13[[#This Row],[Year]])</f>
        <v>Bihar-2007</v>
      </c>
      <c r="D1262" t="s">
        <v>71</v>
      </c>
      <c r="E1262" t="s">
        <v>72</v>
      </c>
      <c r="F1262">
        <v>1008</v>
      </c>
      <c r="G1262">
        <v>27</v>
      </c>
      <c r="H1262">
        <v>5</v>
      </c>
      <c r="I1262">
        <v>0</v>
      </c>
      <c r="J1262">
        <v>897</v>
      </c>
      <c r="K1262">
        <v>0</v>
      </c>
      <c r="L1262">
        <v>0</v>
      </c>
      <c r="M1262">
        <v>30</v>
      </c>
      <c r="N1262">
        <v>0</v>
      </c>
      <c r="O1262">
        <v>1</v>
      </c>
      <c r="P1262">
        <v>44</v>
      </c>
      <c r="Q1262">
        <v>4</v>
      </c>
      <c r="R1262">
        <f>SUM(Table13[[#This Row],[Rank_All_Ranks_Total]:[Rank_SSPSPAddlSPCommandant]])</f>
        <v>2016</v>
      </c>
    </row>
    <row r="1263" spans="1:18" x14ac:dyDescent="0.3">
      <c r="A1263" t="s">
        <v>35</v>
      </c>
      <c r="B1263">
        <v>2007</v>
      </c>
      <c r="C1263" t="str">
        <f>_xlfn.CONCAT(Table13[[#This Row],[STATE]],"-",Table13[[#This Row],[Year]])</f>
        <v>Chandigarh-2007</v>
      </c>
      <c r="D1263" t="s">
        <v>71</v>
      </c>
      <c r="E1263" t="s">
        <v>72</v>
      </c>
      <c r="F1263">
        <v>261</v>
      </c>
      <c r="G1263">
        <v>9</v>
      </c>
      <c r="H1263">
        <v>0</v>
      </c>
      <c r="I1263">
        <v>0</v>
      </c>
      <c r="J1263">
        <v>220</v>
      </c>
      <c r="K1263">
        <v>0</v>
      </c>
      <c r="L1263">
        <v>0</v>
      </c>
      <c r="M1263">
        <v>11</v>
      </c>
      <c r="N1263">
        <v>0</v>
      </c>
      <c r="O1263">
        <v>0</v>
      </c>
      <c r="P1263">
        <v>21</v>
      </c>
      <c r="Q1263">
        <v>0</v>
      </c>
      <c r="R1263">
        <f>SUM(Table13[[#This Row],[Rank_All_Ranks_Total]:[Rank_SSPSPAddlSPCommandant]])</f>
        <v>522</v>
      </c>
    </row>
    <row r="1264" spans="1:18" x14ac:dyDescent="0.3">
      <c r="A1264" t="s">
        <v>10</v>
      </c>
      <c r="B1264">
        <v>2007</v>
      </c>
      <c r="C1264" t="str">
        <f>_xlfn.CONCAT(Table13[[#This Row],[STATE]],"-",Table13[[#This Row],[Year]])</f>
        <v>Chhattisgarh-2007</v>
      </c>
      <c r="D1264" t="s">
        <v>71</v>
      </c>
      <c r="E1264" t="s">
        <v>72</v>
      </c>
      <c r="F1264">
        <v>1115</v>
      </c>
      <c r="G1264">
        <v>15</v>
      </c>
      <c r="H1264">
        <v>30</v>
      </c>
      <c r="I1264">
        <v>0</v>
      </c>
      <c r="J1264">
        <v>924</v>
      </c>
      <c r="K1264">
        <v>0</v>
      </c>
      <c r="L1264">
        <v>0</v>
      </c>
      <c r="M1264">
        <v>78</v>
      </c>
      <c r="N1264">
        <v>0</v>
      </c>
      <c r="O1264">
        <v>11</v>
      </c>
      <c r="P1264">
        <v>56</v>
      </c>
      <c r="Q1264">
        <v>1</v>
      </c>
      <c r="R1264">
        <f>SUM(Table13[[#This Row],[Rank_All_Ranks_Total]:[Rank_SSPSPAddlSPCommandant]])</f>
        <v>2230</v>
      </c>
    </row>
    <row r="1265" spans="1:18" x14ac:dyDescent="0.3">
      <c r="A1265" t="s">
        <v>62</v>
      </c>
      <c r="B1265">
        <v>2007</v>
      </c>
      <c r="C1265" t="str">
        <f>_xlfn.CONCAT(Table13[[#This Row],[STATE]],"-",Table13[[#This Row],[Year]])</f>
        <v>Dadra &amp; Nagar Haveli-2007</v>
      </c>
      <c r="D1265" t="s">
        <v>71</v>
      </c>
      <c r="E1265" t="s">
        <v>72</v>
      </c>
      <c r="F1265">
        <v>9</v>
      </c>
      <c r="G1265">
        <v>0</v>
      </c>
      <c r="H1265">
        <v>0</v>
      </c>
      <c r="I1265">
        <v>0</v>
      </c>
      <c r="J1265">
        <v>4</v>
      </c>
      <c r="K1265">
        <v>0</v>
      </c>
      <c r="L1265">
        <v>0</v>
      </c>
      <c r="M1265">
        <v>3</v>
      </c>
      <c r="N1265">
        <v>0</v>
      </c>
      <c r="O1265">
        <v>0</v>
      </c>
      <c r="P1265">
        <v>2</v>
      </c>
      <c r="Q1265">
        <v>0</v>
      </c>
      <c r="R1265">
        <f>SUM(Table13[[#This Row],[Rank_All_Ranks_Total]:[Rank_SSPSPAddlSPCommandant]])</f>
        <v>18</v>
      </c>
    </row>
    <row r="1266" spans="1:18" x14ac:dyDescent="0.3">
      <c r="A1266" t="s">
        <v>37</v>
      </c>
      <c r="B1266">
        <v>2007</v>
      </c>
      <c r="C1266" t="str">
        <f>_xlfn.CONCAT(Table13[[#This Row],[STATE]],"-",Table13[[#This Row],[Year]])</f>
        <v>Daman &amp; Diu-2007</v>
      </c>
      <c r="D1266" t="s">
        <v>71</v>
      </c>
      <c r="E1266" t="s">
        <v>72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f>SUM(Table13[[#This Row],[Rank_All_Ranks_Total]:[Rank_SSPSPAddlSPCommandant]])</f>
        <v>0</v>
      </c>
    </row>
    <row r="1267" spans="1:18" x14ac:dyDescent="0.3">
      <c r="A1267" t="s">
        <v>38</v>
      </c>
      <c r="B1267">
        <v>2007</v>
      </c>
      <c r="C1267" t="str">
        <f>_xlfn.CONCAT(Table13[[#This Row],[STATE]],"-",Table13[[#This Row],[Year]])</f>
        <v>Delhi-2007</v>
      </c>
      <c r="D1267" t="s">
        <v>71</v>
      </c>
      <c r="E1267" t="s">
        <v>72</v>
      </c>
      <c r="F1267">
        <v>3169</v>
      </c>
      <c r="G1267">
        <v>493</v>
      </c>
      <c r="H1267">
        <v>25</v>
      </c>
      <c r="I1267">
        <v>0</v>
      </c>
      <c r="J1267">
        <v>1792</v>
      </c>
      <c r="K1267">
        <v>1</v>
      </c>
      <c r="L1267">
        <v>0</v>
      </c>
      <c r="M1267">
        <v>612</v>
      </c>
      <c r="N1267">
        <v>0</v>
      </c>
      <c r="O1267">
        <v>73</v>
      </c>
      <c r="P1267">
        <v>170</v>
      </c>
      <c r="Q1267">
        <v>3</v>
      </c>
      <c r="R1267">
        <f>SUM(Table13[[#This Row],[Rank_All_Ranks_Total]:[Rank_SSPSPAddlSPCommandant]])</f>
        <v>6338</v>
      </c>
    </row>
    <row r="1268" spans="1:18" x14ac:dyDescent="0.3">
      <c r="A1268" t="s">
        <v>11</v>
      </c>
      <c r="B1268">
        <v>2007</v>
      </c>
      <c r="C1268" t="str">
        <f>_xlfn.CONCAT(Table13[[#This Row],[STATE]],"-",Table13[[#This Row],[Year]])</f>
        <v>Goa-2007</v>
      </c>
      <c r="D1268" t="s">
        <v>71</v>
      </c>
      <c r="E1268" t="s">
        <v>72</v>
      </c>
      <c r="F1268">
        <v>314</v>
      </c>
      <c r="G1268">
        <v>3</v>
      </c>
      <c r="H1268">
        <v>1</v>
      </c>
      <c r="I1268">
        <v>0</v>
      </c>
      <c r="J1268">
        <v>171</v>
      </c>
      <c r="K1268">
        <v>0</v>
      </c>
      <c r="L1268">
        <v>0</v>
      </c>
      <c r="M1268">
        <v>121</v>
      </c>
      <c r="N1268">
        <v>0</v>
      </c>
      <c r="O1268">
        <v>7</v>
      </c>
      <c r="P1268">
        <v>11</v>
      </c>
      <c r="Q1268">
        <v>0</v>
      </c>
      <c r="R1268">
        <f>SUM(Table13[[#This Row],[Rank_All_Ranks_Total]:[Rank_SSPSPAddlSPCommandant]])</f>
        <v>628</v>
      </c>
    </row>
    <row r="1269" spans="1:18" x14ac:dyDescent="0.3">
      <c r="A1269" t="s">
        <v>12</v>
      </c>
      <c r="B1269">
        <v>2007</v>
      </c>
      <c r="C1269" t="str">
        <f>_xlfn.CONCAT(Table13[[#This Row],[STATE]],"-",Table13[[#This Row],[Year]])</f>
        <v>Gujarat-2007</v>
      </c>
      <c r="D1269" t="s">
        <v>71</v>
      </c>
      <c r="E1269" t="s">
        <v>72</v>
      </c>
      <c r="F1269">
        <v>2474</v>
      </c>
      <c r="G1269">
        <v>226</v>
      </c>
      <c r="H1269">
        <v>0</v>
      </c>
      <c r="I1269">
        <v>0</v>
      </c>
      <c r="J1269">
        <v>1716</v>
      </c>
      <c r="K1269">
        <v>0</v>
      </c>
      <c r="L1269">
        <v>0</v>
      </c>
      <c r="M1269">
        <v>476</v>
      </c>
      <c r="N1269">
        <v>0</v>
      </c>
      <c r="O1269">
        <v>11</v>
      </c>
      <c r="P1269">
        <v>45</v>
      </c>
      <c r="Q1269">
        <v>0</v>
      </c>
      <c r="R1269">
        <f>SUM(Table13[[#This Row],[Rank_All_Ranks_Total]:[Rank_SSPSPAddlSPCommandant]])</f>
        <v>4948</v>
      </c>
    </row>
    <row r="1270" spans="1:18" x14ac:dyDescent="0.3">
      <c r="A1270" t="s">
        <v>13</v>
      </c>
      <c r="B1270">
        <v>2007</v>
      </c>
      <c r="C1270" t="str">
        <f>_xlfn.CONCAT(Table13[[#This Row],[STATE]],"-",Table13[[#This Row],[Year]])</f>
        <v>Haryana-2007</v>
      </c>
      <c r="D1270" t="s">
        <v>71</v>
      </c>
      <c r="E1270" t="s">
        <v>72</v>
      </c>
      <c r="F1270">
        <v>1120</v>
      </c>
      <c r="G1270">
        <v>72</v>
      </c>
      <c r="H1270">
        <v>0</v>
      </c>
      <c r="I1270">
        <v>0</v>
      </c>
      <c r="J1270">
        <v>958</v>
      </c>
      <c r="K1270">
        <v>0</v>
      </c>
      <c r="L1270">
        <v>0</v>
      </c>
      <c r="M1270">
        <v>58</v>
      </c>
      <c r="N1270">
        <v>0</v>
      </c>
      <c r="O1270">
        <v>4</v>
      </c>
      <c r="P1270">
        <v>28</v>
      </c>
      <c r="Q1270">
        <v>0</v>
      </c>
      <c r="R1270">
        <f>SUM(Table13[[#This Row],[Rank_All_Ranks_Total]:[Rank_SSPSPAddlSPCommandant]])</f>
        <v>2240</v>
      </c>
    </row>
    <row r="1271" spans="1:18" x14ac:dyDescent="0.3">
      <c r="A1271" t="s">
        <v>14</v>
      </c>
      <c r="B1271">
        <v>2007</v>
      </c>
      <c r="C1271" t="str">
        <f>_xlfn.CONCAT(Table13[[#This Row],[STATE]],"-",Table13[[#This Row],[Year]])</f>
        <v>Himachal Pradesh-2007</v>
      </c>
      <c r="D1271" t="s">
        <v>71</v>
      </c>
      <c r="E1271" t="s">
        <v>72</v>
      </c>
      <c r="F1271">
        <v>580</v>
      </c>
      <c r="G1271">
        <v>12</v>
      </c>
      <c r="H1271">
        <v>5</v>
      </c>
      <c r="I1271">
        <v>0</v>
      </c>
      <c r="J1271">
        <v>505</v>
      </c>
      <c r="K1271">
        <v>0</v>
      </c>
      <c r="L1271">
        <v>0</v>
      </c>
      <c r="M1271">
        <v>33</v>
      </c>
      <c r="N1271">
        <v>0</v>
      </c>
      <c r="O1271">
        <v>9</v>
      </c>
      <c r="P1271">
        <v>14</v>
      </c>
      <c r="Q1271">
        <v>2</v>
      </c>
      <c r="R1271">
        <f>SUM(Table13[[#This Row],[Rank_All_Ranks_Total]:[Rank_SSPSPAddlSPCommandant]])</f>
        <v>1160</v>
      </c>
    </row>
    <row r="1272" spans="1:18" x14ac:dyDescent="0.3">
      <c r="A1272" t="s">
        <v>15</v>
      </c>
      <c r="B1272">
        <v>2007</v>
      </c>
      <c r="C1272" t="str">
        <f>_xlfn.CONCAT(Table13[[#This Row],[STATE]],"-",Table13[[#This Row],[Year]])</f>
        <v>Jammu &amp; Kashmir-2007</v>
      </c>
      <c r="D1272" t="s">
        <v>71</v>
      </c>
      <c r="E1272" t="s">
        <v>72</v>
      </c>
      <c r="F1272">
        <v>793</v>
      </c>
      <c r="G1272">
        <v>12</v>
      </c>
      <c r="H1272">
        <v>6</v>
      </c>
      <c r="I1272">
        <v>695</v>
      </c>
      <c r="J1272">
        <v>0</v>
      </c>
      <c r="K1272">
        <v>0</v>
      </c>
      <c r="L1272">
        <v>0</v>
      </c>
      <c r="M1272">
        <v>46</v>
      </c>
      <c r="N1272">
        <v>1</v>
      </c>
      <c r="O1272">
        <v>12</v>
      </c>
      <c r="P1272">
        <v>20</v>
      </c>
      <c r="Q1272">
        <v>1</v>
      </c>
      <c r="R1272">
        <f>SUM(Table13[[#This Row],[Rank_All_Ranks_Total]:[Rank_SSPSPAddlSPCommandant]])</f>
        <v>1586</v>
      </c>
    </row>
    <row r="1273" spans="1:18" x14ac:dyDescent="0.3">
      <c r="A1273" t="s">
        <v>16</v>
      </c>
      <c r="B1273">
        <v>2007</v>
      </c>
      <c r="C1273" t="str">
        <f>_xlfn.CONCAT(Table13[[#This Row],[STATE]],"-",Table13[[#This Row],[Year]])</f>
        <v>Jharkhand-2007</v>
      </c>
      <c r="D1273" t="s">
        <v>71</v>
      </c>
      <c r="E1273" t="s">
        <v>72</v>
      </c>
      <c r="F1273">
        <v>1237</v>
      </c>
      <c r="G1273">
        <v>16</v>
      </c>
      <c r="H1273">
        <v>4</v>
      </c>
      <c r="I1273">
        <v>0</v>
      </c>
      <c r="J1273">
        <v>939</v>
      </c>
      <c r="K1273">
        <v>1</v>
      </c>
      <c r="L1273">
        <v>0</v>
      </c>
      <c r="M1273">
        <v>210</v>
      </c>
      <c r="N1273">
        <v>2</v>
      </c>
      <c r="O1273">
        <v>10</v>
      </c>
      <c r="P1273">
        <v>53</v>
      </c>
      <c r="Q1273">
        <v>2</v>
      </c>
      <c r="R1273">
        <f>SUM(Table13[[#This Row],[Rank_All_Ranks_Total]:[Rank_SSPSPAddlSPCommandant]])</f>
        <v>2474</v>
      </c>
    </row>
    <row r="1274" spans="1:18" x14ac:dyDescent="0.3">
      <c r="A1274" t="s">
        <v>17</v>
      </c>
      <c r="B1274">
        <v>2007</v>
      </c>
      <c r="C1274" t="str">
        <f>_xlfn.CONCAT(Table13[[#This Row],[STATE]],"-",Table13[[#This Row],[Year]])</f>
        <v>Karnataka-2007</v>
      </c>
      <c r="D1274" t="s">
        <v>71</v>
      </c>
      <c r="E1274" t="s">
        <v>72</v>
      </c>
      <c r="F1274">
        <v>3701</v>
      </c>
      <c r="G1274">
        <v>141</v>
      </c>
      <c r="H1274">
        <v>4</v>
      </c>
      <c r="I1274">
        <v>0</v>
      </c>
      <c r="J1274">
        <v>2590</v>
      </c>
      <c r="K1274">
        <v>0</v>
      </c>
      <c r="L1274">
        <v>0</v>
      </c>
      <c r="M1274">
        <v>857</v>
      </c>
      <c r="N1274">
        <v>0</v>
      </c>
      <c r="O1274">
        <v>21</v>
      </c>
      <c r="P1274">
        <v>86</v>
      </c>
      <c r="Q1274">
        <v>2</v>
      </c>
      <c r="R1274">
        <f>SUM(Table13[[#This Row],[Rank_All_Ranks_Total]:[Rank_SSPSPAddlSPCommandant]])</f>
        <v>7402</v>
      </c>
    </row>
    <row r="1275" spans="1:18" x14ac:dyDescent="0.3">
      <c r="A1275" t="s">
        <v>18</v>
      </c>
      <c r="B1275">
        <v>2007</v>
      </c>
      <c r="C1275" t="str">
        <f>_xlfn.CONCAT(Table13[[#This Row],[STATE]],"-",Table13[[#This Row],[Year]])</f>
        <v>Kerala-2007</v>
      </c>
      <c r="D1275" t="s">
        <v>71</v>
      </c>
      <c r="E1275" t="s">
        <v>72</v>
      </c>
      <c r="F1275">
        <v>2433</v>
      </c>
      <c r="G1275">
        <v>0</v>
      </c>
      <c r="H1275">
        <v>1</v>
      </c>
      <c r="I1275">
        <v>0</v>
      </c>
      <c r="J1275">
        <v>2185</v>
      </c>
      <c r="K1275">
        <v>0</v>
      </c>
      <c r="L1275">
        <v>0</v>
      </c>
      <c r="M1275">
        <v>164</v>
      </c>
      <c r="N1275">
        <v>0</v>
      </c>
      <c r="O1275">
        <v>20</v>
      </c>
      <c r="P1275">
        <v>63</v>
      </c>
      <c r="Q1275">
        <v>0</v>
      </c>
      <c r="R1275">
        <f>SUM(Table13[[#This Row],[Rank_All_Ranks_Total]:[Rank_SSPSPAddlSPCommandant]])</f>
        <v>4866</v>
      </c>
    </row>
    <row r="1276" spans="1:18" x14ac:dyDescent="0.3">
      <c r="A1276" t="s">
        <v>39</v>
      </c>
      <c r="B1276">
        <v>2007</v>
      </c>
      <c r="C1276" t="str">
        <f>_xlfn.CONCAT(Table13[[#This Row],[STATE]],"-",Table13[[#This Row],[Year]])</f>
        <v>Lakshadweep-2007</v>
      </c>
      <c r="D1276" t="s">
        <v>71</v>
      </c>
      <c r="E1276" t="s">
        <v>72</v>
      </c>
      <c r="F1276">
        <v>16</v>
      </c>
      <c r="G1276">
        <v>0</v>
      </c>
      <c r="H1276">
        <v>0</v>
      </c>
      <c r="I1276">
        <v>0</v>
      </c>
      <c r="J1276">
        <v>15</v>
      </c>
      <c r="K1276">
        <v>0</v>
      </c>
      <c r="L1276">
        <v>0</v>
      </c>
      <c r="M1276">
        <v>1</v>
      </c>
      <c r="N1276">
        <v>0</v>
      </c>
      <c r="O1276">
        <v>0</v>
      </c>
      <c r="P1276">
        <v>0</v>
      </c>
      <c r="Q1276">
        <v>0</v>
      </c>
      <c r="R1276">
        <f>SUM(Table13[[#This Row],[Rank_All_Ranks_Total]:[Rank_SSPSPAddlSPCommandant]])</f>
        <v>32</v>
      </c>
    </row>
    <row r="1277" spans="1:18" x14ac:dyDescent="0.3">
      <c r="A1277" t="s">
        <v>19</v>
      </c>
      <c r="B1277">
        <v>2007</v>
      </c>
      <c r="C1277" t="str">
        <f>_xlfn.CONCAT(Table13[[#This Row],[STATE]],"-",Table13[[#This Row],[Year]])</f>
        <v>Madhya Pradesh-2007</v>
      </c>
      <c r="D1277" t="s">
        <v>71</v>
      </c>
      <c r="E1277" t="s">
        <v>72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f>SUM(Table13[[#This Row],[Rank_All_Ranks_Total]:[Rank_SSPSPAddlSPCommandant]])</f>
        <v>0</v>
      </c>
    </row>
    <row r="1278" spans="1:18" x14ac:dyDescent="0.3">
      <c r="A1278" t="s">
        <v>20</v>
      </c>
      <c r="B1278">
        <v>2007</v>
      </c>
      <c r="C1278" t="str">
        <f>_xlfn.CONCAT(Table13[[#This Row],[STATE]],"-",Table13[[#This Row],[Year]])</f>
        <v>Maharashtra-2007</v>
      </c>
      <c r="D1278" t="s">
        <v>71</v>
      </c>
      <c r="E1278" t="s">
        <v>72</v>
      </c>
      <c r="F1278">
        <v>9097</v>
      </c>
      <c r="G1278">
        <v>296</v>
      </c>
      <c r="H1278">
        <v>28</v>
      </c>
      <c r="I1278">
        <v>571</v>
      </c>
      <c r="J1278">
        <v>7370</v>
      </c>
      <c r="K1278">
        <v>1</v>
      </c>
      <c r="L1278">
        <v>4</v>
      </c>
      <c r="M1278">
        <v>420</v>
      </c>
      <c r="N1278">
        <v>1</v>
      </c>
      <c r="O1278">
        <v>44</v>
      </c>
      <c r="P1278">
        <v>358</v>
      </c>
      <c r="Q1278">
        <v>4</v>
      </c>
      <c r="R1278">
        <f>SUM(Table13[[#This Row],[Rank_All_Ranks_Total]:[Rank_SSPSPAddlSPCommandant]])</f>
        <v>18194</v>
      </c>
    </row>
    <row r="1279" spans="1:18" x14ac:dyDescent="0.3">
      <c r="A1279" t="s">
        <v>21</v>
      </c>
      <c r="B1279">
        <v>2007</v>
      </c>
      <c r="C1279" t="str">
        <f>_xlfn.CONCAT(Table13[[#This Row],[STATE]],"-",Table13[[#This Row],[Year]])</f>
        <v>Manipur-2007</v>
      </c>
      <c r="D1279" t="s">
        <v>71</v>
      </c>
      <c r="E1279" t="s">
        <v>72</v>
      </c>
      <c r="F1279">
        <v>460</v>
      </c>
      <c r="G1279">
        <v>2</v>
      </c>
      <c r="H1279">
        <v>0</v>
      </c>
      <c r="I1279">
        <v>0</v>
      </c>
      <c r="J1279">
        <v>413</v>
      </c>
      <c r="K1279">
        <v>0</v>
      </c>
      <c r="L1279">
        <v>0</v>
      </c>
      <c r="M1279">
        <v>39</v>
      </c>
      <c r="N1279">
        <v>0</v>
      </c>
      <c r="O1279">
        <v>3</v>
      </c>
      <c r="P1279">
        <v>3</v>
      </c>
      <c r="Q1279">
        <v>0</v>
      </c>
      <c r="R1279">
        <f>SUM(Table13[[#This Row],[Rank_All_Ranks_Total]:[Rank_SSPSPAddlSPCommandant]])</f>
        <v>920</v>
      </c>
    </row>
    <row r="1280" spans="1:18" x14ac:dyDescent="0.3">
      <c r="A1280" t="s">
        <v>22</v>
      </c>
      <c r="B1280">
        <v>2007</v>
      </c>
      <c r="C1280" t="str">
        <f>_xlfn.CONCAT(Table13[[#This Row],[STATE]],"-",Table13[[#This Row],[Year]])</f>
        <v>Meghalaya-2007</v>
      </c>
      <c r="D1280" t="s">
        <v>71</v>
      </c>
      <c r="E1280" t="s">
        <v>72</v>
      </c>
      <c r="F1280">
        <v>75</v>
      </c>
      <c r="G1280">
        <v>5</v>
      </c>
      <c r="H1280">
        <v>2</v>
      </c>
      <c r="I1280">
        <v>0</v>
      </c>
      <c r="J1280">
        <v>53</v>
      </c>
      <c r="K1280">
        <v>0</v>
      </c>
      <c r="L1280">
        <v>0</v>
      </c>
      <c r="M1280">
        <v>3</v>
      </c>
      <c r="N1280">
        <v>0</v>
      </c>
      <c r="O1280">
        <v>2</v>
      </c>
      <c r="P1280">
        <v>8</v>
      </c>
      <c r="Q1280">
        <v>2</v>
      </c>
      <c r="R1280">
        <f>SUM(Table13[[#This Row],[Rank_All_Ranks_Total]:[Rank_SSPSPAddlSPCommandant]])</f>
        <v>150</v>
      </c>
    </row>
    <row r="1281" spans="1:18" x14ac:dyDescent="0.3">
      <c r="A1281" t="s">
        <v>23</v>
      </c>
      <c r="B1281">
        <v>2007</v>
      </c>
      <c r="C1281" t="str">
        <f>_xlfn.CONCAT(Table13[[#This Row],[STATE]],"-",Table13[[#This Row],[Year]])</f>
        <v>Mizoram-2007</v>
      </c>
      <c r="D1281" t="s">
        <v>71</v>
      </c>
      <c r="E1281" t="s">
        <v>72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f>SUM(Table13[[#This Row],[Rank_All_Ranks_Total]:[Rank_SSPSPAddlSPCommandant]])</f>
        <v>0</v>
      </c>
    </row>
    <row r="1282" spans="1:18" x14ac:dyDescent="0.3">
      <c r="A1282" t="s">
        <v>24</v>
      </c>
      <c r="B1282">
        <v>2007</v>
      </c>
      <c r="C1282" t="str">
        <f>_xlfn.CONCAT(Table13[[#This Row],[STATE]],"-",Table13[[#This Row],[Year]])</f>
        <v>Nagaland-2007</v>
      </c>
      <c r="D1282" t="s">
        <v>71</v>
      </c>
      <c r="E1282" t="s">
        <v>72</v>
      </c>
      <c r="F1282">
        <v>53</v>
      </c>
      <c r="G1282">
        <v>2</v>
      </c>
      <c r="H1282">
        <v>1</v>
      </c>
      <c r="I1282">
        <v>0</v>
      </c>
      <c r="J1282">
        <v>46</v>
      </c>
      <c r="K1282">
        <v>0</v>
      </c>
      <c r="L1282">
        <v>0</v>
      </c>
      <c r="M1282">
        <v>3</v>
      </c>
      <c r="N1282">
        <v>0</v>
      </c>
      <c r="O1282">
        <v>0</v>
      </c>
      <c r="P1282">
        <v>1</v>
      </c>
      <c r="Q1282">
        <v>0</v>
      </c>
      <c r="R1282">
        <f>SUM(Table13[[#This Row],[Rank_All_Ranks_Total]:[Rank_SSPSPAddlSPCommandant]])</f>
        <v>106</v>
      </c>
    </row>
    <row r="1283" spans="1:18" x14ac:dyDescent="0.3">
      <c r="A1283" t="s">
        <v>63</v>
      </c>
      <c r="B1283">
        <v>2007</v>
      </c>
      <c r="C1283" t="str">
        <f>_xlfn.CONCAT(Table13[[#This Row],[STATE]],"-",Table13[[#This Row],[Year]])</f>
        <v>Odisha-2007</v>
      </c>
      <c r="D1283" t="s">
        <v>71</v>
      </c>
      <c r="E1283" t="s">
        <v>72</v>
      </c>
      <c r="F1283">
        <v>3092</v>
      </c>
      <c r="G1283">
        <v>40</v>
      </c>
      <c r="H1283">
        <v>5</v>
      </c>
      <c r="I1283">
        <v>0</v>
      </c>
      <c r="J1283">
        <v>2725</v>
      </c>
      <c r="K1283">
        <v>0</v>
      </c>
      <c r="L1283">
        <v>1</v>
      </c>
      <c r="M1283">
        <v>2</v>
      </c>
      <c r="N1283">
        <v>1</v>
      </c>
      <c r="O1283">
        <v>21</v>
      </c>
      <c r="P1283">
        <v>287</v>
      </c>
      <c r="Q1283">
        <v>10</v>
      </c>
      <c r="R1283">
        <f>SUM(Table13[[#This Row],[Rank_All_Ranks_Total]:[Rank_SSPSPAddlSPCommandant]])</f>
        <v>6184</v>
      </c>
    </row>
    <row r="1284" spans="1:18" x14ac:dyDescent="0.3">
      <c r="A1284" t="s">
        <v>64</v>
      </c>
      <c r="B1284">
        <v>2007</v>
      </c>
      <c r="C1284" t="str">
        <f>_xlfn.CONCAT(Table13[[#This Row],[STATE]],"-",Table13[[#This Row],[Year]])</f>
        <v>Puducherry-2007</v>
      </c>
      <c r="D1284" t="s">
        <v>71</v>
      </c>
      <c r="E1284" t="s">
        <v>72</v>
      </c>
      <c r="F1284">
        <v>85</v>
      </c>
      <c r="G1284">
        <v>2</v>
      </c>
      <c r="H1284">
        <v>0</v>
      </c>
      <c r="I1284">
        <v>0</v>
      </c>
      <c r="J1284">
        <v>74</v>
      </c>
      <c r="K1284">
        <v>0</v>
      </c>
      <c r="L1284">
        <v>0</v>
      </c>
      <c r="M1284">
        <v>4</v>
      </c>
      <c r="N1284">
        <v>0</v>
      </c>
      <c r="O1284">
        <v>1</v>
      </c>
      <c r="P1284">
        <v>2</v>
      </c>
      <c r="Q1284">
        <v>2</v>
      </c>
      <c r="R1284">
        <f>SUM(Table13[[#This Row],[Rank_All_Ranks_Total]:[Rank_SSPSPAddlSPCommandant]])</f>
        <v>170</v>
      </c>
    </row>
    <row r="1285" spans="1:18" x14ac:dyDescent="0.3">
      <c r="A1285" t="s">
        <v>26</v>
      </c>
      <c r="B1285">
        <v>2007</v>
      </c>
      <c r="C1285" t="str">
        <f>_xlfn.CONCAT(Table13[[#This Row],[STATE]],"-",Table13[[#This Row],[Year]])</f>
        <v>Punjab-2007</v>
      </c>
      <c r="D1285" t="s">
        <v>71</v>
      </c>
      <c r="E1285" t="s">
        <v>72</v>
      </c>
      <c r="F1285">
        <v>1515</v>
      </c>
      <c r="G1285">
        <v>106</v>
      </c>
      <c r="H1285">
        <v>0</v>
      </c>
      <c r="I1285">
        <v>0</v>
      </c>
      <c r="J1285">
        <v>1100</v>
      </c>
      <c r="K1285">
        <v>0</v>
      </c>
      <c r="L1285">
        <v>0</v>
      </c>
      <c r="M1285">
        <v>240</v>
      </c>
      <c r="N1285">
        <v>0</v>
      </c>
      <c r="O1285">
        <v>21</v>
      </c>
      <c r="P1285">
        <v>48</v>
      </c>
      <c r="Q1285">
        <v>0</v>
      </c>
      <c r="R1285">
        <f>SUM(Table13[[#This Row],[Rank_All_Ranks_Total]:[Rank_SSPSPAddlSPCommandant]])</f>
        <v>3030</v>
      </c>
    </row>
    <row r="1286" spans="1:18" x14ac:dyDescent="0.3">
      <c r="A1286" t="s">
        <v>27</v>
      </c>
      <c r="B1286">
        <v>2007</v>
      </c>
      <c r="C1286" t="str">
        <f>_xlfn.CONCAT(Table13[[#This Row],[STATE]],"-",Table13[[#This Row],[Year]])</f>
        <v>Rajasthan-2007</v>
      </c>
      <c r="D1286" t="s">
        <v>71</v>
      </c>
      <c r="E1286" t="s">
        <v>72</v>
      </c>
      <c r="F1286">
        <v>2536</v>
      </c>
      <c r="G1286">
        <v>38</v>
      </c>
      <c r="H1286">
        <v>23</v>
      </c>
      <c r="I1286">
        <v>0</v>
      </c>
      <c r="J1286">
        <v>2306</v>
      </c>
      <c r="K1286">
        <v>0</v>
      </c>
      <c r="L1286">
        <v>0</v>
      </c>
      <c r="M1286">
        <v>53</v>
      </c>
      <c r="N1286">
        <v>1</v>
      </c>
      <c r="O1286">
        <v>10</v>
      </c>
      <c r="P1286">
        <v>96</v>
      </c>
      <c r="Q1286">
        <v>9</v>
      </c>
      <c r="R1286">
        <f>SUM(Table13[[#This Row],[Rank_All_Ranks_Total]:[Rank_SSPSPAddlSPCommandant]])</f>
        <v>5072</v>
      </c>
    </row>
    <row r="1287" spans="1:18" x14ac:dyDescent="0.3">
      <c r="A1287" t="s">
        <v>28</v>
      </c>
      <c r="B1287">
        <v>2007</v>
      </c>
      <c r="C1287" t="str">
        <f>_xlfn.CONCAT(Table13[[#This Row],[STATE]],"-",Table13[[#This Row],[Year]])</f>
        <v>Sikkim-2007</v>
      </c>
      <c r="D1287" t="s">
        <v>71</v>
      </c>
      <c r="E1287" t="s">
        <v>72</v>
      </c>
      <c r="F1287">
        <v>176</v>
      </c>
      <c r="G1287">
        <v>1</v>
      </c>
      <c r="H1287">
        <v>2</v>
      </c>
      <c r="I1287">
        <v>0</v>
      </c>
      <c r="J1287">
        <v>140</v>
      </c>
      <c r="K1287">
        <v>0</v>
      </c>
      <c r="L1287">
        <v>0</v>
      </c>
      <c r="M1287">
        <v>0</v>
      </c>
      <c r="N1287">
        <v>0</v>
      </c>
      <c r="O1287">
        <v>10</v>
      </c>
      <c r="P1287">
        <v>21</v>
      </c>
      <c r="Q1287">
        <v>2</v>
      </c>
      <c r="R1287">
        <f>SUM(Table13[[#This Row],[Rank_All_Ranks_Total]:[Rank_SSPSPAddlSPCommandant]])</f>
        <v>352</v>
      </c>
    </row>
    <row r="1288" spans="1:18" x14ac:dyDescent="0.3">
      <c r="A1288" t="s">
        <v>42</v>
      </c>
      <c r="B1288">
        <v>2007</v>
      </c>
      <c r="C1288" t="str">
        <f>_xlfn.CONCAT(Table13[[#This Row],[STATE]],"-",Table13[[#This Row],[Year]])</f>
        <v>Tamil Nadu-2007</v>
      </c>
      <c r="D1288" t="s">
        <v>71</v>
      </c>
      <c r="E1288" t="s">
        <v>72</v>
      </c>
      <c r="F1288">
        <v>8810</v>
      </c>
      <c r="G1288">
        <v>0</v>
      </c>
      <c r="H1288">
        <v>15</v>
      </c>
      <c r="I1288">
        <v>35</v>
      </c>
      <c r="J1288">
        <v>6763</v>
      </c>
      <c r="K1288">
        <v>3</v>
      </c>
      <c r="L1288">
        <v>1</v>
      </c>
      <c r="M1288">
        <v>392</v>
      </c>
      <c r="N1288">
        <v>1</v>
      </c>
      <c r="O1288">
        <v>188</v>
      </c>
      <c r="P1288">
        <v>1382</v>
      </c>
      <c r="Q1288">
        <v>30</v>
      </c>
      <c r="R1288">
        <f>SUM(Table13[[#This Row],[Rank_All_Ranks_Total]:[Rank_SSPSPAddlSPCommandant]])</f>
        <v>17620</v>
      </c>
    </row>
    <row r="1289" spans="1:18" x14ac:dyDescent="0.3">
      <c r="A1289" t="s">
        <v>30</v>
      </c>
      <c r="B1289">
        <v>2007</v>
      </c>
      <c r="C1289" t="str">
        <f>_xlfn.CONCAT(Table13[[#This Row],[STATE]],"-",Table13[[#This Row],[Year]])</f>
        <v>Tripura-2007</v>
      </c>
      <c r="D1289" t="s">
        <v>71</v>
      </c>
      <c r="E1289" t="s">
        <v>72</v>
      </c>
      <c r="F1289">
        <v>658</v>
      </c>
      <c r="G1289">
        <v>38</v>
      </c>
      <c r="H1289">
        <v>2</v>
      </c>
      <c r="I1289">
        <v>0</v>
      </c>
      <c r="J1289">
        <v>587</v>
      </c>
      <c r="K1289">
        <v>0</v>
      </c>
      <c r="L1289">
        <v>0</v>
      </c>
      <c r="M1289">
        <v>0</v>
      </c>
      <c r="N1289">
        <v>0</v>
      </c>
      <c r="O1289">
        <v>6</v>
      </c>
      <c r="P1289">
        <v>24</v>
      </c>
      <c r="Q1289">
        <v>1</v>
      </c>
      <c r="R1289">
        <f>SUM(Table13[[#This Row],[Rank_All_Ranks_Total]:[Rank_SSPSPAddlSPCommandant]])</f>
        <v>1316</v>
      </c>
    </row>
    <row r="1290" spans="1:18" x14ac:dyDescent="0.3">
      <c r="A1290" t="s">
        <v>31</v>
      </c>
      <c r="B1290">
        <v>2007</v>
      </c>
      <c r="C1290" t="str">
        <f>_xlfn.CONCAT(Table13[[#This Row],[STATE]],"-",Table13[[#This Row],[Year]])</f>
        <v>Uttar Pradesh-2007</v>
      </c>
      <c r="D1290" t="s">
        <v>71</v>
      </c>
      <c r="E1290" t="s">
        <v>72</v>
      </c>
      <c r="F1290">
        <v>1895</v>
      </c>
      <c r="G1290">
        <v>0</v>
      </c>
      <c r="H1290">
        <v>14</v>
      </c>
      <c r="I1290">
        <v>0</v>
      </c>
      <c r="J1290">
        <v>1621</v>
      </c>
      <c r="K1290">
        <v>0</v>
      </c>
      <c r="L1290">
        <v>1</v>
      </c>
      <c r="M1290">
        <v>104</v>
      </c>
      <c r="N1290">
        <v>1</v>
      </c>
      <c r="O1290">
        <v>13</v>
      </c>
      <c r="P1290">
        <v>127</v>
      </c>
      <c r="Q1290">
        <v>14</v>
      </c>
      <c r="R1290">
        <f>SUM(Table13[[#This Row],[Rank_All_Ranks_Total]:[Rank_SSPSPAddlSPCommandant]])</f>
        <v>3790</v>
      </c>
    </row>
    <row r="1291" spans="1:18" x14ac:dyDescent="0.3">
      <c r="A1291" t="s">
        <v>65</v>
      </c>
      <c r="B1291">
        <v>2007</v>
      </c>
      <c r="C1291" t="str">
        <f>_xlfn.CONCAT(Table13[[#This Row],[STATE]],"-",Table13[[#This Row],[Year]])</f>
        <v>Uttarakhand-2007</v>
      </c>
      <c r="D1291" t="s">
        <v>71</v>
      </c>
      <c r="E1291" t="s">
        <v>72</v>
      </c>
      <c r="F1291">
        <v>681</v>
      </c>
      <c r="G1291">
        <v>0</v>
      </c>
      <c r="H1291">
        <v>7</v>
      </c>
      <c r="I1291">
        <v>0</v>
      </c>
      <c r="J1291">
        <v>601</v>
      </c>
      <c r="K1291">
        <v>1</v>
      </c>
      <c r="L1291">
        <v>0</v>
      </c>
      <c r="M1291">
        <v>38</v>
      </c>
      <c r="N1291">
        <v>0</v>
      </c>
      <c r="O1291">
        <v>1</v>
      </c>
      <c r="P1291">
        <v>30</v>
      </c>
      <c r="Q1291">
        <v>3</v>
      </c>
      <c r="R1291">
        <f>SUM(Table13[[#This Row],[Rank_All_Ranks_Total]:[Rank_SSPSPAddlSPCommandant]])</f>
        <v>1362</v>
      </c>
    </row>
    <row r="1292" spans="1:18" x14ac:dyDescent="0.3">
      <c r="A1292" t="s">
        <v>33</v>
      </c>
      <c r="B1292">
        <v>2007</v>
      </c>
      <c r="C1292" t="str">
        <f>_xlfn.CONCAT(Table13[[#This Row],[STATE]],"-",Table13[[#This Row],[Year]])</f>
        <v>West Bengal-2007</v>
      </c>
      <c r="D1292" t="s">
        <v>71</v>
      </c>
      <c r="E1292" t="s">
        <v>72</v>
      </c>
      <c r="F1292">
        <v>1580</v>
      </c>
      <c r="G1292">
        <v>112</v>
      </c>
      <c r="H1292">
        <v>7</v>
      </c>
      <c r="I1292">
        <v>0</v>
      </c>
      <c r="J1292">
        <v>1299</v>
      </c>
      <c r="K1292">
        <v>0</v>
      </c>
      <c r="L1292">
        <v>0</v>
      </c>
      <c r="M1292">
        <v>7</v>
      </c>
      <c r="N1292">
        <v>1</v>
      </c>
      <c r="O1292">
        <v>18</v>
      </c>
      <c r="P1292">
        <v>134</v>
      </c>
      <c r="Q1292">
        <v>2</v>
      </c>
      <c r="R1292">
        <f>SUM(Table13[[#This Row],[Rank_All_Ranks_Total]:[Rank_SSPSPAddlSPCommandant]])</f>
        <v>3160</v>
      </c>
    </row>
    <row r="1293" spans="1:18" x14ac:dyDescent="0.3">
      <c r="A1293" t="s">
        <v>59</v>
      </c>
      <c r="B1293">
        <v>2008</v>
      </c>
      <c r="C1293" t="str">
        <f>_xlfn.CONCAT(Table13[[#This Row],[STATE]],"-",Table13[[#This Row],[Year]])</f>
        <v>Andaman &amp; Nicobar Islands-2008</v>
      </c>
      <c r="D1293" t="s">
        <v>71</v>
      </c>
      <c r="E1293" t="s">
        <v>72</v>
      </c>
      <c r="F1293">
        <v>174</v>
      </c>
      <c r="G1293">
        <v>9</v>
      </c>
      <c r="H1293">
        <v>0</v>
      </c>
      <c r="I1293">
        <v>0</v>
      </c>
      <c r="J1293">
        <v>136</v>
      </c>
      <c r="K1293">
        <v>0</v>
      </c>
      <c r="L1293">
        <v>0</v>
      </c>
      <c r="M1293">
        <v>15</v>
      </c>
      <c r="N1293">
        <v>0</v>
      </c>
      <c r="O1293">
        <v>3</v>
      </c>
      <c r="P1293">
        <v>11</v>
      </c>
      <c r="Q1293">
        <v>0</v>
      </c>
      <c r="R1293">
        <f>SUM(Table13[[#This Row],[Rank_All_Ranks_Total]:[Rank_SSPSPAddlSPCommandant]])</f>
        <v>348</v>
      </c>
    </row>
    <row r="1294" spans="1:18" x14ac:dyDescent="0.3">
      <c r="A1294" t="s">
        <v>6</v>
      </c>
      <c r="B1294">
        <v>2008</v>
      </c>
      <c r="C1294" t="str">
        <f>_xlfn.CONCAT(Table13[[#This Row],[STATE]],"-",Table13[[#This Row],[Year]])</f>
        <v>Andhra Pradesh-2008</v>
      </c>
      <c r="D1294" t="s">
        <v>71</v>
      </c>
      <c r="E1294" t="s">
        <v>72</v>
      </c>
      <c r="F1294">
        <v>1364</v>
      </c>
      <c r="G1294">
        <v>1</v>
      </c>
      <c r="H1294">
        <v>2</v>
      </c>
      <c r="I1294">
        <v>0</v>
      </c>
      <c r="J1294">
        <v>1254</v>
      </c>
      <c r="K1294">
        <v>2</v>
      </c>
      <c r="L1294">
        <v>1</v>
      </c>
      <c r="M1294">
        <v>57</v>
      </c>
      <c r="N1294">
        <v>1</v>
      </c>
      <c r="O1294">
        <v>2</v>
      </c>
      <c r="P1294">
        <v>37</v>
      </c>
      <c r="Q1294">
        <v>7</v>
      </c>
      <c r="R1294">
        <f>SUM(Table13[[#This Row],[Rank_All_Ranks_Total]:[Rank_SSPSPAddlSPCommandant]])</f>
        <v>2728</v>
      </c>
    </row>
    <row r="1295" spans="1:18" x14ac:dyDescent="0.3">
      <c r="A1295" t="s">
        <v>7</v>
      </c>
      <c r="B1295">
        <v>2008</v>
      </c>
      <c r="C1295" t="str">
        <f>_xlfn.CONCAT(Table13[[#This Row],[STATE]],"-",Table13[[#This Row],[Year]])</f>
        <v>Arunachal Pradesh-2008</v>
      </c>
      <c r="D1295" t="s">
        <v>71</v>
      </c>
      <c r="E1295" t="s">
        <v>72</v>
      </c>
      <c r="F1295">
        <v>378</v>
      </c>
      <c r="G1295">
        <v>6</v>
      </c>
      <c r="H1295">
        <v>0</v>
      </c>
      <c r="I1295">
        <v>0</v>
      </c>
      <c r="J1295">
        <v>354</v>
      </c>
      <c r="K1295">
        <v>0</v>
      </c>
      <c r="L1295">
        <v>0</v>
      </c>
      <c r="M1295">
        <v>11</v>
      </c>
      <c r="N1295">
        <v>0</v>
      </c>
      <c r="O1295">
        <v>2</v>
      </c>
      <c r="P1295">
        <v>5</v>
      </c>
      <c r="Q1295">
        <v>0</v>
      </c>
      <c r="R1295">
        <f>SUM(Table13[[#This Row],[Rank_All_Ranks_Total]:[Rank_SSPSPAddlSPCommandant]])</f>
        <v>756</v>
      </c>
    </row>
    <row r="1296" spans="1:18" x14ac:dyDescent="0.3">
      <c r="A1296" t="s">
        <v>8</v>
      </c>
      <c r="B1296">
        <v>2008</v>
      </c>
      <c r="C1296" t="str">
        <f>_xlfn.CONCAT(Table13[[#This Row],[STATE]],"-",Table13[[#This Row],[Year]])</f>
        <v>Assam-2008</v>
      </c>
      <c r="D1296" t="s">
        <v>71</v>
      </c>
      <c r="E1296" t="s">
        <v>72</v>
      </c>
      <c r="F1296">
        <v>186</v>
      </c>
      <c r="G1296">
        <v>5</v>
      </c>
      <c r="H1296">
        <v>0</v>
      </c>
      <c r="I1296">
        <v>8</v>
      </c>
      <c r="J1296">
        <v>148</v>
      </c>
      <c r="K1296">
        <v>0</v>
      </c>
      <c r="L1296">
        <v>0</v>
      </c>
      <c r="M1296">
        <v>8</v>
      </c>
      <c r="N1296">
        <v>0</v>
      </c>
      <c r="O1296">
        <v>0</v>
      </c>
      <c r="P1296">
        <v>17</v>
      </c>
      <c r="Q1296">
        <v>0</v>
      </c>
      <c r="R1296">
        <f>SUM(Table13[[#This Row],[Rank_All_Ranks_Total]:[Rank_SSPSPAddlSPCommandant]])</f>
        <v>372</v>
      </c>
    </row>
    <row r="1297" spans="1:18" x14ac:dyDescent="0.3">
      <c r="A1297" t="s">
        <v>9</v>
      </c>
      <c r="B1297">
        <v>2008</v>
      </c>
      <c r="C1297" t="str">
        <f>_xlfn.CONCAT(Table13[[#This Row],[STATE]],"-",Table13[[#This Row],[Year]])</f>
        <v>Bihar-2008</v>
      </c>
      <c r="D1297" t="s">
        <v>71</v>
      </c>
      <c r="E1297" t="s">
        <v>72</v>
      </c>
      <c r="F1297">
        <v>1069</v>
      </c>
      <c r="G1297">
        <v>33</v>
      </c>
      <c r="H1297">
        <v>2</v>
      </c>
      <c r="I1297">
        <v>0</v>
      </c>
      <c r="J1297">
        <v>951</v>
      </c>
      <c r="K1297">
        <v>0</v>
      </c>
      <c r="L1297">
        <v>1</v>
      </c>
      <c r="M1297">
        <v>33</v>
      </c>
      <c r="N1297">
        <v>0</v>
      </c>
      <c r="O1297">
        <v>1</v>
      </c>
      <c r="P1297">
        <v>47</v>
      </c>
      <c r="Q1297">
        <v>1</v>
      </c>
      <c r="R1297">
        <f>SUM(Table13[[#This Row],[Rank_All_Ranks_Total]:[Rank_SSPSPAddlSPCommandant]])</f>
        <v>2138</v>
      </c>
    </row>
    <row r="1298" spans="1:18" x14ac:dyDescent="0.3">
      <c r="A1298" t="s">
        <v>35</v>
      </c>
      <c r="B1298">
        <v>2008</v>
      </c>
      <c r="C1298" t="str">
        <f>_xlfn.CONCAT(Table13[[#This Row],[STATE]],"-",Table13[[#This Row],[Year]])</f>
        <v>Chandigarh-2008</v>
      </c>
      <c r="D1298" t="s">
        <v>71</v>
      </c>
      <c r="E1298" t="s">
        <v>72</v>
      </c>
      <c r="F1298">
        <v>261</v>
      </c>
      <c r="G1298">
        <v>9</v>
      </c>
      <c r="H1298">
        <v>0</v>
      </c>
      <c r="I1298">
        <v>0</v>
      </c>
      <c r="J1298">
        <v>220</v>
      </c>
      <c r="K1298">
        <v>0</v>
      </c>
      <c r="L1298">
        <v>0</v>
      </c>
      <c r="M1298">
        <v>11</v>
      </c>
      <c r="N1298">
        <v>0</v>
      </c>
      <c r="O1298">
        <v>0</v>
      </c>
      <c r="P1298">
        <v>21</v>
      </c>
      <c r="Q1298">
        <v>0</v>
      </c>
      <c r="R1298">
        <f>SUM(Table13[[#This Row],[Rank_All_Ranks_Total]:[Rank_SSPSPAddlSPCommandant]])</f>
        <v>522</v>
      </c>
    </row>
    <row r="1299" spans="1:18" x14ac:dyDescent="0.3">
      <c r="A1299" t="s">
        <v>10</v>
      </c>
      <c r="B1299">
        <v>2008</v>
      </c>
      <c r="C1299" t="str">
        <f>_xlfn.CONCAT(Table13[[#This Row],[STATE]],"-",Table13[[#This Row],[Year]])</f>
        <v>Chhattisgarh-2008</v>
      </c>
      <c r="D1299" t="s">
        <v>71</v>
      </c>
      <c r="E1299" t="s">
        <v>72</v>
      </c>
      <c r="F1299">
        <v>1117</v>
      </c>
      <c r="G1299">
        <v>24</v>
      </c>
      <c r="H1299">
        <v>15</v>
      </c>
      <c r="I1299">
        <v>0</v>
      </c>
      <c r="J1299">
        <v>934</v>
      </c>
      <c r="K1299">
        <v>0</v>
      </c>
      <c r="L1299">
        <v>0</v>
      </c>
      <c r="M1299">
        <v>78</v>
      </c>
      <c r="N1299">
        <v>0</v>
      </c>
      <c r="O1299">
        <v>11</v>
      </c>
      <c r="P1299">
        <v>54</v>
      </c>
      <c r="Q1299">
        <v>1</v>
      </c>
      <c r="R1299">
        <f>SUM(Table13[[#This Row],[Rank_All_Ranks_Total]:[Rank_SSPSPAddlSPCommandant]])</f>
        <v>2234</v>
      </c>
    </row>
    <row r="1300" spans="1:18" x14ac:dyDescent="0.3">
      <c r="A1300" t="s">
        <v>62</v>
      </c>
      <c r="B1300">
        <v>2008</v>
      </c>
      <c r="C1300" t="str">
        <f>_xlfn.CONCAT(Table13[[#This Row],[STATE]],"-",Table13[[#This Row],[Year]])</f>
        <v>Dadra &amp; Nagar Haveli-2008</v>
      </c>
      <c r="D1300" t="s">
        <v>71</v>
      </c>
      <c r="E1300" t="s">
        <v>72</v>
      </c>
      <c r="F1300">
        <v>9</v>
      </c>
      <c r="G1300">
        <v>0</v>
      </c>
      <c r="H1300">
        <v>0</v>
      </c>
      <c r="I1300">
        <v>0</v>
      </c>
      <c r="J1300">
        <v>4</v>
      </c>
      <c r="K1300">
        <v>0</v>
      </c>
      <c r="L1300">
        <v>0</v>
      </c>
      <c r="M1300">
        <v>3</v>
      </c>
      <c r="N1300">
        <v>0</v>
      </c>
      <c r="O1300">
        <v>0</v>
      </c>
      <c r="P1300">
        <v>2</v>
      </c>
      <c r="Q1300">
        <v>0</v>
      </c>
      <c r="R1300">
        <f>SUM(Table13[[#This Row],[Rank_All_Ranks_Total]:[Rank_SSPSPAddlSPCommandant]])</f>
        <v>18</v>
      </c>
    </row>
    <row r="1301" spans="1:18" x14ac:dyDescent="0.3">
      <c r="A1301" t="s">
        <v>37</v>
      </c>
      <c r="B1301">
        <v>2008</v>
      </c>
      <c r="C1301" t="str">
        <f>_xlfn.CONCAT(Table13[[#This Row],[STATE]],"-",Table13[[#This Row],[Year]])</f>
        <v>Daman &amp; Diu-2008</v>
      </c>
      <c r="D1301" t="s">
        <v>71</v>
      </c>
      <c r="E1301" t="s">
        <v>72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f>SUM(Table13[[#This Row],[Rank_All_Ranks_Total]:[Rank_SSPSPAddlSPCommandant]])</f>
        <v>0</v>
      </c>
    </row>
    <row r="1302" spans="1:18" x14ac:dyDescent="0.3">
      <c r="A1302" t="s">
        <v>38</v>
      </c>
      <c r="B1302">
        <v>2008</v>
      </c>
      <c r="C1302" t="str">
        <f>_xlfn.CONCAT(Table13[[#This Row],[STATE]],"-",Table13[[#This Row],[Year]])</f>
        <v>Delhi-2008</v>
      </c>
      <c r="D1302" t="s">
        <v>71</v>
      </c>
      <c r="E1302" t="s">
        <v>72</v>
      </c>
      <c r="F1302">
        <v>3279</v>
      </c>
      <c r="G1302">
        <v>510</v>
      </c>
      <c r="H1302">
        <v>25</v>
      </c>
      <c r="I1302">
        <v>0</v>
      </c>
      <c r="J1302">
        <v>1844</v>
      </c>
      <c r="K1302">
        <v>0</v>
      </c>
      <c r="L1302">
        <v>1</v>
      </c>
      <c r="M1302">
        <v>654</v>
      </c>
      <c r="N1302">
        <v>1</v>
      </c>
      <c r="O1302">
        <v>74</v>
      </c>
      <c r="P1302">
        <v>166</v>
      </c>
      <c r="Q1302">
        <v>4</v>
      </c>
      <c r="R1302">
        <f>SUM(Table13[[#This Row],[Rank_All_Ranks_Total]:[Rank_SSPSPAddlSPCommandant]])</f>
        <v>6558</v>
      </c>
    </row>
    <row r="1303" spans="1:18" x14ac:dyDescent="0.3">
      <c r="A1303" t="s">
        <v>11</v>
      </c>
      <c r="B1303">
        <v>2008</v>
      </c>
      <c r="C1303" t="str">
        <f>_xlfn.CONCAT(Table13[[#This Row],[STATE]],"-",Table13[[#This Row],[Year]])</f>
        <v>Goa-2008</v>
      </c>
      <c r="D1303" t="s">
        <v>71</v>
      </c>
      <c r="E1303" t="s">
        <v>72</v>
      </c>
      <c r="F1303">
        <v>310</v>
      </c>
      <c r="G1303">
        <v>3</v>
      </c>
      <c r="H1303">
        <v>2</v>
      </c>
      <c r="I1303">
        <v>0</v>
      </c>
      <c r="J1303">
        <v>169</v>
      </c>
      <c r="K1303">
        <v>0</v>
      </c>
      <c r="L1303">
        <v>0</v>
      </c>
      <c r="M1303">
        <v>119</v>
      </c>
      <c r="N1303">
        <v>0</v>
      </c>
      <c r="O1303">
        <v>6</v>
      </c>
      <c r="P1303">
        <v>11</v>
      </c>
      <c r="Q1303">
        <v>0</v>
      </c>
      <c r="R1303">
        <f>SUM(Table13[[#This Row],[Rank_All_Ranks_Total]:[Rank_SSPSPAddlSPCommandant]])</f>
        <v>620</v>
      </c>
    </row>
    <row r="1304" spans="1:18" x14ac:dyDescent="0.3">
      <c r="A1304" t="s">
        <v>12</v>
      </c>
      <c r="B1304">
        <v>2008</v>
      </c>
      <c r="C1304" t="str">
        <f>_xlfn.CONCAT(Table13[[#This Row],[STATE]],"-",Table13[[#This Row],[Year]])</f>
        <v>Gujarat-2008</v>
      </c>
      <c r="D1304" t="s">
        <v>71</v>
      </c>
      <c r="E1304" t="s">
        <v>72</v>
      </c>
      <c r="F1304">
        <v>1508</v>
      </c>
      <c r="G1304">
        <v>186</v>
      </c>
      <c r="H1304">
        <v>0</v>
      </c>
      <c r="I1304">
        <v>0</v>
      </c>
      <c r="J1304">
        <v>1021</v>
      </c>
      <c r="K1304">
        <v>0</v>
      </c>
      <c r="L1304">
        <v>0</v>
      </c>
      <c r="M1304">
        <v>288</v>
      </c>
      <c r="N1304">
        <v>0</v>
      </c>
      <c r="O1304">
        <v>1</v>
      </c>
      <c r="P1304">
        <v>12</v>
      </c>
      <c r="Q1304">
        <v>0</v>
      </c>
      <c r="R1304">
        <f>SUM(Table13[[#This Row],[Rank_All_Ranks_Total]:[Rank_SSPSPAddlSPCommandant]])</f>
        <v>3016</v>
      </c>
    </row>
    <row r="1305" spans="1:18" x14ac:dyDescent="0.3">
      <c r="A1305" t="s">
        <v>13</v>
      </c>
      <c r="B1305">
        <v>2008</v>
      </c>
      <c r="C1305" t="str">
        <f>_xlfn.CONCAT(Table13[[#This Row],[STATE]],"-",Table13[[#This Row],[Year]])</f>
        <v>Haryana-2008</v>
      </c>
      <c r="D1305" t="s">
        <v>71</v>
      </c>
      <c r="E1305" t="s">
        <v>72</v>
      </c>
      <c r="F1305">
        <v>1868</v>
      </c>
      <c r="G1305">
        <v>64</v>
      </c>
      <c r="H1305">
        <v>2</v>
      </c>
      <c r="I1305">
        <v>0</v>
      </c>
      <c r="J1305">
        <v>1657</v>
      </c>
      <c r="K1305">
        <v>0</v>
      </c>
      <c r="L1305">
        <v>0</v>
      </c>
      <c r="M1305">
        <v>53</v>
      </c>
      <c r="N1305">
        <v>0</v>
      </c>
      <c r="O1305">
        <v>16</v>
      </c>
      <c r="P1305">
        <v>73</v>
      </c>
      <c r="Q1305">
        <v>3</v>
      </c>
      <c r="R1305">
        <f>SUM(Table13[[#This Row],[Rank_All_Ranks_Total]:[Rank_SSPSPAddlSPCommandant]])</f>
        <v>3736</v>
      </c>
    </row>
    <row r="1306" spans="1:18" x14ac:dyDescent="0.3">
      <c r="A1306" t="s">
        <v>14</v>
      </c>
      <c r="B1306">
        <v>2008</v>
      </c>
      <c r="C1306" t="str">
        <f>_xlfn.CONCAT(Table13[[#This Row],[STATE]],"-",Table13[[#This Row],[Year]])</f>
        <v>Himachal Pradesh-2008</v>
      </c>
      <c r="D1306" t="s">
        <v>71</v>
      </c>
      <c r="E1306" t="s">
        <v>72</v>
      </c>
      <c r="F1306">
        <v>566</v>
      </c>
      <c r="G1306">
        <v>9</v>
      </c>
      <c r="H1306">
        <v>4</v>
      </c>
      <c r="I1306">
        <v>0</v>
      </c>
      <c r="J1306">
        <v>491</v>
      </c>
      <c r="K1306">
        <v>0</v>
      </c>
      <c r="L1306">
        <v>0</v>
      </c>
      <c r="M1306">
        <v>37</v>
      </c>
      <c r="N1306">
        <v>0</v>
      </c>
      <c r="O1306">
        <v>9</v>
      </c>
      <c r="P1306">
        <v>11</v>
      </c>
      <c r="Q1306">
        <v>5</v>
      </c>
      <c r="R1306">
        <f>SUM(Table13[[#This Row],[Rank_All_Ranks_Total]:[Rank_SSPSPAddlSPCommandant]])</f>
        <v>1132</v>
      </c>
    </row>
    <row r="1307" spans="1:18" x14ac:dyDescent="0.3">
      <c r="A1307" t="s">
        <v>15</v>
      </c>
      <c r="B1307">
        <v>2008</v>
      </c>
      <c r="C1307" t="str">
        <f>_xlfn.CONCAT(Table13[[#This Row],[STATE]],"-",Table13[[#This Row],[Year]])</f>
        <v>Jammu &amp; Kashmir-2008</v>
      </c>
      <c r="D1307" t="s">
        <v>71</v>
      </c>
      <c r="E1307" t="s">
        <v>72</v>
      </c>
      <c r="F1307">
        <v>926</v>
      </c>
      <c r="G1307">
        <v>23</v>
      </c>
      <c r="H1307">
        <v>0</v>
      </c>
      <c r="I1307">
        <v>709</v>
      </c>
      <c r="J1307">
        <v>107</v>
      </c>
      <c r="K1307">
        <v>0</v>
      </c>
      <c r="L1307">
        <v>0</v>
      </c>
      <c r="M1307">
        <v>51</v>
      </c>
      <c r="N1307">
        <v>1</v>
      </c>
      <c r="O1307">
        <v>14</v>
      </c>
      <c r="P1307">
        <v>21</v>
      </c>
      <c r="Q1307">
        <v>0</v>
      </c>
      <c r="R1307">
        <f>SUM(Table13[[#This Row],[Rank_All_Ranks_Total]:[Rank_SSPSPAddlSPCommandant]])</f>
        <v>1852</v>
      </c>
    </row>
    <row r="1308" spans="1:18" x14ac:dyDescent="0.3">
      <c r="A1308" t="s">
        <v>16</v>
      </c>
      <c r="B1308">
        <v>2008</v>
      </c>
      <c r="C1308" t="str">
        <f>_xlfn.CONCAT(Table13[[#This Row],[STATE]],"-",Table13[[#This Row],[Year]])</f>
        <v>Jharkhand-2008</v>
      </c>
      <c r="D1308" t="s">
        <v>71</v>
      </c>
      <c r="E1308" t="s">
        <v>72</v>
      </c>
      <c r="F1308">
        <v>11</v>
      </c>
      <c r="G1308">
        <v>0</v>
      </c>
      <c r="H1308">
        <v>4</v>
      </c>
      <c r="I1308">
        <v>0</v>
      </c>
      <c r="J1308">
        <v>0</v>
      </c>
      <c r="K1308">
        <v>1</v>
      </c>
      <c r="L1308">
        <v>0</v>
      </c>
      <c r="M1308">
        <v>0</v>
      </c>
      <c r="N1308">
        <v>2</v>
      </c>
      <c r="O1308">
        <v>0</v>
      </c>
      <c r="P1308">
        <v>0</v>
      </c>
      <c r="Q1308">
        <v>4</v>
      </c>
      <c r="R1308">
        <f>SUM(Table13[[#This Row],[Rank_All_Ranks_Total]:[Rank_SSPSPAddlSPCommandant]])</f>
        <v>22</v>
      </c>
    </row>
    <row r="1309" spans="1:18" x14ac:dyDescent="0.3">
      <c r="A1309" t="s">
        <v>17</v>
      </c>
      <c r="B1309">
        <v>2008</v>
      </c>
      <c r="C1309" t="str">
        <f>_xlfn.CONCAT(Table13[[#This Row],[STATE]],"-",Table13[[#This Row],[Year]])</f>
        <v>Karnataka-2008</v>
      </c>
      <c r="D1309" t="s">
        <v>71</v>
      </c>
      <c r="E1309" t="s">
        <v>72</v>
      </c>
      <c r="F1309">
        <v>1788</v>
      </c>
      <c r="G1309">
        <v>53</v>
      </c>
      <c r="H1309">
        <v>12</v>
      </c>
      <c r="I1309">
        <v>0</v>
      </c>
      <c r="J1309">
        <v>1272</v>
      </c>
      <c r="K1309">
        <v>1</v>
      </c>
      <c r="L1309">
        <v>1</v>
      </c>
      <c r="M1309">
        <v>380</v>
      </c>
      <c r="N1309">
        <v>1</v>
      </c>
      <c r="O1309">
        <v>30</v>
      </c>
      <c r="P1309">
        <v>35</v>
      </c>
      <c r="Q1309">
        <v>3</v>
      </c>
      <c r="R1309">
        <f>SUM(Table13[[#This Row],[Rank_All_Ranks_Total]:[Rank_SSPSPAddlSPCommandant]])</f>
        <v>3576</v>
      </c>
    </row>
    <row r="1310" spans="1:18" x14ac:dyDescent="0.3">
      <c r="A1310" t="s">
        <v>18</v>
      </c>
      <c r="B1310">
        <v>2008</v>
      </c>
      <c r="C1310" t="str">
        <f>_xlfn.CONCAT(Table13[[#This Row],[STATE]],"-",Table13[[#This Row],[Year]])</f>
        <v>Kerala-2008</v>
      </c>
      <c r="D1310" t="s">
        <v>71</v>
      </c>
      <c r="E1310" t="s">
        <v>72</v>
      </c>
      <c r="F1310">
        <v>2740</v>
      </c>
      <c r="G1310">
        <v>0</v>
      </c>
      <c r="H1310">
        <v>1</v>
      </c>
      <c r="I1310">
        <v>0</v>
      </c>
      <c r="J1310">
        <v>2486</v>
      </c>
      <c r="K1310">
        <v>0</v>
      </c>
      <c r="L1310">
        <v>0</v>
      </c>
      <c r="M1310">
        <v>164</v>
      </c>
      <c r="N1310">
        <v>0</v>
      </c>
      <c r="O1310">
        <v>19</v>
      </c>
      <c r="P1310">
        <v>70</v>
      </c>
      <c r="Q1310">
        <v>0</v>
      </c>
      <c r="R1310">
        <f>SUM(Table13[[#This Row],[Rank_All_Ranks_Total]:[Rank_SSPSPAddlSPCommandant]])</f>
        <v>5480</v>
      </c>
    </row>
    <row r="1311" spans="1:18" x14ac:dyDescent="0.3">
      <c r="A1311" t="s">
        <v>39</v>
      </c>
      <c r="B1311">
        <v>2008</v>
      </c>
      <c r="C1311" t="str">
        <f>_xlfn.CONCAT(Table13[[#This Row],[STATE]],"-",Table13[[#This Row],[Year]])</f>
        <v>Lakshadweep-2008</v>
      </c>
      <c r="D1311" t="s">
        <v>71</v>
      </c>
      <c r="E1311" t="s">
        <v>72</v>
      </c>
      <c r="F1311">
        <v>16</v>
      </c>
      <c r="G1311">
        <v>0</v>
      </c>
      <c r="H1311">
        <v>0</v>
      </c>
      <c r="I1311">
        <v>0</v>
      </c>
      <c r="J1311">
        <v>15</v>
      </c>
      <c r="K1311">
        <v>0</v>
      </c>
      <c r="L1311">
        <v>0</v>
      </c>
      <c r="M1311">
        <v>1</v>
      </c>
      <c r="N1311">
        <v>0</v>
      </c>
      <c r="O1311">
        <v>0</v>
      </c>
      <c r="P1311">
        <v>0</v>
      </c>
      <c r="Q1311">
        <v>0</v>
      </c>
      <c r="R1311">
        <f>SUM(Table13[[#This Row],[Rank_All_Ranks_Total]:[Rank_SSPSPAddlSPCommandant]])</f>
        <v>32</v>
      </c>
    </row>
    <row r="1312" spans="1:18" x14ac:dyDescent="0.3">
      <c r="A1312" t="s">
        <v>19</v>
      </c>
      <c r="B1312">
        <v>2008</v>
      </c>
      <c r="C1312" t="str">
        <f>_xlfn.CONCAT(Table13[[#This Row],[STATE]],"-",Table13[[#This Row],[Year]])</f>
        <v>Madhya Pradesh-2008</v>
      </c>
      <c r="D1312" t="s">
        <v>71</v>
      </c>
      <c r="E1312" t="s">
        <v>72</v>
      </c>
      <c r="F1312">
        <v>1765</v>
      </c>
      <c r="G1312">
        <v>40</v>
      </c>
      <c r="H1312">
        <v>51</v>
      </c>
      <c r="I1312">
        <v>0</v>
      </c>
      <c r="J1312">
        <v>1283</v>
      </c>
      <c r="K1312">
        <v>0</v>
      </c>
      <c r="L1312">
        <v>2</v>
      </c>
      <c r="M1312">
        <v>221</v>
      </c>
      <c r="N1312">
        <v>3</v>
      </c>
      <c r="O1312">
        <v>16</v>
      </c>
      <c r="P1312">
        <v>140</v>
      </c>
      <c r="Q1312">
        <v>9</v>
      </c>
      <c r="R1312">
        <f>SUM(Table13[[#This Row],[Rank_All_Ranks_Total]:[Rank_SSPSPAddlSPCommandant]])</f>
        <v>3530</v>
      </c>
    </row>
    <row r="1313" spans="1:18" x14ac:dyDescent="0.3">
      <c r="A1313" t="s">
        <v>20</v>
      </c>
      <c r="B1313">
        <v>2008</v>
      </c>
      <c r="C1313" t="str">
        <f>_xlfn.CONCAT(Table13[[#This Row],[STATE]],"-",Table13[[#This Row],[Year]])</f>
        <v>Maharashtra-2008</v>
      </c>
      <c r="D1313" t="s">
        <v>71</v>
      </c>
      <c r="E1313" t="s">
        <v>72</v>
      </c>
      <c r="F1313">
        <v>7290</v>
      </c>
      <c r="G1313">
        <v>155</v>
      </c>
      <c r="H1313">
        <v>34</v>
      </c>
      <c r="I1313">
        <v>446</v>
      </c>
      <c r="J1313">
        <v>5863</v>
      </c>
      <c r="K1313">
        <v>1</v>
      </c>
      <c r="L1313">
        <v>4</v>
      </c>
      <c r="M1313">
        <v>322</v>
      </c>
      <c r="N1313">
        <v>1</v>
      </c>
      <c r="O1313">
        <v>74</v>
      </c>
      <c r="P1313">
        <v>385</v>
      </c>
      <c r="Q1313">
        <v>5</v>
      </c>
      <c r="R1313">
        <f>SUM(Table13[[#This Row],[Rank_All_Ranks_Total]:[Rank_SSPSPAddlSPCommandant]])</f>
        <v>14580</v>
      </c>
    </row>
    <row r="1314" spans="1:18" x14ac:dyDescent="0.3">
      <c r="A1314" t="s">
        <v>21</v>
      </c>
      <c r="B1314">
        <v>2008</v>
      </c>
      <c r="C1314" t="str">
        <f>_xlfn.CONCAT(Table13[[#This Row],[STATE]],"-",Table13[[#This Row],[Year]])</f>
        <v>Manipur-2008</v>
      </c>
      <c r="D1314" t="s">
        <v>71</v>
      </c>
      <c r="E1314" t="s">
        <v>72</v>
      </c>
      <c r="F1314">
        <v>461</v>
      </c>
      <c r="G1314">
        <v>4</v>
      </c>
      <c r="H1314">
        <v>0</v>
      </c>
      <c r="I1314">
        <v>0</v>
      </c>
      <c r="J1314">
        <v>411</v>
      </c>
      <c r="K1314">
        <v>0</v>
      </c>
      <c r="L1314">
        <v>0</v>
      </c>
      <c r="M1314">
        <v>39</v>
      </c>
      <c r="N1314">
        <v>0</v>
      </c>
      <c r="O1314">
        <v>3</v>
      </c>
      <c r="P1314">
        <v>4</v>
      </c>
      <c r="Q1314">
        <v>0</v>
      </c>
      <c r="R1314">
        <f>SUM(Table13[[#This Row],[Rank_All_Ranks_Total]:[Rank_SSPSPAddlSPCommandant]])</f>
        <v>922</v>
      </c>
    </row>
    <row r="1315" spans="1:18" x14ac:dyDescent="0.3">
      <c r="A1315" t="s">
        <v>22</v>
      </c>
      <c r="B1315">
        <v>2008</v>
      </c>
      <c r="C1315" t="str">
        <f>_xlfn.CONCAT(Table13[[#This Row],[STATE]],"-",Table13[[#This Row],[Year]])</f>
        <v>Meghalaya-2008</v>
      </c>
      <c r="D1315" t="s">
        <v>71</v>
      </c>
      <c r="E1315" t="s">
        <v>72</v>
      </c>
      <c r="F1315">
        <v>94</v>
      </c>
      <c r="G1315">
        <v>2</v>
      </c>
      <c r="H1315">
        <v>2</v>
      </c>
      <c r="I1315">
        <v>0</v>
      </c>
      <c r="J1315">
        <v>70</v>
      </c>
      <c r="K1315">
        <v>0</v>
      </c>
      <c r="L1315">
        <v>0</v>
      </c>
      <c r="M1315">
        <v>2</v>
      </c>
      <c r="N1315">
        <v>0</v>
      </c>
      <c r="O1315">
        <v>9</v>
      </c>
      <c r="P1315">
        <v>7</v>
      </c>
      <c r="Q1315">
        <v>2</v>
      </c>
      <c r="R1315">
        <f>SUM(Table13[[#This Row],[Rank_All_Ranks_Total]:[Rank_SSPSPAddlSPCommandant]])</f>
        <v>188</v>
      </c>
    </row>
    <row r="1316" spans="1:18" x14ac:dyDescent="0.3">
      <c r="A1316" t="s">
        <v>23</v>
      </c>
      <c r="B1316">
        <v>2008</v>
      </c>
      <c r="C1316" t="str">
        <f>_xlfn.CONCAT(Table13[[#This Row],[STATE]],"-",Table13[[#This Row],[Year]])</f>
        <v>Mizoram-2008</v>
      </c>
      <c r="D1316" t="s">
        <v>71</v>
      </c>
      <c r="E1316" t="s">
        <v>72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f>SUM(Table13[[#This Row],[Rank_All_Ranks_Total]:[Rank_SSPSPAddlSPCommandant]])</f>
        <v>0</v>
      </c>
    </row>
    <row r="1317" spans="1:18" x14ac:dyDescent="0.3">
      <c r="A1317" t="s">
        <v>24</v>
      </c>
      <c r="B1317">
        <v>2008</v>
      </c>
      <c r="C1317" t="str">
        <f>_xlfn.CONCAT(Table13[[#This Row],[STATE]],"-",Table13[[#This Row],[Year]])</f>
        <v>Nagaland-2008</v>
      </c>
      <c r="D1317" t="s">
        <v>71</v>
      </c>
      <c r="E1317" t="s">
        <v>72</v>
      </c>
      <c r="F1317">
        <v>79</v>
      </c>
      <c r="G1317">
        <v>4</v>
      </c>
      <c r="H1317">
        <v>2</v>
      </c>
      <c r="I1317">
        <v>0</v>
      </c>
      <c r="J1317">
        <v>64</v>
      </c>
      <c r="K1317">
        <v>0</v>
      </c>
      <c r="L1317">
        <v>0</v>
      </c>
      <c r="M1317">
        <v>7</v>
      </c>
      <c r="N1317">
        <v>0</v>
      </c>
      <c r="O1317">
        <v>0</v>
      </c>
      <c r="P1317">
        <v>2</v>
      </c>
      <c r="Q1317">
        <v>0</v>
      </c>
      <c r="R1317">
        <f>SUM(Table13[[#This Row],[Rank_All_Ranks_Total]:[Rank_SSPSPAddlSPCommandant]])</f>
        <v>158</v>
      </c>
    </row>
    <row r="1318" spans="1:18" x14ac:dyDescent="0.3">
      <c r="A1318" t="s">
        <v>63</v>
      </c>
      <c r="B1318">
        <v>2008</v>
      </c>
      <c r="C1318" t="str">
        <f>_xlfn.CONCAT(Table13[[#This Row],[STATE]],"-",Table13[[#This Row],[Year]])</f>
        <v>Odisha-2008</v>
      </c>
      <c r="D1318" t="s">
        <v>71</v>
      </c>
      <c r="E1318" t="s">
        <v>72</v>
      </c>
      <c r="F1318">
        <v>3264</v>
      </c>
      <c r="G1318">
        <v>38</v>
      </c>
      <c r="H1318">
        <v>7</v>
      </c>
      <c r="I1318">
        <v>0</v>
      </c>
      <c r="J1318">
        <v>2902</v>
      </c>
      <c r="K1318">
        <v>0</v>
      </c>
      <c r="L1318">
        <v>1</v>
      </c>
      <c r="M1318">
        <v>3</v>
      </c>
      <c r="N1318">
        <v>1</v>
      </c>
      <c r="O1318">
        <v>32</v>
      </c>
      <c r="P1318">
        <v>272</v>
      </c>
      <c r="Q1318">
        <v>8</v>
      </c>
      <c r="R1318">
        <f>SUM(Table13[[#This Row],[Rank_All_Ranks_Total]:[Rank_SSPSPAddlSPCommandant]])</f>
        <v>6528</v>
      </c>
    </row>
    <row r="1319" spans="1:18" x14ac:dyDescent="0.3">
      <c r="A1319" t="s">
        <v>64</v>
      </c>
      <c r="B1319">
        <v>2008</v>
      </c>
      <c r="C1319" t="str">
        <f>_xlfn.CONCAT(Table13[[#This Row],[STATE]],"-",Table13[[#This Row],[Year]])</f>
        <v>Puducherry-2008</v>
      </c>
      <c r="D1319" t="s">
        <v>71</v>
      </c>
      <c r="E1319" t="s">
        <v>72</v>
      </c>
      <c r="F1319">
        <v>85</v>
      </c>
      <c r="G1319">
        <v>2</v>
      </c>
      <c r="H1319">
        <v>0</v>
      </c>
      <c r="I1319">
        <v>0</v>
      </c>
      <c r="J1319">
        <v>74</v>
      </c>
      <c r="K1319">
        <v>0</v>
      </c>
      <c r="L1319">
        <v>0</v>
      </c>
      <c r="M1319">
        <v>4</v>
      </c>
      <c r="N1319">
        <v>0</v>
      </c>
      <c r="O1319">
        <v>1</v>
      </c>
      <c r="P1319">
        <v>2</v>
      </c>
      <c r="Q1319">
        <v>2</v>
      </c>
      <c r="R1319">
        <f>SUM(Table13[[#This Row],[Rank_All_Ranks_Total]:[Rank_SSPSPAddlSPCommandant]])</f>
        <v>170</v>
      </c>
    </row>
    <row r="1320" spans="1:18" x14ac:dyDescent="0.3">
      <c r="A1320" t="s">
        <v>26</v>
      </c>
      <c r="B1320">
        <v>2008</v>
      </c>
      <c r="C1320" t="str">
        <f>_xlfn.CONCAT(Table13[[#This Row],[STATE]],"-",Table13[[#This Row],[Year]])</f>
        <v>Punjab-2008</v>
      </c>
      <c r="D1320" t="s">
        <v>71</v>
      </c>
      <c r="E1320" t="s">
        <v>72</v>
      </c>
      <c r="F1320">
        <v>1460</v>
      </c>
      <c r="G1320">
        <v>116</v>
      </c>
      <c r="H1320">
        <v>0</v>
      </c>
      <c r="I1320">
        <v>0</v>
      </c>
      <c r="J1320">
        <v>1077</v>
      </c>
      <c r="K1320">
        <v>0</v>
      </c>
      <c r="L1320">
        <v>0</v>
      </c>
      <c r="M1320">
        <v>194</v>
      </c>
      <c r="N1320">
        <v>0</v>
      </c>
      <c r="O1320">
        <v>21</v>
      </c>
      <c r="P1320">
        <v>52</v>
      </c>
      <c r="Q1320">
        <v>0</v>
      </c>
      <c r="R1320">
        <f>SUM(Table13[[#This Row],[Rank_All_Ranks_Total]:[Rank_SSPSPAddlSPCommandant]])</f>
        <v>2920</v>
      </c>
    </row>
    <row r="1321" spans="1:18" x14ac:dyDescent="0.3">
      <c r="A1321" t="s">
        <v>27</v>
      </c>
      <c r="B1321">
        <v>2008</v>
      </c>
      <c r="C1321" t="str">
        <f>_xlfn.CONCAT(Table13[[#This Row],[STATE]],"-",Table13[[#This Row],[Year]])</f>
        <v>Rajasthan-2008</v>
      </c>
      <c r="D1321" t="s">
        <v>71</v>
      </c>
      <c r="E1321" t="s">
        <v>72</v>
      </c>
      <c r="F1321">
        <v>3320</v>
      </c>
      <c r="G1321">
        <v>40</v>
      </c>
      <c r="H1321">
        <v>25</v>
      </c>
      <c r="I1321">
        <v>0</v>
      </c>
      <c r="J1321">
        <v>3084</v>
      </c>
      <c r="K1321">
        <v>0</v>
      </c>
      <c r="L1321">
        <v>0</v>
      </c>
      <c r="M1321">
        <v>58</v>
      </c>
      <c r="N1321">
        <v>1</v>
      </c>
      <c r="O1321">
        <v>10</v>
      </c>
      <c r="P1321">
        <v>92</v>
      </c>
      <c r="Q1321">
        <v>10</v>
      </c>
      <c r="R1321">
        <f>SUM(Table13[[#This Row],[Rank_All_Ranks_Total]:[Rank_SSPSPAddlSPCommandant]])</f>
        <v>6640</v>
      </c>
    </row>
    <row r="1322" spans="1:18" x14ac:dyDescent="0.3">
      <c r="A1322" t="s">
        <v>28</v>
      </c>
      <c r="B1322">
        <v>2008</v>
      </c>
      <c r="C1322" t="str">
        <f>_xlfn.CONCAT(Table13[[#This Row],[STATE]],"-",Table13[[#This Row],[Year]])</f>
        <v>Sikkim-2008</v>
      </c>
      <c r="D1322" t="s">
        <v>71</v>
      </c>
      <c r="E1322" t="s">
        <v>72</v>
      </c>
      <c r="F1322">
        <v>179</v>
      </c>
      <c r="G1322">
        <v>1</v>
      </c>
      <c r="H1322">
        <v>1</v>
      </c>
      <c r="I1322">
        <v>0</v>
      </c>
      <c r="J1322">
        <v>143</v>
      </c>
      <c r="K1322">
        <v>0</v>
      </c>
      <c r="L1322">
        <v>0</v>
      </c>
      <c r="M1322">
        <v>1</v>
      </c>
      <c r="N1322">
        <v>0</v>
      </c>
      <c r="O1322">
        <v>10</v>
      </c>
      <c r="P1322">
        <v>21</v>
      </c>
      <c r="Q1322">
        <v>2</v>
      </c>
      <c r="R1322">
        <f>SUM(Table13[[#This Row],[Rank_All_Ranks_Total]:[Rank_SSPSPAddlSPCommandant]])</f>
        <v>358</v>
      </c>
    </row>
    <row r="1323" spans="1:18" x14ac:dyDescent="0.3">
      <c r="A1323" t="s">
        <v>42</v>
      </c>
      <c r="B1323">
        <v>2008</v>
      </c>
      <c r="C1323" t="str">
        <f>_xlfn.CONCAT(Table13[[#This Row],[STATE]],"-",Table13[[#This Row],[Year]])</f>
        <v>Tamil Nadu-2008</v>
      </c>
      <c r="D1323" t="s">
        <v>71</v>
      </c>
      <c r="E1323" t="s">
        <v>72</v>
      </c>
      <c r="F1323">
        <v>6313</v>
      </c>
      <c r="G1323">
        <v>0</v>
      </c>
      <c r="H1323">
        <v>15</v>
      </c>
      <c r="I1323">
        <v>35</v>
      </c>
      <c r="J1323">
        <v>4443</v>
      </c>
      <c r="K1323">
        <v>3</v>
      </c>
      <c r="L1323">
        <v>0</v>
      </c>
      <c r="M1323">
        <v>392</v>
      </c>
      <c r="N1323">
        <v>2</v>
      </c>
      <c r="O1323">
        <v>92</v>
      </c>
      <c r="P1323">
        <v>1301</v>
      </c>
      <c r="Q1323">
        <v>30</v>
      </c>
      <c r="R1323">
        <f>SUM(Table13[[#This Row],[Rank_All_Ranks_Total]:[Rank_SSPSPAddlSPCommandant]])</f>
        <v>12626</v>
      </c>
    </row>
    <row r="1324" spans="1:18" x14ac:dyDescent="0.3">
      <c r="A1324" t="s">
        <v>30</v>
      </c>
      <c r="B1324">
        <v>2008</v>
      </c>
      <c r="C1324" t="str">
        <f>_xlfn.CONCAT(Table13[[#This Row],[STATE]],"-",Table13[[#This Row],[Year]])</f>
        <v>Tripura-2008</v>
      </c>
      <c r="D1324" t="s">
        <v>71</v>
      </c>
      <c r="E1324" t="s">
        <v>72</v>
      </c>
      <c r="F1324">
        <v>661</v>
      </c>
      <c r="G1324">
        <v>38</v>
      </c>
      <c r="H1324">
        <v>2</v>
      </c>
      <c r="I1324">
        <v>0</v>
      </c>
      <c r="J1324">
        <v>582</v>
      </c>
      <c r="K1324">
        <v>0</v>
      </c>
      <c r="L1324">
        <v>0</v>
      </c>
      <c r="M1324">
        <v>0</v>
      </c>
      <c r="N1324">
        <v>0</v>
      </c>
      <c r="O1324">
        <v>6</v>
      </c>
      <c r="P1324">
        <v>32</v>
      </c>
      <c r="Q1324">
        <v>1</v>
      </c>
      <c r="R1324">
        <f>SUM(Table13[[#This Row],[Rank_All_Ranks_Total]:[Rank_SSPSPAddlSPCommandant]])</f>
        <v>1322</v>
      </c>
    </row>
    <row r="1325" spans="1:18" x14ac:dyDescent="0.3">
      <c r="A1325" t="s">
        <v>31</v>
      </c>
      <c r="B1325">
        <v>2008</v>
      </c>
      <c r="C1325" t="str">
        <f>_xlfn.CONCAT(Table13[[#This Row],[STATE]],"-",Table13[[#This Row],[Year]])</f>
        <v>Uttar Pradesh-2008</v>
      </c>
      <c r="D1325" t="s">
        <v>71</v>
      </c>
      <c r="E1325" t="s">
        <v>72</v>
      </c>
      <c r="F1325">
        <v>2406</v>
      </c>
      <c r="G1325">
        <v>0</v>
      </c>
      <c r="H1325">
        <v>34</v>
      </c>
      <c r="I1325">
        <v>0</v>
      </c>
      <c r="J1325">
        <v>1942</v>
      </c>
      <c r="K1325">
        <v>0</v>
      </c>
      <c r="L1325">
        <v>1</v>
      </c>
      <c r="M1325">
        <v>73</v>
      </c>
      <c r="N1325">
        <v>1</v>
      </c>
      <c r="O1325">
        <v>11</v>
      </c>
      <c r="P1325">
        <v>327</v>
      </c>
      <c r="Q1325">
        <v>17</v>
      </c>
      <c r="R1325">
        <f>SUM(Table13[[#This Row],[Rank_All_Ranks_Total]:[Rank_SSPSPAddlSPCommandant]])</f>
        <v>4812</v>
      </c>
    </row>
    <row r="1326" spans="1:18" x14ac:dyDescent="0.3">
      <c r="A1326" t="s">
        <v>65</v>
      </c>
      <c r="B1326">
        <v>2008</v>
      </c>
      <c r="C1326" t="str">
        <f>_xlfn.CONCAT(Table13[[#This Row],[STATE]],"-",Table13[[#This Row],[Year]])</f>
        <v>Uttarakhand-2008</v>
      </c>
      <c r="D1326" t="s">
        <v>71</v>
      </c>
      <c r="E1326" t="s">
        <v>72</v>
      </c>
      <c r="F1326">
        <v>1030</v>
      </c>
      <c r="G1326">
        <v>0</v>
      </c>
      <c r="H1326">
        <v>9</v>
      </c>
      <c r="I1326">
        <v>0</v>
      </c>
      <c r="J1326">
        <v>954</v>
      </c>
      <c r="K1326">
        <v>0</v>
      </c>
      <c r="L1326">
        <v>1</v>
      </c>
      <c r="M1326">
        <v>35</v>
      </c>
      <c r="N1326">
        <v>0</v>
      </c>
      <c r="O1326">
        <v>2</v>
      </c>
      <c r="P1326">
        <v>27</v>
      </c>
      <c r="Q1326">
        <v>2</v>
      </c>
      <c r="R1326">
        <f>SUM(Table13[[#This Row],[Rank_All_Ranks_Total]:[Rank_SSPSPAddlSPCommandant]])</f>
        <v>2060</v>
      </c>
    </row>
    <row r="1327" spans="1:18" x14ac:dyDescent="0.3">
      <c r="A1327" t="s">
        <v>33</v>
      </c>
      <c r="B1327">
        <v>2008</v>
      </c>
      <c r="C1327" t="str">
        <f>_xlfn.CONCAT(Table13[[#This Row],[STATE]],"-",Table13[[#This Row],[Year]])</f>
        <v>West Bengal-2008</v>
      </c>
      <c r="D1327" t="s">
        <v>71</v>
      </c>
      <c r="E1327" t="s">
        <v>72</v>
      </c>
      <c r="F1327">
        <v>2296</v>
      </c>
      <c r="G1327">
        <v>114</v>
      </c>
      <c r="H1327">
        <v>8</v>
      </c>
      <c r="I1327">
        <v>0</v>
      </c>
      <c r="J1327">
        <v>2002</v>
      </c>
      <c r="K1327">
        <v>0</v>
      </c>
      <c r="L1327">
        <v>0</v>
      </c>
      <c r="M1327">
        <v>7</v>
      </c>
      <c r="N1327">
        <v>1</v>
      </c>
      <c r="O1327">
        <v>22</v>
      </c>
      <c r="P1327">
        <v>140</v>
      </c>
      <c r="Q1327">
        <v>2</v>
      </c>
      <c r="R1327">
        <f>SUM(Table13[[#This Row],[Rank_All_Ranks_Total]:[Rank_SSPSPAddlSPCommandant]])</f>
        <v>4592</v>
      </c>
    </row>
    <row r="1328" spans="1:18" x14ac:dyDescent="0.3">
      <c r="A1328" t="s">
        <v>59</v>
      </c>
      <c r="B1328">
        <v>2009</v>
      </c>
      <c r="C1328" t="str">
        <f>_xlfn.CONCAT(Table13[[#This Row],[STATE]],"-",Table13[[#This Row],[Year]])</f>
        <v>Andaman &amp; Nicobar Islands-2009</v>
      </c>
      <c r="D1328" t="s">
        <v>71</v>
      </c>
      <c r="E1328" t="s">
        <v>72</v>
      </c>
      <c r="F1328">
        <v>235</v>
      </c>
      <c r="G1328">
        <v>1</v>
      </c>
      <c r="H1328">
        <v>0</v>
      </c>
      <c r="I1328">
        <v>0</v>
      </c>
      <c r="J1328">
        <v>193</v>
      </c>
      <c r="K1328">
        <v>0</v>
      </c>
      <c r="L1328">
        <v>0</v>
      </c>
      <c r="M1328">
        <v>26</v>
      </c>
      <c r="N1328">
        <v>0</v>
      </c>
      <c r="O1328">
        <v>4</v>
      </c>
      <c r="P1328">
        <v>11</v>
      </c>
      <c r="Q1328">
        <v>0</v>
      </c>
      <c r="R1328">
        <f>SUM(Table13[[#This Row],[Rank_All_Ranks_Total]:[Rank_SSPSPAddlSPCommandant]])</f>
        <v>470</v>
      </c>
    </row>
    <row r="1329" spans="1:18" x14ac:dyDescent="0.3">
      <c r="A1329" t="s">
        <v>6</v>
      </c>
      <c r="B1329">
        <v>2009</v>
      </c>
      <c r="C1329" t="str">
        <f>_xlfn.CONCAT(Table13[[#This Row],[STATE]],"-",Table13[[#This Row],[Year]])</f>
        <v>Andhra Pradesh-2009</v>
      </c>
      <c r="D1329" t="s">
        <v>71</v>
      </c>
      <c r="E1329" t="s">
        <v>72</v>
      </c>
      <c r="F1329">
        <v>1342</v>
      </c>
      <c r="G1329">
        <v>1</v>
      </c>
      <c r="H1329">
        <v>2</v>
      </c>
      <c r="I1329">
        <v>0</v>
      </c>
      <c r="J1329">
        <v>1221</v>
      </c>
      <c r="K1329">
        <v>2</v>
      </c>
      <c r="L1329">
        <v>2</v>
      </c>
      <c r="M1329">
        <v>69</v>
      </c>
      <c r="N1329">
        <v>2</v>
      </c>
      <c r="O1329">
        <v>2</v>
      </c>
      <c r="P1329">
        <v>39</v>
      </c>
      <c r="Q1329">
        <v>2</v>
      </c>
      <c r="R1329">
        <f>SUM(Table13[[#This Row],[Rank_All_Ranks_Total]:[Rank_SSPSPAddlSPCommandant]])</f>
        <v>2684</v>
      </c>
    </row>
    <row r="1330" spans="1:18" x14ac:dyDescent="0.3">
      <c r="A1330" t="s">
        <v>7</v>
      </c>
      <c r="B1330">
        <v>2009</v>
      </c>
      <c r="C1330" t="str">
        <f>_xlfn.CONCAT(Table13[[#This Row],[STATE]],"-",Table13[[#This Row],[Year]])</f>
        <v>Arunachal Pradesh-2009</v>
      </c>
      <c r="D1330" t="s">
        <v>71</v>
      </c>
      <c r="E1330" t="s">
        <v>72</v>
      </c>
      <c r="F1330">
        <v>473</v>
      </c>
      <c r="G1330">
        <v>6</v>
      </c>
      <c r="H1330">
        <v>0</v>
      </c>
      <c r="I1330">
        <v>0</v>
      </c>
      <c r="J1330">
        <v>449</v>
      </c>
      <c r="K1330">
        <v>0</v>
      </c>
      <c r="L1330">
        <v>0</v>
      </c>
      <c r="M1330">
        <v>11</v>
      </c>
      <c r="N1330">
        <v>0</v>
      </c>
      <c r="O1330">
        <v>2</v>
      </c>
      <c r="P1330">
        <v>5</v>
      </c>
      <c r="Q1330">
        <v>0</v>
      </c>
      <c r="R1330">
        <f>SUM(Table13[[#This Row],[Rank_All_Ranks_Total]:[Rank_SSPSPAddlSPCommandant]])</f>
        <v>946</v>
      </c>
    </row>
    <row r="1331" spans="1:18" x14ac:dyDescent="0.3">
      <c r="A1331" t="s">
        <v>8</v>
      </c>
      <c r="B1331">
        <v>2009</v>
      </c>
      <c r="C1331" t="str">
        <f>_xlfn.CONCAT(Table13[[#This Row],[STATE]],"-",Table13[[#This Row],[Year]])</f>
        <v>Assam-2009</v>
      </c>
      <c r="D1331" t="s">
        <v>71</v>
      </c>
      <c r="E1331" t="s">
        <v>72</v>
      </c>
      <c r="F1331">
        <v>186</v>
      </c>
      <c r="G1331">
        <v>5</v>
      </c>
      <c r="H1331">
        <v>0</v>
      </c>
      <c r="I1331">
        <v>8</v>
      </c>
      <c r="J1331">
        <v>148</v>
      </c>
      <c r="K1331">
        <v>0</v>
      </c>
      <c r="L1331">
        <v>0</v>
      </c>
      <c r="M1331">
        <v>8</v>
      </c>
      <c r="N1331">
        <v>0</v>
      </c>
      <c r="O1331">
        <v>0</v>
      </c>
      <c r="P1331">
        <v>17</v>
      </c>
      <c r="Q1331">
        <v>0</v>
      </c>
      <c r="R1331">
        <f>SUM(Table13[[#This Row],[Rank_All_Ranks_Total]:[Rank_SSPSPAddlSPCommandant]])</f>
        <v>372</v>
      </c>
    </row>
    <row r="1332" spans="1:18" x14ac:dyDescent="0.3">
      <c r="A1332" t="s">
        <v>9</v>
      </c>
      <c r="B1332">
        <v>2009</v>
      </c>
      <c r="C1332" t="str">
        <f>_xlfn.CONCAT(Table13[[#This Row],[STATE]],"-",Table13[[#This Row],[Year]])</f>
        <v>Bihar-2009</v>
      </c>
      <c r="D1332" t="s">
        <v>71</v>
      </c>
      <c r="E1332" t="s">
        <v>72</v>
      </c>
      <c r="F1332">
        <v>1085</v>
      </c>
      <c r="G1332">
        <v>33</v>
      </c>
      <c r="H1332">
        <v>11</v>
      </c>
      <c r="I1332">
        <v>0</v>
      </c>
      <c r="J1332">
        <v>951</v>
      </c>
      <c r="K1332">
        <v>0</v>
      </c>
      <c r="L1332">
        <v>2</v>
      </c>
      <c r="M1332">
        <v>34</v>
      </c>
      <c r="N1332">
        <v>1</v>
      </c>
      <c r="O1332">
        <v>1</v>
      </c>
      <c r="P1332">
        <v>47</v>
      </c>
      <c r="Q1332">
        <v>5</v>
      </c>
      <c r="R1332">
        <f>SUM(Table13[[#This Row],[Rank_All_Ranks_Total]:[Rank_SSPSPAddlSPCommandant]])</f>
        <v>2170</v>
      </c>
    </row>
    <row r="1333" spans="1:18" x14ac:dyDescent="0.3">
      <c r="A1333" t="s">
        <v>35</v>
      </c>
      <c r="B1333">
        <v>2009</v>
      </c>
      <c r="C1333" t="str">
        <f>_xlfn.CONCAT(Table13[[#This Row],[STATE]],"-",Table13[[#This Row],[Year]])</f>
        <v>Chandigarh-2009</v>
      </c>
      <c r="D1333" t="s">
        <v>71</v>
      </c>
      <c r="E1333" t="s">
        <v>72</v>
      </c>
      <c r="F1333">
        <v>369</v>
      </c>
      <c r="G1333">
        <v>7</v>
      </c>
      <c r="H1333">
        <v>0</v>
      </c>
      <c r="I1333">
        <v>0</v>
      </c>
      <c r="J1333">
        <v>319</v>
      </c>
      <c r="K1333">
        <v>0</v>
      </c>
      <c r="L1333">
        <v>0</v>
      </c>
      <c r="M1333">
        <v>16</v>
      </c>
      <c r="N1333">
        <v>0</v>
      </c>
      <c r="O1333">
        <v>8</v>
      </c>
      <c r="P1333">
        <v>19</v>
      </c>
      <c r="Q1333">
        <v>0</v>
      </c>
      <c r="R1333">
        <f>SUM(Table13[[#This Row],[Rank_All_Ranks_Total]:[Rank_SSPSPAddlSPCommandant]])</f>
        <v>738</v>
      </c>
    </row>
    <row r="1334" spans="1:18" x14ac:dyDescent="0.3">
      <c r="A1334" t="s">
        <v>10</v>
      </c>
      <c r="B1334">
        <v>2009</v>
      </c>
      <c r="C1334" t="str">
        <f>_xlfn.CONCAT(Table13[[#This Row],[STATE]],"-",Table13[[#This Row],[Year]])</f>
        <v>Chhattisgarh-2009</v>
      </c>
      <c r="D1334" t="s">
        <v>71</v>
      </c>
      <c r="E1334" t="s">
        <v>72</v>
      </c>
      <c r="F1334">
        <v>1117</v>
      </c>
      <c r="G1334">
        <v>24</v>
      </c>
      <c r="H1334">
        <v>15</v>
      </c>
      <c r="I1334">
        <v>0</v>
      </c>
      <c r="J1334">
        <v>934</v>
      </c>
      <c r="K1334">
        <v>0</v>
      </c>
      <c r="L1334">
        <v>0</v>
      </c>
      <c r="M1334">
        <v>78</v>
      </c>
      <c r="N1334">
        <v>0</v>
      </c>
      <c r="O1334">
        <v>11</v>
      </c>
      <c r="P1334">
        <v>54</v>
      </c>
      <c r="Q1334">
        <v>1</v>
      </c>
      <c r="R1334">
        <f>SUM(Table13[[#This Row],[Rank_All_Ranks_Total]:[Rank_SSPSPAddlSPCommandant]])</f>
        <v>2234</v>
      </c>
    </row>
    <row r="1335" spans="1:18" x14ac:dyDescent="0.3">
      <c r="A1335" t="s">
        <v>62</v>
      </c>
      <c r="B1335">
        <v>2009</v>
      </c>
      <c r="C1335" t="str">
        <f>_xlfn.CONCAT(Table13[[#This Row],[STATE]],"-",Table13[[#This Row],[Year]])</f>
        <v>Dadra &amp; Nagar Haveli-2009</v>
      </c>
      <c r="D1335" t="s">
        <v>71</v>
      </c>
      <c r="E1335" t="s">
        <v>72</v>
      </c>
      <c r="F1335">
        <v>9</v>
      </c>
      <c r="G1335">
        <v>0</v>
      </c>
      <c r="H1335">
        <v>0</v>
      </c>
      <c r="I1335">
        <v>0</v>
      </c>
      <c r="J1335">
        <v>4</v>
      </c>
      <c r="K1335">
        <v>0</v>
      </c>
      <c r="L1335">
        <v>0</v>
      </c>
      <c r="M1335">
        <v>3</v>
      </c>
      <c r="N1335">
        <v>0</v>
      </c>
      <c r="O1335">
        <v>0</v>
      </c>
      <c r="P1335">
        <v>2</v>
      </c>
      <c r="Q1335">
        <v>0</v>
      </c>
      <c r="R1335">
        <f>SUM(Table13[[#This Row],[Rank_All_Ranks_Total]:[Rank_SSPSPAddlSPCommandant]])</f>
        <v>18</v>
      </c>
    </row>
    <row r="1336" spans="1:18" x14ac:dyDescent="0.3">
      <c r="A1336" t="s">
        <v>37</v>
      </c>
      <c r="B1336">
        <v>2009</v>
      </c>
      <c r="C1336" t="str">
        <f>_xlfn.CONCAT(Table13[[#This Row],[STATE]],"-",Table13[[#This Row],[Year]])</f>
        <v>Daman &amp; Diu-2009</v>
      </c>
      <c r="D1336" t="s">
        <v>71</v>
      </c>
      <c r="E1336" t="s">
        <v>72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f>SUM(Table13[[#This Row],[Rank_All_Ranks_Total]:[Rank_SSPSPAddlSPCommandant]])</f>
        <v>0</v>
      </c>
    </row>
    <row r="1337" spans="1:18" x14ac:dyDescent="0.3">
      <c r="A1337" t="s">
        <v>38</v>
      </c>
      <c r="B1337">
        <v>2009</v>
      </c>
      <c r="C1337" t="str">
        <f>_xlfn.CONCAT(Table13[[#This Row],[STATE]],"-",Table13[[#This Row],[Year]])</f>
        <v>Delhi-2009</v>
      </c>
      <c r="D1337" t="s">
        <v>71</v>
      </c>
      <c r="E1337" t="s">
        <v>72</v>
      </c>
      <c r="F1337">
        <v>4480</v>
      </c>
      <c r="G1337">
        <v>599</v>
      </c>
      <c r="H1337">
        <v>33</v>
      </c>
      <c r="I1337">
        <v>0</v>
      </c>
      <c r="J1337">
        <v>2765</v>
      </c>
      <c r="K1337">
        <v>0</v>
      </c>
      <c r="L1337">
        <v>0</v>
      </c>
      <c r="M1337">
        <v>840</v>
      </c>
      <c r="N1337">
        <v>0</v>
      </c>
      <c r="O1337">
        <v>76</v>
      </c>
      <c r="P1337">
        <v>164</v>
      </c>
      <c r="Q1337">
        <v>3</v>
      </c>
      <c r="R1337">
        <f>SUM(Table13[[#This Row],[Rank_All_Ranks_Total]:[Rank_SSPSPAddlSPCommandant]])</f>
        <v>8960</v>
      </c>
    </row>
    <row r="1338" spans="1:18" x14ac:dyDescent="0.3">
      <c r="A1338" t="s">
        <v>11</v>
      </c>
      <c r="B1338">
        <v>2009</v>
      </c>
      <c r="C1338" t="str">
        <f>_xlfn.CONCAT(Table13[[#This Row],[STATE]],"-",Table13[[#This Row],[Year]])</f>
        <v>Goa-2009</v>
      </c>
      <c r="D1338" t="s">
        <v>71</v>
      </c>
      <c r="E1338" t="s">
        <v>72</v>
      </c>
      <c r="F1338">
        <v>330</v>
      </c>
      <c r="G1338">
        <v>3</v>
      </c>
      <c r="H1338">
        <v>2</v>
      </c>
      <c r="I1338">
        <v>0</v>
      </c>
      <c r="J1338">
        <v>188</v>
      </c>
      <c r="K1338">
        <v>0</v>
      </c>
      <c r="L1338">
        <v>0</v>
      </c>
      <c r="M1338">
        <v>119</v>
      </c>
      <c r="N1338">
        <v>0</v>
      </c>
      <c r="O1338">
        <v>6</v>
      </c>
      <c r="P1338">
        <v>12</v>
      </c>
      <c r="Q1338">
        <v>0</v>
      </c>
      <c r="R1338">
        <f>SUM(Table13[[#This Row],[Rank_All_Ranks_Total]:[Rank_SSPSPAddlSPCommandant]])</f>
        <v>660</v>
      </c>
    </row>
    <row r="1339" spans="1:18" x14ac:dyDescent="0.3">
      <c r="A1339" t="s">
        <v>12</v>
      </c>
      <c r="B1339">
        <v>2009</v>
      </c>
      <c r="C1339" t="str">
        <f>_xlfn.CONCAT(Table13[[#This Row],[STATE]],"-",Table13[[#This Row],[Year]])</f>
        <v>Gujarat-2009</v>
      </c>
      <c r="D1339" t="s">
        <v>71</v>
      </c>
      <c r="E1339" t="s">
        <v>72</v>
      </c>
      <c r="F1339">
        <v>1636</v>
      </c>
      <c r="G1339">
        <v>183</v>
      </c>
      <c r="H1339">
        <v>4</v>
      </c>
      <c r="I1339">
        <v>0</v>
      </c>
      <c r="J1339">
        <v>1085</v>
      </c>
      <c r="K1339">
        <v>1</v>
      </c>
      <c r="L1339">
        <v>1</v>
      </c>
      <c r="M1339">
        <v>319</v>
      </c>
      <c r="N1339">
        <v>0</v>
      </c>
      <c r="O1339">
        <v>3</v>
      </c>
      <c r="P1339">
        <v>37</v>
      </c>
      <c r="Q1339">
        <v>3</v>
      </c>
      <c r="R1339">
        <f>SUM(Table13[[#This Row],[Rank_All_Ranks_Total]:[Rank_SSPSPAddlSPCommandant]])</f>
        <v>3272</v>
      </c>
    </row>
    <row r="1340" spans="1:18" x14ac:dyDescent="0.3">
      <c r="A1340" t="s">
        <v>13</v>
      </c>
      <c r="B1340">
        <v>2009</v>
      </c>
      <c r="C1340" t="str">
        <f>_xlfn.CONCAT(Table13[[#This Row],[STATE]],"-",Table13[[#This Row],[Year]])</f>
        <v>Haryana-2009</v>
      </c>
      <c r="D1340" t="s">
        <v>71</v>
      </c>
      <c r="E1340" t="s">
        <v>72</v>
      </c>
      <c r="F1340">
        <v>1701</v>
      </c>
      <c r="G1340">
        <v>71</v>
      </c>
      <c r="H1340">
        <v>4</v>
      </c>
      <c r="I1340">
        <v>0</v>
      </c>
      <c r="J1340">
        <v>1472</v>
      </c>
      <c r="K1340">
        <v>0</v>
      </c>
      <c r="L1340">
        <v>0</v>
      </c>
      <c r="M1340">
        <v>52</v>
      </c>
      <c r="N1340">
        <v>0</v>
      </c>
      <c r="O1340">
        <v>22</v>
      </c>
      <c r="P1340">
        <v>76</v>
      </c>
      <c r="Q1340">
        <v>4</v>
      </c>
      <c r="R1340">
        <f>SUM(Table13[[#This Row],[Rank_All_Ranks_Total]:[Rank_SSPSPAddlSPCommandant]])</f>
        <v>3402</v>
      </c>
    </row>
    <row r="1341" spans="1:18" x14ac:dyDescent="0.3">
      <c r="A1341" t="s">
        <v>14</v>
      </c>
      <c r="B1341">
        <v>2009</v>
      </c>
      <c r="C1341" t="str">
        <f>_xlfn.CONCAT(Table13[[#This Row],[STATE]],"-",Table13[[#This Row],[Year]])</f>
        <v>Himachal Pradesh-2009</v>
      </c>
      <c r="D1341" t="s">
        <v>71</v>
      </c>
      <c r="E1341" t="s">
        <v>72</v>
      </c>
      <c r="F1341">
        <v>571</v>
      </c>
      <c r="G1341">
        <v>9</v>
      </c>
      <c r="H1341">
        <v>3</v>
      </c>
      <c r="I1341">
        <v>0</v>
      </c>
      <c r="J1341">
        <v>497</v>
      </c>
      <c r="K1341">
        <v>0</v>
      </c>
      <c r="L1341">
        <v>0</v>
      </c>
      <c r="M1341">
        <v>41</v>
      </c>
      <c r="N1341">
        <v>0</v>
      </c>
      <c r="O1341">
        <v>11</v>
      </c>
      <c r="P1341">
        <v>6</v>
      </c>
      <c r="Q1341">
        <v>4</v>
      </c>
      <c r="R1341">
        <f>SUM(Table13[[#This Row],[Rank_All_Ranks_Total]:[Rank_SSPSPAddlSPCommandant]])</f>
        <v>1142</v>
      </c>
    </row>
    <row r="1342" spans="1:18" x14ac:dyDescent="0.3">
      <c r="A1342" t="s">
        <v>15</v>
      </c>
      <c r="B1342">
        <v>2009</v>
      </c>
      <c r="C1342" t="str">
        <f>_xlfn.CONCAT(Table13[[#This Row],[STATE]],"-",Table13[[#This Row],[Year]])</f>
        <v>Jammu &amp; Kashmir-2009</v>
      </c>
      <c r="D1342" t="s">
        <v>71</v>
      </c>
      <c r="E1342" t="s">
        <v>72</v>
      </c>
      <c r="F1342">
        <v>1760</v>
      </c>
      <c r="G1342">
        <v>49</v>
      </c>
      <c r="H1342">
        <v>14</v>
      </c>
      <c r="I1342">
        <v>1339</v>
      </c>
      <c r="J1342">
        <v>107</v>
      </c>
      <c r="K1342">
        <v>0</v>
      </c>
      <c r="L1342">
        <v>1</v>
      </c>
      <c r="M1342">
        <v>131</v>
      </c>
      <c r="N1342">
        <v>1</v>
      </c>
      <c r="O1342">
        <v>27</v>
      </c>
      <c r="P1342">
        <v>88</v>
      </c>
      <c r="Q1342">
        <v>3</v>
      </c>
      <c r="R1342">
        <f>SUM(Table13[[#This Row],[Rank_All_Ranks_Total]:[Rank_SSPSPAddlSPCommandant]])</f>
        <v>3520</v>
      </c>
    </row>
    <row r="1343" spans="1:18" x14ac:dyDescent="0.3">
      <c r="A1343" t="s">
        <v>16</v>
      </c>
      <c r="B1343">
        <v>2009</v>
      </c>
      <c r="C1343" t="str">
        <f>_xlfn.CONCAT(Table13[[#This Row],[STATE]],"-",Table13[[#This Row],[Year]])</f>
        <v>Jharkhand-2009</v>
      </c>
      <c r="D1343" t="s">
        <v>71</v>
      </c>
      <c r="E1343" t="s">
        <v>72</v>
      </c>
      <c r="F1343">
        <v>1444</v>
      </c>
      <c r="G1343">
        <v>57</v>
      </c>
      <c r="H1343">
        <v>1</v>
      </c>
      <c r="I1343">
        <v>0</v>
      </c>
      <c r="J1343">
        <v>1206</v>
      </c>
      <c r="K1343">
        <v>1</v>
      </c>
      <c r="L1343">
        <v>2</v>
      </c>
      <c r="M1343">
        <v>116</v>
      </c>
      <c r="N1343">
        <v>1</v>
      </c>
      <c r="O1343">
        <v>6</v>
      </c>
      <c r="P1343">
        <v>53</v>
      </c>
      <c r="Q1343">
        <v>1</v>
      </c>
      <c r="R1343">
        <f>SUM(Table13[[#This Row],[Rank_All_Ranks_Total]:[Rank_SSPSPAddlSPCommandant]])</f>
        <v>2888</v>
      </c>
    </row>
    <row r="1344" spans="1:18" x14ac:dyDescent="0.3">
      <c r="A1344" t="s">
        <v>17</v>
      </c>
      <c r="B1344">
        <v>2009</v>
      </c>
      <c r="C1344" t="str">
        <f>_xlfn.CONCAT(Table13[[#This Row],[STATE]],"-",Table13[[#This Row],[Year]])</f>
        <v>Karnataka-2009</v>
      </c>
      <c r="D1344" t="s">
        <v>71</v>
      </c>
      <c r="E1344" t="s">
        <v>72</v>
      </c>
      <c r="F1344">
        <v>4647</v>
      </c>
      <c r="G1344">
        <v>186</v>
      </c>
      <c r="H1344">
        <v>12</v>
      </c>
      <c r="I1344">
        <v>0</v>
      </c>
      <c r="J1344">
        <v>3368</v>
      </c>
      <c r="K1344">
        <v>1</v>
      </c>
      <c r="L1344">
        <v>2</v>
      </c>
      <c r="M1344">
        <v>942</v>
      </c>
      <c r="N1344">
        <v>0</v>
      </c>
      <c r="O1344">
        <v>31</v>
      </c>
      <c r="P1344">
        <v>102</v>
      </c>
      <c r="Q1344">
        <v>3</v>
      </c>
      <c r="R1344">
        <f>SUM(Table13[[#This Row],[Rank_All_Ranks_Total]:[Rank_SSPSPAddlSPCommandant]])</f>
        <v>9294</v>
      </c>
    </row>
    <row r="1345" spans="1:18" x14ac:dyDescent="0.3">
      <c r="A1345" t="s">
        <v>18</v>
      </c>
      <c r="B1345">
        <v>2009</v>
      </c>
      <c r="C1345" t="str">
        <f>_xlfn.CONCAT(Table13[[#This Row],[STATE]],"-",Table13[[#This Row],[Year]])</f>
        <v>Kerala-2009</v>
      </c>
      <c r="D1345" t="s">
        <v>71</v>
      </c>
      <c r="E1345" t="s">
        <v>72</v>
      </c>
      <c r="F1345">
        <v>2736</v>
      </c>
      <c r="G1345">
        <v>0</v>
      </c>
      <c r="H1345">
        <v>1</v>
      </c>
      <c r="I1345">
        <v>0</v>
      </c>
      <c r="J1345">
        <v>2492</v>
      </c>
      <c r="K1345">
        <v>0</v>
      </c>
      <c r="L1345">
        <v>0</v>
      </c>
      <c r="M1345">
        <v>148</v>
      </c>
      <c r="N1345">
        <v>0</v>
      </c>
      <c r="O1345">
        <v>21</v>
      </c>
      <c r="P1345">
        <v>74</v>
      </c>
      <c r="Q1345">
        <v>0</v>
      </c>
      <c r="R1345">
        <f>SUM(Table13[[#This Row],[Rank_All_Ranks_Total]:[Rank_SSPSPAddlSPCommandant]])</f>
        <v>5472</v>
      </c>
    </row>
    <row r="1346" spans="1:18" x14ac:dyDescent="0.3">
      <c r="A1346" t="s">
        <v>39</v>
      </c>
      <c r="B1346">
        <v>2009</v>
      </c>
      <c r="C1346" t="str">
        <f>_xlfn.CONCAT(Table13[[#This Row],[STATE]],"-",Table13[[#This Row],[Year]])</f>
        <v>Lakshadweep-2009</v>
      </c>
      <c r="D1346" t="s">
        <v>71</v>
      </c>
      <c r="E1346" t="s">
        <v>72</v>
      </c>
      <c r="F1346">
        <v>16</v>
      </c>
      <c r="G1346">
        <v>0</v>
      </c>
      <c r="H1346">
        <v>0</v>
      </c>
      <c r="I1346">
        <v>0</v>
      </c>
      <c r="J1346">
        <v>15</v>
      </c>
      <c r="K1346">
        <v>0</v>
      </c>
      <c r="L1346">
        <v>0</v>
      </c>
      <c r="M1346">
        <v>1</v>
      </c>
      <c r="N1346">
        <v>0</v>
      </c>
      <c r="O1346">
        <v>0</v>
      </c>
      <c r="P1346">
        <v>0</v>
      </c>
      <c r="Q1346">
        <v>0</v>
      </c>
      <c r="R1346">
        <f>SUM(Table13[[#This Row],[Rank_All_Ranks_Total]:[Rank_SSPSPAddlSPCommandant]])</f>
        <v>32</v>
      </c>
    </row>
    <row r="1347" spans="1:18" x14ac:dyDescent="0.3">
      <c r="A1347" t="s">
        <v>19</v>
      </c>
      <c r="B1347">
        <v>2009</v>
      </c>
      <c r="C1347" t="str">
        <f>_xlfn.CONCAT(Table13[[#This Row],[STATE]],"-",Table13[[#This Row],[Year]])</f>
        <v>Madhya Pradesh-2009</v>
      </c>
      <c r="D1347" t="s">
        <v>71</v>
      </c>
      <c r="E1347" t="s">
        <v>72</v>
      </c>
      <c r="F1347">
        <v>1765</v>
      </c>
      <c r="G1347">
        <v>40</v>
      </c>
      <c r="H1347">
        <v>51</v>
      </c>
      <c r="I1347">
        <v>0</v>
      </c>
      <c r="J1347">
        <v>1283</v>
      </c>
      <c r="K1347">
        <v>0</v>
      </c>
      <c r="L1347">
        <v>2</v>
      </c>
      <c r="M1347">
        <v>221</v>
      </c>
      <c r="N1347">
        <v>3</v>
      </c>
      <c r="O1347">
        <v>16</v>
      </c>
      <c r="P1347">
        <v>140</v>
      </c>
      <c r="Q1347">
        <v>9</v>
      </c>
      <c r="R1347">
        <f>SUM(Table13[[#This Row],[Rank_All_Ranks_Total]:[Rank_SSPSPAddlSPCommandant]])</f>
        <v>3530</v>
      </c>
    </row>
    <row r="1348" spans="1:18" x14ac:dyDescent="0.3">
      <c r="A1348" t="s">
        <v>20</v>
      </c>
      <c r="B1348">
        <v>2009</v>
      </c>
      <c r="C1348" t="str">
        <f>_xlfn.CONCAT(Table13[[#This Row],[STATE]],"-",Table13[[#This Row],[Year]])</f>
        <v>Maharashtra-2009</v>
      </c>
      <c r="D1348" t="s">
        <v>71</v>
      </c>
      <c r="E1348" t="s">
        <v>72</v>
      </c>
      <c r="F1348">
        <v>12813</v>
      </c>
      <c r="G1348">
        <v>239</v>
      </c>
      <c r="H1348">
        <v>33</v>
      </c>
      <c r="I1348">
        <v>1402</v>
      </c>
      <c r="J1348">
        <v>10160</v>
      </c>
      <c r="K1348">
        <v>2</v>
      </c>
      <c r="L1348">
        <v>3</v>
      </c>
      <c r="M1348">
        <v>481</v>
      </c>
      <c r="N1348">
        <v>1</v>
      </c>
      <c r="O1348">
        <v>81</v>
      </c>
      <c r="P1348">
        <v>401</v>
      </c>
      <c r="Q1348">
        <v>10</v>
      </c>
      <c r="R1348">
        <f>SUM(Table13[[#This Row],[Rank_All_Ranks_Total]:[Rank_SSPSPAddlSPCommandant]])</f>
        <v>25626</v>
      </c>
    </row>
    <row r="1349" spans="1:18" x14ac:dyDescent="0.3">
      <c r="A1349" t="s">
        <v>21</v>
      </c>
      <c r="B1349">
        <v>2009</v>
      </c>
      <c r="C1349" t="str">
        <f>_xlfn.CONCAT(Table13[[#This Row],[STATE]],"-",Table13[[#This Row],[Year]])</f>
        <v>Manipur-2009</v>
      </c>
      <c r="D1349" t="s">
        <v>71</v>
      </c>
      <c r="E1349" t="s">
        <v>72</v>
      </c>
      <c r="F1349">
        <v>537</v>
      </c>
      <c r="G1349">
        <v>4</v>
      </c>
      <c r="H1349">
        <v>0</v>
      </c>
      <c r="I1349">
        <v>0</v>
      </c>
      <c r="J1349">
        <v>387</v>
      </c>
      <c r="K1349">
        <v>0</v>
      </c>
      <c r="L1349">
        <v>0</v>
      </c>
      <c r="M1349">
        <v>139</v>
      </c>
      <c r="N1349">
        <v>0</v>
      </c>
      <c r="O1349">
        <v>3</v>
      </c>
      <c r="P1349">
        <v>4</v>
      </c>
      <c r="Q1349">
        <v>0</v>
      </c>
      <c r="R1349">
        <f>SUM(Table13[[#This Row],[Rank_All_Ranks_Total]:[Rank_SSPSPAddlSPCommandant]])</f>
        <v>1074</v>
      </c>
    </row>
    <row r="1350" spans="1:18" x14ac:dyDescent="0.3">
      <c r="A1350" t="s">
        <v>22</v>
      </c>
      <c r="B1350">
        <v>2009</v>
      </c>
      <c r="C1350" t="str">
        <f>_xlfn.CONCAT(Table13[[#This Row],[STATE]],"-",Table13[[#This Row],[Year]])</f>
        <v>Meghalaya-2009</v>
      </c>
      <c r="D1350" t="s">
        <v>71</v>
      </c>
      <c r="E1350" t="s">
        <v>72</v>
      </c>
      <c r="F1350">
        <v>97</v>
      </c>
      <c r="G1350">
        <v>2</v>
      </c>
      <c r="H1350">
        <v>1</v>
      </c>
      <c r="I1350">
        <v>0</v>
      </c>
      <c r="J1350">
        <v>71</v>
      </c>
      <c r="K1350">
        <v>0</v>
      </c>
      <c r="L1350">
        <v>0</v>
      </c>
      <c r="M1350">
        <v>5</v>
      </c>
      <c r="N1350">
        <v>0</v>
      </c>
      <c r="O1350">
        <v>9</v>
      </c>
      <c r="P1350">
        <v>7</v>
      </c>
      <c r="Q1350">
        <v>2</v>
      </c>
      <c r="R1350">
        <f>SUM(Table13[[#This Row],[Rank_All_Ranks_Total]:[Rank_SSPSPAddlSPCommandant]])</f>
        <v>194</v>
      </c>
    </row>
    <row r="1351" spans="1:18" x14ac:dyDescent="0.3">
      <c r="A1351" t="s">
        <v>23</v>
      </c>
      <c r="B1351">
        <v>2009</v>
      </c>
      <c r="C1351" t="str">
        <f>_xlfn.CONCAT(Table13[[#This Row],[STATE]],"-",Table13[[#This Row],[Year]])</f>
        <v>Mizoram-2009</v>
      </c>
      <c r="D1351" t="s">
        <v>71</v>
      </c>
      <c r="E1351" t="s">
        <v>72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f>SUM(Table13[[#This Row],[Rank_All_Ranks_Total]:[Rank_SSPSPAddlSPCommandant]])</f>
        <v>0</v>
      </c>
    </row>
    <row r="1352" spans="1:18" x14ac:dyDescent="0.3">
      <c r="A1352" t="s">
        <v>24</v>
      </c>
      <c r="B1352">
        <v>2009</v>
      </c>
      <c r="C1352" t="str">
        <f>_xlfn.CONCAT(Table13[[#This Row],[STATE]],"-",Table13[[#This Row],[Year]])</f>
        <v>Nagaland-2009</v>
      </c>
      <c r="D1352" t="s">
        <v>71</v>
      </c>
      <c r="E1352" t="s">
        <v>72</v>
      </c>
      <c r="F1352">
        <v>66</v>
      </c>
      <c r="G1352">
        <v>5</v>
      </c>
      <c r="H1352">
        <v>1</v>
      </c>
      <c r="I1352">
        <v>0</v>
      </c>
      <c r="J1352">
        <v>52</v>
      </c>
      <c r="K1352">
        <v>0</v>
      </c>
      <c r="L1352">
        <v>0</v>
      </c>
      <c r="M1352">
        <v>5</v>
      </c>
      <c r="N1352">
        <v>0</v>
      </c>
      <c r="O1352">
        <v>0</v>
      </c>
      <c r="P1352">
        <v>3</v>
      </c>
      <c r="Q1352">
        <v>0</v>
      </c>
      <c r="R1352">
        <f>SUM(Table13[[#This Row],[Rank_All_Ranks_Total]:[Rank_SSPSPAddlSPCommandant]])</f>
        <v>132</v>
      </c>
    </row>
    <row r="1353" spans="1:18" x14ac:dyDescent="0.3">
      <c r="A1353" t="s">
        <v>63</v>
      </c>
      <c r="B1353">
        <v>2009</v>
      </c>
      <c r="C1353" t="str">
        <f>_xlfn.CONCAT(Table13[[#This Row],[STATE]],"-",Table13[[#This Row],[Year]])</f>
        <v>Odisha-2009</v>
      </c>
      <c r="D1353" t="s">
        <v>71</v>
      </c>
      <c r="E1353" t="s">
        <v>72</v>
      </c>
      <c r="F1353">
        <v>3144</v>
      </c>
      <c r="G1353">
        <v>88</v>
      </c>
      <c r="H1353">
        <v>11</v>
      </c>
      <c r="I1353">
        <v>0</v>
      </c>
      <c r="J1353">
        <v>2786</v>
      </c>
      <c r="K1353">
        <v>0</v>
      </c>
      <c r="L1353">
        <v>3</v>
      </c>
      <c r="M1353">
        <v>4</v>
      </c>
      <c r="N1353">
        <v>1</v>
      </c>
      <c r="O1353">
        <v>65</v>
      </c>
      <c r="P1353">
        <v>176</v>
      </c>
      <c r="Q1353">
        <v>10</v>
      </c>
      <c r="R1353">
        <f>SUM(Table13[[#This Row],[Rank_All_Ranks_Total]:[Rank_SSPSPAddlSPCommandant]])</f>
        <v>6288</v>
      </c>
    </row>
    <row r="1354" spans="1:18" x14ac:dyDescent="0.3">
      <c r="A1354" t="s">
        <v>64</v>
      </c>
      <c r="B1354">
        <v>2009</v>
      </c>
      <c r="C1354" t="str">
        <f>_xlfn.CONCAT(Table13[[#This Row],[STATE]],"-",Table13[[#This Row],[Year]])</f>
        <v>Puducherry-2009</v>
      </c>
      <c r="D1354" t="s">
        <v>71</v>
      </c>
      <c r="E1354" t="s">
        <v>72</v>
      </c>
      <c r="F1354">
        <v>86</v>
      </c>
      <c r="G1354">
        <v>0</v>
      </c>
      <c r="H1354">
        <v>1</v>
      </c>
      <c r="I1354">
        <v>0</v>
      </c>
      <c r="J1354">
        <v>72</v>
      </c>
      <c r="K1354">
        <v>0</v>
      </c>
      <c r="L1354">
        <v>0</v>
      </c>
      <c r="M1354">
        <v>7</v>
      </c>
      <c r="N1354">
        <v>0</v>
      </c>
      <c r="O1354">
        <v>1</v>
      </c>
      <c r="P1354">
        <v>4</v>
      </c>
      <c r="Q1354">
        <v>1</v>
      </c>
      <c r="R1354">
        <f>SUM(Table13[[#This Row],[Rank_All_Ranks_Total]:[Rank_SSPSPAddlSPCommandant]])</f>
        <v>172</v>
      </c>
    </row>
    <row r="1355" spans="1:18" x14ac:dyDescent="0.3">
      <c r="A1355" t="s">
        <v>26</v>
      </c>
      <c r="B1355">
        <v>2009</v>
      </c>
      <c r="C1355" t="str">
        <f>_xlfn.CONCAT(Table13[[#This Row],[STATE]],"-",Table13[[#This Row],[Year]])</f>
        <v>Punjab-2009</v>
      </c>
      <c r="D1355" t="s">
        <v>71</v>
      </c>
      <c r="E1355" t="s">
        <v>72</v>
      </c>
      <c r="F1355">
        <v>1792</v>
      </c>
      <c r="G1355">
        <v>122</v>
      </c>
      <c r="H1355">
        <v>0</v>
      </c>
      <c r="I1355">
        <v>0</v>
      </c>
      <c r="J1355">
        <v>1379</v>
      </c>
      <c r="K1355">
        <v>0</v>
      </c>
      <c r="L1355">
        <v>0</v>
      </c>
      <c r="M1355">
        <v>223</v>
      </c>
      <c r="N1355">
        <v>0</v>
      </c>
      <c r="O1355">
        <v>24</v>
      </c>
      <c r="P1355">
        <v>44</v>
      </c>
      <c r="Q1355">
        <v>0</v>
      </c>
      <c r="R1355">
        <f>SUM(Table13[[#This Row],[Rank_All_Ranks_Total]:[Rank_SSPSPAddlSPCommandant]])</f>
        <v>3584</v>
      </c>
    </row>
    <row r="1356" spans="1:18" x14ac:dyDescent="0.3">
      <c r="A1356" t="s">
        <v>27</v>
      </c>
      <c r="B1356">
        <v>2009</v>
      </c>
      <c r="C1356" t="str">
        <f>_xlfn.CONCAT(Table13[[#This Row],[STATE]],"-",Table13[[#This Row],[Year]])</f>
        <v>Rajasthan-2009</v>
      </c>
      <c r="D1356" t="s">
        <v>71</v>
      </c>
      <c r="E1356" t="s">
        <v>72</v>
      </c>
      <c r="F1356">
        <v>3705</v>
      </c>
      <c r="G1356">
        <v>39</v>
      </c>
      <c r="H1356">
        <v>18</v>
      </c>
      <c r="I1356">
        <v>0</v>
      </c>
      <c r="J1356">
        <v>3478</v>
      </c>
      <c r="K1356">
        <v>0</v>
      </c>
      <c r="L1356">
        <v>1</v>
      </c>
      <c r="M1356">
        <v>65</v>
      </c>
      <c r="N1356">
        <v>1</v>
      </c>
      <c r="O1356">
        <v>7</v>
      </c>
      <c r="P1356">
        <v>95</v>
      </c>
      <c r="Q1356">
        <v>1</v>
      </c>
      <c r="R1356">
        <f>SUM(Table13[[#This Row],[Rank_All_Ranks_Total]:[Rank_SSPSPAddlSPCommandant]])</f>
        <v>7410</v>
      </c>
    </row>
    <row r="1357" spans="1:18" x14ac:dyDescent="0.3">
      <c r="A1357" t="s">
        <v>28</v>
      </c>
      <c r="B1357">
        <v>2009</v>
      </c>
      <c r="C1357" t="str">
        <f>_xlfn.CONCAT(Table13[[#This Row],[STATE]],"-",Table13[[#This Row],[Year]])</f>
        <v>Sikkim-2009</v>
      </c>
      <c r="D1357" t="s">
        <v>71</v>
      </c>
      <c r="E1357" t="s">
        <v>72</v>
      </c>
      <c r="F1357">
        <v>179</v>
      </c>
      <c r="G1357">
        <v>1</v>
      </c>
      <c r="H1357">
        <v>2</v>
      </c>
      <c r="I1357">
        <v>0</v>
      </c>
      <c r="J1357">
        <v>143</v>
      </c>
      <c r="K1357">
        <v>0</v>
      </c>
      <c r="L1357">
        <v>0</v>
      </c>
      <c r="M1357">
        <v>0</v>
      </c>
      <c r="N1357">
        <v>0</v>
      </c>
      <c r="O1357">
        <v>10</v>
      </c>
      <c r="P1357">
        <v>21</v>
      </c>
      <c r="Q1357">
        <v>2</v>
      </c>
      <c r="R1357">
        <f>SUM(Table13[[#This Row],[Rank_All_Ranks_Total]:[Rank_SSPSPAddlSPCommandant]])</f>
        <v>358</v>
      </c>
    </row>
    <row r="1358" spans="1:18" x14ac:dyDescent="0.3">
      <c r="A1358" t="s">
        <v>42</v>
      </c>
      <c r="B1358">
        <v>2009</v>
      </c>
      <c r="C1358" t="str">
        <f>_xlfn.CONCAT(Table13[[#This Row],[STATE]],"-",Table13[[#This Row],[Year]])</f>
        <v>Tamil Nadu-2009</v>
      </c>
      <c r="D1358" t="s">
        <v>71</v>
      </c>
      <c r="E1358" t="s">
        <v>72</v>
      </c>
      <c r="F1358">
        <v>6279</v>
      </c>
      <c r="G1358">
        <v>0</v>
      </c>
      <c r="H1358">
        <v>15</v>
      </c>
      <c r="I1358">
        <v>0</v>
      </c>
      <c r="J1358">
        <v>4443</v>
      </c>
      <c r="K1358">
        <v>3</v>
      </c>
      <c r="L1358">
        <v>1</v>
      </c>
      <c r="M1358">
        <v>392</v>
      </c>
      <c r="N1358">
        <v>2</v>
      </c>
      <c r="O1358">
        <v>93</v>
      </c>
      <c r="P1358">
        <v>1301</v>
      </c>
      <c r="Q1358">
        <v>29</v>
      </c>
      <c r="R1358">
        <f>SUM(Table13[[#This Row],[Rank_All_Ranks_Total]:[Rank_SSPSPAddlSPCommandant]])</f>
        <v>12558</v>
      </c>
    </row>
    <row r="1359" spans="1:18" x14ac:dyDescent="0.3">
      <c r="A1359" t="s">
        <v>30</v>
      </c>
      <c r="B1359">
        <v>2009</v>
      </c>
      <c r="C1359" t="str">
        <f>_xlfn.CONCAT(Table13[[#This Row],[STATE]],"-",Table13[[#This Row],[Year]])</f>
        <v>Tripura-2009</v>
      </c>
      <c r="D1359" t="s">
        <v>71</v>
      </c>
      <c r="E1359" t="s">
        <v>72</v>
      </c>
      <c r="F1359">
        <v>700</v>
      </c>
      <c r="G1359">
        <v>51</v>
      </c>
      <c r="H1359">
        <v>1</v>
      </c>
      <c r="I1359">
        <v>0</v>
      </c>
      <c r="J1359">
        <v>600</v>
      </c>
      <c r="K1359">
        <v>0</v>
      </c>
      <c r="L1359">
        <v>0</v>
      </c>
      <c r="M1359">
        <v>8</v>
      </c>
      <c r="N1359">
        <v>0</v>
      </c>
      <c r="O1359">
        <v>5</v>
      </c>
      <c r="P1359">
        <v>32</v>
      </c>
      <c r="Q1359">
        <v>3</v>
      </c>
      <c r="R1359">
        <f>SUM(Table13[[#This Row],[Rank_All_Ranks_Total]:[Rank_SSPSPAddlSPCommandant]])</f>
        <v>1400</v>
      </c>
    </row>
    <row r="1360" spans="1:18" x14ac:dyDescent="0.3">
      <c r="A1360" t="s">
        <v>31</v>
      </c>
      <c r="B1360">
        <v>2009</v>
      </c>
      <c r="C1360" t="str">
        <f>_xlfn.CONCAT(Table13[[#This Row],[STATE]],"-",Table13[[#This Row],[Year]])</f>
        <v>Uttar Pradesh-2009</v>
      </c>
      <c r="D1360" t="s">
        <v>71</v>
      </c>
      <c r="E1360" t="s">
        <v>72</v>
      </c>
      <c r="F1360">
        <v>2411</v>
      </c>
      <c r="G1360">
        <v>0</v>
      </c>
      <c r="H1360">
        <v>37</v>
      </c>
      <c r="I1360">
        <v>0</v>
      </c>
      <c r="J1360">
        <v>1942</v>
      </c>
      <c r="K1360">
        <v>0</v>
      </c>
      <c r="L1360">
        <v>4</v>
      </c>
      <c r="M1360">
        <v>73</v>
      </c>
      <c r="N1360">
        <v>0</v>
      </c>
      <c r="O1360">
        <v>11</v>
      </c>
      <c r="P1360">
        <v>327</v>
      </c>
      <c r="Q1360">
        <v>17</v>
      </c>
      <c r="R1360">
        <f>SUM(Table13[[#This Row],[Rank_All_Ranks_Total]:[Rank_SSPSPAddlSPCommandant]])</f>
        <v>4822</v>
      </c>
    </row>
    <row r="1361" spans="1:18" x14ac:dyDescent="0.3">
      <c r="A1361" t="s">
        <v>65</v>
      </c>
      <c r="B1361">
        <v>2009</v>
      </c>
      <c r="C1361" t="str">
        <f>_xlfn.CONCAT(Table13[[#This Row],[STATE]],"-",Table13[[#This Row],[Year]])</f>
        <v>Uttarakhand-2009</v>
      </c>
      <c r="D1361" t="s">
        <v>71</v>
      </c>
      <c r="E1361" t="s">
        <v>72</v>
      </c>
      <c r="F1361">
        <v>1115</v>
      </c>
      <c r="G1361">
        <v>0</v>
      </c>
      <c r="H1361">
        <v>9</v>
      </c>
      <c r="I1361">
        <v>0</v>
      </c>
      <c r="J1361">
        <v>1039</v>
      </c>
      <c r="K1361">
        <v>0</v>
      </c>
      <c r="L1361">
        <v>0</v>
      </c>
      <c r="M1361">
        <v>41</v>
      </c>
      <c r="N1361">
        <v>0</v>
      </c>
      <c r="O1361">
        <v>1</v>
      </c>
      <c r="P1361">
        <v>20</v>
      </c>
      <c r="Q1361">
        <v>5</v>
      </c>
      <c r="R1361">
        <f>SUM(Table13[[#This Row],[Rank_All_Ranks_Total]:[Rank_SSPSPAddlSPCommandant]])</f>
        <v>2230</v>
      </c>
    </row>
    <row r="1362" spans="1:18" x14ac:dyDescent="0.3">
      <c r="A1362" t="s">
        <v>33</v>
      </c>
      <c r="B1362">
        <v>2009</v>
      </c>
      <c r="C1362" t="str">
        <f>_xlfn.CONCAT(Table13[[#This Row],[STATE]],"-",Table13[[#This Row],[Year]])</f>
        <v>West Bengal-2009</v>
      </c>
      <c r="D1362" t="s">
        <v>71</v>
      </c>
      <c r="E1362" t="s">
        <v>72</v>
      </c>
      <c r="F1362">
        <v>2348</v>
      </c>
      <c r="G1362">
        <v>113</v>
      </c>
      <c r="H1362">
        <v>10</v>
      </c>
      <c r="I1362">
        <v>0</v>
      </c>
      <c r="J1362">
        <v>2037</v>
      </c>
      <c r="K1362">
        <v>0</v>
      </c>
      <c r="L1362">
        <v>0</v>
      </c>
      <c r="M1362">
        <v>7</v>
      </c>
      <c r="N1362">
        <v>1</v>
      </c>
      <c r="O1362">
        <v>24</v>
      </c>
      <c r="P1362">
        <v>151</v>
      </c>
      <c r="Q1362">
        <v>5</v>
      </c>
      <c r="R1362">
        <f>SUM(Table13[[#This Row],[Rank_All_Ranks_Total]:[Rank_SSPSPAddlSPCommandant]])</f>
        <v>4696</v>
      </c>
    </row>
    <row r="1363" spans="1:18" x14ac:dyDescent="0.3">
      <c r="A1363" t="s">
        <v>59</v>
      </c>
      <c r="B1363">
        <v>2010</v>
      </c>
      <c r="C1363" t="str">
        <f>_xlfn.CONCAT(Table13[[#This Row],[STATE]],"-",Table13[[#This Row],[Year]])</f>
        <v>Andaman &amp; Nicobar Islands-2010</v>
      </c>
      <c r="D1363" t="s">
        <v>71</v>
      </c>
      <c r="E1363" t="s">
        <v>72</v>
      </c>
      <c r="F1363">
        <v>274</v>
      </c>
      <c r="G1363">
        <v>1</v>
      </c>
      <c r="H1363">
        <v>0</v>
      </c>
      <c r="I1363">
        <v>0</v>
      </c>
      <c r="J1363">
        <v>229</v>
      </c>
      <c r="K1363">
        <v>0</v>
      </c>
      <c r="L1363">
        <v>0</v>
      </c>
      <c r="M1363">
        <v>25</v>
      </c>
      <c r="N1363">
        <v>0</v>
      </c>
      <c r="O1363">
        <v>4</v>
      </c>
      <c r="P1363">
        <v>15</v>
      </c>
      <c r="Q1363">
        <v>0</v>
      </c>
      <c r="R1363">
        <f>SUM(Table13[[#This Row],[Rank_All_Ranks_Total]:[Rank_SSPSPAddlSPCommandant]])</f>
        <v>548</v>
      </c>
    </row>
    <row r="1364" spans="1:18" x14ac:dyDescent="0.3">
      <c r="A1364" t="s">
        <v>6</v>
      </c>
      <c r="B1364">
        <v>2010</v>
      </c>
      <c r="C1364" t="str">
        <f>_xlfn.CONCAT(Table13[[#This Row],[STATE]],"-",Table13[[#This Row],[Year]])</f>
        <v>Andhra Pradesh-2010</v>
      </c>
      <c r="D1364" t="s">
        <v>71</v>
      </c>
      <c r="E1364" t="s">
        <v>72</v>
      </c>
      <c r="F1364">
        <v>2012</v>
      </c>
      <c r="G1364">
        <v>33</v>
      </c>
      <c r="H1364">
        <v>3</v>
      </c>
      <c r="I1364">
        <v>0</v>
      </c>
      <c r="J1364">
        <v>1743</v>
      </c>
      <c r="K1364">
        <v>2</v>
      </c>
      <c r="L1364">
        <v>7</v>
      </c>
      <c r="M1364">
        <v>150</v>
      </c>
      <c r="N1364">
        <v>2</v>
      </c>
      <c r="O1364">
        <v>8</v>
      </c>
      <c r="P1364">
        <v>62</v>
      </c>
      <c r="Q1364">
        <v>2</v>
      </c>
      <c r="R1364">
        <f>SUM(Table13[[#This Row],[Rank_All_Ranks_Total]:[Rank_SSPSPAddlSPCommandant]])</f>
        <v>4024</v>
      </c>
    </row>
    <row r="1365" spans="1:18" x14ac:dyDescent="0.3">
      <c r="A1365" t="s">
        <v>7</v>
      </c>
      <c r="B1365">
        <v>2010</v>
      </c>
      <c r="C1365" t="str">
        <f>_xlfn.CONCAT(Table13[[#This Row],[STATE]],"-",Table13[[#This Row],[Year]])</f>
        <v>Arunachal Pradesh-2010</v>
      </c>
      <c r="D1365" t="s">
        <v>71</v>
      </c>
      <c r="E1365" t="s">
        <v>72</v>
      </c>
      <c r="F1365">
        <v>473</v>
      </c>
      <c r="G1365">
        <v>6</v>
      </c>
      <c r="H1365">
        <v>0</v>
      </c>
      <c r="I1365">
        <v>0</v>
      </c>
      <c r="J1365">
        <v>449</v>
      </c>
      <c r="K1365">
        <v>0</v>
      </c>
      <c r="L1365">
        <v>0</v>
      </c>
      <c r="M1365">
        <v>11</v>
      </c>
      <c r="N1365">
        <v>0</v>
      </c>
      <c r="O1365">
        <v>2</v>
      </c>
      <c r="P1365">
        <v>5</v>
      </c>
      <c r="Q1365">
        <v>0</v>
      </c>
      <c r="R1365">
        <f>SUM(Table13[[#This Row],[Rank_All_Ranks_Total]:[Rank_SSPSPAddlSPCommandant]])</f>
        <v>946</v>
      </c>
    </row>
    <row r="1366" spans="1:18" x14ac:dyDescent="0.3">
      <c r="A1366" t="s">
        <v>8</v>
      </c>
      <c r="B1366">
        <v>2010</v>
      </c>
      <c r="C1366" t="str">
        <f>_xlfn.CONCAT(Table13[[#This Row],[STATE]],"-",Table13[[#This Row],[Year]])</f>
        <v>Assam-2010</v>
      </c>
      <c r="D1366" t="s">
        <v>71</v>
      </c>
      <c r="E1366" t="s">
        <v>72</v>
      </c>
      <c r="F1366">
        <v>186</v>
      </c>
      <c r="G1366">
        <v>5</v>
      </c>
      <c r="H1366">
        <v>0</v>
      </c>
      <c r="I1366">
        <v>8</v>
      </c>
      <c r="J1366">
        <v>148</v>
      </c>
      <c r="K1366">
        <v>0</v>
      </c>
      <c r="L1366">
        <v>0</v>
      </c>
      <c r="M1366">
        <v>8</v>
      </c>
      <c r="N1366">
        <v>0</v>
      </c>
      <c r="O1366">
        <v>0</v>
      </c>
      <c r="P1366">
        <v>17</v>
      </c>
      <c r="Q1366">
        <v>0</v>
      </c>
      <c r="R1366">
        <f>SUM(Table13[[#This Row],[Rank_All_Ranks_Total]:[Rank_SSPSPAddlSPCommandant]])</f>
        <v>372</v>
      </c>
    </row>
    <row r="1367" spans="1:18" x14ac:dyDescent="0.3">
      <c r="A1367" t="s">
        <v>9</v>
      </c>
      <c r="B1367">
        <v>2010</v>
      </c>
      <c r="C1367" t="str">
        <f>_xlfn.CONCAT(Table13[[#This Row],[STATE]],"-",Table13[[#This Row],[Year]])</f>
        <v>Bihar-2010</v>
      </c>
      <c r="D1367" t="s">
        <v>71</v>
      </c>
      <c r="E1367" t="s">
        <v>72</v>
      </c>
      <c r="F1367">
        <v>1154</v>
      </c>
      <c r="G1367">
        <v>33</v>
      </c>
      <c r="H1367">
        <v>11</v>
      </c>
      <c r="I1367">
        <v>0</v>
      </c>
      <c r="J1367">
        <v>960</v>
      </c>
      <c r="K1367">
        <v>0</v>
      </c>
      <c r="L1367">
        <v>2</v>
      </c>
      <c r="M1367">
        <v>34</v>
      </c>
      <c r="N1367">
        <v>1</v>
      </c>
      <c r="O1367">
        <v>1</v>
      </c>
      <c r="P1367">
        <v>107</v>
      </c>
      <c r="Q1367">
        <v>5</v>
      </c>
      <c r="R1367">
        <f>SUM(Table13[[#This Row],[Rank_All_Ranks_Total]:[Rank_SSPSPAddlSPCommandant]])</f>
        <v>2308</v>
      </c>
    </row>
    <row r="1368" spans="1:18" x14ac:dyDescent="0.3">
      <c r="A1368" t="s">
        <v>35</v>
      </c>
      <c r="B1368">
        <v>2010</v>
      </c>
      <c r="C1368" t="str">
        <f>_xlfn.CONCAT(Table13[[#This Row],[STATE]],"-",Table13[[#This Row],[Year]])</f>
        <v>Chandigarh-2010</v>
      </c>
      <c r="D1368" t="s">
        <v>71</v>
      </c>
      <c r="E1368" t="s">
        <v>72</v>
      </c>
      <c r="F1368">
        <v>466</v>
      </c>
      <c r="G1368">
        <v>3</v>
      </c>
      <c r="H1368">
        <v>0</v>
      </c>
      <c r="I1368">
        <v>0</v>
      </c>
      <c r="J1368">
        <v>414</v>
      </c>
      <c r="K1368">
        <v>0</v>
      </c>
      <c r="L1368">
        <v>0</v>
      </c>
      <c r="M1368">
        <v>15</v>
      </c>
      <c r="N1368">
        <v>0</v>
      </c>
      <c r="O1368">
        <v>14</v>
      </c>
      <c r="P1368">
        <v>20</v>
      </c>
      <c r="Q1368">
        <v>0</v>
      </c>
      <c r="R1368">
        <f>SUM(Table13[[#This Row],[Rank_All_Ranks_Total]:[Rank_SSPSPAddlSPCommandant]])</f>
        <v>932</v>
      </c>
    </row>
    <row r="1369" spans="1:18" x14ac:dyDescent="0.3">
      <c r="A1369" t="s">
        <v>10</v>
      </c>
      <c r="B1369">
        <v>2010</v>
      </c>
      <c r="C1369" t="str">
        <f>_xlfn.CONCAT(Table13[[#This Row],[STATE]],"-",Table13[[#This Row],[Year]])</f>
        <v>Chhattisgarh-2010</v>
      </c>
      <c r="D1369" t="s">
        <v>71</v>
      </c>
      <c r="E1369" t="s">
        <v>72</v>
      </c>
      <c r="F1369">
        <v>1880</v>
      </c>
      <c r="G1369">
        <v>25</v>
      </c>
      <c r="H1369">
        <v>26</v>
      </c>
      <c r="I1369">
        <v>0</v>
      </c>
      <c r="J1369">
        <v>1636</v>
      </c>
      <c r="K1369">
        <v>0</v>
      </c>
      <c r="L1369">
        <v>0</v>
      </c>
      <c r="M1369">
        <v>95</v>
      </c>
      <c r="N1369">
        <v>0</v>
      </c>
      <c r="O1369">
        <v>47</v>
      </c>
      <c r="P1369">
        <v>47</v>
      </c>
      <c r="Q1369">
        <v>4</v>
      </c>
      <c r="R1369">
        <f>SUM(Table13[[#This Row],[Rank_All_Ranks_Total]:[Rank_SSPSPAddlSPCommandant]])</f>
        <v>3760</v>
      </c>
    </row>
    <row r="1370" spans="1:18" x14ac:dyDescent="0.3">
      <c r="A1370" t="s">
        <v>62</v>
      </c>
      <c r="B1370">
        <v>2010</v>
      </c>
      <c r="C1370" t="str">
        <f>_xlfn.CONCAT(Table13[[#This Row],[STATE]],"-",Table13[[#This Row],[Year]])</f>
        <v>Dadra &amp; Nagar Haveli-2010</v>
      </c>
      <c r="D1370" t="s">
        <v>71</v>
      </c>
      <c r="E1370" t="s">
        <v>72</v>
      </c>
      <c r="F1370">
        <v>9</v>
      </c>
      <c r="G1370">
        <v>0</v>
      </c>
      <c r="H1370">
        <v>0</v>
      </c>
      <c r="I1370">
        <v>0</v>
      </c>
      <c r="J1370">
        <v>4</v>
      </c>
      <c r="K1370">
        <v>0</v>
      </c>
      <c r="L1370">
        <v>0</v>
      </c>
      <c r="M1370">
        <v>3</v>
      </c>
      <c r="N1370">
        <v>0</v>
      </c>
      <c r="O1370">
        <v>0</v>
      </c>
      <c r="P1370">
        <v>2</v>
      </c>
      <c r="Q1370">
        <v>0</v>
      </c>
      <c r="R1370">
        <f>SUM(Table13[[#This Row],[Rank_All_Ranks_Total]:[Rank_SSPSPAddlSPCommandant]])</f>
        <v>18</v>
      </c>
    </row>
    <row r="1371" spans="1:18" x14ac:dyDescent="0.3">
      <c r="A1371" t="s">
        <v>37</v>
      </c>
      <c r="B1371">
        <v>2010</v>
      </c>
      <c r="C1371" t="str">
        <f>_xlfn.CONCAT(Table13[[#This Row],[STATE]],"-",Table13[[#This Row],[Year]])</f>
        <v>Daman &amp; Diu-2010</v>
      </c>
      <c r="D1371" t="s">
        <v>71</v>
      </c>
      <c r="E1371" t="s">
        <v>72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f>SUM(Table13[[#This Row],[Rank_All_Ranks_Total]:[Rank_SSPSPAddlSPCommandant]])</f>
        <v>0</v>
      </c>
    </row>
    <row r="1372" spans="1:18" x14ac:dyDescent="0.3">
      <c r="A1372" t="s">
        <v>38</v>
      </c>
      <c r="B1372">
        <v>2010</v>
      </c>
      <c r="C1372" t="str">
        <f>_xlfn.CONCAT(Table13[[#This Row],[STATE]],"-",Table13[[#This Row],[Year]])</f>
        <v>Delhi-2010</v>
      </c>
      <c r="D1372" t="s">
        <v>71</v>
      </c>
      <c r="E1372" t="s">
        <v>72</v>
      </c>
      <c r="F1372">
        <v>4556</v>
      </c>
      <c r="G1372">
        <v>339</v>
      </c>
      <c r="H1372">
        <v>22</v>
      </c>
      <c r="I1372">
        <v>0</v>
      </c>
      <c r="J1372">
        <v>3475</v>
      </c>
      <c r="K1372">
        <v>1</v>
      </c>
      <c r="L1372">
        <v>1</v>
      </c>
      <c r="M1372">
        <v>505</v>
      </c>
      <c r="N1372">
        <v>0</v>
      </c>
      <c r="O1372">
        <v>73</v>
      </c>
      <c r="P1372">
        <v>136</v>
      </c>
      <c r="Q1372">
        <v>4</v>
      </c>
      <c r="R1372">
        <f>SUM(Table13[[#This Row],[Rank_All_Ranks_Total]:[Rank_SSPSPAddlSPCommandant]])</f>
        <v>9112</v>
      </c>
    </row>
    <row r="1373" spans="1:18" x14ac:dyDescent="0.3">
      <c r="A1373" t="s">
        <v>11</v>
      </c>
      <c r="B1373">
        <v>2010</v>
      </c>
      <c r="C1373" t="str">
        <f>_xlfn.CONCAT(Table13[[#This Row],[STATE]],"-",Table13[[#This Row],[Year]])</f>
        <v>Goa-2010</v>
      </c>
      <c r="D1373" t="s">
        <v>71</v>
      </c>
      <c r="E1373" t="s">
        <v>72</v>
      </c>
      <c r="F1373">
        <v>333</v>
      </c>
      <c r="G1373">
        <v>1</v>
      </c>
      <c r="H1373">
        <v>2</v>
      </c>
      <c r="I1373">
        <v>0</v>
      </c>
      <c r="J1373">
        <v>184</v>
      </c>
      <c r="K1373">
        <v>0</v>
      </c>
      <c r="L1373">
        <v>0</v>
      </c>
      <c r="M1373">
        <v>126</v>
      </c>
      <c r="N1373">
        <v>1</v>
      </c>
      <c r="O1373">
        <v>6</v>
      </c>
      <c r="P1373">
        <v>13</v>
      </c>
      <c r="Q1373">
        <v>0</v>
      </c>
      <c r="R1373">
        <f>SUM(Table13[[#This Row],[Rank_All_Ranks_Total]:[Rank_SSPSPAddlSPCommandant]])</f>
        <v>666</v>
      </c>
    </row>
    <row r="1374" spans="1:18" x14ac:dyDescent="0.3">
      <c r="A1374" t="s">
        <v>12</v>
      </c>
      <c r="B1374">
        <v>2010</v>
      </c>
      <c r="C1374" t="str">
        <f>_xlfn.CONCAT(Table13[[#This Row],[STATE]],"-",Table13[[#This Row],[Year]])</f>
        <v>Gujarat-2010</v>
      </c>
      <c r="D1374" t="s">
        <v>71</v>
      </c>
      <c r="E1374" t="s">
        <v>72</v>
      </c>
      <c r="F1374">
        <v>1682</v>
      </c>
      <c r="G1374">
        <v>208</v>
      </c>
      <c r="H1374">
        <v>6</v>
      </c>
      <c r="I1374">
        <v>0</v>
      </c>
      <c r="J1374">
        <v>888</v>
      </c>
      <c r="K1374">
        <v>1</v>
      </c>
      <c r="L1374">
        <v>1</v>
      </c>
      <c r="M1374">
        <v>469</v>
      </c>
      <c r="N1374">
        <v>0</v>
      </c>
      <c r="O1374">
        <v>5</v>
      </c>
      <c r="P1374">
        <v>102</v>
      </c>
      <c r="Q1374">
        <v>2</v>
      </c>
      <c r="R1374">
        <f>SUM(Table13[[#This Row],[Rank_All_Ranks_Total]:[Rank_SSPSPAddlSPCommandant]])</f>
        <v>3364</v>
      </c>
    </row>
    <row r="1375" spans="1:18" x14ac:dyDescent="0.3">
      <c r="A1375" t="s">
        <v>13</v>
      </c>
      <c r="B1375">
        <v>2010</v>
      </c>
      <c r="C1375" t="str">
        <f>_xlfn.CONCAT(Table13[[#This Row],[STATE]],"-",Table13[[#This Row],[Year]])</f>
        <v>Haryana-2010</v>
      </c>
      <c r="D1375" t="s">
        <v>71</v>
      </c>
      <c r="E1375" t="s">
        <v>72</v>
      </c>
      <c r="F1375">
        <v>1918</v>
      </c>
      <c r="G1375">
        <v>71</v>
      </c>
      <c r="H1375">
        <v>0</v>
      </c>
      <c r="I1375">
        <v>0</v>
      </c>
      <c r="J1375">
        <v>1669</v>
      </c>
      <c r="K1375">
        <v>0</v>
      </c>
      <c r="L1375">
        <v>0</v>
      </c>
      <c r="M1375">
        <v>80</v>
      </c>
      <c r="N1375">
        <v>0</v>
      </c>
      <c r="O1375">
        <v>22</v>
      </c>
      <c r="P1375">
        <v>76</v>
      </c>
      <c r="Q1375">
        <v>0</v>
      </c>
      <c r="R1375">
        <f>SUM(Table13[[#This Row],[Rank_All_Ranks_Total]:[Rank_SSPSPAddlSPCommandant]])</f>
        <v>3836</v>
      </c>
    </row>
    <row r="1376" spans="1:18" x14ac:dyDescent="0.3">
      <c r="A1376" t="s">
        <v>14</v>
      </c>
      <c r="B1376">
        <v>2010</v>
      </c>
      <c r="C1376" t="str">
        <f>_xlfn.CONCAT(Table13[[#This Row],[STATE]],"-",Table13[[#This Row],[Year]])</f>
        <v>Himachal Pradesh-2010</v>
      </c>
      <c r="D1376" t="s">
        <v>71</v>
      </c>
      <c r="E1376" t="s">
        <v>72</v>
      </c>
      <c r="F1376">
        <v>611</v>
      </c>
      <c r="G1376">
        <v>17</v>
      </c>
      <c r="H1376">
        <v>2</v>
      </c>
      <c r="I1376">
        <v>0</v>
      </c>
      <c r="J1376">
        <v>521</v>
      </c>
      <c r="K1376">
        <v>0</v>
      </c>
      <c r="L1376">
        <v>1</v>
      </c>
      <c r="M1376">
        <v>47</v>
      </c>
      <c r="N1376">
        <v>0</v>
      </c>
      <c r="O1376">
        <v>14</v>
      </c>
      <c r="P1376">
        <v>5</v>
      </c>
      <c r="Q1376">
        <v>4</v>
      </c>
      <c r="R1376">
        <f>SUM(Table13[[#This Row],[Rank_All_Ranks_Total]:[Rank_SSPSPAddlSPCommandant]])</f>
        <v>1222</v>
      </c>
    </row>
    <row r="1377" spans="1:18" x14ac:dyDescent="0.3">
      <c r="A1377" t="s">
        <v>15</v>
      </c>
      <c r="B1377">
        <v>2010</v>
      </c>
      <c r="C1377" t="str">
        <f>_xlfn.CONCAT(Table13[[#This Row],[STATE]],"-",Table13[[#This Row],[Year]])</f>
        <v>Jammu &amp; Kashmir-2010</v>
      </c>
      <c r="D1377" t="s">
        <v>71</v>
      </c>
      <c r="E1377" t="s">
        <v>72</v>
      </c>
      <c r="F1377">
        <v>1064</v>
      </c>
      <c r="G1377">
        <v>55</v>
      </c>
      <c r="H1377">
        <v>5</v>
      </c>
      <c r="I1377">
        <v>255</v>
      </c>
      <c r="J1377">
        <v>604</v>
      </c>
      <c r="K1377">
        <v>0</v>
      </c>
      <c r="L1377">
        <v>0</v>
      </c>
      <c r="M1377">
        <v>63</v>
      </c>
      <c r="N1377">
        <v>1</v>
      </c>
      <c r="O1377">
        <v>25</v>
      </c>
      <c r="P1377">
        <v>51</v>
      </c>
      <c r="Q1377">
        <v>5</v>
      </c>
      <c r="R1377">
        <f>SUM(Table13[[#This Row],[Rank_All_Ranks_Total]:[Rank_SSPSPAddlSPCommandant]])</f>
        <v>2128</v>
      </c>
    </row>
    <row r="1378" spans="1:18" x14ac:dyDescent="0.3">
      <c r="A1378" t="s">
        <v>16</v>
      </c>
      <c r="B1378">
        <v>2010</v>
      </c>
      <c r="C1378" t="str">
        <f>_xlfn.CONCAT(Table13[[#This Row],[STATE]],"-",Table13[[#This Row],[Year]])</f>
        <v>Jharkhand-2010</v>
      </c>
      <c r="D1378" t="s">
        <v>71</v>
      </c>
      <c r="E1378" t="s">
        <v>72</v>
      </c>
      <c r="F1378">
        <v>1485</v>
      </c>
      <c r="G1378">
        <v>47</v>
      </c>
      <c r="H1378">
        <v>4</v>
      </c>
      <c r="I1378">
        <v>0</v>
      </c>
      <c r="J1378">
        <v>1238</v>
      </c>
      <c r="K1378">
        <v>0</v>
      </c>
      <c r="L1378">
        <v>3</v>
      </c>
      <c r="M1378">
        <v>142</v>
      </c>
      <c r="N1378">
        <v>1</v>
      </c>
      <c r="O1378">
        <v>6</v>
      </c>
      <c r="P1378">
        <v>41</v>
      </c>
      <c r="Q1378">
        <v>3</v>
      </c>
      <c r="R1378">
        <f>SUM(Table13[[#This Row],[Rank_All_Ranks_Total]:[Rank_SSPSPAddlSPCommandant]])</f>
        <v>2970</v>
      </c>
    </row>
    <row r="1379" spans="1:18" x14ac:dyDescent="0.3">
      <c r="A1379" t="s">
        <v>17</v>
      </c>
      <c r="B1379">
        <v>2010</v>
      </c>
      <c r="C1379" t="str">
        <f>_xlfn.CONCAT(Table13[[#This Row],[STATE]],"-",Table13[[#This Row],[Year]])</f>
        <v>Karnataka-2010</v>
      </c>
      <c r="D1379" t="s">
        <v>71</v>
      </c>
      <c r="E1379" t="s">
        <v>72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f>SUM(Table13[[#This Row],[Rank_All_Ranks_Total]:[Rank_SSPSPAddlSPCommandant]])</f>
        <v>0</v>
      </c>
    </row>
    <row r="1380" spans="1:18" x14ac:dyDescent="0.3">
      <c r="A1380" t="s">
        <v>18</v>
      </c>
      <c r="B1380">
        <v>2010</v>
      </c>
      <c r="C1380" t="str">
        <f>_xlfn.CONCAT(Table13[[#This Row],[STATE]],"-",Table13[[#This Row],[Year]])</f>
        <v>Kerala-2010</v>
      </c>
      <c r="D1380" t="s">
        <v>71</v>
      </c>
      <c r="E1380" t="s">
        <v>72</v>
      </c>
      <c r="F1380">
        <v>2739</v>
      </c>
      <c r="G1380">
        <v>0</v>
      </c>
      <c r="H1380">
        <v>1</v>
      </c>
      <c r="I1380">
        <v>0</v>
      </c>
      <c r="J1380">
        <v>2495</v>
      </c>
      <c r="K1380">
        <v>0</v>
      </c>
      <c r="L1380">
        <v>0</v>
      </c>
      <c r="M1380">
        <v>148</v>
      </c>
      <c r="N1380">
        <v>0</v>
      </c>
      <c r="O1380">
        <v>21</v>
      </c>
      <c r="P1380">
        <v>74</v>
      </c>
      <c r="Q1380">
        <v>0</v>
      </c>
      <c r="R1380">
        <f>SUM(Table13[[#This Row],[Rank_All_Ranks_Total]:[Rank_SSPSPAddlSPCommandant]])</f>
        <v>5478</v>
      </c>
    </row>
    <row r="1381" spans="1:18" x14ac:dyDescent="0.3">
      <c r="A1381" t="s">
        <v>39</v>
      </c>
      <c r="B1381">
        <v>2010</v>
      </c>
      <c r="C1381" t="str">
        <f>_xlfn.CONCAT(Table13[[#This Row],[STATE]],"-",Table13[[#This Row],[Year]])</f>
        <v>Lakshadweep-2010</v>
      </c>
      <c r="D1381" t="s">
        <v>71</v>
      </c>
      <c r="E1381" t="s">
        <v>72</v>
      </c>
      <c r="F1381">
        <v>16</v>
      </c>
      <c r="G1381">
        <v>0</v>
      </c>
      <c r="H1381">
        <v>0</v>
      </c>
      <c r="I1381">
        <v>0</v>
      </c>
      <c r="J1381">
        <v>15</v>
      </c>
      <c r="K1381">
        <v>0</v>
      </c>
      <c r="L1381">
        <v>0</v>
      </c>
      <c r="M1381">
        <v>1</v>
      </c>
      <c r="N1381">
        <v>0</v>
      </c>
      <c r="O1381">
        <v>0</v>
      </c>
      <c r="P1381">
        <v>0</v>
      </c>
      <c r="Q1381">
        <v>0</v>
      </c>
      <c r="R1381">
        <f>SUM(Table13[[#This Row],[Rank_All_Ranks_Total]:[Rank_SSPSPAddlSPCommandant]])</f>
        <v>32</v>
      </c>
    </row>
    <row r="1382" spans="1:18" x14ac:dyDescent="0.3">
      <c r="A1382" t="s">
        <v>19</v>
      </c>
      <c r="B1382">
        <v>2010</v>
      </c>
      <c r="C1382" t="str">
        <f>_xlfn.CONCAT(Table13[[#This Row],[STATE]],"-",Table13[[#This Row],[Year]])</f>
        <v>Madhya Pradesh-2010</v>
      </c>
      <c r="D1382" t="s">
        <v>71</v>
      </c>
      <c r="E1382" t="s">
        <v>72</v>
      </c>
      <c r="F1382">
        <v>2207</v>
      </c>
      <c r="G1382">
        <v>55</v>
      </c>
      <c r="H1382">
        <v>56</v>
      </c>
      <c r="I1382">
        <v>0</v>
      </c>
      <c r="J1382">
        <v>1573</v>
      </c>
      <c r="K1382">
        <v>1</v>
      </c>
      <c r="L1382">
        <v>2</v>
      </c>
      <c r="M1382">
        <v>277</v>
      </c>
      <c r="N1382">
        <v>4</v>
      </c>
      <c r="O1382">
        <v>46</v>
      </c>
      <c r="P1382">
        <v>188</v>
      </c>
      <c r="Q1382">
        <v>5</v>
      </c>
      <c r="R1382">
        <f>SUM(Table13[[#This Row],[Rank_All_Ranks_Total]:[Rank_SSPSPAddlSPCommandant]])</f>
        <v>4414</v>
      </c>
    </row>
    <row r="1383" spans="1:18" x14ac:dyDescent="0.3">
      <c r="A1383" t="s">
        <v>20</v>
      </c>
      <c r="B1383">
        <v>2010</v>
      </c>
      <c r="C1383" t="str">
        <f>_xlfn.CONCAT(Table13[[#This Row],[STATE]],"-",Table13[[#This Row],[Year]])</f>
        <v>Maharashtra-2010</v>
      </c>
      <c r="D1383" t="s">
        <v>71</v>
      </c>
      <c r="E1383" t="s">
        <v>72</v>
      </c>
      <c r="F1383">
        <v>12018</v>
      </c>
      <c r="G1383">
        <v>204</v>
      </c>
      <c r="H1383">
        <v>33</v>
      </c>
      <c r="I1383">
        <v>1340</v>
      </c>
      <c r="J1383">
        <v>9857</v>
      </c>
      <c r="K1383">
        <v>1</v>
      </c>
      <c r="L1383">
        <v>2</v>
      </c>
      <c r="M1383">
        <v>474</v>
      </c>
      <c r="N1383">
        <v>2</v>
      </c>
      <c r="O1383">
        <v>89</v>
      </c>
      <c r="P1383">
        <v>0</v>
      </c>
      <c r="Q1383">
        <v>16</v>
      </c>
      <c r="R1383">
        <f>SUM(Table13[[#This Row],[Rank_All_Ranks_Total]:[Rank_SSPSPAddlSPCommandant]])</f>
        <v>24036</v>
      </c>
    </row>
    <row r="1384" spans="1:18" x14ac:dyDescent="0.3">
      <c r="A1384" t="s">
        <v>21</v>
      </c>
      <c r="B1384">
        <v>2010</v>
      </c>
      <c r="C1384" t="str">
        <f>_xlfn.CONCAT(Table13[[#This Row],[STATE]],"-",Table13[[#This Row],[Year]])</f>
        <v>Manipur-2010</v>
      </c>
      <c r="D1384" t="s">
        <v>71</v>
      </c>
      <c r="E1384" t="s">
        <v>72</v>
      </c>
      <c r="F1384">
        <v>606</v>
      </c>
      <c r="G1384">
        <v>80</v>
      </c>
      <c r="H1384">
        <v>0</v>
      </c>
      <c r="I1384">
        <v>0</v>
      </c>
      <c r="J1384">
        <v>334</v>
      </c>
      <c r="K1384">
        <v>0</v>
      </c>
      <c r="L1384">
        <v>0</v>
      </c>
      <c r="M1384">
        <v>116</v>
      </c>
      <c r="N1384">
        <v>0</v>
      </c>
      <c r="O1384">
        <v>1</v>
      </c>
      <c r="P1384">
        <v>75</v>
      </c>
      <c r="Q1384">
        <v>0</v>
      </c>
      <c r="R1384">
        <f>SUM(Table13[[#This Row],[Rank_All_Ranks_Total]:[Rank_SSPSPAddlSPCommandant]])</f>
        <v>1212</v>
      </c>
    </row>
    <row r="1385" spans="1:18" x14ac:dyDescent="0.3">
      <c r="A1385" t="s">
        <v>22</v>
      </c>
      <c r="B1385">
        <v>2010</v>
      </c>
      <c r="C1385" t="str">
        <f>_xlfn.CONCAT(Table13[[#This Row],[STATE]],"-",Table13[[#This Row],[Year]])</f>
        <v>Meghalaya-2010</v>
      </c>
      <c r="D1385" t="s">
        <v>71</v>
      </c>
      <c r="E1385" t="s">
        <v>72</v>
      </c>
      <c r="F1385">
        <v>86</v>
      </c>
      <c r="G1385">
        <v>2</v>
      </c>
      <c r="H1385">
        <v>2</v>
      </c>
      <c r="I1385">
        <v>0</v>
      </c>
      <c r="J1385">
        <v>59</v>
      </c>
      <c r="K1385">
        <v>0</v>
      </c>
      <c r="L1385">
        <v>0</v>
      </c>
      <c r="M1385">
        <v>5</v>
      </c>
      <c r="N1385">
        <v>0</v>
      </c>
      <c r="O1385">
        <v>8</v>
      </c>
      <c r="P1385">
        <v>8</v>
      </c>
      <c r="Q1385">
        <v>2</v>
      </c>
      <c r="R1385">
        <f>SUM(Table13[[#This Row],[Rank_All_Ranks_Total]:[Rank_SSPSPAddlSPCommandant]])</f>
        <v>172</v>
      </c>
    </row>
    <row r="1386" spans="1:18" x14ac:dyDescent="0.3">
      <c r="A1386" t="s">
        <v>23</v>
      </c>
      <c r="B1386">
        <v>2010</v>
      </c>
      <c r="C1386" t="str">
        <f>_xlfn.CONCAT(Table13[[#This Row],[STATE]],"-",Table13[[#This Row],[Year]])</f>
        <v>Mizoram-2010</v>
      </c>
      <c r="D1386" t="s">
        <v>71</v>
      </c>
      <c r="E1386" t="s">
        <v>72</v>
      </c>
      <c r="F1386">
        <v>537</v>
      </c>
      <c r="G1386">
        <v>98</v>
      </c>
      <c r="H1386">
        <v>7</v>
      </c>
      <c r="I1386">
        <v>0</v>
      </c>
      <c r="J1386">
        <v>165</v>
      </c>
      <c r="K1386">
        <v>0</v>
      </c>
      <c r="L1386">
        <v>0</v>
      </c>
      <c r="M1386">
        <v>141</v>
      </c>
      <c r="N1386">
        <v>0</v>
      </c>
      <c r="O1386">
        <v>17</v>
      </c>
      <c r="P1386">
        <v>108</v>
      </c>
      <c r="Q1386">
        <v>1</v>
      </c>
      <c r="R1386">
        <f>SUM(Table13[[#This Row],[Rank_All_Ranks_Total]:[Rank_SSPSPAddlSPCommandant]])</f>
        <v>1074</v>
      </c>
    </row>
    <row r="1387" spans="1:18" x14ac:dyDescent="0.3">
      <c r="A1387" t="s">
        <v>24</v>
      </c>
      <c r="B1387">
        <v>2010</v>
      </c>
      <c r="C1387" t="str">
        <f>_xlfn.CONCAT(Table13[[#This Row],[STATE]],"-",Table13[[#This Row],[Year]])</f>
        <v>Nagaland-2010</v>
      </c>
      <c r="D1387" t="s">
        <v>71</v>
      </c>
      <c r="E1387" t="s">
        <v>72</v>
      </c>
      <c r="F1387">
        <v>66</v>
      </c>
      <c r="G1387">
        <v>5</v>
      </c>
      <c r="H1387">
        <v>1</v>
      </c>
      <c r="I1387">
        <v>0</v>
      </c>
      <c r="J1387">
        <v>52</v>
      </c>
      <c r="K1387">
        <v>0</v>
      </c>
      <c r="L1387">
        <v>0</v>
      </c>
      <c r="M1387">
        <v>5</v>
      </c>
      <c r="N1387">
        <v>0</v>
      </c>
      <c r="O1387">
        <v>0</v>
      </c>
      <c r="P1387">
        <v>3</v>
      </c>
      <c r="Q1387">
        <v>0</v>
      </c>
      <c r="R1387">
        <f>SUM(Table13[[#This Row],[Rank_All_Ranks_Total]:[Rank_SSPSPAddlSPCommandant]])</f>
        <v>132</v>
      </c>
    </row>
    <row r="1388" spans="1:18" x14ac:dyDescent="0.3">
      <c r="A1388" t="s">
        <v>63</v>
      </c>
      <c r="B1388">
        <v>2010</v>
      </c>
      <c r="C1388" t="str">
        <f>_xlfn.CONCAT(Table13[[#This Row],[STATE]],"-",Table13[[#This Row],[Year]])</f>
        <v>Odisha-2010</v>
      </c>
      <c r="D1388" t="s">
        <v>71</v>
      </c>
      <c r="E1388" t="s">
        <v>72</v>
      </c>
      <c r="F1388">
        <v>3281</v>
      </c>
      <c r="G1388">
        <v>84</v>
      </c>
      <c r="H1388">
        <v>8</v>
      </c>
      <c r="I1388">
        <v>0</v>
      </c>
      <c r="J1388">
        <v>2789</v>
      </c>
      <c r="K1388">
        <v>0</v>
      </c>
      <c r="L1388">
        <v>4</v>
      </c>
      <c r="M1388">
        <v>4</v>
      </c>
      <c r="N1388">
        <v>1</v>
      </c>
      <c r="O1388">
        <v>75</v>
      </c>
      <c r="P1388">
        <v>308</v>
      </c>
      <c r="Q1388">
        <v>8</v>
      </c>
      <c r="R1388">
        <f>SUM(Table13[[#This Row],[Rank_All_Ranks_Total]:[Rank_SSPSPAddlSPCommandant]])</f>
        <v>6562</v>
      </c>
    </row>
    <row r="1389" spans="1:18" x14ac:dyDescent="0.3">
      <c r="A1389" t="s">
        <v>64</v>
      </c>
      <c r="B1389">
        <v>2010</v>
      </c>
      <c r="C1389" t="str">
        <f>_xlfn.CONCAT(Table13[[#This Row],[STATE]],"-",Table13[[#This Row],[Year]])</f>
        <v>Puducherry-2010</v>
      </c>
      <c r="D1389" t="s">
        <v>71</v>
      </c>
      <c r="E1389" t="s">
        <v>72</v>
      </c>
      <c r="F1389">
        <v>85</v>
      </c>
      <c r="G1389">
        <v>0</v>
      </c>
      <c r="H1389">
        <v>1</v>
      </c>
      <c r="I1389">
        <v>0</v>
      </c>
      <c r="J1389">
        <v>72</v>
      </c>
      <c r="K1389">
        <v>0</v>
      </c>
      <c r="L1389">
        <v>0</v>
      </c>
      <c r="M1389">
        <v>7</v>
      </c>
      <c r="N1389">
        <v>0</v>
      </c>
      <c r="O1389">
        <v>1</v>
      </c>
      <c r="P1389">
        <v>4</v>
      </c>
      <c r="Q1389">
        <v>0</v>
      </c>
      <c r="R1389">
        <f>SUM(Table13[[#This Row],[Rank_All_Ranks_Total]:[Rank_SSPSPAddlSPCommandant]])</f>
        <v>170</v>
      </c>
    </row>
    <row r="1390" spans="1:18" x14ac:dyDescent="0.3">
      <c r="A1390" t="s">
        <v>26</v>
      </c>
      <c r="B1390">
        <v>2010</v>
      </c>
      <c r="C1390" t="str">
        <f>_xlfn.CONCAT(Table13[[#This Row],[STATE]],"-",Table13[[#This Row],[Year]])</f>
        <v>Punjab-2010</v>
      </c>
      <c r="D1390" t="s">
        <v>71</v>
      </c>
      <c r="E1390" t="s">
        <v>72</v>
      </c>
      <c r="F1390">
        <v>2334</v>
      </c>
      <c r="G1390">
        <v>122</v>
      </c>
      <c r="H1390">
        <v>0</v>
      </c>
      <c r="I1390">
        <v>0</v>
      </c>
      <c r="J1390">
        <v>1921</v>
      </c>
      <c r="K1390">
        <v>0</v>
      </c>
      <c r="L1390">
        <v>0</v>
      </c>
      <c r="M1390">
        <v>223</v>
      </c>
      <c r="N1390">
        <v>0</v>
      </c>
      <c r="O1390">
        <v>24</v>
      </c>
      <c r="P1390">
        <v>44</v>
      </c>
      <c r="Q1390">
        <v>0</v>
      </c>
      <c r="R1390">
        <f>SUM(Table13[[#This Row],[Rank_All_Ranks_Total]:[Rank_SSPSPAddlSPCommandant]])</f>
        <v>4668</v>
      </c>
    </row>
    <row r="1391" spans="1:18" x14ac:dyDescent="0.3">
      <c r="A1391" t="s">
        <v>27</v>
      </c>
      <c r="B1391">
        <v>2010</v>
      </c>
      <c r="C1391" t="str">
        <f>_xlfn.CONCAT(Table13[[#This Row],[STATE]],"-",Table13[[#This Row],[Year]])</f>
        <v>Rajasthan-2010</v>
      </c>
      <c r="D1391" t="s">
        <v>71</v>
      </c>
      <c r="E1391" t="s">
        <v>72</v>
      </c>
      <c r="F1391">
        <v>3663</v>
      </c>
      <c r="G1391">
        <v>39</v>
      </c>
      <c r="H1391">
        <v>0</v>
      </c>
      <c r="I1391">
        <v>0</v>
      </c>
      <c r="J1391">
        <v>3438</v>
      </c>
      <c r="K1391">
        <v>0</v>
      </c>
      <c r="L1391">
        <v>0</v>
      </c>
      <c r="M1391">
        <v>69</v>
      </c>
      <c r="N1391">
        <v>0</v>
      </c>
      <c r="O1391">
        <v>8</v>
      </c>
      <c r="P1391">
        <v>109</v>
      </c>
      <c r="Q1391">
        <v>0</v>
      </c>
      <c r="R1391">
        <f>SUM(Table13[[#This Row],[Rank_All_Ranks_Total]:[Rank_SSPSPAddlSPCommandant]])</f>
        <v>7326</v>
      </c>
    </row>
    <row r="1392" spans="1:18" x14ac:dyDescent="0.3">
      <c r="A1392" t="s">
        <v>28</v>
      </c>
      <c r="B1392">
        <v>2010</v>
      </c>
      <c r="C1392" t="str">
        <f>_xlfn.CONCAT(Table13[[#This Row],[STATE]],"-",Table13[[#This Row],[Year]])</f>
        <v>Sikkim-2010</v>
      </c>
      <c r="D1392" t="s">
        <v>71</v>
      </c>
      <c r="E1392" t="s">
        <v>72</v>
      </c>
      <c r="F1392">
        <v>183</v>
      </c>
      <c r="G1392">
        <v>0</v>
      </c>
      <c r="H1392">
        <v>6</v>
      </c>
      <c r="I1392">
        <v>0</v>
      </c>
      <c r="J1392">
        <v>139</v>
      </c>
      <c r="K1392">
        <v>0</v>
      </c>
      <c r="L1392">
        <v>0</v>
      </c>
      <c r="M1392">
        <v>9</v>
      </c>
      <c r="N1392">
        <v>0</v>
      </c>
      <c r="O1392">
        <v>16</v>
      </c>
      <c r="P1392">
        <v>10</v>
      </c>
      <c r="Q1392">
        <v>3</v>
      </c>
      <c r="R1392">
        <f>SUM(Table13[[#This Row],[Rank_All_Ranks_Total]:[Rank_SSPSPAddlSPCommandant]])</f>
        <v>366</v>
      </c>
    </row>
    <row r="1393" spans="1:18" x14ac:dyDescent="0.3">
      <c r="A1393" t="s">
        <v>42</v>
      </c>
      <c r="B1393">
        <v>2010</v>
      </c>
      <c r="C1393" t="str">
        <f>_xlfn.CONCAT(Table13[[#This Row],[STATE]],"-",Table13[[#This Row],[Year]])</f>
        <v>Tamil Nadu-2010</v>
      </c>
      <c r="D1393" t="s">
        <v>71</v>
      </c>
      <c r="E1393" t="s">
        <v>72</v>
      </c>
      <c r="F1393">
        <v>10681</v>
      </c>
      <c r="G1393">
        <v>0</v>
      </c>
      <c r="H1393">
        <v>80</v>
      </c>
      <c r="I1393">
        <v>2320</v>
      </c>
      <c r="J1393">
        <v>3465</v>
      </c>
      <c r="K1393">
        <v>2</v>
      </c>
      <c r="L1393">
        <v>1</v>
      </c>
      <c r="M1393">
        <v>3150</v>
      </c>
      <c r="N1393">
        <v>3</v>
      </c>
      <c r="O1393">
        <v>128</v>
      </c>
      <c r="P1393">
        <v>1503</v>
      </c>
      <c r="Q1393">
        <v>29</v>
      </c>
      <c r="R1393">
        <f>SUM(Table13[[#This Row],[Rank_All_Ranks_Total]:[Rank_SSPSPAddlSPCommandant]])</f>
        <v>21362</v>
      </c>
    </row>
    <row r="1394" spans="1:18" x14ac:dyDescent="0.3">
      <c r="A1394" t="s">
        <v>30</v>
      </c>
      <c r="B1394">
        <v>2010</v>
      </c>
      <c r="C1394" t="str">
        <f>_xlfn.CONCAT(Table13[[#This Row],[STATE]],"-",Table13[[#This Row],[Year]])</f>
        <v>Tripura-2010</v>
      </c>
      <c r="D1394" t="s">
        <v>71</v>
      </c>
      <c r="E1394" t="s">
        <v>72</v>
      </c>
      <c r="F1394">
        <v>701</v>
      </c>
      <c r="G1394">
        <v>51</v>
      </c>
      <c r="H1394">
        <v>3</v>
      </c>
      <c r="I1394">
        <v>0</v>
      </c>
      <c r="J1394">
        <v>600</v>
      </c>
      <c r="K1394">
        <v>0</v>
      </c>
      <c r="L1394">
        <v>0</v>
      </c>
      <c r="M1394">
        <v>8</v>
      </c>
      <c r="N1394">
        <v>0</v>
      </c>
      <c r="O1394">
        <v>5</v>
      </c>
      <c r="P1394">
        <v>31</v>
      </c>
      <c r="Q1394">
        <v>3</v>
      </c>
      <c r="R1394">
        <f>SUM(Table13[[#This Row],[Rank_All_Ranks_Total]:[Rank_SSPSPAddlSPCommandant]])</f>
        <v>1402</v>
      </c>
    </row>
    <row r="1395" spans="1:18" x14ac:dyDescent="0.3">
      <c r="A1395" t="s">
        <v>31</v>
      </c>
      <c r="B1395">
        <v>2010</v>
      </c>
      <c r="C1395" t="str">
        <f>_xlfn.CONCAT(Table13[[#This Row],[STATE]],"-",Table13[[#This Row],[Year]])</f>
        <v>Uttar Pradesh-2010</v>
      </c>
      <c r="D1395" t="s">
        <v>71</v>
      </c>
      <c r="E1395" t="s">
        <v>72</v>
      </c>
      <c r="F1395">
        <v>2406</v>
      </c>
      <c r="G1395">
        <v>0</v>
      </c>
      <c r="H1395">
        <v>45</v>
      </c>
      <c r="I1395">
        <v>0</v>
      </c>
      <c r="J1395">
        <v>1935</v>
      </c>
      <c r="K1395">
        <v>0</v>
      </c>
      <c r="L1395">
        <v>2</v>
      </c>
      <c r="M1395">
        <v>70</v>
      </c>
      <c r="N1395">
        <v>2</v>
      </c>
      <c r="O1395">
        <v>10</v>
      </c>
      <c r="P1395">
        <v>320</v>
      </c>
      <c r="Q1395">
        <v>22</v>
      </c>
      <c r="R1395">
        <f>SUM(Table13[[#This Row],[Rank_All_Ranks_Total]:[Rank_SSPSPAddlSPCommandant]])</f>
        <v>4812</v>
      </c>
    </row>
    <row r="1396" spans="1:18" x14ac:dyDescent="0.3">
      <c r="A1396" t="s">
        <v>65</v>
      </c>
      <c r="B1396">
        <v>2010</v>
      </c>
      <c r="C1396" t="str">
        <f>_xlfn.CONCAT(Table13[[#This Row],[STATE]],"-",Table13[[#This Row],[Year]])</f>
        <v>Uttarakhand-2010</v>
      </c>
      <c r="D1396" t="s">
        <v>71</v>
      </c>
      <c r="E1396" t="s">
        <v>72</v>
      </c>
      <c r="F1396">
        <v>1302</v>
      </c>
      <c r="G1396">
        <v>0</v>
      </c>
      <c r="H1396">
        <v>9</v>
      </c>
      <c r="I1396">
        <v>0</v>
      </c>
      <c r="J1396">
        <v>1147</v>
      </c>
      <c r="K1396">
        <v>0</v>
      </c>
      <c r="L1396">
        <v>0</v>
      </c>
      <c r="M1396">
        <v>56</v>
      </c>
      <c r="N1396">
        <v>0</v>
      </c>
      <c r="O1396">
        <v>1</v>
      </c>
      <c r="P1396">
        <v>79</v>
      </c>
      <c r="Q1396">
        <v>10</v>
      </c>
      <c r="R1396">
        <f>SUM(Table13[[#This Row],[Rank_All_Ranks_Total]:[Rank_SSPSPAddlSPCommandant]])</f>
        <v>2604</v>
      </c>
    </row>
    <row r="1397" spans="1:18" x14ac:dyDescent="0.3">
      <c r="A1397" t="s">
        <v>33</v>
      </c>
      <c r="B1397">
        <v>2010</v>
      </c>
      <c r="C1397" t="str">
        <f>_xlfn.CONCAT(Table13[[#This Row],[STATE]],"-",Table13[[#This Row],[Year]])</f>
        <v>West Bengal-2010</v>
      </c>
      <c r="D1397" t="s">
        <v>71</v>
      </c>
      <c r="E1397" t="s">
        <v>72</v>
      </c>
      <c r="F1397">
        <v>2334</v>
      </c>
      <c r="G1397">
        <v>116</v>
      </c>
      <c r="H1397">
        <v>7</v>
      </c>
      <c r="I1397">
        <v>0</v>
      </c>
      <c r="J1397">
        <v>1998</v>
      </c>
      <c r="K1397">
        <v>0</v>
      </c>
      <c r="L1397">
        <v>1</v>
      </c>
      <c r="M1397">
        <v>7</v>
      </c>
      <c r="N1397">
        <v>0</v>
      </c>
      <c r="O1397">
        <v>38</v>
      </c>
      <c r="P1397">
        <v>164</v>
      </c>
      <c r="Q1397">
        <v>3</v>
      </c>
      <c r="R1397">
        <f>SUM(Table13[[#This Row],[Rank_All_Ranks_Total]:[Rank_SSPSPAddlSPCommandant]])</f>
        <v>4668</v>
      </c>
    </row>
    <row r="1398" spans="1:18" x14ac:dyDescent="0.3">
      <c r="A1398" t="s">
        <v>59</v>
      </c>
      <c r="B1398">
        <v>2001</v>
      </c>
      <c r="C1398" t="str">
        <f>_xlfn.CONCAT(Table13[[#This Row],[STATE]],"-",Table13[[#This Row],[Year]])</f>
        <v>Andaman &amp; Nicobar Islands-2001</v>
      </c>
      <c r="D1398" t="s">
        <v>73</v>
      </c>
      <c r="E1398" t="s">
        <v>74</v>
      </c>
      <c r="F1398">
        <v>829</v>
      </c>
      <c r="G1398">
        <v>2</v>
      </c>
      <c r="H1398">
        <v>3</v>
      </c>
      <c r="I1398">
        <v>0</v>
      </c>
      <c r="J1398">
        <v>657</v>
      </c>
      <c r="K1398">
        <v>0</v>
      </c>
      <c r="L1398">
        <v>1</v>
      </c>
      <c r="M1398">
        <v>134</v>
      </c>
      <c r="N1398">
        <v>0</v>
      </c>
      <c r="O1398">
        <v>6</v>
      </c>
      <c r="P1398">
        <v>26</v>
      </c>
      <c r="Q1398">
        <v>0</v>
      </c>
      <c r="R1398">
        <f>SUM(Table13[[#This Row],[Rank_All_Ranks_Total]:[Rank_SSPSPAddlSPCommandant]])</f>
        <v>1658</v>
      </c>
    </row>
    <row r="1399" spans="1:18" x14ac:dyDescent="0.3">
      <c r="A1399" t="s">
        <v>6</v>
      </c>
      <c r="B1399">
        <v>2001</v>
      </c>
      <c r="C1399" t="str">
        <f>_xlfn.CONCAT(Table13[[#This Row],[STATE]],"-",Table13[[#This Row],[Year]])</f>
        <v>Andhra Pradesh-2001</v>
      </c>
      <c r="D1399" t="s">
        <v>73</v>
      </c>
      <c r="E1399" t="s">
        <v>74</v>
      </c>
      <c r="F1399">
        <v>13479</v>
      </c>
      <c r="G1399">
        <v>609</v>
      </c>
      <c r="H1399">
        <v>61</v>
      </c>
      <c r="I1399">
        <v>0</v>
      </c>
      <c r="J1399">
        <v>9208</v>
      </c>
      <c r="K1399">
        <v>0</v>
      </c>
      <c r="L1399">
        <v>0</v>
      </c>
      <c r="M1399">
        <v>3100</v>
      </c>
      <c r="N1399">
        <v>0</v>
      </c>
      <c r="O1399">
        <v>140</v>
      </c>
      <c r="P1399">
        <v>348</v>
      </c>
      <c r="Q1399">
        <v>13</v>
      </c>
      <c r="R1399">
        <f>SUM(Table13[[#This Row],[Rank_All_Ranks_Total]:[Rank_SSPSPAddlSPCommandant]])</f>
        <v>26958</v>
      </c>
    </row>
    <row r="1400" spans="1:18" x14ac:dyDescent="0.3">
      <c r="A1400" t="s">
        <v>7</v>
      </c>
      <c r="B1400">
        <v>2001</v>
      </c>
      <c r="C1400" t="str">
        <f>_xlfn.CONCAT(Table13[[#This Row],[STATE]],"-",Table13[[#This Row],[Year]])</f>
        <v>Arunachal Pradesh-2001</v>
      </c>
      <c r="D1400" t="s">
        <v>73</v>
      </c>
      <c r="E1400" t="s">
        <v>74</v>
      </c>
      <c r="F1400">
        <v>2291</v>
      </c>
      <c r="G1400">
        <v>14</v>
      </c>
      <c r="H1400">
        <v>21</v>
      </c>
      <c r="I1400">
        <v>216</v>
      </c>
      <c r="J1400">
        <v>1645</v>
      </c>
      <c r="K1400">
        <v>0</v>
      </c>
      <c r="L1400">
        <v>0</v>
      </c>
      <c r="M1400">
        <v>325</v>
      </c>
      <c r="N1400">
        <v>0</v>
      </c>
      <c r="O1400">
        <v>19</v>
      </c>
      <c r="P1400">
        <v>48</v>
      </c>
      <c r="Q1400">
        <v>3</v>
      </c>
      <c r="R1400">
        <f>SUM(Table13[[#This Row],[Rank_All_Ranks_Total]:[Rank_SSPSPAddlSPCommandant]])</f>
        <v>4582</v>
      </c>
    </row>
    <row r="1401" spans="1:18" x14ac:dyDescent="0.3">
      <c r="A1401" t="s">
        <v>8</v>
      </c>
      <c r="B1401">
        <v>2001</v>
      </c>
      <c r="C1401" t="str">
        <f>_xlfn.CONCAT(Table13[[#This Row],[STATE]],"-",Table13[[#This Row],[Year]])</f>
        <v>Assam-2001</v>
      </c>
      <c r="D1401" t="s">
        <v>73</v>
      </c>
      <c r="E1401" t="s">
        <v>74</v>
      </c>
      <c r="F1401">
        <v>25920</v>
      </c>
      <c r="G1401">
        <v>36</v>
      </c>
      <c r="H1401">
        <v>150</v>
      </c>
      <c r="I1401">
        <v>2447</v>
      </c>
      <c r="J1401">
        <v>18097</v>
      </c>
      <c r="K1401">
        <v>0</v>
      </c>
      <c r="L1401">
        <v>0</v>
      </c>
      <c r="M1401">
        <v>4168</v>
      </c>
      <c r="N1401">
        <v>0</v>
      </c>
      <c r="O1401">
        <v>241</v>
      </c>
      <c r="P1401">
        <v>729</v>
      </c>
      <c r="Q1401">
        <v>52</v>
      </c>
      <c r="R1401">
        <f>SUM(Table13[[#This Row],[Rank_All_Ranks_Total]:[Rank_SSPSPAddlSPCommandant]])</f>
        <v>51840</v>
      </c>
    </row>
    <row r="1402" spans="1:18" x14ac:dyDescent="0.3">
      <c r="A1402" t="s">
        <v>9</v>
      </c>
      <c r="B1402">
        <v>2001</v>
      </c>
      <c r="C1402" t="str">
        <f>_xlfn.CONCAT(Table13[[#This Row],[STATE]],"-",Table13[[#This Row],[Year]])</f>
        <v>Bihar-2001</v>
      </c>
      <c r="D1402" t="s">
        <v>73</v>
      </c>
      <c r="E1402" t="s">
        <v>74</v>
      </c>
      <c r="F1402">
        <v>397</v>
      </c>
      <c r="G1402">
        <v>0</v>
      </c>
      <c r="H1402">
        <v>0</v>
      </c>
      <c r="I1402">
        <v>0</v>
      </c>
      <c r="J1402">
        <v>326</v>
      </c>
      <c r="K1402">
        <v>0</v>
      </c>
      <c r="L1402">
        <v>0</v>
      </c>
      <c r="M1402">
        <v>61</v>
      </c>
      <c r="N1402">
        <v>0</v>
      </c>
      <c r="O1402">
        <v>2</v>
      </c>
      <c r="P1402">
        <v>8</v>
      </c>
      <c r="Q1402">
        <v>0</v>
      </c>
      <c r="R1402">
        <f>SUM(Table13[[#This Row],[Rank_All_Ranks_Total]:[Rank_SSPSPAddlSPCommandant]])</f>
        <v>794</v>
      </c>
    </row>
    <row r="1403" spans="1:18" x14ac:dyDescent="0.3">
      <c r="A1403" t="s">
        <v>35</v>
      </c>
      <c r="B1403">
        <v>2001</v>
      </c>
      <c r="C1403" t="str">
        <f>_xlfn.CONCAT(Table13[[#This Row],[STATE]],"-",Table13[[#This Row],[Year]])</f>
        <v>Chandigarh-2001</v>
      </c>
      <c r="D1403" t="s">
        <v>73</v>
      </c>
      <c r="E1403" t="s">
        <v>74</v>
      </c>
      <c r="F1403">
        <v>1153</v>
      </c>
      <c r="G1403">
        <v>0</v>
      </c>
      <c r="H1403">
        <v>2</v>
      </c>
      <c r="I1403">
        <v>0</v>
      </c>
      <c r="J1403">
        <v>936</v>
      </c>
      <c r="K1403">
        <v>0</v>
      </c>
      <c r="L1403">
        <v>0</v>
      </c>
      <c r="M1403">
        <v>179</v>
      </c>
      <c r="N1403">
        <v>0</v>
      </c>
      <c r="O1403">
        <v>8</v>
      </c>
      <c r="P1403">
        <v>28</v>
      </c>
      <c r="Q1403">
        <v>0</v>
      </c>
      <c r="R1403">
        <f>SUM(Table13[[#This Row],[Rank_All_Ranks_Total]:[Rank_SSPSPAddlSPCommandant]])</f>
        <v>2306</v>
      </c>
    </row>
    <row r="1404" spans="1:18" x14ac:dyDescent="0.3">
      <c r="A1404" t="s">
        <v>10</v>
      </c>
      <c r="B1404">
        <v>2001</v>
      </c>
      <c r="C1404" t="str">
        <f>_xlfn.CONCAT(Table13[[#This Row],[STATE]],"-",Table13[[#This Row],[Year]])</f>
        <v>Chhattisgarh-2001</v>
      </c>
      <c r="D1404" t="s">
        <v>73</v>
      </c>
      <c r="E1404" t="s">
        <v>74</v>
      </c>
      <c r="F1404">
        <v>1331</v>
      </c>
      <c r="G1404">
        <v>4</v>
      </c>
      <c r="H1404">
        <v>9</v>
      </c>
      <c r="I1404">
        <v>0</v>
      </c>
      <c r="J1404">
        <v>369</v>
      </c>
      <c r="K1404">
        <v>0</v>
      </c>
      <c r="L1404">
        <v>0</v>
      </c>
      <c r="M1404">
        <v>878</v>
      </c>
      <c r="N1404">
        <v>0</v>
      </c>
      <c r="O1404">
        <v>3</v>
      </c>
      <c r="P1404">
        <v>65</v>
      </c>
      <c r="Q1404">
        <v>3</v>
      </c>
      <c r="R1404">
        <f>SUM(Table13[[#This Row],[Rank_All_Ranks_Total]:[Rank_SSPSPAddlSPCommandant]])</f>
        <v>2662</v>
      </c>
    </row>
    <row r="1405" spans="1:18" x14ac:dyDescent="0.3">
      <c r="A1405" t="s">
        <v>62</v>
      </c>
      <c r="B1405">
        <v>2001</v>
      </c>
      <c r="C1405" t="str">
        <f>_xlfn.CONCAT(Table13[[#This Row],[STATE]],"-",Table13[[#This Row],[Year]])</f>
        <v>Dadra &amp; Nagar Haveli-2001</v>
      </c>
      <c r="D1405" t="s">
        <v>73</v>
      </c>
      <c r="E1405" t="s">
        <v>74</v>
      </c>
      <c r="F1405">
        <v>96</v>
      </c>
      <c r="G1405">
        <v>1</v>
      </c>
      <c r="H1405">
        <v>0</v>
      </c>
      <c r="I1405">
        <v>0</v>
      </c>
      <c r="J1405">
        <v>76</v>
      </c>
      <c r="K1405">
        <v>0</v>
      </c>
      <c r="L1405">
        <v>0</v>
      </c>
      <c r="M1405">
        <v>18</v>
      </c>
      <c r="N1405">
        <v>0</v>
      </c>
      <c r="O1405">
        <v>0</v>
      </c>
      <c r="P1405">
        <v>1</v>
      </c>
      <c r="Q1405">
        <v>0</v>
      </c>
      <c r="R1405">
        <f>SUM(Table13[[#This Row],[Rank_All_Ranks_Total]:[Rank_SSPSPAddlSPCommandant]])</f>
        <v>192</v>
      </c>
    </row>
    <row r="1406" spans="1:18" x14ac:dyDescent="0.3">
      <c r="A1406" t="s">
        <v>37</v>
      </c>
      <c r="B1406">
        <v>2001</v>
      </c>
      <c r="C1406" t="str">
        <f>_xlfn.CONCAT(Table13[[#This Row],[STATE]],"-",Table13[[#This Row],[Year]])</f>
        <v>Daman &amp; Diu-2001</v>
      </c>
      <c r="D1406" t="s">
        <v>73</v>
      </c>
      <c r="E1406" t="s">
        <v>74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f>SUM(Table13[[#This Row],[Rank_All_Ranks_Total]:[Rank_SSPSPAddlSPCommandant]])</f>
        <v>0</v>
      </c>
    </row>
    <row r="1407" spans="1:18" x14ac:dyDescent="0.3">
      <c r="A1407" t="s">
        <v>38</v>
      </c>
      <c r="B1407">
        <v>2001</v>
      </c>
      <c r="C1407" t="str">
        <f>_xlfn.CONCAT(Table13[[#This Row],[STATE]],"-",Table13[[#This Row],[Year]])</f>
        <v>Delhi-2001</v>
      </c>
      <c r="D1407" t="s">
        <v>73</v>
      </c>
      <c r="E1407" t="s">
        <v>74</v>
      </c>
      <c r="F1407">
        <v>10428</v>
      </c>
      <c r="G1407">
        <v>167</v>
      </c>
      <c r="H1407">
        <v>39</v>
      </c>
      <c r="I1407">
        <v>0</v>
      </c>
      <c r="J1407">
        <v>7911</v>
      </c>
      <c r="K1407">
        <v>0</v>
      </c>
      <c r="L1407">
        <v>1</v>
      </c>
      <c r="M1407">
        <v>1933</v>
      </c>
      <c r="N1407">
        <v>1</v>
      </c>
      <c r="O1407">
        <v>81</v>
      </c>
      <c r="P1407">
        <v>280</v>
      </c>
      <c r="Q1407">
        <v>15</v>
      </c>
      <c r="R1407">
        <f>SUM(Table13[[#This Row],[Rank_All_Ranks_Total]:[Rank_SSPSPAddlSPCommandant]])</f>
        <v>20856</v>
      </c>
    </row>
    <row r="1408" spans="1:18" x14ac:dyDescent="0.3">
      <c r="A1408" t="s">
        <v>11</v>
      </c>
      <c r="B1408">
        <v>2001</v>
      </c>
      <c r="C1408" t="str">
        <f>_xlfn.CONCAT(Table13[[#This Row],[STATE]],"-",Table13[[#This Row],[Year]])</f>
        <v>Goa-2001</v>
      </c>
      <c r="D1408" t="s">
        <v>73</v>
      </c>
      <c r="E1408" t="s">
        <v>74</v>
      </c>
      <c r="F1408">
        <v>621</v>
      </c>
      <c r="G1408">
        <v>15</v>
      </c>
      <c r="H1408">
        <v>4</v>
      </c>
      <c r="I1408">
        <v>0</v>
      </c>
      <c r="J1408">
        <v>465</v>
      </c>
      <c r="K1408">
        <v>0</v>
      </c>
      <c r="L1408">
        <v>0</v>
      </c>
      <c r="M1408">
        <v>113</v>
      </c>
      <c r="N1408">
        <v>0</v>
      </c>
      <c r="O1408">
        <v>6</v>
      </c>
      <c r="P1408">
        <v>17</v>
      </c>
      <c r="Q1408">
        <v>1</v>
      </c>
      <c r="R1408">
        <f>SUM(Table13[[#This Row],[Rank_All_Ranks_Total]:[Rank_SSPSPAddlSPCommandant]])</f>
        <v>1242</v>
      </c>
    </row>
    <row r="1409" spans="1:18" x14ac:dyDescent="0.3">
      <c r="A1409" t="s">
        <v>12</v>
      </c>
      <c r="B1409">
        <v>2001</v>
      </c>
      <c r="C1409" t="str">
        <f>_xlfn.CONCAT(Table13[[#This Row],[STATE]],"-",Table13[[#This Row],[Year]])</f>
        <v>Gujarat-2001</v>
      </c>
      <c r="D1409" t="s">
        <v>73</v>
      </c>
      <c r="E1409" t="s">
        <v>74</v>
      </c>
      <c r="F1409">
        <v>12185</v>
      </c>
      <c r="G1409">
        <v>1072</v>
      </c>
      <c r="H1409">
        <v>42</v>
      </c>
      <c r="I1409">
        <v>0</v>
      </c>
      <c r="J1409">
        <v>9575</v>
      </c>
      <c r="K1409">
        <v>0</v>
      </c>
      <c r="L1409">
        <v>0</v>
      </c>
      <c r="M1409">
        <v>1078</v>
      </c>
      <c r="N1409">
        <v>0</v>
      </c>
      <c r="O1409">
        <v>104</v>
      </c>
      <c r="P1409">
        <v>314</v>
      </c>
      <c r="Q1409">
        <v>0</v>
      </c>
      <c r="R1409">
        <f>SUM(Table13[[#This Row],[Rank_All_Ranks_Total]:[Rank_SSPSPAddlSPCommandant]])</f>
        <v>24370</v>
      </c>
    </row>
    <row r="1410" spans="1:18" x14ac:dyDescent="0.3">
      <c r="A1410" t="s">
        <v>13</v>
      </c>
      <c r="B1410">
        <v>2001</v>
      </c>
      <c r="C1410" t="str">
        <f>_xlfn.CONCAT(Table13[[#This Row],[STATE]],"-",Table13[[#This Row],[Year]])</f>
        <v>Haryana-2001</v>
      </c>
      <c r="D1410" t="s">
        <v>73</v>
      </c>
      <c r="E1410" t="s">
        <v>74</v>
      </c>
      <c r="F1410">
        <v>4702</v>
      </c>
      <c r="G1410">
        <v>114</v>
      </c>
      <c r="H1410">
        <v>16</v>
      </c>
      <c r="I1410">
        <v>0</v>
      </c>
      <c r="J1410">
        <v>3597</v>
      </c>
      <c r="K1410">
        <v>1</v>
      </c>
      <c r="L1410">
        <v>1</v>
      </c>
      <c r="M1410">
        <v>788</v>
      </c>
      <c r="N1410">
        <v>1</v>
      </c>
      <c r="O1410">
        <v>48</v>
      </c>
      <c r="P1410">
        <v>131</v>
      </c>
      <c r="Q1410">
        <v>5</v>
      </c>
      <c r="R1410">
        <f>SUM(Table13[[#This Row],[Rank_All_Ranks_Total]:[Rank_SSPSPAddlSPCommandant]])</f>
        <v>9404</v>
      </c>
    </row>
    <row r="1411" spans="1:18" x14ac:dyDescent="0.3">
      <c r="A1411" t="s">
        <v>14</v>
      </c>
      <c r="B1411">
        <v>2001</v>
      </c>
      <c r="C1411" t="str">
        <f>_xlfn.CONCAT(Table13[[#This Row],[STATE]],"-",Table13[[#This Row],[Year]])</f>
        <v>Himachal Pradesh-2001</v>
      </c>
      <c r="D1411" t="s">
        <v>73</v>
      </c>
      <c r="E1411" t="s">
        <v>74</v>
      </c>
      <c r="F1411">
        <v>5243</v>
      </c>
      <c r="G1411">
        <v>62</v>
      </c>
      <c r="H1411">
        <v>30</v>
      </c>
      <c r="I1411">
        <v>1010</v>
      </c>
      <c r="J1411">
        <v>3030</v>
      </c>
      <c r="K1411">
        <v>0</v>
      </c>
      <c r="L1411">
        <v>2</v>
      </c>
      <c r="M1411">
        <v>890</v>
      </c>
      <c r="N1411">
        <v>1</v>
      </c>
      <c r="O1411">
        <v>44</v>
      </c>
      <c r="P1411">
        <v>162</v>
      </c>
      <c r="Q1411">
        <v>12</v>
      </c>
      <c r="R1411">
        <f>SUM(Table13[[#This Row],[Rank_All_Ranks_Total]:[Rank_SSPSPAddlSPCommandant]])</f>
        <v>10486</v>
      </c>
    </row>
    <row r="1412" spans="1:18" x14ac:dyDescent="0.3">
      <c r="A1412" t="s">
        <v>15</v>
      </c>
      <c r="B1412">
        <v>2001</v>
      </c>
      <c r="C1412" t="str">
        <f>_xlfn.CONCAT(Table13[[#This Row],[STATE]],"-",Table13[[#This Row],[Year]])</f>
        <v>Jammu &amp; Kashmir-2001</v>
      </c>
      <c r="D1412" t="s">
        <v>73</v>
      </c>
      <c r="E1412" t="s">
        <v>74</v>
      </c>
      <c r="F1412">
        <v>18759</v>
      </c>
      <c r="G1412">
        <v>389</v>
      </c>
      <c r="H1412">
        <v>146</v>
      </c>
      <c r="I1412">
        <v>0</v>
      </c>
      <c r="J1412">
        <v>14534</v>
      </c>
      <c r="K1412">
        <v>1</v>
      </c>
      <c r="L1412">
        <v>2</v>
      </c>
      <c r="M1412">
        <v>3048</v>
      </c>
      <c r="N1412">
        <v>1</v>
      </c>
      <c r="O1412">
        <v>125</v>
      </c>
      <c r="P1412">
        <v>458</v>
      </c>
      <c r="Q1412">
        <v>55</v>
      </c>
      <c r="R1412">
        <f>SUM(Table13[[#This Row],[Rank_All_Ranks_Total]:[Rank_SSPSPAddlSPCommandant]])</f>
        <v>37518</v>
      </c>
    </row>
    <row r="1413" spans="1:18" x14ac:dyDescent="0.3">
      <c r="A1413" t="s">
        <v>17</v>
      </c>
      <c r="B1413">
        <v>2001</v>
      </c>
      <c r="C1413" t="str">
        <f>_xlfn.CONCAT(Table13[[#This Row],[STATE]],"-",Table13[[#This Row],[Year]])</f>
        <v>Karnataka-2001</v>
      </c>
      <c r="D1413" t="s">
        <v>73</v>
      </c>
      <c r="E1413" t="s">
        <v>74</v>
      </c>
      <c r="F1413">
        <v>1020</v>
      </c>
      <c r="G1413">
        <v>36</v>
      </c>
      <c r="H1413">
        <v>2</v>
      </c>
      <c r="I1413">
        <v>0</v>
      </c>
      <c r="J1413">
        <v>792</v>
      </c>
      <c r="K1413">
        <v>0</v>
      </c>
      <c r="L1413">
        <v>0</v>
      </c>
      <c r="M1413">
        <v>165</v>
      </c>
      <c r="N1413">
        <v>0</v>
      </c>
      <c r="O1413">
        <v>5</v>
      </c>
      <c r="P1413">
        <v>20</v>
      </c>
      <c r="Q1413">
        <v>0</v>
      </c>
      <c r="R1413">
        <f>SUM(Table13[[#This Row],[Rank_All_Ranks_Total]:[Rank_SSPSPAddlSPCommandant]])</f>
        <v>2040</v>
      </c>
    </row>
    <row r="1414" spans="1:18" x14ac:dyDescent="0.3">
      <c r="A1414" t="s">
        <v>18</v>
      </c>
      <c r="B1414">
        <v>2001</v>
      </c>
      <c r="C1414" t="str">
        <f>_xlfn.CONCAT(Table13[[#This Row],[STATE]],"-",Table13[[#This Row],[Year]])</f>
        <v>Kerala-2001</v>
      </c>
      <c r="D1414" t="s">
        <v>73</v>
      </c>
      <c r="E1414" t="s">
        <v>74</v>
      </c>
      <c r="F1414">
        <v>9352</v>
      </c>
      <c r="G1414">
        <v>103</v>
      </c>
      <c r="H1414">
        <v>49</v>
      </c>
      <c r="I1414">
        <v>0</v>
      </c>
      <c r="J1414">
        <v>7577</v>
      </c>
      <c r="K1414">
        <v>0</v>
      </c>
      <c r="L1414">
        <v>0</v>
      </c>
      <c r="M1414">
        <v>1312</v>
      </c>
      <c r="N1414">
        <v>0</v>
      </c>
      <c r="O1414">
        <v>74</v>
      </c>
      <c r="P1414">
        <v>227</v>
      </c>
      <c r="Q1414">
        <v>10</v>
      </c>
      <c r="R1414">
        <f>SUM(Table13[[#This Row],[Rank_All_Ranks_Total]:[Rank_SSPSPAddlSPCommandant]])</f>
        <v>18704</v>
      </c>
    </row>
    <row r="1415" spans="1:18" x14ac:dyDescent="0.3">
      <c r="A1415" t="s">
        <v>39</v>
      </c>
      <c r="B1415">
        <v>2001</v>
      </c>
      <c r="C1415" t="str">
        <f>_xlfn.CONCAT(Table13[[#This Row],[STATE]],"-",Table13[[#This Row],[Year]])</f>
        <v>Lakshadweep-2001</v>
      </c>
      <c r="D1415" t="s">
        <v>73</v>
      </c>
      <c r="E1415" t="s">
        <v>74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f>SUM(Table13[[#This Row],[Rank_All_Ranks_Total]:[Rank_SSPSPAddlSPCommandant]])</f>
        <v>0</v>
      </c>
    </row>
    <row r="1416" spans="1:18" x14ac:dyDescent="0.3">
      <c r="A1416" t="s">
        <v>19</v>
      </c>
      <c r="B1416">
        <v>2001</v>
      </c>
      <c r="C1416" t="str">
        <f>_xlfn.CONCAT(Table13[[#This Row],[STATE]],"-",Table13[[#This Row],[Year]])</f>
        <v>Madhya Pradesh-2001</v>
      </c>
      <c r="D1416" t="s">
        <v>73</v>
      </c>
      <c r="E1416" t="s">
        <v>74</v>
      </c>
      <c r="F1416">
        <v>28057</v>
      </c>
      <c r="G1416">
        <v>1498</v>
      </c>
      <c r="H1416">
        <v>109</v>
      </c>
      <c r="I1416">
        <v>20342</v>
      </c>
      <c r="J1416">
        <v>0</v>
      </c>
      <c r="K1416">
        <v>1</v>
      </c>
      <c r="L1416">
        <v>5</v>
      </c>
      <c r="M1416">
        <v>4871</v>
      </c>
      <c r="N1416">
        <v>3</v>
      </c>
      <c r="O1416">
        <v>265</v>
      </c>
      <c r="P1416">
        <v>910</v>
      </c>
      <c r="Q1416">
        <v>53</v>
      </c>
      <c r="R1416">
        <f>SUM(Table13[[#This Row],[Rank_All_Ranks_Total]:[Rank_SSPSPAddlSPCommandant]])</f>
        <v>56114</v>
      </c>
    </row>
    <row r="1417" spans="1:18" x14ac:dyDescent="0.3">
      <c r="A1417" t="s">
        <v>20</v>
      </c>
      <c r="B1417">
        <v>2001</v>
      </c>
      <c r="C1417" t="str">
        <f>_xlfn.CONCAT(Table13[[#This Row],[STATE]],"-",Table13[[#This Row],[Year]])</f>
        <v>Maharashtra-2001</v>
      </c>
      <c r="D1417" t="s">
        <v>73</v>
      </c>
      <c r="E1417" t="s">
        <v>74</v>
      </c>
      <c r="F1417">
        <v>15992</v>
      </c>
      <c r="G1417">
        <v>1498</v>
      </c>
      <c r="H1417">
        <v>58</v>
      </c>
      <c r="I1417">
        <v>2953</v>
      </c>
      <c r="J1417">
        <v>7484</v>
      </c>
      <c r="K1417">
        <v>0</v>
      </c>
      <c r="L1417">
        <v>3</v>
      </c>
      <c r="M1417">
        <v>3432</v>
      </c>
      <c r="N1417">
        <v>1</v>
      </c>
      <c r="O1417">
        <v>165</v>
      </c>
      <c r="P1417">
        <v>377</v>
      </c>
      <c r="Q1417">
        <v>21</v>
      </c>
      <c r="R1417">
        <f>SUM(Table13[[#This Row],[Rank_All_Ranks_Total]:[Rank_SSPSPAddlSPCommandant]])</f>
        <v>31984</v>
      </c>
    </row>
    <row r="1418" spans="1:18" x14ac:dyDescent="0.3">
      <c r="A1418" t="s">
        <v>21</v>
      </c>
      <c r="B1418">
        <v>2001</v>
      </c>
      <c r="C1418" t="str">
        <f>_xlfn.CONCAT(Table13[[#This Row],[STATE]],"-",Table13[[#This Row],[Year]])</f>
        <v>Manipur-2001</v>
      </c>
      <c r="D1418" t="s">
        <v>73</v>
      </c>
      <c r="E1418" t="s">
        <v>74</v>
      </c>
      <c r="F1418">
        <v>9552</v>
      </c>
      <c r="G1418">
        <v>0</v>
      </c>
      <c r="H1418">
        <v>68</v>
      </c>
      <c r="I1418">
        <v>813</v>
      </c>
      <c r="J1418">
        <v>7692</v>
      </c>
      <c r="K1418">
        <v>1</v>
      </c>
      <c r="L1418">
        <v>2</v>
      </c>
      <c r="M1418">
        <v>628</v>
      </c>
      <c r="N1418">
        <v>1</v>
      </c>
      <c r="O1418">
        <v>93</v>
      </c>
      <c r="P1418">
        <v>232</v>
      </c>
      <c r="Q1418">
        <v>22</v>
      </c>
      <c r="R1418">
        <f>SUM(Table13[[#This Row],[Rank_All_Ranks_Total]:[Rank_SSPSPAddlSPCommandant]])</f>
        <v>19104</v>
      </c>
    </row>
    <row r="1419" spans="1:18" x14ac:dyDescent="0.3">
      <c r="A1419" t="s">
        <v>22</v>
      </c>
      <c r="B1419">
        <v>2001</v>
      </c>
      <c r="C1419" t="str">
        <f>_xlfn.CONCAT(Table13[[#This Row],[STATE]],"-",Table13[[#This Row],[Year]])</f>
        <v>Meghalaya-2001</v>
      </c>
      <c r="D1419" t="s">
        <v>73</v>
      </c>
      <c r="E1419" t="s">
        <v>74</v>
      </c>
      <c r="F1419">
        <v>4962</v>
      </c>
      <c r="G1419">
        <v>0</v>
      </c>
      <c r="H1419">
        <v>20</v>
      </c>
      <c r="I1419">
        <v>459</v>
      </c>
      <c r="J1419">
        <v>3772</v>
      </c>
      <c r="K1419">
        <v>0</v>
      </c>
      <c r="L1419">
        <v>0</v>
      </c>
      <c r="M1419">
        <v>570</v>
      </c>
      <c r="N1419">
        <v>0</v>
      </c>
      <c r="O1419">
        <v>32</v>
      </c>
      <c r="P1419">
        <v>106</v>
      </c>
      <c r="Q1419">
        <v>3</v>
      </c>
      <c r="R1419">
        <f>SUM(Table13[[#This Row],[Rank_All_Ranks_Total]:[Rank_SSPSPAddlSPCommandant]])</f>
        <v>9924</v>
      </c>
    </row>
    <row r="1420" spans="1:18" x14ac:dyDescent="0.3">
      <c r="A1420" t="s">
        <v>23</v>
      </c>
      <c r="B1420">
        <v>2001</v>
      </c>
      <c r="C1420" t="str">
        <f>_xlfn.CONCAT(Table13[[#This Row],[STATE]],"-",Table13[[#This Row],[Year]])</f>
        <v>Mizoram-2001</v>
      </c>
      <c r="D1420" t="s">
        <v>73</v>
      </c>
      <c r="E1420" t="s">
        <v>74</v>
      </c>
      <c r="F1420">
        <v>3833</v>
      </c>
      <c r="G1420">
        <v>0</v>
      </c>
      <c r="H1420">
        <v>29</v>
      </c>
      <c r="I1420">
        <v>446</v>
      </c>
      <c r="J1420">
        <v>2655</v>
      </c>
      <c r="K1420">
        <v>0</v>
      </c>
      <c r="L1420">
        <v>0</v>
      </c>
      <c r="M1420">
        <v>544</v>
      </c>
      <c r="N1420">
        <v>0</v>
      </c>
      <c r="O1420">
        <v>38</v>
      </c>
      <c r="P1420">
        <v>107</v>
      </c>
      <c r="Q1420">
        <v>14</v>
      </c>
      <c r="R1420">
        <f>SUM(Table13[[#This Row],[Rank_All_Ranks_Total]:[Rank_SSPSPAddlSPCommandant]])</f>
        <v>7666</v>
      </c>
    </row>
    <row r="1421" spans="1:18" x14ac:dyDescent="0.3">
      <c r="A1421" t="s">
        <v>24</v>
      </c>
      <c r="B1421">
        <v>2001</v>
      </c>
      <c r="C1421" t="str">
        <f>_xlfn.CONCAT(Table13[[#This Row],[STATE]],"-",Table13[[#This Row],[Year]])</f>
        <v>Nagaland-2001</v>
      </c>
      <c r="D1421" t="s">
        <v>73</v>
      </c>
      <c r="E1421" t="s">
        <v>74</v>
      </c>
      <c r="F1421">
        <v>6596</v>
      </c>
      <c r="G1421">
        <v>0</v>
      </c>
      <c r="H1421">
        <v>21</v>
      </c>
      <c r="I1421">
        <v>722</v>
      </c>
      <c r="J1421">
        <v>5042</v>
      </c>
      <c r="K1421">
        <v>0</v>
      </c>
      <c r="L1421">
        <v>0</v>
      </c>
      <c r="M1421">
        <v>624</v>
      </c>
      <c r="N1421">
        <v>0</v>
      </c>
      <c r="O1421">
        <v>19</v>
      </c>
      <c r="P1421">
        <v>152</v>
      </c>
      <c r="Q1421">
        <v>16</v>
      </c>
      <c r="R1421">
        <f>SUM(Table13[[#This Row],[Rank_All_Ranks_Total]:[Rank_SSPSPAddlSPCommandant]])</f>
        <v>13192</v>
      </c>
    </row>
    <row r="1422" spans="1:18" x14ac:dyDescent="0.3">
      <c r="A1422" t="s">
        <v>63</v>
      </c>
      <c r="B1422">
        <v>2001</v>
      </c>
      <c r="C1422" t="str">
        <f>_xlfn.CONCAT(Table13[[#This Row],[STATE]],"-",Table13[[#This Row],[Year]])</f>
        <v>Odisha-2001</v>
      </c>
      <c r="D1422" t="s">
        <v>73</v>
      </c>
      <c r="E1422" t="s">
        <v>74</v>
      </c>
      <c r="F1422">
        <v>9163</v>
      </c>
      <c r="G1422">
        <v>269</v>
      </c>
      <c r="H1422">
        <v>75</v>
      </c>
      <c r="I1422">
        <v>408</v>
      </c>
      <c r="J1422">
        <v>6685</v>
      </c>
      <c r="K1422">
        <v>0</v>
      </c>
      <c r="L1422">
        <v>0</v>
      </c>
      <c r="M1422">
        <v>1400</v>
      </c>
      <c r="N1422">
        <v>0</v>
      </c>
      <c r="O1422">
        <v>71</v>
      </c>
      <c r="P1422">
        <v>235</v>
      </c>
      <c r="Q1422">
        <v>20</v>
      </c>
      <c r="R1422">
        <f>SUM(Table13[[#This Row],[Rank_All_Ranks_Total]:[Rank_SSPSPAddlSPCommandant]])</f>
        <v>18326</v>
      </c>
    </row>
    <row r="1423" spans="1:18" x14ac:dyDescent="0.3">
      <c r="A1423" t="s">
        <v>64</v>
      </c>
      <c r="B1423">
        <v>2001</v>
      </c>
      <c r="C1423" t="str">
        <f>_xlfn.CONCAT(Table13[[#This Row],[STATE]],"-",Table13[[#This Row],[Year]])</f>
        <v>Puducherry-2001</v>
      </c>
      <c r="D1423" t="s">
        <v>73</v>
      </c>
      <c r="E1423" t="s">
        <v>74</v>
      </c>
      <c r="F1423">
        <v>683</v>
      </c>
      <c r="G1423">
        <v>2</v>
      </c>
      <c r="H1423">
        <v>1</v>
      </c>
      <c r="I1423">
        <v>0</v>
      </c>
      <c r="J1423">
        <v>565</v>
      </c>
      <c r="K1423">
        <v>0</v>
      </c>
      <c r="L1423">
        <v>0</v>
      </c>
      <c r="M1423">
        <v>93</v>
      </c>
      <c r="N1423">
        <v>0</v>
      </c>
      <c r="O1423">
        <v>5</v>
      </c>
      <c r="P1423">
        <v>17</v>
      </c>
      <c r="Q1423">
        <v>0</v>
      </c>
      <c r="R1423">
        <f>SUM(Table13[[#This Row],[Rank_All_Ranks_Total]:[Rank_SSPSPAddlSPCommandant]])</f>
        <v>1366</v>
      </c>
    </row>
    <row r="1424" spans="1:18" x14ac:dyDescent="0.3">
      <c r="A1424" t="s">
        <v>26</v>
      </c>
      <c r="B1424">
        <v>2001</v>
      </c>
      <c r="C1424" t="str">
        <f>_xlfn.CONCAT(Table13[[#This Row],[STATE]],"-",Table13[[#This Row],[Year]])</f>
        <v>Punjab-2001</v>
      </c>
      <c r="D1424" t="s">
        <v>73</v>
      </c>
      <c r="E1424" t="s">
        <v>74</v>
      </c>
      <c r="F1424">
        <v>18956</v>
      </c>
      <c r="G1424">
        <v>372</v>
      </c>
      <c r="H1424">
        <v>145</v>
      </c>
      <c r="I1424">
        <v>0</v>
      </c>
      <c r="J1424">
        <v>14413</v>
      </c>
      <c r="K1424">
        <v>1</v>
      </c>
      <c r="L1424">
        <v>7</v>
      </c>
      <c r="M1424">
        <v>3289</v>
      </c>
      <c r="N1424">
        <v>3</v>
      </c>
      <c r="O1424">
        <v>149</v>
      </c>
      <c r="P1424">
        <v>497</v>
      </c>
      <c r="Q1424">
        <v>80</v>
      </c>
      <c r="R1424">
        <f>SUM(Table13[[#This Row],[Rank_All_Ranks_Total]:[Rank_SSPSPAddlSPCommandant]])</f>
        <v>37912</v>
      </c>
    </row>
    <row r="1425" spans="1:18" x14ac:dyDescent="0.3">
      <c r="A1425" t="s">
        <v>27</v>
      </c>
      <c r="B1425">
        <v>2001</v>
      </c>
      <c r="C1425" t="str">
        <f>_xlfn.CONCAT(Table13[[#This Row],[STATE]],"-",Table13[[#This Row],[Year]])</f>
        <v>Rajasthan-2001</v>
      </c>
      <c r="D1425" t="s">
        <v>73</v>
      </c>
      <c r="E1425" t="s">
        <v>74</v>
      </c>
      <c r="F1425">
        <v>12720</v>
      </c>
      <c r="G1425">
        <v>0</v>
      </c>
      <c r="H1425">
        <v>76</v>
      </c>
      <c r="I1425">
        <v>0</v>
      </c>
      <c r="J1425">
        <v>10022</v>
      </c>
      <c r="K1425">
        <v>1</v>
      </c>
      <c r="L1425">
        <v>2</v>
      </c>
      <c r="M1425">
        <v>2133</v>
      </c>
      <c r="N1425">
        <v>1</v>
      </c>
      <c r="O1425">
        <v>109</v>
      </c>
      <c r="P1425">
        <v>355</v>
      </c>
      <c r="Q1425">
        <v>21</v>
      </c>
      <c r="R1425">
        <f>SUM(Table13[[#This Row],[Rank_All_Ranks_Total]:[Rank_SSPSPAddlSPCommandant]])</f>
        <v>25440</v>
      </c>
    </row>
    <row r="1426" spans="1:18" x14ac:dyDescent="0.3">
      <c r="A1426" t="s">
        <v>28</v>
      </c>
      <c r="B1426">
        <v>2001</v>
      </c>
      <c r="C1426" t="str">
        <f>_xlfn.CONCAT(Table13[[#This Row],[STATE]],"-",Table13[[#This Row],[Year]])</f>
        <v>Sikkim-2001</v>
      </c>
      <c r="D1426" t="s">
        <v>73</v>
      </c>
      <c r="E1426" t="s">
        <v>74</v>
      </c>
      <c r="F1426">
        <v>1917</v>
      </c>
      <c r="G1426">
        <v>0</v>
      </c>
      <c r="H1426">
        <v>10</v>
      </c>
      <c r="I1426">
        <v>0</v>
      </c>
      <c r="J1426">
        <v>0</v>
      </c>
      <c r="K1426">
        <v>0</v>
      </c>
      <c r="L1426">
        <v>0</v>
      </c>
      <c r="M1426">
        <v>1826</v>
      </c>
      <c r="N1426">
        <v>1</v>
      </c>
      <c r="O1426">
        <v>18</v>
      </c>
      <c r="P1426">
        <v>60</v>
      </c>
      <c r="Q1426">
        <v>2</v>
      </c>
      <c r="R1426">
        <f>SUM(Table13[[#This Row],[Rank_All_Ranks_Total]:[Rank_SSPSPAddlSPCommandant]])</f>
        <v>3834</v>
      </c>
    </row>
    <row r="1427" spans="1:18" x14ac:dyDescent="0.3">
      <c r="A1427" t="s">
        <v>42</v>
      </c>
      <c r="B1427">
        <v>2001</v>
      </c>
      <c r="C1427" t="str">
        <f>_xlfn.CONCAT(Table13[[#This Row],[STATE]],"-",Table13[[#This Row],[Year]])</f>
        <v>Tamil Nadu-2001</v>
      </c>
      <c r="D1427" t="s">
        <v>73</v>
      </c>
      <c r="E1427" t="s">
        <v>74</v>
      </c>
      <c r="F1427">
        <v>11675</v>
      </c>
      <c r="G1427">
        <v>0</v>
      </c>
      <c r="H1427">
        <v>41</v>
      </c>
      <c r="I1427">
        <v>1406</v>
      </c>
      <c r="J1427">
        <v>8329</v>
      </c>
      <c r="K1427">
        <v>0</v>
      </c>
      <c r="L1427">
        <v>2</v>
      </c>
      <c r="M1427">
        <v>1341</v>
      </c>
      <c r="N1427">
        <v>1</v>
      </c>
      <c r="O1427">
        <v>121</v>
      </c>
      <c r="P1427">
        <v>410</v>
      </c>
      <c r="Q1427">
        <v>24</v>
      </c>
      <c r="R1427">
        <f>SUM(Table13[[#This Row],[Rank_All_Ranks_Total]:[Rank_SSPSPAddlSPCommandant]])</f>
        <v>23350</v>
      </c>
    </row>
    <row r="1428" spans="1:18" x14ac:dyDescent="0.3">
      <c r="A1428" t="s">
        <v>30</v>
      </c>
      <c r="B1428">
        <v>2001</v>
      </c>
      <c r="C1428" t="str">
        <f>_xlfn.CONCAT(Table13[[#This Row],[STATE]],"-",Table13[[#This Row],[Year]])</f>
        <v>Tripura-2001</v>
      </c>
      <c r="D1428" t="s">
        <v>73</v>
      </c>
      <c r="E1428" t="s">
        <v>74</v>
      </c>
      <c r="F1428">
        <v>9773</v>
      </c>
      <c r="G1428">
        <v>0</v>
      </c>
      <c r="H1428">
        <v>64</v>
      </c>
      <c r="I1428">
        <v>1532</v>
      </c>
      <c r="J1428">
        <v>6520</v>
      </c>
      <c r="K1428">
        <v>0</v>
      </c>
      <c r="L1428">
        <v>0</v>
      </c>
      <c r="M1428">
        <v>1272</v>
      </c>
      <c r="N1428">
        <v>1</v>
      </c>
      <c r="O1428">
        <v>104</v>
      </c>
      <c r="P1428">
        <v>264</v>
      </c>
      <c r="Q1428">
        <v>16</v>
      </c>
      <c r="R1428">
        <f>SUM(Table13[[#This Row],[Rank_All_Ranks_Total]:[Rank_SSPSPAddlSPCommandant]])</f>
        <v>19546</v>
      </c>
    </row>
    <row r="1429" spans="1:18" x14ac:dyDescent="0.3">
      <c r="A1429" t="s">
        <v>31</v>
      </c>
      <c r="B1429">
        <v>2001</v>
      </c>
      <c r="C1429" t="str">
        <f>_xlfn.CONCAT(Table13[[#This Row],[STATE]],"-",Table13[[#This Row],[Year]])</f>
        <v>Uttar Pradesh-2001</v>
      </c>
      <c r="D1429" t="s">
        <v>73</v>
      </c>
      <c r="E1429" t="s">
        <v>74</v>
      </c>
      <c r="F1429">
        <v>33381</v>
      </c>
      <c r="G1429">
        <v>0</v>
      </c>
      <c r="H1429">
        <v>94</v>
      </c>
      <c r="I1429">
        <v>0</v>
      </c>
      <c r="J1429">
        <v>26420</v>
      </c>
      <c r="K1429">
        <v>1</v>
      </c>
      <c r="L1429">
        <v>7</v>
      </c>
      <c r="M1429">
        <v>5650</v>
      </c>
      <c r="N1429">
        <v>5</v>
      </c>
      <c r="O1429">
        <v>280</v>
      </c>
      <c r="P1429">
        <v>859</v>
      </c>
      <c r="Q1429">
        <v>65</v>
      </c>
      <c r="R1429">
        <f>SUM(Table13[[#This Row],[Rank_All_Ranks_Total]:[Rank_SSPSPAddlSPCommandant]])</f>
        <v>66762</v>
      </c>
    </row>
    <row r="1430" spans="1:18" x14ac:dyDescent="0.3">
      <c r="A1430" t="s">
        <v>65</v>
      </c>
      <c r="B1430">
        <v>2001</v>
      </c>
      <c r="C1430" t="str">
        <f>_xlfn.CONCAT(Table13[[#This Row],[STATE]],"-",Table13[[#This Row],[Year]])</f>
        <v>Uttarakhand-2001</v>
      </c>
      <c r="D1430" t="s">
        <v>73</v>
      </c>
      <c r="E1430" t="s">
        <v>74</v>
      </c>
      <c r="F1430">
        <v>3022</v>
      </c>
      <c r="G1430">
        <v>0</v>
      </c>
      <c r="H1430">
        <v>0</v>
      </c>
      <c r="I1430">
        <v>0</v>
      </c>
      <c r="J1430">
        <v>2368</v>
      </c>
      <c r="K1430">
        <v>0</v>
      </c>
      <c r="L1430">
        <v>0</v>
      </c>
      <c r="M1430">
        <v>546</v>
      </c>
      <c r="N1430">
        <v>0</v>
      </c>
      <c r="O1430">
        <v>27</v>
      </c>
      <c r="P1430">
        <v>81</v>
      </c>
      <c r="Q1430">
        <v>0</v>
      </c>
      <c r="R1430">
        <f>SUM(Table13[[#This Row],[Rank_All_Ranks_Total]:[Rank_SSPSPAddlSPCommandant]])</f>
        <v>6044</v>
      </c>
    </row>
    <row r="1431" spans="1:18" x14ac:dyDescent="0.3">
      <c r="A1431" t="s">
        <v>33</v>
      </c>
      <c r="B1431">
        <v>2001</v>
      </c>
      <c r="C1431" t="str">
        <f>_xlfn.CONCAT(Table13[[#This Row],[STATE]],"-",Table13[[#This Row],[Year]])</f>
        <v>West Bengal-2001</v>
      </c>
      <c r="D1431" t="s">
        <v>73</v>
      </c>
      <c r="E1431" t="s">
        <v>74</v>
      </c>
      <c r="F1431">
        <v>24925</v>
      </c>
      <c r="G1431">
        <v>216</v>
      </c>
      <c r="H1431">
        <v>113</v>
      </c>
      <c r="I1431">
        <v>2400</v>
      </c>
      <c r="J1431">
        <v>18912</v>
      </c>
      <c r="K1431">
        <v>1</v>
      </c>
      <c r="L1431">
        <v>4</v>
      </c>
      <c r="M1431">
        <v>2076</v>
      </c>
      <c r="N1431">
        <v>4</v>
      </c>
      <c r="O1431">
        <v>240</v>
      </c>
      <c r="P1431">
        <v>922</v>
      </c>
      <c r="Q1431">
        <v>37</v>
      </c>
      <c r="R1431">
        <f>SUM(Table13[[#This Row],[Rank_All_Ranks_Total]:[Rank_SSPSPAddlSPCommandant]])</f>
        <v>49850</v>
      </c>
    </row>
    <row r="1432" spans="1:18" x14ac:dyDescent="0.3">
      <c r="A1432" t="s">
        <v>59</v>
      </c>
      <c r="B1432">
        <v>2002</v>
      </c>
      <c r="C1432" t="str">
        <f>_xlfn.CONCAT(Table13[[#This Row],[STATE]],"-",Table13[[#This Row],[Year]])</f>
        <v>Andaman &amp; Nicobar Islands-2002</v>
      </c>
      <c r="D1432" t="s">
        <v>73</v>
      </c>
      <c r="E1432" t="s">
        <v>74</v>
      </c>
      <c r="F1432">
        <v>829</v>
      </c>
      <c r="G1432">
        <v>2</v>
      </c>
      <c r="H1432">
        <v>3</v>
      </c>
      <c r="I1432">
        <v>0</v>
      </c>
      <c r="J1432">
        <v>657</v>
      </c>
      <c r="K1432">
        <v>0</v>
      </c>
      <c r="L1432">
        <v>1</v>
      </c>
      <c r="M1432">
        <v>134</v>
      </c>
      <c r="N1432">
        <v>0</v>
      </c>
      <c r="O1432">
        <v>6</v>
      </c>
      <c r="P1432">
        <v>26</v>
      </c>
      <c r="Q1432">
        <v>0</v>
      </c>
      <c r="R1432">
        <f>SUM(Table13[[#This Row],[Rank_All_Ranks_Total]:[Rank_SSPSPAddlSPCommandant]])</f>
        <v>1658</v>
      </c>
    </row>
    <row r="1433" spans="1:18" x14ac:dyDescent="0.3">
      <c r="A1433" t="s">
        <v>6</v>
      </c>
      <c r="B1433">
        <v>2002</v>
      </c>
      <c r="C1433" t="str">
        <f>_xlfn.CONCAT(Table13[[#This Row],[STATE]],"-",Table13[[#This Row],[Year]])</f>
        <v>Andhra Pradesh-2002</v>
      </c>
      <c r="D1433" t="s">
        <v>73</v>
      </c>
      <c r="E1433" t="s">
        <v>74</v>
      </c>
      <c r="F1433">
        <v>31559</v>
      </c>
      <c r="G1433">
        <v>1014</v>
      </c>
      <c r="H1433">
        <v>101</v>
      </c>
      <c r="I1433">
        <v>0</v>
      </c>
      <c r="J1433">
        <v>22272</v>
      </c>
      <c r="K1433">
        <v>0</v>
      </c>
      <c r="L1433">
        <v>0</v>
      </c>
      <c r="M1433">
        <v>6936</v>
      </c>
      <c r="N1433">
        <v>0</v>
      </c>
      <c r="O1433">
        <v>285</v>
      </c>
      <c r="P1433">
        <v>919</v>
      </c>
      <c r="Q1433">
        <v>32</v>
      </c>
      <c r="R1433">
        <f>SUM(Table13[[#This Row],[Rank_All_Ranks_Total]:[Rank_SSPSPAddlSPCommandant]])</f>
        <v>63118</v>
      </c>
    </row>
    <row r="1434" spans="1:18" x14ac:dyDescent="0.3">
      <c r="A1434" t="s">
        <v>7</v>
      </c>
      <c r="B1434">
        <v>2002</v>
      </c>
      <c r="C1434" t="str">
        <f>_xlfn.CONCAT(Table13[[#This Row],[STATE]],"-",Table13[[#This Row],[Year]])</f>
        <v>Arunachal Pradesh-2002</v>
      </c>
      <c r="D1434" t="s">
        <v>73</v>
      </c>
      <c r="E1434" t="s">
        <v>74</v>
      </c>
      <c r="F1434">
        <v>3040</v>
      </c>
      <c r="G1434">
        <v>28</v>
      </c>
      <c r="H1434">
        <v>24</v>
      </c>
      <c r="I1434">
        <v>216</v>
      </c>
      <c r="J1434">
        <v>2228</v>
      </c>
      <c r="K1434">
        <v>0</v>
      </c>
      <c r="L1434">
        <v>0</v>
      </c>
      <c r="M1434">
        <v>457</v>
      </c>
      <c r="N1434">
        <v>0</v>
      </c>
      <c r="O1434">
        <v>25</v>
      </c>
      <c r="P1434">
        <v>59</v>
      </c>
      <c r="Q1434">
        <v>3</v>
      </c>
      <c r="R1434">
        <f>SUM(Table13[[#This Row],[Rank_All_Ranks_Total]:[Rank_SSPSPAddlSPCommandant]])</f>
        <v>6080</v>
      </c>
    </row>
    <row r="1435" spans="1:18" x14ac:dyDescent="0.3">
      <c r="A1435" t="s">
        <v>8</v>
      </c>
      <c r="B1435">
        <v>2002</v>
      </c>
      <c r="C1435" t="str">
        <f>_xlfn.CONCAT(Table13[[#This Row],[STATE]],"-",Table13[[#This Row],[Year]])</f>
        <v>Assam-2002</v>
      </c>
      <c r="D1435" t="s">
        <v>73</v>
      </c>
      <c r="E1435" t="s">
        <v>74</v>
      </c>
      <c r="F1435">
        <v>25914</v>
      </c>
      <c r="G1435">
        <v>36</v>
      </c>
      <c r="H1435">
        <v>150</v>
      </c>
      <c r="I1435">
        <v>2447</v>
      </c>
      <c r="J1435">
        <v>18097</v>
      </c>
      <c r="K1435">
        <v>0</v>
      </c>
      <c r="L1435">
        <v>0</v>
      </c>
      <c r="M1435">
        <v>4168</v>
      </c>
      <c r="N1435">
        <v>0</v>
      </c>
      <c r="O1435">
        <v>235</v>
      </c>
      <c r="P1435">
        <v>729</v>
      </c>
      <c r="Q1435">
        <v>52</v>
      </c>
      <c r="R1435">
        <f>SUM(Table13[[#This Row],[Rank_All_Ranks_Total]:[Rank_SSPSPAddlSPCommandant]])</f>
        <v>51828</v>
      </c>
    </row>
    <row r="1436" spans="1:18" x14ac:dyDescent="0.3">
      <c r="A1436" t="s">
        <v>9</v>
      </c>
      <c r="B1436">
        <v>2002</v>
      </c>
      <c r="C1436" t="str">
        <f>_xlfn.CONCAT(Table13[[#This Row],[STATE]],"-",Table13[[#This Row],[Year]])</f>
        <v>Bihar-2002</v>
      </c>
      <c r="D1436" t="s">
        <v>73</v>
      </c>
      <c r="E1436" t="s">
        <v>74</v>
      </c>
      <c r="F1436">
        <v>15418</v>
      </c>
      <c r="G1436">
        <v>94</v>
      </c>
      <c r="H1436">
        <v>74</v>
      </c>
      <c r="I1436">
        <v>0</v>
      </c>
      <c r="J1436">
        <v>11501</v>
      </c>
      <c r="K1436">
        <v>1</v>
      </c>
      <c r="L1436">
        <v>2</v>
      </c>
      <c r="M1436">
        <v>2818</v>
      </c>
      <c r="N1436">
        <v>1</v>
      </c>
      <c r="O1436">
        <v>132</v>
      </c>
      <c r="P1436">
        <v>780</v>
      </c>
      <c r="Q1436">
        <v>15</v>
      </c>
      <c r="R1436">
        <f>SUM(Table13[[#This Row],[Rank_All_Ranks_Total]:[Rank_SSPSPAddlSPCommandant]])</f>
        <v>30836</v>
      </c>
    </row>
    <row r="1437" spans="1:18" x14ac:dyDescent="0.3">
      <c r="A1437" t="s">
        <v>35</v>
      </c>
      <c r="B1437">
        <v>2002</v>
      </c>
      <c r="C1437" t="str">
        <f>_xlfn.CONCAT(Table13[[#This Row],[STATE]],"-",Table13[[#This Row],[Year]])</f>
        <v>Chandigarh-2002</v>
      </c>
      <c r="D1437" t="s">
        <v>73</v>
      </c>
      <c r="E1437" t="s">
        <v>74</v>
      </c>
      <c r="F1437">
        <v>419</v>
      </c>
      <c r="G1437">
        <v>0</v>
      </c>
      <c r="H1437">
        <v>1</v>
      </c>
      <c r="I1437">
        <v>0</v>
      </c>
      <c r="J1437">
        <v>343</v>
      </c>
      <c r="K1437">
        <v>0</v>
      </c>
      <c r="L1437">
        <v>0</v>
      </c>
      <c r="M1437">
        <v>61</v>
      </c>
      <c r="N1437">
        <v>0</v>
      </c>
      <c r="O1437">
        <v>4</v>
      </c>
      <c r="P1437">
        <v>10</v>
      </c>
      <c r="Q1437">
        <v>0</v>
      </c>
      <c r="R1437">
        <f>SUM(Table13[[#This Row],[Rank_All_Ranks_Total]:[Rank_SSPSPAddlSPCommandant]])</f>
        <v>838</v>
      </c>
    </row>
    <row r="1438" spans="1:18" x14ac:dyDescent="0.3">
      <c r="A1438" t="s">
        <v>10</v>
      </c>
      <c r="B1438">
        <v>2002</v>
      </c>
      <c r="C1438" t="str">
        <f>_xlfn.CONCAT(Table13[[#This Row],[STATE]],"-",Table13[[#This Row],[Year]])</f>
        <v>Chhattisgarh-2002</v>
      </c>
      <c r="D1438" t="s">
        <v>73</v>
      </c>
      <c r="E1438" t="s">
        <v>74</v>
      </c>
      <c r="F1438">
        <v>1331</v>
      </c>
      <c r="G1438">
        <v>4</v>
      </c>
      <c r="H1438">
        <v>9</v>
      </c>
      <c r="I1438">
        <v>0</v>
      </c>
      <c r="J1438">
        <v>369</v>
      </c>
      <c r="K1438">
        <v>0</v>
      </c>
      <c r="L1438">
        <v>0</v>
      </c>
      <c r="M1438">
        <v>878</v>
      </c>
      <c r="N1438">
        <v>0</v>
      </c>
      <c r="O1438">
        <v>3</v>
      </c>
      <c r="P1438">
        <v>65</v>
      </c>
      <c r="Q1438">
        <v>3</v>
      </c>
      <c r="R1438">
        <f>SUM(Table13[[#This Row],[Rank_All_Ranks_Total]:[Rank_SSPSPAddlSPCommandant]])</f>
        <v>2662</v>
      </c>
    </row>
    <row r="1439" spans="1:18" x14ac:dyDescent="0.3">
      <c r="A1439" t="s">
        <v>62</v>
      </c>
      <c r="B1439">
        <v>2002</v>
      </c>
      <c r="C1439" t="str">
        <f>_xlfn.CONCAT(Table13[[#This Row],[STATE]],"-",Table13[[#This Row],[Year]])</f>
        <v>Dadra &amp; Nagar Haveli-2002</v>
      </c>
      <c r="D1439" t="s">
        <v>73</v>
      </c>
      <c r="E1439" t="s">
        <v>74</v>
      </c>
      <c r="F1439">
        <v>95</v>
      </c>
      <c r="G1439">
        <v>1</v>
      </c>
      <c r="H1439">
        <v>0</v>
      </c>
      <c r="I1439">
        <v>0</v>
      </c>
      <c r="J1439">
        <v>75</v>
      </c>
      <c r="K1439">
        <v>0</v>
      </c>
      <c r="L1439">
        <v>0</v>
      </c>
      <c r="M1439">
        <v>18</v>
      </c>
      <c r="N1439">
        <v>0</v>
      </c>
      <c r="O1439">
        <v>0</v>
      </c>
      <c r="P1439">
        <v>1</v>
      </c>
      <c r="Q1439">
        <v>0</v>
      </c>
      <c r="R1439">
        <f>SUM(Table13[[#This Row],[Rank_All_Ranks_Total]:[Rank_SSPSPAddlSPCommandant]])</f>
        <v>190</v>
      </c>
    </row>
    <row r="1440" spans="1:18" x14ac:dyDescent="0.3">
      <c r="A1440" t="s">
        <v>37</v>
      </c>
      <c r="B1440">
        <v>2002</v>
      </c>
      <c r="C1440" t="str">
        <f>_xlfn.CONCAT(Table13[[#This Row],[STATE]],"-",Table13[[#This Row],[Year]])</f>
        <v>Daman &amp; Diu-2002</v>
      </c>
      <c r="D1440" t="s">
        <v>73</v>
      </c>
      <c r="E1440" t="s">
        <v>74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f>SUM(Table13[[#This Row],[Rank_All_Ranks_Total]:[Rank_SSPSPAddlSPCommandant]])</f>
        <v>0</v>
      </c>
    </row>
    <row r="1441" spans="1:18" x14ac:dyDescent="0.3">
      <c r="A1441" t="s">
        <v>38</v>
      </c>
      <c r="B1441">
        <v>2002</v>
      </c>
      <c r="C1441" t="str">
        <f>_xlfn.CONCAT(Table13[[#This Row],[STATE]],"-",Table13[[#This Row],[Year]])</f>
        <v>Delhi-2002</v>
      </c>
      <c r="D1441" t="s">
        <v>73</v>
      </c>
      <c r="E1441" t="s">
        <v>74</v>
      </c>
      <c r="F1441">
        <v>10428</v>
      </c>
      <c r="G1441">
        <v>167</v>
      </c>
      <c r="H1441">
        <v>39</v>
      </c>
      <c r="I1441">
        <v>0</v>
      </c>
      <c r="J1441">
        <v>7911</v>
      </c>
      <c r="K1441">
        <v>0</v>
      </c>
      <c r="L1441">
        <v>1</v>
      </c>
      <c r="M1441">
        <v>1933</v>
      </c>
      <c r="N1441">
        <v>1</v>
      </c>
      <c r="O1441">
        <v>81</v>
      </c>
      <c r="P1441">
        <v>280</v>
      </c>
      <c r="Q1441">
        <v>15</v>
      </c>
      <c r="R1441">
        <f>SUM(Table13[[#This Row],[Rank_All_Ranks_Total]:[Rank_SSPSPAddlSPCommandant]])</f>
        <v>20856</v>
      </c>
    </row>
    <row r="1442" spans="1:18" x14ac:dyDescent="0.3">
      <c r="A1442" t="s">
        <v>11</v>
      </c>
      <c r="B1442">
        <v>2002</v>
      </c>
      <c r="C1442" t="str">
        <f>_xlfn.CONCAT(Table13[[#This Row],[STATE]],"-",Table13[[#This Row],[Year]])</f>
        <v>Goa-2002</v>
      </c>
      <c r="D1442" t="s">
        <v>73</v>
      </c>
      <c r="E1442" t="s">
        <v>74</v>
      </c>
      <c r="F1442">
        <v>971</v>
      </c>
      <c r="G1442">
        <v>23</v>
      </c>
      <c r="H1442">
        <v>4</v>
      </c>
      <c r="I1442">
        <v>0</v>
      </c>
      <c r="J1442">
        <v>746</v>
      </c>
      <c r="K1442">
        <v>0</v>
      </c>
      <c r="L1442">
        <v>0</v>
      </c>
      <c r="M1442">
        <v>166</v>
      </c>
      <c r="N1442">
        <v>0</v>
      </c>
      <c r="O1442">
        <v>9</v>
      </c>
      <c r="P1442">
        <v>22</v>
      </c>
      <c r="Q1442">
        <v>1</v>
      </c>
      <c r="R1442">
        <f>SUM(Table13[[#This Row],[Rank_All_Ranks_Total]:[Rank_SSPSPAddlSPCommandant]])</f>
        <v>1942</v>
      </c>
    </row>
    <row r="1443" spans="1:18" x14ac:dyDescent="0.3">
      <c r="A1443" t="s">
        <v>12</v>
      </c>
      <c r="B1443">
        <v>2002</v>
      </c>
      <c r="C1443" t="str">
        <f>_xlfn.CONCAT(Table13[[#This Row],[STATE]],"-",Table13[[#This Row],[Year]])</f>
        <v>Gujarat-2002</v>
      </c>
      <c r="D1443" t="s">
        <v>73</v>
      </c>
      <c r="E1443" t="s">
        <v>74</v>
      </c>
      <c r="F1443">
        <v>12192</v>
      </c>
      <c r="G1443">
        <v>1078</v>
      </c>
      <c r="H1443">
        <v>42</v>
      </c>
      <c r="I1443">
        <v>0</v>
      </c>
      <c r="J1443">
        <v>9575</v>
      </c>
      <c r="K1443">
        <v>0</v>
      </c>
      <c r="L1443">
        <v>0</v>
      </c>
      <c r="M1443">
        <v>1079</v>
      </c>
      <c r="N1443">
        <v>0</v>
      </c>
      <c r="O1443">
        <v>104</v>
      </c>
      <c r="P1443">
        <v>314</v>
      </c>
      <c r="Q1443">
        <v>0</v>
      </c>
      <c r="R1443">
        <f>SUM(Table13[[#This Row],[Rank_All_Ranks_Total]:[Rank_SSPSPAddlSPCommandant]])</f>
        <v>24384</v>
      </c>
    </row>
    <row r="1444" spans="1:18" x14ac:dyDescent="0.3">
      <c r="A1444" t="s">
        <v>13</v>
      </c>
      <c r="B1444">
        <v>2002</v>
      </c>
      <c r="C1444" t="str">
        <f>_xlfn.CONCAT(Table13[[#This Row],[STATE]],"-",Table13[[#This Row],[Year]])</f>
        <v>Haryana-2002</v>
      </c>
      <c r="D1444" t="s">
        <v>73</v>
      </c>
      <c r="E1444" t="s">
        <v>74</v>
      </c>
      <c r="F1444">
        <v>4703</v>
      </c>
      <c r="G1444">
        <v>114</v>
      </c>
      <c r="H1444">
        <v>16</v>
      </c>
      <c r="I1444">
        <v>0</v>
      </c>
      <c r="J1444">
        <v>3598</v>
      </c>
      <c r="K1444">
        <v>1</v>
      </c>
      <c r="L1444">
        <v>1</v>
      </c>
      <c r="M1444">
        <v>788</v>
      </c>
      <c r="N1444">
        <v>1</v>
      </c>
      <c r="O1444">
        <v>48</v>
      </c>
      <c r="P1444">
        <v>131</v>
      </c>
      <c r="Q1444">
        <v>5</v>
      </c>
      <c r="R1444">
        <f>SUM(Table13[[#This Row],[Rank_All_Ranks_Total]:[Rank_SSPSPAddlSPCommandant]])</f>
        <v>9406</v>
      </c>
    </row>
    <row r="1445" spans="1:18" x14ac:dyDescent="0.3">
      <c r="A1445" t="s">
        <v>14</v>
      </c>
      <c r="B1445">
        <v>2002</v>
      </c>
      <c r="C1445" t="str">
        <f>_xlfn.CONCAT(Table13[[#This Row],[STATE]],"-",Table13[[#This Row],[Year]])</f>
        <v>Himachal Pradesh-2002</v>
      </c>
      <c r="D1445" t="s">
        <v>73</v>
      </c>
      <c r="E1445" t="s">
        <v>74</v>
      </c>
      <c r="F1445">
        <v>5251</v>
      </c>
      <c r="G1445">
        <v>63</v>
      </c>
      <c r="H1445">
        <v>30</v>
      </c>
      <c r="I1445">
        <v>1010</v>
      </c>
      <c r="J1445">
        <v>3036</v>
      </c>
      <c r="K1445">
        <v>0</v>
      </c>
      <c r="L1445">
        <v>2</v>
      </c>
      <c r="M1445">
        <v>892</v>
      </c>
      <c r="N1445">
        <v>1</v>
      </c>
      <c r="O1445">
        <v>44</v>
      </c>
      <c r="P1445">
        <v>163</v>
      </c>
      <c r="Q1445">
        <v>10</v>
      </c>
      <c r="R1445">
        <f>SUM(Table13[[#This Row],[Rank_All_Ranks_Total]:[Rank_SSPSPAddlSPCommandant]])</f>
        <v>10502</v>
      </c>
    </row>
    <row r="1446" spans="1:18" x14ac:dyDescent="0.3">
      <c r="A1446" t="s">
        <v>15</v>
      </c>
      <c r="B1446">
        <v>2002</v>
      </c>
      <c r="C1446" t="str">
        <f>_xlfn.CONCAT(Table13[[#This Row],[STATE]],"-",Table13[[#This Row],[Year]])</f>
        <v>Jammu &amp; Kashmir-2002</v>
      </c>
      <c r="D1446" t="s">
        <v>73</v>
      </c>
      <c r="E1446" t="s">
        <v>74</v>
      </c>
      <c r="F1446">
        <v>18759</v>
      </c>
      <c r="G1446">
        <v>389</v>
      </c>
      <c r="H1446">
        <v>146</v>
      </c>
      <c r="I1446">
        <v>0</v>
      </c>
      <c r="J1446">
        <v>14534</v>
      </c>
      <c r="K1446">
        <v>1</v>
      </c>
      <c r="L1446">
        <v>2</v>
      </c>
      <c r="M1446">
        <v>3048</v>
      </c>
      <c r="N1446">
        <v>1</v>
      </c>
      <c r="O1446">
        <v>125</v>
      </c>
      <c r="P1446">
        <v>458</v>
      </c>
      <c r="Q1446">
        <v>55</v>
      </c>
      <c r="R1446">
        <f>SUM(Table13[[#This Row],[Rank_All_Ranks_Total]:[Rank_SSPSPAddlSPCommandant]])</f>
        <v>37518</v>
      </c>
    </row>
    <row r="1447" spans="1:18" x14ac:dyDescent="0.3">
      <c r="A1447" t="s">
        <v>16</v>
      </c>
      <c r="B1447">
        <v>2002</v>
      </c>
      <c r="C1447" t="str">
        <f>_xlfn.CONCAT(Table13[[#This Row],[STATE]],"-",Table13[[#This Row],[Year]])</f>
        <v>Jharkhand-2002</v>
      </c>
      <c r="D1447" t="s">
        <v>73</v>
      </c>
      <c r="E1447" t="s">
        <v>74</v>
      </c>
      <c r="F1447">
        <v>2471</v>
      </c>
      <c r="G1447">
        <v>0</v>
      </c>
      <c r="H1447">
        <v>52</v>
      </c>
      <c r="I1447">
        <v>0</v>
      </c>
      <c r="J1447">
        <v>0</v>
      </c>
      <c r="K1447">
        <v>0</v>
      </c>
      <c r="L1447">
        <v>1</v>
      </c>
      <c r="M1447">
        <v>1797</v>
      </c>
      <c r="N1447">
        <v>1</v>
      </c>
      <c r="O1447">
        <v>85</v>
      </c>
      <c r="P1447">
        <v>524</v>
      </c>
      <c r="Q1447">
        <v>11</v>
      </c>
      <c r="R1447">
        <f>SUM(Table13[[#This Row],[Rank_All_Ranks_Total]:[Rank_SSPSPAddlSPCommandant]])</f>
        <v>4942</v>
      </c>
    </row>
    <row r="1448" spans="1:18" x14ac:dyDescent="0.3">
      <c r="A1448" t="s">
        <v>17</v>
      </c>
      <c r="B1448">
        <v>2002</v>
      </c>
      <c r="C1448" t="str">
        <f>_xlfn.CONCAT(Table13[[#This Row],[STATE]],"-",Table13[[#This Row],[Year]])</f>
        <v>Karnataka-2002</v>
      </c>
      <c r="D1448" t="s">
        <v>73</v>
      </c>
      <c r="E1448" t="s">
        <v>74</v>
      </c>
      <c r="F1448">
        <v>2573</v>
      </c>
      <c r="G1448">
        <v>83</v>
      </c>
      <c r="H1448">
        <v>5</v>
      </c>
      <c r="I1448">
        <v>0</v>
      </c>
      <c r="J1448">
        <v>1999</v>
      </c>
      <c r="K1448">
        <v>0</v>
      </c>
      <c r="L1448">
        <v>0</v>
      </c>
      <c r="M1448">
        <v>422</v>
      </c>
      <c r="N1448">
        <v>0</v>
      </c>
      <c r="O1448">
        <v>17</v>
      </c>
      <c r="P1448">
        <v>47</v>
      </c>
      <c r="Q1448">
        <v>0</v>
      </c>
      <c r="R1448">
        <f>SUM(Table13[[#This Row],[Rank_All_Ranks_Total]:[Rank_SSPSPAddlSPCommandant]])</f>
        <v>5146</v>
      </c>
    </row>
    <row r="1449" spans="1:18" x14ac:dyDescent="0.3">
      <c r="A1449" t="s">
        <v>18</v>
      </c>
      <c r="B1449">
        <v>2002</v>
      </c>
      <c r="C1449" t="str">
        <f>_xlfn.CONCAT(Table13[[#This Row],[STATE]],"-",Table13[[#This Row],[Year]])</f>
        <v>Kerala-2002</v>
      </c>
      <c r="D1449" t="s">
        <v>73</v>
      </c>
      <c r="E1449" t="s">
        <v>74</v>
      </c>
      <c r="F1449">
        <v>9352</v>
      </c>
      <c r="G1449">
        <v>103</v>
      </c>
      <c r="H1449">
        <v>49</v>
      </c>
      <c r="I1449">
        <v>0</v>
      </c>
      <c r="J1449">
        <v>7577</v>
      </c>
      <c r="K1449">
        <v>0</v>
      </c>
      <c r="L1449">
        <v>0</v>
      </c>
      <c r="M1449">
        <v>1312</v>
      </c>
      <c r="N1449">
        <v>0</v>
      </c>
      <c r="O1449">
        <v>74</v>
      </c>
      <c r="P1449">
        <v>227</v>
      </c>
      <c r="Q1449">
        <v>10</v>
      </c>
      <c r="R1449">
        <f>SUM(Table13[[#This Row],[Rank_All_Ranks_Total]:[Rank_SSPSPAddlSPCommandant]])</f>
        <v>18704</v>
      </c>
    </row>
    <row r="1450" spans="1:18" x14ac:dyDescent="0.3">
      <c r="A1450" t="s">
        <v>39</v>
      </c>
      <c r="B1450">
        <v>2002</v>
      </c>
      <c r="C1450" t="str">
        <f>_xlfn.CONCAT(Table13[[#This Row],[STATE]],"-",Table13[[#This Row],[Year]])</f>
        <v>Lakshadweep-2002</v>
      </c>
      <c r="D1450" t="s">
        <v>73</v>
      </c>
      <c r="E1450" t="s">
        <v>74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f>SUM(Table13[[#This Row],[Rank_All_Ranks_Total]:[Rank_SSPSPAddlSPCommandant]])</f>
        <v>0</v>
      </c>
    </row>
    <row r="1451" spans="1:18" x14ac:dyDescent="0.3">
      <c r="A1451" t="s">
        <v>19</v>
      </c>
      <c r="B1451">
        <v>2002</v>
      </c>
      <c r="C1451" t="str">
        <f>_xlfn.CONCAT(Table13[[#This Row],[STATE]],"-",Table13[[#This Row],[Year]])</f>
        <v>Madhya Pradesh-2002</v>
      </c>
      <c r="D1451" t="s">
        <v>73</v>
      </c>
      <c r="E1451" t="s">
        <v>74</v>
      </c>
      <c r="F1451">
        <v>19630</v>
      </c>
      <c r="G1451">
        <v>1116</v>
      </c>
      <c r="H1451">
        <v>74</v>
      </c>
      <c r="I1451">
        <v>0</v>
      </c>
      <c r="J1451">
        <v>14110</v>
      </c>
      <c r="K1451">
        <v>1</v>
      </c>
      <c r="L1451">
        <v>7</v>
      </c>
      <c r="M1451">
        <v>3441</v>
      </c>
      <c r="N1451">
        <v>1</v>
      </c>
      <c r="O1451">
        <v>199</v>
      </c>
      <c r="P1451">
        <v>641</v>
      </c>
      <c r="Q1451">
        <v>40</v>
      </c>
      <c r="R1451">
        <f>SUM(Table13[[#This Row],[Rank_All_Ranks_Total]:[Rank_SSPSPAddlSPCommandant]])</f>
        <v>39260</v>
      </c>
    </row>
    <row r="1452" spans="1:18" x14ac:dyDescent="0.3">
      <c r="A1452" t="s">
        <v>20</v>
      </c>
      <c r="B1452">
        <v>2002</v>
      </c>
      <c r="C1452" t="str">
        <f>_xlfn.CONCAT(Table13[[#This Row],[STATE]],"-",Table13[[#This Row],[Year]])</f>
        <v>Maharashtra-2002</v>
      </c>
      <c r="D1452" t="s">
        <v>73</v>
      </c>
      <c r="E1452" t="s">
        <v>74</v>
      </c>
      <c r="F1452">
        <v>15998</v>
      </c>
      <c r="G1452">
        <v>1499</v>
      </c>
      <c r="H1452">
        <v>58</v>
      </c>
      <c r="I1452">
        <v>2961</v>
      </c>
      <c r="J1452">
        <v>7493</v>
      </c>
      <c r="K1452">
        <v>0</v>
      </c>
      <c r="L1452">
        <v>3</v>
      </c>
      <c r="M1452">
        <v>3427</v>
      </c>
      <c r="N1452">
        <v>1</v>
      </c>
      <c r="O1452">
        <v>165</v>
      </c>
      <c r="P1452">
        <v>370</v>
      </c>
      <c r="Q1452">
        <v>21</v>
      </c>
      <c r="R1452">
        <f>SUM(Table13[[#This Row],[Rank_All_Ranks_Total]:[Rank_SSPSPAddlSPCommandant]])</f>
        <v>31996</v>
      </c>
    </row>
    <row r="1453" spans="1:18" x14ac:dyDescent="0.3">
      <c r="A1453" t="s">
        <v>21</v>
      </c>
      <c r="B1453">
        <v>2002</v>
      </c>
      <c r="C1453" t="str">
        <f>_xlfn.CONCAT(Table13[[#This Row],[STATE]],"-",Table13[[#This Row],[Year]])</f>
        <v>Manipur-2002</v>
      </c>
      <c r="D1453" t="s">
        <v>73</v>
      </c>
      <c r="E1453" t="s">
        <v>74</v>
      </c>
      <c r="F1453">
        <v>9552</v>
      </c>
      <c r="G1453">
        <v>0</v>
      </c>
      <c r="H1453">
        <v>68</v>
      </c>
      <c r="I1453">
        <v>813</v>
      </c>
      <c r="J1453">
        <v>7692</v>
      </c>
      <c r="K1453">
        <v>1</v>
      </c>
      <c r="L1453">
        <v>2</v>
      </c>
      <c r="M1453">
        <v>628</v>
      </c>
      <c r="N1453">
        <v>1</v>
      </c>
      <c r="O1453">
        <v>93</v>
      </c>
      <c r="P1453">
        <v>232</v>
      </c>
      <c r="Q1453">
        <v>22</v>
      </c>
      <c r="R1453">
        <f>SUM(Table13[[#This Row],[Rank_All_Ranks_Total]:[Rank_SSPSPAddlSPCommandant]])</f>
        <v>19104</v>
      </c>
    </row>
    <row r="1454" spans="1:18" x14ac:dyDescent="0.3">
      <c r="A1454" t="s">
        <v>22</v>
      </c>
      <c r="B1454">
        <v>2002</v>
      </c>
      <c r="C1454" t="str">
        <f>_xlfn.CONCAT(Table13[[#This Row],[STATE]],"-",Table13[[#This Row],[Year]])</f>
        <v>Meghalaya-2002</v>
      </c>
      <c r="D1454" t="s">
        <v>73</v>
      </c>
      <c r="E1454" t="s">
        <v>74</v>
      </c>
      <c r="F1454">
        <v>4971</v>
      </c>
      <c r="G1454">
        <v>0</v>
      </c>
      <c r="H1454">
        <v>28</v>
      </c>
      <c r="I1454">
        <v>459</v>
      </c>
      <c r="J1454">
        <v>3772</v>
      </c>
      <c r="K1454">
        <v>0</v>
      </c>
      <c r="L1454">
        <v>0</v>
      </c>
      <c r="M1454">
        <v>570</v>
      </c>
      <c r="N1454">
        <v>0</v>
      </c>
      <c r="O1454">
        <v>32</v>
      </c>
      <c r="P1454">
        <v>106</v>
      </c>
      <c r="Q1454">
        <v>4</v>
      </c>
      <c r="R1454">
        <f>SUM(Table13[[#This Row],[Rank_All_Ranks_Total]:[Rank_SSPSPAddlSPCommandant]])</f>
        <v>9942</v>
      </c>
    </row>
    <row r="1455" spans="1:18" x14ac:dyDescent="0.3">
      <c r="A1455" t="s">
        <v>23</v>
      </c>
      <c r="B1455">
        <v>2002</v>
      </c>
      <c r="C1455" t="str">
        <f>_xlfn.CONCAT(Table13[[#This Row],[STATE]],"-",Table13[[#This Row],[Year]])</f>
        <v>Mizoram-2002</v>
      </c>
      <c r="D1455" t="s">
        <v>73</v>
      </c>
      <c r="E1455" t="s">
        <v>74</v>
      </c>
      <c r="F1455">
        <v>1864</v>
      </c>
      <c r="G1455">
        <v>37</v>
      </c>
      <c r="H1455">
        <v>12</v>
      </c>
      <c r="I1455">
        <v>304</v>
      </c>
      <c r="J1455">
        <v>1186</v>
      </c>
      <c r="K1455">
        <v>0</v>
      </c>
      <c r="L1455">
        <v>0</v>
      </c>
      <c r="M1455">
        <v>240</v>
      </c>
      <c r="N1455">
        <v>0</v>
      </c>
      <c r="O1455">
        <v>24</v>
      </c>
      <c r="P1455">
        <v>55</v>
      </c>
      <c r="Q1455">
        <v>6</v>
      </c>
      <c r="R1455">
        <f>SUM(Table13[[#This Row],[Rank_All_Ranks_Total]:[Rank_SSPSPAddlSPCommandant]])</f>
        <v>3728</v>
      </c>
    </row>
    <row r="1456" spans="1:18" x14ac:dyDescent="0.3">
      <c r="A1456" t="s">
        <v>24</v>
      </c>
      <c r="B1456">
        <v>2002</v>
      </c>
      <c r="C1456" t="str">
        <f>_xlfn.CONCAT(Table13[[#This Row],[STATE]],"-",Table13[[#This Row],[Year]])</f>
        <v>Nagaland-2002</v>
      </c>
      <c r="D1456" t="s">
        <v>73</v>
      </c>
      <c r="E1456" t="s">
        <v>74</v>
      </c>
      <c r="F1456">
        <v>5973</v>
      </c>
      <c r="G1456">
        <v>0</v>
      </c>
      <c r="H1456">
        <v>19</v>
      </c>
      <c r="I1456">
        <v>671</v>
      </c>
      <c r="J1456">
        <v>4546</v>
      </c>
      <c r="K1456">
        <v>0</v>
      </c>
      <c r="L1456">
        <v>0</v>
      </c>
      <c r="M1456">
        <v>569</v>
      </c>
      <c r="N1456">
        <v>0</v>
      </c>
      <c r="O1456">
        <v>17</v>
      </c>
      <c r="P1456">
        <v>137</v>
      </c>
      <c r="Q1456">
        <v>14</v>
      </c>
      <c r="R1456">
        <f>SUM(Table13[[#This Row],[Rank_All_Ranks_Total]:[Rank_SSPSPAddlSPCommandant]])</f>
        <v>11946</v>
      </c>
    </row>
    <row r="1457" spans="1:18" x14ac:dyDescent="0.3">
      <c r="A1457" t="s">
        <v>63</v>
      </c>
      <c r="B1457">
        <v>2002</v>
      </c>
      <c r="C1457" t="str">
        <f>_xlfn.CONCAT(Table13[[#This Row],[STATE]],"-",Table13[[#This Row],[Year]])</f>
        <v>Odisha-2002</v>
      </c>
      <c r="D1457" t="s">
        <v>73</v>
      </c>
      <c r="E1457" t="s">
        <v>74</v>
      </c>
      <c r="F1457">
        <v>9163</v>
      </c>
      <c r="G1457">
        <v>269</v>
      </c>
      <c r="H1457">
        <v>72</v>
      </c>
      <c r="I1457">
        <v>408</v>
      </c>
      <c r="J1457">
        <v>6685</v>
      </c>
      <c r="K1457">
        <v>0</v>
      </c>
      <c r="L1457">
        <v>0</v>
      </c>
      <c r="M1457">
        <v>1400</v>
      </c>
      <c r="N1457">
        <v>0</v>
      </c>
      <c r="O1457">
        <v>71</v>
      </c>
      <c r="P1457">
        <v>235</v>
      </c>
      <c r="Q1457">
        <v>23</v>
      </c>
      <c r="R1457">
        <f>SUM(Table13[[#This Row],[Rank_All_Ranks_Total]:[Rank_SSPSPAddlSPCommandant]])</f>
        <v>18326</v>
      </c>
    </row>
    <row r="1458" spans="1:18" x14ac:dyDescent="0.3">
      <c r="A1458" t="s">
        <v>64</v>
      </c>
      <c r="B1458">
        <v>2002</v>
      </c>
      <c r="C1458" t="str">
        <f>_xlfn.CONCAT(Table13[[#This Row],[STATE]],"-",Table13[[#This Row],[Year]])</f>
        <v>Puducherry-2002</v>
      </c>
      <c r="D1458" t="s">
        <v>73</v>
      </c>
      <c r="E1458" t="s">
        <v>74</v>
      </c>
      <c r="F1458">
        <v>683</v>
      </c>
      <c r="G1458">
        <v>2</v>
      </c>
      <c r="H1458">
        <v>1</v>
      </c>
      <c r="I1458">
        <v>0</v>
      </c>
      <c r="J1458">
        <v>565</v>
      </c>
      <c r="K1458">
        <v>0</v>
      </c>
      <c r="L1458">
        <v>0</v>
      </c>
      <c r="M1458">
        <v>93</v>
      </c>
      <c r="N1458">
        <v>0</v>
      </c>
      <c r="O1458">
        <v>5</v>
      </c>
      <c r="P1458">
        <v>17</v>
      </c>
      <c r="Q1458">
        <v>0</v>
      </c>
      <c r="R1458">
        <f>SUM(Table13[[#This Row],[Rank_All_Ranks_Total]:[Rank_SSPSPAddlSPCommandant]])</f>
        <v>1366</v>
      </c>
    </row>
    <row r="1459" spans="1:18" x14ac:dyDescent="0.3">
      <c r="A1459" t="s">
        <v>26</v>
      </c>
      <c r="B1459">
        <v>2002</v>
      </c>
      <c r="C1459" t="str">
        <f>_xlfn.CONCAT(Table13[[#This Row],[STATE]],"-",Table13[[#This Row],[Year]])</f>
        <v>Punjab-2002</v>
      </c>
      <c r="D1459" t="s">
        <v>73</v>
      </c>
      <c r="E1459" t="s">
        <v>74</v>
      </c>
      <c r="F1459">
        <v>18956</v>
      </c>
      <c r="G1459">
        <v>372</v>
      </c>
      <c r="H1459">
        <v>145</v>
      </c>
      <c r="I1459">
        <v>0</v>
      </c>
      <c r="J1459">
        <v>14413</v>
      </c>
      <c r="K1459">
        <v>1</v>
      </c>
      <c r="L1459">
        <v>7</v>
      </c>
      <c r="M1459">
        <v>3289</v>
      </c>
      <c r="N1459">
        <v>3</v>
      </c>
      <c r="O1459">
        <v>149</v>
      </c>
      <c r="P1459">
        <v>497</v>
      </c>
      <c r="Q1459">
        <v>80</v>
      </c>
      <c r="R1459">
        <f>SUM(Table13[[#This Row],[Rank_All_Ranks_Total]:[Rank_SSPSPAddlSPCommandant]])</f>
        <v>37912</v>
      </c>
    </row>
    <row r="1460" spans="1:18" x14ac:dyDescent="0.3">
      <c r="A1460" t="s">
        <v>27</v>
      </c>
      <c r="B1460">
        <v>2002</v>
      </c>
      <c r="C1460" t="str">
        <f>_xlfn.CONCAT(Table13[[#This Row],[STATE]],"-",Table13[[#This Row],[Year]])</f>
        <v>Rajasthan-2002</v>
      </c>
      <c r="D1460" t="s">
        <v>73</v>
      </c>
      <c r="E1460" t="s">
        <v>74</v>
      </c>
      <c r="F1460">
        <v>12694</v>
      </c>
      <c r="G1460">
        <v>0</v>
      </c>
      <c r="H1460">
        <v>76</v>
      </c>
      <c r="I1460">
        <v>0</v>
      </c>
      <c r="J1460">
        <v>10011</v>
      </c>
      <c r="K1460">
        <v>1</v>
      </c>
      <c r="L1460">
        <v>2</v>
      </c>
      <c r="M1460">
        <v>2131</v>
      </c>
      <c r="N1460">
        <v>1</v>
      </c>
      <c r="O1460">
        <v>102</v>
      </c>
      <c r="P1460">
        <v>355</v>
      </c>
      <c r="Q1460">
        <v>15</v>
      </c>
      <c r="R1460">
        <f>SUM(Table13[[#This Row],[Rank_All_Ranks_Total]:[Rank_SSPSPAddlSPCommandant]])</f>
        <v>25388</v>
      </c>
    </row>
    <row r="1461" spans="1:18" x14ac:dyDescent="0.3">
      <c r="A1461" t="s">
        <v>28</v>
      </c>
      <c r="B1461">
        <v>2002</v>
      </c>
      <c r="C1461" t="str">
        <f>_xlfn.CONCAT(Table13[[#This Row],[STATE]],"-",Table13[[#This Row],[Year]])</f>
        <v>Sikkim-2002</v>
      </c>
      <c r="D1461" t="s">
        <v>73</v>
      </c>
      <c r="E1461" t="s">
        <v>74</v>
      </c>
      <c r="F1461">
        <v>1970</v>
      </c>
      <c r="G1461">
        <v>18</v>
      </c>
      <c r="H1461">
        <v>10</v>
      </c>
      <c r="I1461">
        <v>66</v>
      </c>
      <c r="J1461">
        <v>1356</v>
      </c>
      <c r="K1461">
        <v>0</v>
      </c>
      <c r="L1461">
        <v>1</v>
      </c>
      <c r="M1461">
        <v>457</v>
      </c>
      <c r="N1461">
        <v>0</v>
      </c>
      <c r="O1461">
        <v>18</v>
      </c>
      <c r="P1461">
        <v>42</v>
      </c>
      <c r="Q1461">
        <v>2</v>
      </c>
      <c r="R1461">
        <f>SUM(Table13[[#This Row],[Rank_All_Ranks_Total]:[Rank_SSPSPAddlSPCommandant]])</f>
        <v>3940</v>
      </c>
    </row>
    <row r="1462" spans="1:18" x14ac:dyDescent="0.3">
      <c r="A1462" t="s">
        <v>42</v>
      </c>
      <c r="B1462">
        <v>2002</v>
      </c>
      <c r="C1462" t="str">
        <f>_xlfn.CONCAT(Table13[[#This Row],[STATE]],"-",Table13[[#This Row],[Year]])</f>
        <v>Tamil Nadu-2002</v>
      </c>
      <c r="D1462" t="s">
        <v>73</v>
      </c>
      <c r="E1462" t="s">
        <v>74</v>
      </c>
      <c r="F1462">
        <v>12682</v>
      </c>
      <c r="G1462">
        <v>0</v>
      </c>
      <c r="H1462">
        <v>47</v>
      </c>
      <c r="I1462">
        <v>1554</v>
      </c>
      <c r="J1462">
        <v>9033</v>
      </c>
      <c r="K1462">
        <v>0</v>
      </c>
      <c r="L1462">
        <v>2</v>
      </c>
      <c r="M1462">
        <v>1465</v>
      </c>
      <c r="N1462">
        <v>1</v>
      </c>
      <c r="O1462">
        <v>129</v>
      </c>
      <c r="P1462">
        <v>425</v>
      </c>
      <c r="Q1462">
        <v>26</v>
      </c>
      <c r="R1462">
        <f>SUM(Table13[[#This Row],[Rank_All_Ranks_Total]:[Rank_SSPSPAddlSPCommandant]])</f>
        <v>25364</v>
      </c>
    </row>
    <row r="1463" spans="1:18" x14ac:dyDescent="0.3">
      <c r="A1463" t="s">
        <v>30</v>
      </c>
      <c r="B1463">
        <v>2002</v>
      </c>
      <c r="C1463" t="str">
        <f>_xlfn.CONCAT(Table13[[#This Row],[STATE]],"-",Table13[[#This Row],[Year]])</f>
        <v>Tripura-2002</v>
      </c>
      <c r="D1463" t="s">
        <v>73</v>
      </c>
      <c r="E1463" t="s">
        <v>74</v>
      </c>
      <c r="F1463">
        <v>10586</v>
      </c>
      <c r="G1463">
        <v>0</v>
      </c>
      <c r="H1463">
        <v>85</v>
      </c>
      <c r="I1463">
        <v>1880</v>
      </c>
      <c r="J1463">
        <v>7535</v>
      </c>
      <c r="K1463">
        <v>0</v>
      </c>
      <c r="L1463">
        <v>0</v>
      </c>
      <c r="M1463">
        <v>586</v>
      </c>
      <c r="N1463">
        <v>0</v>
      </c>
      <c r="O1463">
        <v>135</v>
      </c>
      <c r="P1463">
        <v>345</v>
      </c>
      <c r="Q1463">
        <v>20</v>
      </c>
      <c r="R1463">
        <f>SUM(Table13[[#This Row],[Rank_All_Ranks_Total]:[Rank_SSPSPAddlSPCommandant]])</f>
        <v>21172</v>
      </c>
    </row>
    <row r="1464" spans="1:18" x14ac:dyDescent="0.3">
      <c r="A1464" t="s">
        <v>31</v>
      </c>
      <c r="B1464">
        <v>2002</v>
      </c>
      <c r="C1464" t="str">
        <f>_xlfn.CONCAT(Table13[[#This Row],[STATE]],"-",Table13[[#This Row],[Year]])</f>
        <v>Uttar Pradesh-2002</v>
      </c>
      <c r="D1464" t="s">
        <v>73</v>
      </c>
      <c r="E1464" t="s">
        <v>74</v>
      </c>
      <c r="F1464">
        <v>33381</v>
      </c>
      <c r="G1464">
        <v>0</v>
      </c>
      <c r="H1464">
        <v>94</v>
      </c>
      <c r="I1464">
        <v>0</v>
      </c>
      <c r="J1464">
        <v>26420</v>
      </c>
      <c r="K1464">
        <v>1</v>
      </c>
      <c r="L1464">
        <v>7</v>
      </c>
      <c r="M1464">
        <v>5650</v>
      </c>
      <c r="N1464">
        <v>5</v>
      </c>
      <c r="O1464">
        <v>280</v>
      </c>
      <c r="P1464">
        <v>859</v>
      </c>
      <c r="Q1464">
        <v>65</v>
      </c>
      <c r="R1464">
        <f>SUM(Table13[[#This Row],[Rank_All_Ranks_Total]:[Rank_SSPSPAddlSPCommandant]])</f>
        <v>66762</v>
      </c>
    </row>
    <row r="1465" spans="1:18" x14ac:dyDescent="0.3">
      <c r="A1465" t="s">
        <v>65</v>
      </c>
      <c r="B1465">
        <v>2002</v>
      </c>
      <c r="C1465" t="str">
        <f>_xlfn.CONCAT(Table13[[#This Row],[STATE]],"-",Table13[[#This Row],[Year]])</f>
        <v>Uttarakhand-2002</v>
      </c>
      <c r="D1465" t="s">
        <v>73</v>
      </c>
      <c r="E1465" t="s">
        <v>74</v>
      </c>
      <c r="F1465">
        <v>3022</v>
      </c>
      <c r="G1465">
        <v>0</v>
      </c>
      <c r="H1465">
        <v>0</v>
      </c>
      <c r="I1465">
        <v>0</v>
      </c>
      <c r="J1465">
        <v>2368</v>
      </c>
      <c r="K1465">
        <v>0</v>
      </c>
      <c r="L1465">
        <v>0</v>
      </c>
      <c r="M1465">
        <v>546</v>
      </c>
      <c r="N1465">
        <v>0</v>
      </c>
      <c r="O1465">
        <v>27</v>
      </c>
      <c r="P1465">
        <v>81</v>
      </c>
      <c r="Q1465">
        <v>0</v>
      </c>
      <c r="R1465">
        <f>SUM(Table13[[#This Row],[Rank_All_Ranks_Total]:[Rank_SSPSPAddlSPCommandant]])</f>
        <v>6044</v>
      </c>
    </row>
    <row r="1466" spans="1:18" x14ac:dyDescent="0.3">
      <c r="A1466" t="s">
        <v>33</v>
      </c>
      <c r="B1466">
        <v>2002</v>
      </c>
      <c r="C1466" t="str">
        <f>_xlfn.CONCAT(Table13[[#This Row],[STATE]],"-",Table13[[#This Row],[Year]])</f>
        <v>West Bengal-2002</v>
      </c>
      <c r="D1466" t="s">
        <v>73</v>
      </c>
      <c r="E1466" t="s">
        <v>74</v>
      </c>
      <c r="F1466">
        <v>24217</v>
      </c>
      <c r="G1466">
        <v>233</v>
      </c>
      <c r="H1466">
        <v>122</v>
      </c>
      <c r="I1466">
        <v>2711</v>
      </c>
      <c r="J1466">
        <v>17845</v>
      </c>
      <c r="K1466">
        <v>1</v>
      </c>
      <c r="L1466">
        <v>5</v>
      </c>
      <c r="M1466">
        <v>2300</v>
      </c>
      <c r="N1466">
        <v>2</v>
      </c>
      <c r="O1466">
        <v>252</v>
      </c>
      <c r="P1466">
        <v>706</v>
      </c>
      <c r="Q1466">
        <v>40</v>
      </c>
      <c r="R1466">
        <f>SUM(Table13[[#This Row],[Rank_All_Ranks_Total]:[Rank_SSPSPAddlSPCommandant]])</f>
        <v>48434</v>
      </c>
    </row>
    <row r="1467" spans="1:18" x14ac:dyDescent="0.3">
      <c r="A1467" t="s">
        <v>59</v>
      </c>
      <c r="B1467">
        <v>2003</v>
      </c>
      <c r="C1467" t="str">
        <f>_xlfn.CONCAT(Table13[[#This Row],[STATE]],"-",Table13[[#This Row],[Year]])</f>
        <v>Andaman &amp; Nicobar Islands-2003</v>
      </c>
      <c r="D1467" t="s">
        <v>73</v>
      </c>
      <c r="E1467" t="s">
        <v>74</v>
      </c>
      <c r="F1467">
        <v>615</v>
      </c>
      <c r="G1467">
        <v>2</v>
      </c>
      <c r="H1467">
        <v>3</v>
      </c>
      <c r="I1467">
        <v>0</v>
      </c>
      <c r="J1467">
        <v>447</v>
      </c>
      <c r="K1467">
        <v>0</v>
      </c>
      <c r="L1467">
        <v>1</v>
      </c>
      <c r="M1467">
        <v>134</v>
      </c>
      <c r="N1467">
        <v>0</v>
      </c>
      <c r="O1467">
        <v>6</v>
      </c>
      <c r="P1467">
        <v>22</v>
      </c>
      <c r="Q1467">
        <v>0</v>
      </c>
      <c r="R1467">
        <f>SUM(Table13[[#This Row],[Rank_All_Ranks_Total]:[Rank_SSPSPAddlSPCommandant]])</f>
        <v>1230</v>
      </c>
    </row>
    <row r="1468" spans="1:18" x14ac:dyDescent="0.3">
      <c r="A1468" t="s">
        <v>6</v>
      </c>
      <c r="B1468">
        <v>2003</v>
      </c>
      <c r="C1468" t="str">
        <f>_xlfn.CONCAT(Table13[[#This Row],[STATE]],"-",Table13[[#This Row],[Year]])</f>
        <v>Andhra Pradesh-2003</v>
      </c>
      <c r="D1468" t="s">
        <v>73</v>
      </c>
      <c r="E1468" t="s">
        <v>74</v>
      </c>
      <c r="F1468">
        <v>13479</v>
      </c>
      <c r="G1468">
        <v>609</v>
      </c>
      <c r="H1468">
        <v>49</v>
      </c>
      <c r="I1468">
        <v>0</v>
      </c>
      <c r="J1468">
        <v>9208</v>
      </c>
      <c r="K1468">
        <v>0</v>
      </c>
      <c r="L1468">
        <v>0</v>
      </c>
      <c r="M1468">
        <v>3100</v>
      </c>
      <c r="N1468">
        <v>0</v>
      </c>
      <c r="O1468">
        <v>140</v>
      </c>
      <c r="P1468">
        <v>348</v>
      </c>
      <c r="Q1468">
        <v>25</v>
      </c>
      <c r="R1468">
        <f>SUM(Table13[[#This Row],[Rank_All_Ranks_Total]:[Rank_SSPSPAddlSPCommandant]])</f>
        <v>26958</v>
      </c>
    </row>
    <row r="1469" spans="1:18" x14ac:dyDescent="0.3">
      <c r="A1469" t="s">
        <v>7</v>
      </c>
      <c r="B1469">
        <v>2003</v>
      </c>
      <c r="C1469" t="str">
        <f>_xlfn.CONCAT(Table13[[#This Row],[STATE]],"-",Table13[[#This Row],[Year]])</f>
        <v>Arunachal Pradesh-2003</v>
      </c>
      <c r="D1469" t="s">
        <v>73</v>
      </c>
      <c r="E1469" t="s">
        <v>74</v>
      </c>
      <c r="F1469">
        <v>3040</v>
      </c>
      <c r="G1469">
        <v>28</v>
      </c>
      <c r="H1469">
        <v>24</v>
      </c>
      <c r="I1469">
        <v>216</v>
      </c>
      <c r="J1469">
        <v>2228</v>
      </c>
      <c r="K1469">
        <v>0</v>
      </c>
      <c r="L1469">
        <v>0</v>
      </c>
      <c r="M1469">
        <v>457</v>
      </c>
      <c r="N1469">
        <v>0</v>
      </c>
      <c r="O1469">
        <v>25</v>
      </c>
      <c r="P1469">
        <v>59</v>
      </c>
      <c r="Q1469">
        <v>3</v>
      </c>
      <c r="R1469">
        <f>SUM(Table13[[#This Row],[Rank_All_Ranks_Total]:[Rank_SSPSPAddlSPCommandant]])</f>
        <v>6080</v>
      </c>
    </row>
    <row r="1470" spans="1:18" x14ac:dyDescent="0.3">
      <c r="A1470" t="s">
        <v>8</v>
      </c>
      <c r="B1470">
        <v>2003</v>
      </c>
      <c r="C1470" t="str">
        <f>_xlfn.CONCAT(Table13[[#This Row],[STATE]],"-",Table13[[#This Row],[Year]])</f>
        <v>Assam-2003</v>
      </c>
      <c r="D1470" t="s">
        <v>73</v>
      </c>
      <c r="E1470" t="s">
        <v>74</v>
      </c>
      <c r="F1470">
        <v>25914</v>
      </c>
      <c r="G1470">
        <v>36</v>
      </c>
      <c r="H1470">
        <v>150</v>
      </c>
      <c r="I1470">
        <v>2447</v>
      </c>
      <c r="J1470">
        <v>18097</v>
      </c>
      <c r="K1470">
        <v>0</v>
      </c>
      <c r="L1470">
        <v>0</v>
      </c>
      <c r="M1470">
        <v>4168</v>
      </c>
      <c r="N1470">
        <v>0</v>
      </c>
      <c r="O1470">
        <v>235</v>
      </c>
      <c r="P1470">
        <v>729</v>
      </c>
      <c r="Q1470">
        <v>52</v>
      </c>
      <c r="R1470">
        <f>SUM(Table13[[#This Row],[Rank_All_Ranks_Total]:[Rank_SSPSPAddlSPCommandant]])</f>
        <v>51828</v>
      </c>
    </row>
    <row r="1471" spans="1:18" x14ac:dyDescent="0.3">
      <c r="A1471" t="s">
        <v>9</v>
      </c>
      <c r="B1471">
        <v>2003</v>
      </c>
      <c r="C1471" t="str">
        <f>_xlfn.CONCAT(Table13[[#This Row],[STATE]],"-",Table13[[#This Row],[Year]])</f>
        <v>Bihar-2003</v>
      </c>
      <c r="D1471" t="s">
        <v>73</v>
      </c>
      <c r="E1471" t="s">
        <v>74</v>
      </c>
      <c r="F1471">
        <v>16377</v>
      </c>
      <c r="G1471">
        <v>96</v>
      </c>
      <c r="H1471">
        <v>92</v>
      </c>
      <c r="I1471">
        <v>0</v>
      </c>
      <c r="J1471">
        <v>12240</v>
      </c>
      <c r="K1471">
        <v>1</v>
      </c>
      <c r="L1471">
        <v>2</v>
      </c>
      <c r="M1471">
        <v>2993</v>
      </c>
      <c r="N1471">
        <v>1</v>
      </c>
      <c r="O1471">
        <v>140</v>
      </c>
      <c r="P1471">
        <v>797</v>
      </c>
      <c r="Q1471">
        <v>15</v>
      </c>
      <c r="R1471">
        <f>SUM(Table13[[#This Row],[Rank_All_Ranks_Total]:[Rank_SSPSPAddlSPCommandant]])</f>
        <v>32754</v>
      </c>
    </row>
    <row r="1472" spans="1:18" x14ac:dyDescent="0.3">
      <c r="A1472" t="s">
        <v>35</v>
      </c>
      <c r="B1472">
        <v>2003</v>
      </c>
      <c r="C1472" t="str">
        <f>_xlfn.CONCAT(Table13[[#This Row],[STATE]],"-",Table13[[#This Row],[Year]])</f>
        <v>Chandigarh-2003</v>
      </c>
      <c r="D1472" t="s">
        <v>73</v>
      </c>
      <c r="E1472" t="s">
        <v>74</v>
      </c>
      <c r="F1472">
        <v>419</v>
      </c>
      <c r="G1472">
        <v>0</v>
      </c>
      <c r="H1472">
        <v>1</v>
      </c>
      <c r="I1472">
        <v>0</v>
      </c>
      <c r="J1472">
        <v>343</v>
      </c>
      <c r="K1472">
        <v>0</v>
      </c>
      <c r="L1472">
        <v>0</v>
      </c>
      <c r="M1472">
        <v>61</v>
      </c>
      <c r="N1472">
        <v>0</v>
      </c>
      <c r="O1472">
        <v>4</v>
      </c>
      <c r="P1472">
        <v>10</v>
      </c>
      <c r="Q1472">
        <v>0</v>
      </c>
      <c r="R1472">
        <f>SUM(Table13[[#This Row],[Rank_All_Ranks_Total]:[Rank_SSPSPAddlSPCommandant]])</f>
        <v>838</v>
      </c>
    </row>
    <row r="1473" spans="1:18" x14ac:dyDescent="0.3">
      <c r="A1473" t="s">
        <v>10</v>
      </c>
      <c r="B1473">
        <v>2003</v>
      </c>
      <c r="C1473" t="str">
        <f>_xlfn.CONCAT(Table13[[#This Row],[STATE]],"-",Table13[[#This Row],[Year]])</f>
        <v>Chhattisgarh-2003</v>
      </c>
      <c r="D1473" t="s">
        <v>73</v>
      </c>
      <c r="E1473" t="s">
        <v>74</v>
      </c>
      <c r="F1473">
        <v>9738</v>
      </c>
      <c r="G1473">
        <v>537</v>
      </c>
      <c r="H1473">
        <v>43</v>
      </c>
      <c r="I1473">
        <v>770</v>
      </c>
      <c r="J1473">
        <v>6218</v>
      </c>
      <c r="K1473">
        <v>1</v>
      </c>
      <c r="L1473">
        <v>1</v>
      </c>
      <c r="M1473">
        <v>1762</v>
      </c>
      <c r="N1473">
        <v>1</v>
      </c>
      <c r="O1473">
        <v>99</v>
      </c>
      <c r="P1473">
        <v>283</v>
      </c>
      <c r="Q1473">
        <v>23</v>
      </c>
      <c r="R1473">
        <f>SUM(Table13[[#This Row],[Rank_All_Ranks_Total]:[Rank_SSPSPAddlSPCommandant]])</f>
        <v>19476</v>
      </c>
    </row>
    <row r="1474" spans="1:18" x14ac:dyDescent="0.3">
      <c r="A1474" t="s">
        <v>62</v>
      </c>
      <c r="B1474">
        <v>2003</v>
      </c>
      <c r="C1474" t="str">
        <f>_xlfn.CONCAT(Table13[[#This Row],[STATE]],"-",Table13[[#This Row],[Year]])</f>
        <v>Dadra &amp; Nagar Haveli-2003</v>
      </c>
      <c r="D1474" t="s">
        <v>73</v>
      </c>
      <c r="E1474" t="s">
        <v>74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f>SUM(Table13[[#This Row],[Rank_All_Ranks_Total]:[Rank_SSPSPAddlSPCommandant]])</f>
        <v>0</v>
      </c>
    </row>
    <row r="1475" spans="1:18" x14ac:dyDescent="0.3">
      <c r="A1475" t="s">
        <v>37</v>
      </c>
      <c r="B1475">
        <v>2003</v>
      </c>
      <c r="C1475" t="str">
        <f>_xlfn.CONCAT(Table13[[#This Row],[STATE]],"-",Table13[[#This Row],[Year]])</f>
        <v>Daman &amp; Diu-2003</v>
      </c>
      <c r="D1475" t="s">
        <v>73</v>
      </c>
      <c r="E1475" t="s">
        <v>74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f>SUM(Table13[[#This Row],[Rank_All_Ranks_Total]:[Rank_SSPSPAddlSPCommandant]])</f>
        <v>0</v>
      </c>
    </row>
    <row r="1476" spans="1:18" x14ac:dyDescent="0.3">
      <c r="A1476" t="s">
        <v>38</v>
      </c>
      <c r="B1476">
        <v>2003</v>
      </c>
      <c r="C1476" t="str">
        <f>_xlfn.CONCAT(Table13[[#This Row],[STATE]],"-",Table13[[#This Row],[Year]])</f>
        <v>Delhi-2003</v>
      </c>
      <c r="D1476" t="s">
        <v>73</v>
      </c>
      <c r="E1476" t="s">
        <v>74</v>
      </c>
      <c r="F1476">
        <v>10434</v>
      </c>
      <c r="G1476">
        <v>167</v>
      </c>
      <c r="H1476">
        <v>39</v>
      </c>
      <c r="I1476">
        <v>0</v>
      </c>
      <c r="J1476">
        <v>7911</v>
      </c>
      <c r="K1476">
        <v>0</v>
      </c>
      <c r="L1476">
        <v>1</v>
      </c>
      <c r="M1476">
        <v>1933</v>
      </c>
      <c r="N1476">
        <v>1</v>
      </c>
      <c r="O1476">
        <v>87</v>
      </c>
      <c r="P1476">
        <v>280</v>
      </c>
      <c r="Q1476">
        <v>15</v>
      </c>
      <c r="R1476">
        <f>SUM(Table13[[#This Row],[Rank_All_Ranks_Total]:[Rank_SSPSPAddlSPCommandant]])</f>
        <v>20868</v>
      </c>
    </row>
    <row r="1477" spans="1:18" x14ac:dyDescent="0.3">
      <c r="A1477" t="s">
        <v>11</v>
      </c>
      <c r="B1477">
        <v>2003</v>
      </c>
      <c r="C1477" t="str">
        <f>_xlfn.CONCAT(Table13[[#This Row],[STATE]],"-",Table13[[#This Row],[Year]])</f>
        <v>Goa-2003</v>
      </c>
      <c r="D1477" t="s">
        <v>73</v>
      </c>
      <c r="E1477" t="s">
        <v>74</v>
      </c>
      <c r="F1477">
        <v>971</v>
      </c>
      <c r="G1477">
        <v>23</v>
      </c>
      <c r="H1477">
        <v>4</v>
      </c>
      <c r="I1477">
        <v>0</v>
      </c>
      <c r="J1477">
        <v>746</v>
      </c>
      <c r="K1477">
        <v>0</v>
      </c>
      <c r="L1477">
        <v>0</v>
      </c>
      <c r="M1477">
        <v>166</v>
      </c>
      <c r="N1477">
        <v>0</v>
      </c>
      <c r="O1477">
        <v>9</v>
      </c>
      <c r="P1477">
        <v>22</v>
      </c>
      <c r="Q1477">
        <v>1</v>
      </c>
      <c r="R1477">
        <f>SUM(Table13[[#This Row],[Rank_All_Ranks_Total]:[Rank_SSPSPAddlSPCommandant]])</f>
        <v>1942</v>
      </c>
    </row>
    <row r="1478" spans="1:18" x14ac:dyDescent="0.3">
      <c r="A1478" t="s">
        <v>12</v>
      </c>
      <c r="B1478">
        <v>2003</v>
      </c>
      <c r="C1478" t="str">
        <f>_xlfn.CONCAT(Table13[[#This Row],[STATE]],"-",Table13[[#This Row],[Year]])</f>
        <v>Gujarat-2003</v>
      </c>
      <c r="D1478" t="s">
        <v>73</v>
      </c>
      <c r="E1478" t="s">
        <v>74</v>
      </c>
      <c r="F1478">
        <v>12295</v>
      </c>
      <c r="G1478">
        <v>1083</v>
      </c>
      <c r="H1478">
        <v>42</v>
      </c>
      <c r="I1478">
        <v>0</v>
      </c>
      <c r="J1478">
        <v>9650</v>
      </c>
      <c r="K1478">
        <v>0</v>
      </c>
      <c r="L1478">
        <v>0</v>
      </c>
      <c r="M1478">
        <v>1102</v>
      </c>
      <c r="N1478">
        <v>0</v>
      </c>
      <c r="O1478">
        <v>104</v>
      </c>
      <c r="P1478">
        <v>314</v>
      </c>
      <c r="Q1478">
        <v>0</v>
      </c>
      <c r="R1478">
        <f>SUM(Table13[[#This Row],[Rank_All_Ranks_Total]:[Rank_SSPSPAddlSPCommandant]])</f>
        <v>24590</v>
      </c>
    </row>
    <row r="1479" spans="1:18" x14ac:dyDescent="0.3">
      <c r="A1479" t="s">
        <v>13</v>
      </c>
      <c r="B1479">
        <v>2003</v>
      </c>
      <c r="C1479" t="str">
        <f>_xlfn.CONCAT(Table13[[#This Row],[STATE]],"-",Table13[[#This Row],[Year]])</f>
        <v>Haryana-2003</v>
      </c>
      <c r="D1479" t="s">
        <v>73</v>
      </c>
      <c r="E1479" t="s">
        <v>74</v>
      </c>
      <c r="F1479">
        <v>4703</v>
      </c>
      <c r="G1479">
        <v>214</v>
      </c>
      <c r="H1479">
        <v>16</v>
      </c>
      <c r="I1479">
        <v>0</v>
      </c>
      <c r="J1479">
        <v>3598</v>
      </c>
      <c r="K1479">
        <v>1</v>
      </c>
      <c r="L1479">
        <v>1</v>
      </c>
      <c r="M1479">
        <v>688</v>
      </c>
      <c r="N1479">
        <v>1</v>
      </c>
      <c r="O1479">
        <v>48</v>
      </c>
      <c r="P1479">
        <v>131</v>
      </c>
      <c r="Q1479">
        <v>5</v>
      </c>
      <c r="R1479">
        <f>SUM(Table13[[#This Row],[Rank_All_Ranks_Total]:[Rank_SSPSPAddlSPCommandant]])</f>
        <v>9406</v>
      </c>
    </row>
    <row r="1480" spans="1:18" x14ac:dyDescent="0.3">
      <c r="A1480" t="s">
        <v>14</v>
      </c>
      <c r="B1480">
        <v>2003</v>
      </c>
      <c r="C1480" t="str">
        <f>_xlfn.CONCAT(Table13[[#This Row],[STATE]],"-",Table13[[#This Row],[Year]])</f>
        <v>Himachal Pradesh-2003</v>
      </c>
      <c r="D1480" t="s">
        <v>73</v>
      </c>
      <c r="E1480" t="s">
        <v>74</v>
      </c>
      <c r="F1480">
        <v>4951</v>
      </c>
      <c r="G1480">
        <v>63</v>
      </c>
      <c r="H1480">
        <v>36</v>
      </c>
      <c r="I1480">
        <v>1010</v>
      </c>
      <c r="J1480">
        <v>2736</v>
      </c>
      <c r="K1480">
        <v>1</v>
      </c>
      <c r="L1480">
        <v>1</v>
      </c>
      <c r="M1480">
        <v>892</v>
      </c>
      <c r="N1480">
        <v>0</v>
      </c>
      <c r="O1480">
        <v>44</v>
      </c>
      <c r="P1480">
        <v>163</v>
      </c>
      <c r="Q1480">
        <v>5</v>
      </c>
      <c r="R1480">
        <f>SUM(Table13[[#This Row],[Rank_All_Ranks_Total]:[Rank_SSPSPAddlSPCommandant]])</f>
        <v>9902</v>
      </c>
    </row>
    <row r="1481" spans="1:18" x14ac:dyDescent="0.3">
      <c r="A1481" t="s">
        <v>15</v>
      </c>
      <c r="B1481">
        <v>2003</v>
      </c>
      <c r="C1481" t="str">
        <f>_xlfn.CONCAT(Table13[[#This Row],[STATE]],"-",Table13[[#This Row],[Year]])</f>
        <v>Jammu &amp; Kashmir-2003</v>
      </c>
      <c r="D1481" t="s">
        <v>73</v>
      </c>
      <c r="E1481" t="s">
        <v>74</v>
      </c>
      <c r="F1481">
        <v>18759</v>
      </c>
      <c r="G1481">
        <v>389</v>
      </c>
      <c r="H1481">
        <v>146</v>
      </c>
      <c r="I1481">
        <v>0</v>
      </c>
      <c r="J1481">
        <v>14534</v>
      </c>
      <c r="K1481">
        <v>1</v>
      </c>
      <c r="L1481">
        <v>2</v>
      </c>
      <c r="M1481">
        <v>3048</v>
      </c>
      <c r="N1481">
        <v>1</v>
      </c>
      <c r="O1481">
        <v>125</v>
      </c>
      <c r="P1481">
        <v>458</v>
      </c>
      <c r="Q1481">
        <v>55</v>
      </c>
      <c r="R1481">
        <f>SUM(Table13[[#This Row],[Rank_All_Ranks_Total]:[Rank_SSPSPAddlSPCommandant]])</f>
        <v>37518</v>
      </c>
    </row>
    <row r="1482" spans="1:18" x14ac:dyDescent="0.3">
      <c r="A1482" t="s">
        <v>16</v>
      </c>
      <c r="B1482">
        <v>2003</v>
      </c>
      <c r="C1482" t="str">
        <f>_xlfn.CONCAT(Table13[[#This Row],[STATE]],"-",Table13[[#This Row],[Year]])</f>
        <v>Jharkhand-2003</v>
      </c>
      <c r="D1482" t="s">
        <v>73</v>
      </c>
      <c r="E1482" t="s">
        <v>74</v>
      </c>
      <c r="F1482">
        <v>3421</v>
      </c>
      <c r="G1482">
        <v>33</v>
      </c>
      <c r="H1482">
        <v>2</v>
      </c>
      <c r="I1482">
        <v>0</v>
      </c>
      <c r="J1482">
        <v>3042</v>
      </c>
      <c r="K1482">
        <v>0</v>
      </c>
      <c r="L1482">
        <v>0</v>
      </c>
      <c r="M1482">
        <v>232</v>
      </c>
      <c r="N1482">
        <v>0</v>
      </c>
      <c r="O1482">
        <v>12</v>
      </c>
      <c r="P1482">
        <v>99</v>
      </c>
      <c r="Q1482">
        <v>1</v>
      </c>
      <c r="R1482">
        <f>SUM(Table13[[#This Row],[Rank_All_Ranks_Total]:[Rank_SSPSPAddlSPCommandant]])</f>
        <v>6842</v>
      </c>
    </row>
    <row r="1483" spans="1:18" x14ac:dyDescent="0.3">
      <c r="A1483" t="s">
        <v>17</v>
      </c>
      <c r="B1483">
        <v>2003</v>
      </c>
      <c r="C1483" t="str">
        <f>_xlfn.CONCAT(Table13[[#This Row],[STATE]],"-",Table13[[#This Row],[Year]])</f>
        <v>Karnataka-2003</v>
      </c>
      <c r="D1483" t="s">
        <v>73</v>
      </c>
      <c r="E1483" t="s">
        <v>74</v>
      </c>
      <c r="F1483">
        <v>3417</v>
      </c>
      <c r="G1483">
        <v>100</v>
      </c>
      <c r="H1483">
        <v>5</v>
      </c>
      <c r="I1483">
        <v>0</v>
      </c>
      <c r="J1483">
        <v>2660</v>
      </c>
      <c r="K1483">
        <v>0</v>
      </c>
      <c r="L1483">
        <v>0</v>
      </c>
      <c r="M1483">
        <v>570</v>
      </c>
      <c r="N1483">
        <v>0</v>
      </c>
      <c r="O1483">
        <v>23</v>
      </c>
      <c r="P1483">
        <v>59</v>
      </c>
      <c r="Q1483">
        <v>0</v>
      </c>
      <c r="R1483">
        <f>SUM(Table13[[#This Row],[Rank_All_Ranks_Total]:[Rank_SSPSPAddlSPCommandant]])</f>
        <v>6834</v>
      </c>
    </row>
    <row r="1484" spans="1:18" x14ac:dyDescent="0.3">
      <c r="A1484" t="s">
        <v>18</v>
      </c>
      <c r="B1484">
        <v>2003</v>
      </c>
      <c r="C1484" t="str">
        <f>_xlfn.CONCAT(Table13[[#This Row],[STATE]],"-",Table13[[#This Row],[Year]])</f>
        <v>Kerala-2003</v>
      </c>
      <c r="D1484" t="s">
        <v>73</v>
      </c>
      <c r="E1484" t="s">
        <v>74</v>
      </c>
      <c r="F1484">
        <v>9719</v>
      </c>
      <c r="G1484">
        <v>103</v>
      </c>
      <c r="H1484">
        <v>49</v>
      </c>
      <c r="I1484">
        <v>0</v>
      </c>
      <c r="J1484">
        <v>7867</v>
      </c>
      <c r="K1484">
        <v>0</v>
      </c>
      <c r="L1484">
        <v>0</v>
      </c>
      <c r="M1484">
        <v>1318</v>
      </c>
      <c r="N1484">
        <v>0</v>
      </c>
      <c r="O1484">
        <v>79</v>
      </c>
      <c r="P1484">
        <v>293</v>
      </c>
      <c r="Q1484">
        <v>10</v>
      </c>
      <c r="R1484">
        <f>SUM(Table13[[#This Row],[Rank_All_Ranks_Total]:[Rank_SSPSPAddlSPCommandant]])</f>
        <v>19438</v>
      </c>
    </row>
    <row r="1485" spans="1:18" x14ac:dyDescent="0.3">
      <c r="A1485" t="s">
        <v>39</v>
      </c>
      <c r="B1485">
        <v>2003</v>
      </c>
      <c r="C1485" t="str">
        <f>_xlfn.CONCAT(Table13[[#This Row],[STATE]],"-",Table13[[#This Row],[Year]])</f>
        <v>Lakshadweep-2003</v>
      </c>
      <c r="D1485" t="s">
        <v>73</v>
      </c>
      <c r="E1485" t="s">
        <v>74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f>SUM(Table13[[#This Row],[Rank_All_Ranks_Total]:[Rank_SSPSPAddlSPCommandant]])</f>
        <v>0</v>
      </c>
    </row>
    <row r="1486" spans="1:18" x14ac:dyDescent="0.3">
      <c r="A1486" t="s">
        <v>19</v>
      </c>
      <c r="B1486">
        <v>2003</v>
      </c>
      <c r="C1486" t="str">
        <f>_xlfn.CONCAT(Table13[[#This Row],[STATE]],"-",Table13[[#This Row],[Year]])</f>
        <v>Madhya Pradesh-2003</v>
      </c>
      <c r="D1486" t="s">
        <v>73</v>
      </c>
      <c r="E1486" t="s">
        <v>74</v>
      </c>
      <c r="F1486">
        <v>16926</v>
      </c>
      <c r="G1486">
        <v>857</v>
      </c>
      <c r="H1486">
        <v>45</v>
      </c>
      <c r="I1486">
        <v>0</v>
      </c>
      <c r="J1486">
        <v>12599</v>
      </c>
      <c r="K1486">
        <v>1</v>
      </c>
      <c r="L1486">
        <v>7</v>
      </c>
      <c r="M1486">
        <v>2841</v>
      </c>
      <c r="N1486">
        <v>1</v>
      </c>
      <c r="O1486">
        <v>140</v>
      </c>
      <c r="P1486">
        <v>412</v>
      </c>
      <c r="Q1486">
        <v>23</v>
      </c>
      <c r="R1486">
        <f>SUM(Table13[[#This Row],[Rank_All_Ranks_Total]:[Rank_SSPSPAddlSPCommandant]])</f>
        <v>33852</v>
      </c>
    </row>
    <row r="1487" spans="1:18" x14ac:dyDescent="0.3">
      <c r="A1487" t="s">
        <v>20</v>
      </c>
      <c r="B1487">
        <v>2003</v>
      </c>
      <c r="C1487" t="str">
        <f>_xlfn.CONCAT(Table13[[#This Row],[STATE]],"-",Table13[[#This Row],[Year]])</f>
        <v>Maharashtra-2003</v>
      </c>
      <c r="D1487" t="s">
        <v>73</v>
      </c>
      <c r="E1487" t="s">
        <v>74</v>
      </c>
      <c r="F1487">
        <v>15998</v>
      </c>
      <c r="G1487">
        <v>1499</v>
      </c>
      <c r="H1487">
        <v>58</v>
      </c>
      <c r="I1487">
        <v>2961</v>
      </c>
      <c r="J1487">
        <v>7493</v>
      </c>
      <c r="K1487">
        <v>0</v>
      </c>
      <c r="L1487">
        <v>3</v>
      </c>
      <c r="M1487">
        <v>3427</v>
      </c>
      <c r="N1487">
        <v>1</v>
      </c>
      <c r="O1487">
        <v>165</v>
      </c>
      <c r="P1487">
        <v>370</v>
      </c>
      <c r="Q1487">
        <v>21</v>
      </c>
      <c r="R1487">
        <f>SUM(Table13[[#This Row],[Rank_All_Ranks_Total]:[Rank_SSPSPAddlSPCommandant]])</f>
        <v>31996</v>
      </c>
    </row>
    <row r="1488" spans="1:18" x14ac:dyDescent="0.3">
      <c r="A1488" t="s">
        <v>21</v>
      </c>
      <c r="B1488">
        <v>2003</v>
      </c>
      <c r="C1488" t="str">
        <f>_xlfn.CONCAT(Table13[[#This Row],[STATE]],"-",Table13[[#This Row],[Year]])</f>
        <v>Manipur-2003</v>
      </c>
      <c r="D1488" t="s">
        <v>73</v>
      </c>
      <c r="E1488" t="s">
        <v>74</v>
      </c>
      <c r="F1488">
        <v>9720</v>
      </c>
      <c r="G1488">
        <v>0</v>
      </c>
      <c r="H1488">
        <v>72</v>
      </c>
      <c r="I1488">
        <v>988</v>
      </c>
      <c r="J1488">
        <v>7247</v>
      </c>
      <c r="K1488">
        <v>1</v>
      </c>
      <c r="L1488">
        <v>2</v>
      </c>
      <c r="M1488">
        <v>1043</v>
      </c>
      <c r="N1488">
        <v>1</v>
      </c>
      <c r="O1488">
        <v>85</v>
      </c>
      <c r="P1488">
        <v>245</v>
      </c>
      <c r="Q1488">
        <v>36</v>
      </c>
      <c r="R1488">
        <f>SUM(Table13[[#This Row],[Rank_All_Ranks_Total]:[Rank_SSPSPAddlSPCommandant]])</f>
        <v>19440</v>
      </c>
    </row>
    <row r="1489" spans="1:18" x14ac:dyDescent="0.3">
      <c r="A1489" t="s">
        <v>22</v>
      </c>
      <c r="B1489">
        <v>2003</v>
      </c>
      <c r="C1489" t="str">
        <f>_xlfn.CONCAT(Table13[[#This Row],[STATE]],"-",Table13[[#This Row],[Year]])</f>
        <v>Meghalaya-2003</v>
      </c>
      <c r="D1489" t="s">
        <v>73</v>
      </c>
      <c r="E1489" t="s">
        <v>74</v>
      </c>
      <c r="F1489">
        <v>3879</v>
      </c>
      <c r="G1489">
        <v>0</v>
      </c>
      <c r="H1489">
        <v>30</v>
      </c>
      <c r="I1489">
        <v>262</v>
      </c>
      <c r="J1489">
        <v>2861</v>
      </c>
      <c r="K1489">
        <v>0</v>
      </c>
      <c r="L1489">
        <v>0</v>
      </c>
      <c r="M1489">
        <v>579</v>
      </c>
      <c r="N1489">
        <v>0</v>
      </c>
      <c r="O1489">
        <v>36</v>
      </c>
      <c r="P1489">
        <v>99</v>
      </c>
      <c r="Q1489">
        <v>12</v>
      </c>
      <c r="R1489">
        <f>SUM(Table13[[#This Row],[Rank_All_Ranks_Total]:[Rank_SSPSPAddlSPCommandant]])</f>
        <v>7758</v>
      </c>
    </row>
    <row r="1490" spans="1:18" x14ac:dyDescent="0.3">
      <c r="A1490" t="s">
        <v>23</v>
      </c>
      <c r="B1490">
        <v>2003</v>
      </c>
      <c r="C1490" t="str">
        <f>_xlfn.CONCAT(Table13[[#This Row],[STATE]],"-",Table13[[#This Row],[Year]])</f>
        <v>Mizoram-2003</v>
      </c>
      <c r="D1490" t="s">
        <v>73</v>
      </c>
      <c r="E1490" t="s">
        <v>74</v>
      </c>
      <c r="F1490">
        <v>4270</v>
      </c>
      <c r="G1490">
        <v>36</v>
      </c>
      <c r="H1490">
        <v>32</v>
      </c>
      <c r="I1490">
        <v>431</v>
      </c>
      <c r="J1490">
        <v>2929</v>
      </c>
      <c r="K1490">
        <v>0</v>
      </c>
      <c r="L1490">
        <v>0</v>
      </c>
      <c r="M1490">
        <v>663</v>
      </c>
      <c r="N1490">
        <v>0</v>
      </c>
      <c r="O1490">
        <v>45</v>
      </c>
      <c r="P1490">
        <v>117</v>
      </c>
      <c r="Q1490">
        <v>17</v>
      </c>
      <c r="R1490">
        <f>SUM(Table13[[#This Row],[Rank_All_Ranks_Total]:[Rank_SSPSPAddlSPCommandant]])</f>
        <v>8540</v>
      </c>
    </row>
    <row r="1491" spans="1:18" x14ac:dyDescent="0.3">
      <c r="A1491" t="s">
        <v>24</v>
      </c>
      <c r="B1491">
        <v>2003</v>
      </c>
      <c r="C1491" t="str">
        <f>_xlfn.CONCAT(Table13[[#This Row],[STATE]],"-",Table13[[#This Row],[Year]])</f>
        <v>Nagaland-2003</v>
      </c>
      <c r="D1491" t="s">
        <v>73</v>
      </c>
      <c r="E1491" t="s">
        <v>74</v>
      </c>
      <c r="F1491">
        <v>5985</v>
      </c>
      <c r="G1491">
        <v>0</v>
      </c>
      <c r="H1491">
        <v>19</v>
      </c>
      <c r="I1491">
        <v>673</v>
      </c>
      <c r="J1491">
        <v>4554</v>
      </c>
      <c r="K1491">
        <v>0</v>
      </c>
      <c r="L1491">
        <v>0</v>
      </c>
      <c r="M1491">
        <v>570</v>
      </c>
      <c r="N1491">
        <v>0</v>
      </c>
      <c r="O1491">
        <v>17</v>
      </c>
      <c r="P1491">
        <v>138</v>
      </c>
      <c r="Q1491">
        <v>14</v>
      </c>
      <c r="R1491">
        <f>SUM(Table13[[#This Row],[Rank_All_Ranks_Total]:[Rank_SSPSPAddlSPCommandant]])</f>
        <v>11970</v>
      </c>
    </row>
    <row r="1492" spans="1:18" x14ac:dyDescent="0.3">
      <c r="A1492" t="s">
        <v>63</v>
      </c>
      <c r="B1492">
        <v>2003</v>
      </c>
      <c r="C1492" t="str">
        <f>_xlfn.CONCAT(Table13[[#This Row],[STATE]],"-",Table13[[#This Row],[Year]])</f>
        <v>Odisha-2003</v>
      </c>
      <c r="D1492" t="s">
        <v>73</v>
      </c>
      <c r="E1492" t="s">
        <v>74</v>
      </c>
      <c r="F1492">
        <v>9163</v>
      </c>
      <c r="G1492">
        <v>269</v>
      </c>
      <c r="H1492">
        <v>72</v>
      </c>
      <c r="I1492">
        <v>408</v>
      </c>
      <c r="J1492">
        <v>6685</v>
      </c>
      <c r="K1492">
        <v>0</v>
      </c>
      <c r="L1492">
        <v>0</v>
      </c>
      <c r="M1492">
        <v>1400</v>
      </c>
      <c r="N1492">
        <v>0</v>
      </c>
      <c r="O1492">
        <v>71</v>
      </c>
      <c r="P1492">
        <v>235</v>
      </c>
      <c r="Q1492">
        <v>23</v>
      </c>
      <c r="R1492">
        <f>SUM(Table13[[#This Row],[Rank_All_Ranks_Total]:[Rank_SSPSPAddlSPCommandant]])</f>
        <v>18326</v>
      </c>
    </row>
    <row r="1493" spans="1:18" x14ac:dyDescent="0.3">
      <c r="A1493" t="s">
        <v>64</v>
      </c>
      <c r="B1493">
        <v>2003</v>
      </c>
      <c r="C1493" t="str">
        <f>_xlfn.CONCAT(Table13[[#This Row],[STATE]],"-",Table13[[#This Row],[Year]])</f>
        <v>Puducherry-2003</v>
      </c>
      <c r="D1493" t="s">
        <v>73</v>
      </c>
      <c r="E1493" t="s">
        <v>74</v>
      </c>
      <c r="F1493">
        <v>683</v>
      </c>
      <c r="G1493">
        <v>2</v>
      </c>
      <c r="H1493">
        <v>1</v>
      </c>
      <c r="I1493">
        <v>0</v>
      </c>
      <c r="J1493">
        <v>565</v>
      </c>
      <c r="K1493">
        <v>0</v>
      </c>
      <c r="L1493">
        <v>0</v>
      </c>
      <c r="M1493">
        <v>93</v>
      </c>
      <c r="N1493">
        <v>0</v>
      </c>
      <c r="O1493">
        <v>5</v>
      </c>
      <c r="P1493">
        <v>17</v>
      </c>
      <c r="Q1493">
        <v>0</v>
      </c>
      <c r="R1493">
        <f>SUM(Table13[[#This Row],[Rank_All_Ranks_Total]:[Rank_SSPSPAddlSPCommandant]])</f>
        <v>1366</v>
      </c>
    </row>
    <row r="1494" spans="1:18" x14ac:dyDescent="0.3">
      <c r="A1494" t="s">
        <v>26</v>
      </c>
      <c r="B1494">
        <v>2003</v>
      </c>
      <c r="C1494" t="str">
        <f>_xlfn.CONCAT(Table13[[#This Row],[STATE]],"-",Table13[[#This Row],[Year]])</f>
        <v>Punjab-2003</v>
      </c>
      <c r="D1494" t="s">
        <v>73</v>
      </c>
      <c r="E1494" t="s">
        <v>74</v>
      </c>
      <c r="F1494">
        <v>18956</v>
      </c>
      <c r="G1494">
        <v>372</v>
      </c>
      <c r="H1494">
        <v>145</v>
      </c>
      <c r="I1494">
        <v>0</v>
      </c>
      <c r="J1494">
        <v>14413</v>
      </c>
      <c r="K1494">
        <v>1</v>
      </c>
      <c r="L1494">
        <v>7</v>
      </c>
      <c r="M1494">
        <v>3289</v>
      </c>
      <c r="N1494">
        <v>3</v>
      </c>
      <c r="O1494">
        <v>149</v>
      </c>
      <c r="P1494">
        <v>497</v>
      </c>
      <c r="Q1494">
        <v>80</v>
      </c>
      <c r="R1494">
        <f>SUM(Table13[[#This Row],[Rank_All_Ranks_Total]:[Rank_SSPSPAddlSPCommandant]])</f>
        <v>37912</v>
      </c>
    </row>
    <row r="1495" spans="1:18" x14ac:dyDescent="0.3">
      <c r="A1495" t="s">
        <v>27</v>
      </c>
      <c r="B1495">
        <v>2003</v>
      </c>
      <c r="C1495" t="str">
        <f>_xlfn.CONCAT(Table13[[#This Row],[STATE]],"-",Table13[[#This Row],[Year]])</f>
        <v>Rajasthan-2003</v>
      </c>
      <c r="D1495" t="s">
        <v>73</v>
      </c>
      <c r="E1495" t="s">
        <v>74</v>
      </c>
      <c r="F1495">
        <v>12689</v>
      </c>
      <c r="G1495">
        <v>0</v>
      </c>
      <c r="H1495">
        <v>72</v>
      </c>
      <c r="I1495">
        <v>0</v>
      </c>
      <c r="J1495">
        <v>10011</v>
      </c>
      <c r="K1495">
        <v>1</v>
      </c>
      <c r="L1495">
        <v>3</v>
      </c>
      <c r="M1495">
        <v>2131</v>
      </c>
      <c r="N1495">
        <v>0</v>
      </c>
      <c r="O1495">
        <v>102</v>
      </c>
      <c r="P1495">
        <v>355</v>
      </c>
      <c r="Q1495">
        <v>14</v>
      </c>
      <c r="R1495">
        <f>SUM(Table13[[#This Row],[Rank_All_Ranks_Total]:[Rank_SSPSPAddlSPCommandant]])</f>
        <v>25378</v>
      </c>
    </row>
    <row r="1496" spans="1:18" x14ac:dyDescent="0.3">
      <c r="A1496" t="s">
        <v>28</v>
      </c>
      <c r="B1496">
        <v>2003</v>
      </c>
      <c r="C1496" t="str">
        <f>_xlfn.CONCAT(Table13[[#This Row],[STATE]],"-",Table13[[#This Row],[Year]])</f>
        <v>Sikkim-2003</v>
      </c>
      <c r="D1496" t="s">
        <v>73</v>
      </c>
      <c r="E1496" t="s">
        <v>74</v>
      </c>
      <c r="F1496">
        <v>1970</v>
      </c>
      <c r="G1496">
        <v>18</v>
      </c>
      <c r="H1496">
        <v>10</v>
      </c>
      <c r="I1496">
        <v>66</v>
      </c>
      <c r="J1496">
        <v>1356</v>
      </c>
      <c r="K1496">
        <v>0</v>
      </c>
      <c r="L1496">
        <v>1</v>
      </c>
      <c r="M1496">
        <v>457</v>
      </c>
      <c r="N1496">
        <v>0</v>
      </c>
      <c r="O1496">
        <v>18</v>
      </c>
      <c r="P1496">
        <v>42</v>
      </c>
      <c r="Q1496">
        <v>2</v>
      </c>
      <c r="R1496">
        <f>SUM(Table13[[#This Row],[Rank_All_Ranks_Total]:[Rank_SSPSPAddlSPCommandant]])</f>
        <v>3940</v>
      </c>
    </row>
    <row r="1497" spans="1:18" x14ac:dyDescent="0.3">
      <c r="A1497" t="s">
        <v>42</v>
      </c>
      <c r="B1497">
        <v>2003</v>
      </c>
      <c r="C1497" t="str">
        <f>_xlfn.CONCAT(Table13[[#This Row],[STATE]],"-",Table13[[#This Row],[Year]])</f>
        <v>Tamil Nadu-2003</v>
      </c>
      <c r="D1497" t="s">
        <v>73</v>
      </c>
      <c r="E1497" t="s">
        <v>74</v>
      </c>
      <c r="F1497">
        <v>12688</v>
      </c>
      <c r="G1497">
        <v>0</v>
      </c>
      <c r="H1497">
        <v>46</v>
      </c>
      <c r="I1497">
        <v>1554</v>
      </c>
      <c r="J1497">
        <v>9035</v>
      </c>
      <c r="K1497">
        <v>0</v>
      </c>
      <c r="L1497">
        <v>2</v>
      </c>
      <c r="M1497">
        <v>1465</v>
      </c>
      <c r="N1497">
        <v>1</v>
      </c>
      <c r="O1497">
        <v>132</v>
      </c>
      <c r="P1497">
        <v>426</v>
      </c>
      <c r="Q1497">
        <v>27</v>
      </c>
      <c r="R1497">
        <f>SUM(Table13[[#This Row],[Rank_All_Ranks_Total]:[Rank_SSPSPAddlSPCommandant]])</f>
        <v>25376</v>
      </c>
    </row>
    <row r="1498" spans="1:18" x14ac:dyDescent="0.3">
      <c r="A1498" t="s">
        <v>30</v>
      </c>
      <c r="B1498">
        <v>2003</v>
      </c>
      <c r="C1498" t="str">
        <f>_xlfn.CONCAT(Table13[[#This Row],[STATE]],"-",Table13[[#This Row],[Year]])</f>
        <v>Tripura-2003</v>
      </c>
      <c r="D1498" t="s">
        <v>73</v>
      </c>
      <c r="E1498" t="s">
        <v>74</v>
      </c>
      <c r="F1498">
        <v>10586</v>
      </c>
      <c r="G1498">
        <v>0</v>
      </c>
      <c r="H1498">
        <v>85</v>
      </c>
      <c r="I1498">
        <v>1880</v>
      </c>
      <c r="J1498">
        <v>7535</v>
      </c>
      <c r="K1498">
        <v>0</v>
      </c>
      <c r="L1498">
        <v>0</v>
      </c>
      <c r="M1498">
        <v>586</v>
      </c>
      <c r="N1498">
        <v>0</v>
      </c>
      <c r="O1498">
        <v>135</v>
      </c>
      <c r="P1498">
        <v>345</v>
      </c>
      <c r="Q1498">
        <v>20</v>
      </c>
      <c r="R1498">
        <f>SUM(Table13[[#This Row],[Rank_All_Ranks_Total]:[Rank_SSPSPAddlSPCommandant]])</f>
        <v>21172</v>
      </c>
    </row>
    <row r="1499" spans="1:18" x14ac:dyDescent="0.3">
      <c r="A1499" t="s">
        <v>31</v>
      </c>
      <c r="B1499">
        <v>2003</v>
      </c>
      <c r="C1499" t="str">
        <f>_xlfn.CONCAT(Table13[[#This Row],[STATE]],"-",Table13[[#This Row],[Year]])</f>
        <v>Uttar Pradesh-2003</v>
      </c>
      <c r="D1499" t="s">
        <v>73</v>
      </c>
      <c r="E1499" t="s">
        <v>74</v>
      </c>
      <c r="F1499">
        <v>33381</v>
      </c>
      <c r="G1499">
        <v>0</v>
      </c>
      <c r="H1499">
        <v>94</v>
      </c>
      <c r="I1499">
        <v>0</v>
      </c>
      <c r="J1499">
        <v>26420</v>
      </c>
      <c r="K1499">
        <v>1</v>
      </c>
      <c r="L1499">
        <v>7</v>
      </c>
      <c r="M1499">
        <v>5650</v>
      </c>
      <c r="N1499">
        <v>5</v>
      </c>
      <c r="O1499">
        <v>280</v>
      </c>
      <c r="P1499">
        <v>859</v>
      </c>
      <c r="Q1499">
        <v>65</v>
      </c>
      <c r="R1499">
        <f>SUM(Table13[[#This Row],[Rank_All_Ranks_Total]:[Rank_SSPSPAddlSPCommandant]])</f>
        <v>66762</v>
      </c>
    </row>
    <row r="1500" spans="1:18" x14ac:dyDescent="0.3">
      <c r="A1500" t="s">
        <v>65</v>
      </c>
      <c r="B1500">
        <v>2003</v>
      </c>
      <c r="C1500" t="str">
        <f>_xlfn.CONCAT(Table13[[#This Row],[STATE]],"-",Table13[[#This Row],[Year]])</f>
        <v>Uttarakhand-2003</v>
      </c>
      <c r="D1500" t="s">
        <v>73</v>
      </c>
      <c r="E1500" t="s">
        <v>74</v>
      </c>
      <c r="F1500">
        <v>3022</v>
      </c>
      <c r="G1500">
        <v>0</v>
      </c>
      <c r="H1500">
        <v>0</v>
      </c>
      <c r="I1500">
        <v>0</v>
      </c>
      <c r="J1500">
        <v>2368</v>
      </c>
      <c r="K1500">
        <v>0</v>
      </c>
      <c r="L1500">
        <v>0</v>
      </c>
      <c r="M1500">
        <v>546</v>
      </c>
      <c r="N1500">
        <v>0</v>
      </c>
      <c r="O1500">
        <v>27</v>
      </c>
      <c r="P1500">
        <v>81</v>
      </c>
      <c r="Q1500">
        <v>0</v>
      </c>
      <c r="R1500">
        <f>SUM(Table13[[#This Row],[Rank_All_Ranks_Total]:[Rank_SSPSPAddlSPCommandant]])</f>
        <v>6044</v>
      </c>
    </row>
    <row r="1501" spans="1:18" x14ac:dyDescent="0.3">
      <c r="A1501" t="s">
        <v>33</v>
      </c>
      <c r="B1501">
        <v>2003</v>
      </c>
      <c r="C1501" t="str">
        <f>_xlfn.CONCAT(Table13[[#This Row],[STATE]],"-",Table13[[#This Row],[Year]])</f>
        <v>West Bengal-2003</v>
      </c>
      <c r="D1501" t="s">
        <v>73</v>
      </c>
      <c r="E1501" t="s">
        <v>74</v>
      </c>
      <c r="F1501">
        <v>24364</v>
      </c>
      <c r="G1501">
        <v>233</v>
      </c>
      <c r="H1501">
        <v>117</v>
      </c>
      <c r="I1501">
        <v>2730</v>
      </c>
      <c r="J1501">
        <v>17968</v>
      </c>
      <c r="K1501">
        <v>1</v>
      </c>
      <c r="L1501">
        <v>4</v>
      </c>
      <c r="M1501">
        <v>2330</v>
      </c>
      <c r="N1501">
        <v>2</v>
      </c>
      <c r="O1501">
        <v>248</v>
      </c>
      <c r="P1501">
        <v>706</v>
      </c>
      <c r="Q1501">
        <v>25</v>
      </c>
      <c r="R1501">
        <f>SUM(Table13[[#This Row],[Rank_All_Ranks_Total]:[Rank_SSPSPAddlSPCommandant]])</f>
        <v>48728</v>
      </c>
    </row>
    <row r="1502" spans="1:18" x14ac:dyDescent="0.3">
      <c r="A1502" t="s">
        <v>59</v>
      </c>
      <c r="B1502">
        <v>2004</v>
      </c>
      <c r="C1502" t="str">
        <f>_xlfn.CONCAT(Table13[[#This Row],[STATE]],"-",Table13[[#This Row],[Year]])</f>
        <v>Andaman &amp; Nicobar Islands-2004</v>
      </c>
      <c r="D1502" t="s">
        <v>73</v>
      </c>
      <c r="E1502" t="s">
        <v>74</v>
      </c>
      <c r="F1502">
        <v>615</v>
      </c>
      <c r="G1502">
        <v>2</v>
      </c>
      <c r="H1502">
        <v>3</v>
      </c>
      <c r="I1502">
        <v>0</v>
      </c>
      <c r="J1502">
        <v>447</v>
      </c>
      <c r="K1502">
        <v>0</v>
      </c>
      <c r="L1502">
        <v>1</v>
      </c>
      <c r="M1502">
        <v>134</v>
      </c>
      <c r="N1502">
        <v>0</v>
      </c>
      <c r="O1502">
        <v>6</v>
      </c>
      <c r="P1502">
        <v>22</v>
      </c>
      <c r="Q1502">
        <v>0</v>
      </c>
      <c r="R1502">
        <f>SUM(Table13[[#This Row],[Rank_All_Ranks_Total]:[Rank_SSPSPAddlSPCommandant]])</f>
        <v>1230</v>
      </c>
    </row>
    <row r="1503" spans="1:18" x14ac:dyDescent="0.3">
      <c r="A1503" t="s">
        <v>6</v>
      </c>
      <c r="B1503">
        <v>2004</v>
      </c>
      <c r="C1503" t="str">
        <f>_xlfn.CONCAT(Table13[[#This Row],[STATE]],"-",Table13[[#This Row],[Year]])</f>
        <v>Andhra Pradesh-2004</v>
      </c>
      <c r="D1503" t="s">
        <v>73</v>
      </c>
      <c r="E1503" t="s">
        <v>74</v>
      </c>
      <c r="F1503">
        <v>13472</v>
      </c>
      <c r="G1503">
        <v>609</v>
      </c>
      <c r="H1503">
        <v>49</v>
      </c>
      <c r="I1503">
        <v>0</v>
      </c>
      <c r="J1503">
        <v>9201</v>
      </c>
      <c r="K1503">
        <v>0</v>
      </c>
      <c r="L1503">
        <v>0</v>
      </c>
      <c r="M1503">
        <v>3100</v>
      </c>
      <c r="N1503">
        <v>0</v>
      </c>
      <c r="O1503">
        <v>140</v>
      </c>
      <c r="P1503">
        <v>348</v>
      </c>
      <c r="Q1503">
        <v>25</v>
      </c>
      <c r="R1503">
        <f>SUM(Table13[[#This Row],[Rank_All_Ranks_Total]:[Rank_SSPSPAddlSPCommandant]])</f>
        <v>26944</v>
      </c>
    </row>
    <row r="1504" spans="1:18" x14ac:dyDescent="0.3">
      <c r="A1504" t="s">
        <v>7</v>
      </c>
      <c r="B1504">
        <v>2004</v>
      </c>
      <c r="C1504" t="str">
        <f>_xlfn.CONCAT(Table13[[#This Row],[STATE]],"-",Table13[[#This Row],[Year]])</f>
        <v>Arunachal Pradesh-2004</v>
      </c>
      <c r="D1504" t="s">
        <v>73</v>
      </c>
      <c r="E1504" t="s">
        <v>74</v>
      </c>
      <c r="F1504">
        <v>3040</v>
      </c>
      <c r="G1504">
        <v>28</v>
      </c>
      <c r="H1504">
        <v>24</v>
      </c>
      <c r="I1504">
        <v>216</v>
      </c>
      <c r="J1504">
        <v>2228</v>
      </c>
      <c r="K1504">
        <v>0</v>
      </c>
      <c r="L1504">
        <v>0</v>
      </c>
      <c r="M1504">
        <v>457</v>
      </c>
      <c r="N1504">
        <v>0</v>
      </c>
      <c r="O1504">
        <v>25</v>
      </c>
      <c r="P1504">
        <v>59</v>
      </c>
      <c r="Q1504">
        <v>3</v>
      </c>
      <c r="R1504">
        <f>SUM(Table13[[#This Row],[Rank_All_Ranks_Total]:[Rank_SSPSPAddlSPCommandant]])</f>
        <v>6080</v>
      </c>
    </row>
    <row r="1505" spans="1:18" x14ac:dyDescent="0.3">
      <c r="A1505" t="s">
        <v>8</v>
      </c>
      <c r="B1505">
        <v>2004</v>
      </c>
      <c r="C1505" t="str">
        <f>_xlfn.CONCAT(Table13[[#This Row],[STATE]],"-",Table13[[#This Row],[Year]])</f>
        <v>Assam-2004</v>
      </c>
      <c r="D1505" t="s">
        <v>73</v>
      </c>
      <c r="E1505" t="s">
        <v>74</v>
      </c>
      <c r="F1505">
        <v>25914</v>
      </c>
      <c r="G1505">
        <v>36</v>
      </c>
      <c r="H1505">
        <v>150</v>
      </c>
      <c r="I1505">
        <v>2447</v>
      </c>
      <c r="J1505">
        <v>18097</v>
      </c>
      <c r="K1505">
        <v>0</v>
      </c>
      <c r="L1505">
        <v>0</v>
      </c>
      <c r="M1505">
        <v>4168</v>
      </c>
      <c r="N1505">
        <v>0</v>
      </c>
      <c r="O1505">
        <v>235</v>
      </c>
      <c r="P1505">
        <v>729</v>
      </c>
      <c r="Q1505">
        <v>52</v>
      </c>
      <c r="R1505">
        <f>SUM(Table13[[#This Row],[Rank_All_Ranks_Total]:[Rank_SSPSPAddlSPCommandant]])</f>
        <v>51828</v>
      </c>
    </row>
    <row r="1506" spans="1:18" x14ac:dyDescent="0.3">
      <c r="A1506" t="s">
        <v>9</v>
      </c>
      <c r="B1506">
        <v>2004</v>
      </c>
      <c r="C1506" t="str">
        <f>_xlfn.CONCAT(Table13[[#This Row],[STATE]],"-",Table13[[#This Row],[Year]])</f>
        <v>Bihar-2004</v>
      </c>
      <c r="D1506" t="s">
        <v>73</v>
      </c>
      <c r="E1506" t="s">
        <v>74</v>
      </c>
      <c r="F1506">
        <v>16404</v>
      </c>
      <c r="G1506">
        <v>98</v>
      </c>
      <c r="H1506">
        <v>93</v>
      </c>
      <c r="I1506">
        <v>0</v>
      </c>
      <c r="J1506">
        <v>12261</v>
      </c>
      <c r="K1506">
        <v>1</v>
      </c>
      <c r="L1506">
        <v>2</v>
      </c>
      <c r="M1506">
        <v>2994</v>
      </c>
      <c r="N1506">
        <v>1</v>
      </c>
      <c r="O1506">
        <v>140</v>
      </c>
      <c r="P1506">
        <v>798</v>
      </c>
      <c r="Q1506">
        <v>16</v>
      </c>
      <c r="R1506">
        <f>SUM(Table13[[#This Row],[Rank_All_Ranks_Total]:[Rank_SSPSPAddlSPCommandant]])</f>
        <v>32808</v>
      </c>
    </row>
    <row r="1507" spans="1:18" x14ac:dyDescent="0.3">
      <c r="A1507" t="s">
        <v>35</v>
      </c>
      <c r="B1507">
        <v>2004</v>
      </c>
      <c r="C1507" t="str">
        <f>_xlfn.CONCAT(Table13[[#This Row],[STATE]],"-",Table13[[#This Row],[Year]])</f>
        <v>Chandigarh-2004</v>
      </c>
      <c r="D1507" t="s">
        <v>73</v>
      </c>
      <c r="E1507" t="s">
        <v>74</v>
      </c>
      <c r="F1507">
        <v>419</v>
      </c>
      <c r="G1507">
        <v>0</v>
      </c>
      <c r="H1507">
        <v>1</v>
      </c>
      <c r="I1507">
        <v>0</v>
      </c>
      <c r="J1507">
        <v>343</v>
      </c>
      <c r="K1507">
        <v>0</v>
      </c>
      <c r="L1507">
        <v>0</v>
      </c>
      <c r="M1507">
        <v>61</v>
      </c>
      <c r="N1507">
        <v>0</v>
      </c>
      <c r="O1507">
        <v>4</v>
      </c>
      <c r="P1507">
        <v>10</v>
      </c>
      <c r="Q1507">
        <v>0</v>
      </c>
      <c r="R1507">
        <f>SUM(Table13[[#This Row],[Rank_All_Ranks_Total]:[Rank_SSPSPAddlSPCommandant]])</f>
        <v>838</v>
      </c>
    </row>
    <row r="1508" spans="1:18" x14ac:dyDescent="0.3">
      <c r="A1508" t="s">
        <v>10</v>
      </c>
      <c r="B1508">
        <v>2004</v>
      </c>
      <c r="C1508" t="str">
        <f>_xlfn.CONCAT(Table13[[#This Row],[STATE]],"-",Table13[[#This Row],[Year]])</f>
        <v>Chhattisgarh-2004</v>
      </c>
      <c r="D1508" t="s">
        <v>73</v>
      </c>
      <c r="E1508" t="s">
        <v>74</v>
      </c>
      <c r="F1508">
        <v>10663</v>
      </c>
      <c r="G1508">
        <v>550</v>
      </c>
      <c r="H1508">
        <v>56</v>
      </c>
      <c r="I1508">
        <v>7006</v>
      </c>
      <c r="J1508">
        <v>841</v>
      </c>
      <c r="K1508">
        <v>1</v>
      </c>
      <c r="L1508">
        <v>0</v>
      </c>
      <c r="M1508">
        <v>1818</v>
      </c>
      <c r="N1508">
        <v>1</v>
      </c>
      <c r="O1508">
        <v>92</v>
      </c>
      <c r="P1508">
        <v>274</v>
      </c>
      <c r="Q1508">
        <v>24</v>
      </c>
      <c r="R1508">
        <f>SUM(Table13[[#This Row],[Rank_All_Ranks_Total]:[Rank_SSPSPAddlSPCommandant]])</f>
        <v>21326</v>
      </c>
    </row>
    <row r="1509" spans="1:18" x14ac:dyDescent="0.3">
      <c r="A1509" t="s">
        <v>62</v>
      </c>
      <c r="B1509">
        <v>2004</v>
      </c>
      <c r="C1509" t="str">
        <f>_xlfn.CONCAT(Table13[[#This Row],[STATE]],"-",Table13[[#This Row],[Year]])</f>
        <v>Dadra &amp; Nagar Haveli-2004</v>
      </c>
      <c r="D1509" t="s">
        <v>73</v>
      </c>
      <c r="E1509" t="s">
        <v>74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f>SUM(Table13[[#This Row],[Rank_All_Ranks_Total]:[Rank_SSPSPAddlSPCommandant]])</f>
        <v>0</v>
      </c>
    </row>
    <row r="1510" spans="1:18" x14ac:dyDescent="0.3">
      <c r="A1510" t="s">
        <v>37</v>
      </c>
      <c r="B1510">
        <v>2004</v>
      </c>
      <c r="C1510" t="str">
        <f>_xlfn.CONCAT(Table13[[#This Row],[STATE]],"-",Table13[[#This Row],[Year]])</f>
        <v>Daman &amp; Diu-2004</v>
      </c>
      <c r="D1510" t="s">
        <v>73</v>
      </c>
      <c r="E1510" t="s">
        <v>74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f>SUM(Table13[[#This Row],[Rank_All_Ranks_Total]:[Rank_SSPSPAddlSPCommandant]])</f>
        <v>0</v>
      </c>
    </row>
    <row r="1511" spans="1:18" x14ac:dyDescent="0.3">
      <c r="A1511" t="s">
        <v>38</v>
      </c>
      <c r="B1511">
        <v>2004</v>
      </c>
      <c r="C1511" t="str">
        <f>_xlfn.CONCAT(Table13[[#This Row],[STATE]],"-",Table13[[#This Row],[Year]])</f>
        <v>Delhi-2004</v>
      </c>
      <c r="D1511" t="s">
        <v>73</v>
      </c>
      <c r="E1511" t="s">
        <v>74</v>
      </c>
      <c r="F1511">
        <v>10887</v>
      </c>
      <c r="G1511">
        <v>167</v>
      </c>
      <c r="H1511">
        <v>39</v>
      </c>
      <c r="I1511">
        <v>0</v>
      </c>
      <c r="J1511">
        <v>8235</v>
      </c>
      <c r="K1511">
        <v>0</v>
      </c>
      <c r="L1511">
        <v>1</v>
      </c>
      <c r="M1511">
        <v>1996</v>
      </c>
      <c r="N1511">
        <v>1</v>
      </c>
      <c r="O1511">
        <v>94</v>
      </c>
      <c r="P1511">
        <v>339</v>
      </c>
      <c r="Q1511">
        <v>15</v>
      </c>
      <c r="R1511">
        <f>SUM(Table13[[#This Row],[Rank_All_Ranks_Total]:[Rank_SSPSPAddlSPCommandant]])</f>
        <v>21774</v>
      </c>
    </row>
    <row r="1512" spans="1:18" x14ac:dyDescent="0.3">
      <c r="A1512" t="s">
        <v>11</v>
      </c>
      <c r="B1512">
        <v>2004</v>
      </c>
      <c r="C1512" t="str">
        <f>_xlfn.CONCAT(Table13[[#This Row],[STATE]],"-",Table13[[#This Row],[Year]])</f>
        <v>Goa-2004</v>
      </c>
      <c r="D1512" t="s">
        <v>73</v>
      </c>
      <c r="E1512" t="s">
        <v>74</v>
      </c>
      <c r="F1512">
        <v>870</v>
      </c>
      <c r="G1512">
        <v>19</v>
      </c>
      <c r="H1512">
        <v>4</v>
      </c>
      <c r="I1512">
        <v>0</v>
      </c>
      <c r="J1512">
        <v>667</v>
      </c>
      <c r="K1512">
        <v>0</v>
      </c>
      <c r="L1512">
        <v>0</v>
      </c>
      <c r="M1512">
        <v>151</v>
      </c>
      <c r="N1512">
        <v>0</v>
      </c>
      <c r="O1512">
        <v>8</v>
      </c>
      <c r="P1512">
        <v>21</v>
      </c>
      <c r="Q1512">
        <v>0</v>
      </c>
      <c r="R1512">
        <f>SUM(Table13[[#This Row],[Rank_All_Ranks_Total]:[Rank_SSPSPAddlSPCommandant]])</f>
        <v>1740</v>
      </c>
    </row>
    <row r="1513" spans="1:18" x14ac:dyDescent="0.3">
      <c r="A1513" t="s">
        <v>12</v>
      </c>
      <c r="B1513">
        <v>2004</v>
      </c>
      <c r="C1513" t="str">
        <f>_xlfn.CONCAT(Table13[[#This Row],[STATE]],"-",Table13[[#This Row],[Year]])</f>
        <v>Gujarat-2004</v>
      </c>
      <c r="D1513" t="s">
        <v>73</v>
      </c>
      <c r="E1513" t="s">
        <v>74</v>
      </c>
      <c r="F1513">
        <v>12295</v>
      </c>
      <c r="G1513">
        <v>1083</v>
      </c>
      <c r="H1513">
        <v>42</v>
      </c>
      <c r="I1513">
        <v>0</v>
      </c>
      <c r="J1513">
        <v>9650</v>
      </c>
      <c r="K1513">
        <v>0</v>
      </c>
      <c r="L1513">
        <v>0</v>
      </c>
      <c r="M1513">
        <v>1102</v>
      </c>
      <c r="N1513">
        <v>0</v>
      </c>
      <c r="O1513">
        <v>104</v>
      </c>
      <c r="P1513">
        <v>314</v>
      </c>
      <c r="Q1513">
        <v>0</v>
      </c>
      <c r="R1513">
        <f>SUM(Table13[[#This Row],[Rank_All_Ranks_Total]:[Rank_SSPSPAddlSPCommandant]])</f>
        <v>24590</v>
      </c>
    </row>
    <row r="1514" spans="1:18" x14ac:dyDescent="0.3">
      <c r="A1514" t="s">
        <v>13</v>
      </c>
      <c r="B1514">
        <v>2004</v>
      </c>
      <c r="C1514" t="str">
        <f>_xlfn.CONCAT(Table13[[#This Row],[STATE]],"-",Table13[[#This Row],[Year]])</f>
        <v>Haryana-2004</v>
      </c>
      <c r="D1514" t="s">
        <v>73</v>
      </c>
      <c r="E1514" t="s">
        <v>74</v>
      </c>
      <c r="F1514">
        <v>4702</v>
      </c>
      <c r="G1514">
        <v>214</v>
      </c>
      <c r="H1514">
        <v>16</v>
      </c>
      <c r="I1514">
        <v>0</v>
      </c>
      <c r="J1514">
        <v>3598</v>
      </c>
      <c r="K1514">
        <v>1</v>
      </c>
      <c r="L1514">
        <v>1</v>
      </c>
      <c r="M1514">
        <v>688</v>
      </c>
      <c r="N1514">
        <v>1</v>
      </c>
      <c r="O1514">
        <v>47</v>
      </c>
      <c r="P1514">
        <v>131</v>
      </c>
      <c r="Q1514">
        <v>5</v>
      </c>
      <c r="R1514">
        <f>SUM(Table13[[#This Row],[Rank_All_Ranks_Total]:[Rank_SSPSPAddlSPCommandant]])</f>
        <v>9404</v>
      </c>
    </row>
    <row r="1515" spans="1:18" x14ac:dyDescent="0.3">
      <c r="A1515" t="s">
        <v>14</v>
      </c>
      <c r="B1515">
        <v>2004</v>
      </c>
      <c r="C1515" t="str">
        <f>_xlfn.CONCAT(Table13[[#This Row],[STATE]],"-",Table13[[#This Row],[Year]])</f>
        <v>Himachal Pradesh-2004</v>
      </c>
      <c r="D1515" t="s">
        <v>73</v>
      </c>
      <c r="E1515" t="s">
        <v>74</v>
      </c>
      <c r="F1515">
        <v>4952</v>
      </c>
      <c r="G1515">
        <v>63</v>
      </c>
      <c r="H1515">
        <v>29</v>
      </c>
      <c r="I1515">
        <v>1010</v>
      </c>
      <c r="J1515">
        <v>2736</v>
      </c>
      <c r="K1515">
        <v>1</v>
      </c>
      <c r="L1515">
        <v>2</v>
      </c>
      <c r="M1515">
        <v>892</v>
      </c>
      <c r="N1515">
        <v>0</v>
      </c>
      <c r="O1515">
        <v>44</v>
      </c>
      <c r="P1515">
        <v>163</v>
      </c>
      <c r="Q1515">
        <v>12</v>
      </c>
      <c r="R1515">
        <f>SUM(Table13[[#This Row],[Rank_All_Ranks_Total]:[Rank_SSPSPAddlSPCommandant]])</f>
        <v>9904</v>
      </c>
    </row>
    <row r="1516" spans="1:18" x14ac:dyDescent="0.3">
      <c r="A1516" t="s">
        <v>15</v>
      </c>
      <c r="B1516">
        <v>2004</v>
      </c>
      <c r="C1516" t="str">
        <f>_xlfn.CONCAT(Table13[[#This Row],[STATE]],"-",Table13[[#This Row],[Year]])</f>
        <v>Jammu &amp; Kashmir-2004</v>
      </c>
      <c r="D1516" t="s">
        <v>73</v>
      </c>
      <c r="E1516" t="s">
        <v>74</v>
      </c>
      <c r="F1516">
        <v>18759</v>
      </c>
      <c r="G1516">
        <v>389</v>
      </c>
      <c r="H1516">
        <v>146</v>
      </c>
      <c r="I1516">
        <v>0</v>
      </c>
      <c r="J1516">
        <v>14534</v>
      </c>
      <c r="K1516">
        <v>1</v>
      </c>
      <c r="L1516">
        <v>2</v>
      </c>
      <c r="M1516">
        <v>3048</v>
      </c>
      <c r="N1516">
        <v>1</v>
      </c>
      <c r="O1516">
        <v>125</v>
      </c>
      <c r="P1516">
        <v>458</v>
      </c>
      <c r="Q1516">
        <v>55</v>
      </c>
      <c r="R1516">
        <f>SUM(Table13[[#This Row],[Rank_All_Ranks_Total]:[Rank_SSPSPAddlSPCommandant]])</f>
        <v>37518</v>
      </c>
    </row>
    <row r="1517" spans="1:18" x14ac:dyDescent="0.3">
      <c r="A1517" t="s">
        <v>16</v>
      </c>
      <c r="B1517">
        <v>2004</v>
      </c>
      <c r="C1517" t="str">
        <f>_xlfn.CONCAT(Table13[[#This Row],[STATE]],"-",Table13[[#This Row],[Year]])</f>
        <v>Jharkhand-2004</v>
      </c>
      <c r="D1517" t="s">
        <v>73</v>
      </c>
      <c r="E1517" t="s">
        <v>74</v>
      </c>
      <c r="F1517">
        <v>3421</v>
      </c>
      <c r="G1517">
        <v>33</v>
      </c>
      <c r="H1517">
        <v>2</v>
      </c>
      <c r="I1517">
        <v>0</v>
      </c>
      <c r="J1517">
        <v>3042</v>
      </c>
      <c r="K1517">
        <v>0</v>
      </c>
      <c r="L1517">
        <v>0</v>
      </c>
      <c r="M1517">
        <v>232</v>
      </c>
      <c r="N1517">
        <v>0</v>
      </c>
      <c r="O1517">
        <v>12</v>
      </c>
      <c r="P1517">
        <v>99</v>
      </c>
      <c r="Q1517">
        <v>1</v>
      </c>
      <c r="R1517">
        <f>SUM(Table13[[#This Row],[Rank_All_Ranks_Total]:[Rank_SSPSPAddlSPCommandant]])</f>
        <v>6842</v>
      </c>
    </row>
    <row r="1518" spans="1:18" x14ac:dyDescent="0.3">
      <c r="A1518" t="s">
        <v>17</v>
      </c>
      <c r="B1518">
        <v>2004</v>
      </c>
      <c r="C1518" t="str">
        <f>_xlfn.CONCAT(Table13[[#This Row],[STATE]],"-",Table13[[#This Row],[Year]])</f>
        <v>Karnataka-2004</v>
      </c>
      <c r="D1518" t="s">
        <v>73</v>
      </c>
      <c r="E1518" t="s">
        <v>74</v>
      </c>
      <c r="F1518">
        <v>4183</v>
      </c>
      <c r="G1518">
        <v>119</v>
      </c>
      <c r="H1518">
        <v>7</v>
      </c>
      <c r="I1518">
        <v>0</v>
      </c>
      <c r="J1518">
        <v>3264</v>
      </c>
      <c r="K1518">
        <v>0</v>
      </c>
      <c r="L1518">
        <v>0</v>
      </c>
      <c r="M1518">
        <v>694</v>
      </c>
      <c r="N1518">
        <v>0</v>
      </c>
      <c r="O1518">
        <v>27</v>
      </c>
      <c r="P1518">
        <v>72</v>
      </c>
      <c r="Q1518">
        <v>0</v>
      </c>
      <c r="R1518">
        <f>SUM(Table13[[#This Row],[Rank_All_Ranks_Total]:[Rank_SSPSPAddlSPCommandant]])</f>
        <v>8366</v>
      </c>
    </row>
    <row r="1519" spans="1:18" x14ac:dyDescent="0.3">
      <c r="A1519" t="s">
        <v>18</v>
      </c>
      <c r="B1519">
        <v>2004</v>
      </c>
      <c r="C1519" t="str">
        <f>_xlfn.CONCAT(Table13[[#This Row],[STATE]],"-",Table13[[#This Row],[Year]])</f>
        <v>Kerala-2004</v>
      </c>
      <c r="D1519" t="s">
        <v>73</v>
      </c>
      <c r="E1519" t="s">
        <v>74</v>
      </c>
      <c r="F1519">
        <v>9719</v>
      </c>
      <c r="G1519">
        <v>103</v>
      </c>
      <c r="H1519">
        <v>49</v>
      </c>
      <c r="I1519">
        <v>0</v>
      </c>
      <c r="J1519">
        <v>7867</v>
      </c>
      <c r="K1519">
        <v>0</v>
      </c>
      <c r="L1519">
        <v>0</v>
      </c>
      <c r="M1519">
        <v>1318</v>
      </c>
      <c r="N1519">
        <v>0</v>
      </c>
      <c r="O1519">
        <v>79</v>
      </c>
      <c r="P1519">
        <v>293</v>
      </c>
      <c r="Q1519">
        <v>10</v>
      </c>
      <c r="R1519">
        <f>SUM(Table13[[#This Row],[Rank_All_Ranks_Total]:[Rank_SSPSPAddlSPCommandant]])</f>
        <v>19438</v>
      </c>
    </row>
    <row r="1520" spans="1:18" x14ac:dyDescent="0.3">
      <c r="A1520" t="s">
        <v>39</v>
      </c>
      <c r="B1520">
        <v>2004</v>
      </c>
      <c r="C1520" t="str">
        <f>_xlfn.CONCAT(Table13[[#This Row],[STATE]],"-",Table13[[#This Row],[Year]])</f>
        <v>Lakshadweep-2004</v>
      </c>
      <c r="D1520" t="s">
        <v>73</v>
      </c>
      <c r="E1520" t="s">
        <v>74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f>SUM(Table13[[#This Row],[Rank_All_Ranks_Total]:[Rank_SSPSPAddlSPCommandant]])</f>
        <v>0</v>
      </c>
    </row>
    <row r="1521" spans="1:18" x14ac:dyDescent="0.3">
      <c r="A1521" t="s">
        <v>19</v>
      </c>
      <c r="B1521">
        <v>2004</v>
      </c>
      <c r="C1521" t="str">
        <f>_xlfn.CONCAT(Table13[[#This Row],[STATE]],"-",Table13[[#This Row],[Year]])</f>
        <v>Madhya Pradesh-2004</v>
      </c>
      <c r="D1521" t="s">
        <v>73</v>
      </c>
      <c r="E1521" t="s">
        <v>74</v>
      </c>
      <c r="F1521">
        <v>20159</v>
      </c>
      <c r="G1521">
        <v>1130</v>
      </c>
      <c r="H1521">
        <v>45</v>
      </c>
      <c r="I1521">
        <v>0</v>
      </c>
      <c r="J1521">
        <v>14622</v>
      </c>
      <c r="K1521">
        <v>1</v>
      </c>
      <c r="L1521">
        <v>7</v>
      </c>
      <c r="M1521">
        <v>3499</v>
      </c>
      <c r="N1521">
        <v>1</v>
      </c>
      <c r="O1521">
        <v>197</v>
      </c>
      <c r="P1521">
        <v>634</v>
      </c>
      <c r="Q1521">
        <v>23</v>
      </c>
      <c r="R1521">
        <f>SUM(Table13[[#This Row],[Rank_All_Ranks_Total]:[Rank_SSPSPAddlSPCommandant]])</f>
        <v>40318</v>
      </c>
    </row>
    <row r="1522" spans="1:18" x14ac:dyDescent="0.3">
      <c r="A1522" t="s">
        <v>20</v>
      </c>
      <c r="B1522">
        <v>2004</v>
      </c>
      <c r="C1522" t="str">
        <f>_xlfn.CONCAT(Table13[[#This Row],[STATE]],"-",Table13[[#This Row],[Year]])</f>
        <v>Maharashtra-2004</v>
      </c>
      <c r="D1522" t="s">
        <v>73</v>
      </c>
      <c r="E1522" t="s">
        <v>74</v>
      </c>
      <c r="F1522">
        <v>15894</v>
      </c>
      <c r="G1522">
        <v>1499</v>
      </c>
      <c r="H1522">
        <v>58</v>
      </c>
      <c r="I1522">
        <v>2961</v>
      </c>
      <c r="J1522">
        <v>7493</v>
      </c>
      <c r="K1522">
        <v>0</v>
      </c>
      <c r="L1522">
        <v>3</v>
      </c>
      <c r="M1522">
        <v>3427</v>
      </c>
      <c r="N1522">
        <v>1</v>
      </c>
      <c r="O1522">
        <v>165</v>
      </c>
      <c r="P1522">
        <v>266</v>
      </c>
      <c r="Q1522">
        <v>21</v>
      </c>
      <c r="R1522">
        <f>SUM(Table13[[#This Row],[Rank_All_Ranks_Total]:[Rank_SSPSPAddlSPCommandant]])</f>
        <v>31788</v>
      </c>
    </row>
    <row r="1523" spans="1:18" x14ac:dyDescent="0.3">
      <c r="A1523" t="s">
        <v>21</v>
      </c>
      <c r="B1523">
        <v>2004</v>
      </c>
      <c r="C1523" t="str">
        <f>_xlfn.CONCAT(Table13[[#This Row],[STATE]],"-",Table13[[#This Row],[Year]])</f>
        <v>Manipur-2004</v>
      </c>
      <c r="D1523" t="s">
        <v>73</v>
      </c>
      <c r="E1523" t="s">
        <v>74</v>
      </c>
      <c r="F1523">
        <v>9480</v>
      </c>
      <c r="G1523">
        <v>0</v>
      </c>
      <c r="H1523">
        <v>72</v>
      </c>
      <c r="I1523">
        <v>0</v>
      </c>
      <c r="J1523">
        <v>7206</v>
      </c>
      <c r="K1523">
        <v>1</v>
      </c>
      <c r="L1523">
        <v>2</v>
      </c>
      <c r="M1523">
        <v>1833</v>
      </c>
      <c r="N1523">
        <v>1</v>
      </c>
      <c r="O1523">
        <v>85</v>
      </c>
      <c r="P1523">
        <v>245</v>
      </c>
      <c r="Q1523">
        <v>35</v>
      </c>
      <c r="R1523">
        <f>SUM(Table13[[#This Row],[Rank_All_Ranks_Total]:[Rank_SSPSPAddlSPCommandant]])</f>
        <v>18960</v>
      </c>
    </row>
    <row r="1524" spans="1:18" x14ac:dyDescent="0.3">
      <c r="A1524" t="s">
        <v>22</v>
      </c>
      <c r="B1524">
        <v>2004</v>
      </c>
      <c r="C1524" t="str">
        <f>_xlfn.CONCAT(Table13[[#This Row],[STATE]],"-",Table13[[#This Row],[Year]])</f>
        <v>Meghalaya-2004</v>
      </c>
      <c r="D1524" t="s">
        <v>73</v>
      </c>
      <c r="E1524" t="s">
        <v>74</v>
      </c>
      <c r="F1524">
        <v>3882</v>
      </c>
      <c r="G1524">
        <v>0</v>
      </c>
      <c r="H1524">
        <v>30</v>
      </c>
      <c r="I1524">
        <v>260</v>
      </c>
      <c r="J1524">
        <v>2863</v>
      </c>
      <c r="K1524">
        <v>0</v>
      </c>
      <c r="L1524">
        <v>0</v>
      </c>
      <c r="M1524">
        <v>582</v>
      </c>
      <c r="N1524">
        <v>0</v>
      </c>
      <c r="O1524">
        <v>36</v>
      </c>
      <c r="P1524">
        <v>99</v>
      </c>
      <c r="Q1524">
        <v>12</v>
      </c>
      <c r="R1524">
        <f>SUM(Table13[[#This Row],[Rank_All_Ranks_Total]:[Rank_SSPSPAddlSPCommandant]])</f>
        <v>7764</v>
      </c>
    </row>
    <row r="1525" spans="1:18" x14ac:dyDescent="0.3">
      <c r="A1525" t="s">
        <v>23</v>
      </c>
      <c r="B1525">
        <v>2004</v>
      </c>
      <c r="C1525" t="str">
        <f>_xlfn.CONCAT(Table13[[#This Row],[STATE]],"-",Table13[[#This Row],[Year]])</f>
        <v>Mizoram-2004</v>
      </c>
      <c r="D1525" t="s">
        <v>73</v>
      </c>
      <c r="E1525" t="s">
        <v>74</v>
      </c>
      <c r="F1525">
        <v>4270</v>
      </c>
      <c r="G1525">
        <v>36</v>
      </c>
      <c r="H1525">
        <v>32</v>
      </c>
      <c r="I1525">
        <v>431</v>
      </c>
      <c r="J1525">
        <v>2929</v>
      </c>
      <c r="K1525">
        <v>0</v>
      </c>
      <c r="L1525">
        <v>0</v>
      </c>
      <c r="M1525">
        <v>663</v>
      </c>
      <c r="N1525">
        <v>0</v>
      </c>
      <c r="O1525">
        <v>45</v>
      </c>
      <c r="P1525">
        <v>117</v>
      </c>
      <c r="Q1525">
        <v>17</v>
      </c>
      <c r="R1525">
        <f>SUM(Table13[[#This Row],[Rank_All_Ranks_Total]:[Rank_SSPSPAddlSPCommandant]])</f>
        <v>8540</v>
      </c>
    </row>
    <row r="1526" spans="1:18" x14ac:dyDescent="0.3">
      <c r="A1526" t="s">
        <v>24</v>
      </c>
      <c r="B1526">
        <v>2004</v>
      </c>
      <c r="C1526" t="str">
        <f>_xlfn.CONCAT(Table13[[#This Row],[STATE]],"-",Table13[[#This Row],[Year]])</f>
        <v>Nagaland-2004</v>
      </c>
      <c r="D1526" t="s">
        <v>73</v>
      </c>
      <c r="E1526" t="s">
        <v>74</v>
      </c>
      <c r="F1526">
        <v>6294</v>
      </c>
      <c r="G1526">
        <v>0</v>
      </c>
      <c r="H1526">
        <v>19</v>
      </c>
      <c r="I1526">
        <v>752</v>
      </c>
      <c r="J1526">
        <v>4776</v>
      </c>
      <c r="K1526">
        <v>0</v>
      </c>
      <c r="L1526">
        <v>0</v>
      </c>
      <c r="M1526">
        <v>571</v>
      </c>
      <c r="N1526">
        <v>0</v>
      </c>
      <c r="O1526">
        <v>18</v>
      </c>
      <c r="P1526">
        <v>144</v>
      </c>
      <c r="Q1526">
        <v>14</v>
      </c>
      <c r="R1526">
        <f>SUM(Table13[[#This Row],[Rank_All_Ranks_Total]:[Rank_SSPSPAddlSPCommandant]])</f>
        <v>12588</v>
      </c>
    </row>
    <row r="1527" spans="1:18" x14ac:dyDescent="0.3">
      <c r="A1527" t="s">
        <v>63</v>
      </c>
      <c r="B1527">
        <v>2004</v>
      </c>
      <c r="C1527" t="str">
        <f>_xlfn.CONCAT(Table13[[#This Row],[STATE]],"-",Table13[[#This Row],[Year]])</f>
        <v>Odisha-2004</v>
      </c>
      <c r="D1527" t="s">
        <v>73</v>
      </c>
      <c r="E1527" t="s">
        <v>74</v>
      </c>
      <c r="F1527">
        <v>9635</v>
      </c>
      <c r="G1527">
        <v>278</v>
      </c>
      <c r="H1527">
        <v>79</v>
      </c>
      <c r="I1527">
        <v>411</v>
      </c>
      <c r="J1527">
        <v>7043</v>
      </c>
      <c r="K1527">
        <v>0</v>
      </c>
      <c r="L1527">
        <v>0</v>
      </c>
      <c r="M1527">
        <v>1450</v>
      </c>
      <c r="N1527">
        <v>0</v>
      </c>
      <c r="O1527">
        <v>78</v>
      </c>
      <c r="P1527">
        <v>270</v>
      </c>
      <c r="Q1527">
        <v>26</v>
      </c>
      <c r="R1527">
        <f>SUM(Table13[[#This Row],[Rank_All_Ranks_Total]:[Rank_SSPSPAddlSPCommandant]])</f>
        <v>19270</v>
      </c>
    </row>
    <row r="1528" spans="1:18" x14ac:dyDescent="0.3">
      <c r="A1528" t="s">
        <v>64</v>
      </c>
      <c r="B1528">
        <v>2004</v>
      </c>
      <c r="C1528" t="str">
        <f>_xlfn.CONCAT(Table13[[#This Row],[STATE]],"-",Table13[[#This Row],[Year]])</f>
        <v>Puducherry-2004</v>
      </c>
      <c r="D1528" t="s">
        <v>73</v>
      </c>
      <c r="E1528" t="s">
        <v>74</v>
      </c>
      <c r="F1528">
        <v>683</v>
      </c>
      <c r="G1528">
        <v>2</v>
      </c>
      <c r="H1528">
        <v>1</v>
      </c>
      <c r="I1528">
        <v>0</v>
      </c>
      <c r="J1528">
        <v>565</v>
      </c>
      <c r="K1528">
        <v>0</v>
      </c>
      <c r="L1528">
        <v>0</v>
      </c>
      <c r="M1528">
        <v>93</v>
      </c>
      <c r="N1528">
        <v>0</v>
      </c>
      <c r="O1528">
        <v>5</v>
      </c>
      <c r="P1528">
        <v>17</v>
      </c>
      <c r="Q1528">
        <v>0</v>
      </c>
      <c r="R1528">
        <f>SUM(Table13[[#This Row],[Rank_All_Ranks_Total]:[Rank_SSPSPAddlSPCommandant]])</f>
        <v>1366</v>
      </c>
    </row>
    <row r="1529" spans="1:18" x14ac:dyDescent="0.3">
      <c r="A1529" t="s">
        <v>26</v>
      </c>
      <c r="B1529">
        <v>2004</v>
      </c>
      <c r="C1529" t="str">
        <f>_xlfn.CONCAT(Table13[[#This Row],[STATE]],"-",Table13[[#This Row],[Year]])</f>
        <v>Punjab-2004</v>
      </c>
      <c r="D1529" t="s">
        <v>73</v>
      </c>
      <c r="E1529" t="s">
        <v>74</v>
      </c>
      <c r="F1529">
        <v>18838</v>
      </c>
      <c r="G1529">
        <v>372</v>
      </c>
      <c r="H1529">
        <v>128</v>
      </c>
      <c r="I1529">
        <v>0</v>
      </c>
      <c r="J1529">
        <v>14421</v>
      </c>
      <c r="K1529">
        <v>1</v>
      </c>
      <c r="L1529">
        <v>3</v>
      </c>
      <c r="M1529">
        <v>3197</v>
      </c>
      <c r="N1529">
        <v>3</v>
      </c>
      <c r="O1529">
        <v>150</v>
      </c>
      <c r="P1529">
        <v>497</v>
      </c>
      <c r="Q1529">
        <v>66</v>
      </c>
      <c r="R1529">
        <f>SUM(Table13[[#This Row],[Rank_All_Ranks_Total]:[Rank_SSPSPAddlSPCommandant]])</f>
        <v>37676</v>
      </c>
    </row>
    <row r="1530" spans="1:18" x14ac:dyDescent="0.3">
      <c r="A1530" t="s">
        <v>27</v>
      </c>
      <c r="B1530">
        <v>2004</v>
      </c>
      <c r="C1530" t="str">
        <f>_xlfn.CONCAT(Table13[[#This Row],[STATE]],"-",Table13[[#This Row],[Year]])</f>
        <v>Rajasthan-2004</v>
      </c>
      <c r="D1530" t="s">
        <v>73</v>
      </c>
      <c r="E1530" t="s">
        <v>74</v>
      </c>
      <c r="F1530">
        <v>12690</v>
      </c>
      <c r="G1530">
        <v>0</v>
      </c>
      <c r="H1530">
        <v>72</v>
      </c>
      <c r="I1530">
        <v>0</v>
      </c>
      <c r="J1530">
        <v>10011</v>
      </c>
      <c r="K1530">
        <v>1</v>
      </c>
      <c r="L1530">
        <v>3</v>
      </c>
      <c r="M1530">
        <v>2131</v>
      </c>
      <c r="N1530">
        <v>1</v>
      </c>
      <c r="O1530">
        <v>102</v>
      </c>
      <c r="P1530">
        <v>355</v>
      </c>
      <c r="Q1530">
        <v>14</v>
      </c>
      <c r="R1530">
        <f>SUM(Table13[[#This Row],[Rank_All_Ranks_Total]:[Rank_SSPSPAddlSPCommandant]])</f>
        <v>25380</v>
      </c>
    </row>
    <row r="1531" spans="1:18" x14ac:dyDescent="0.3">
      <c r="A1531" t="s">
        <v>28</v>
      </c>
      <c r="B1531">
        <v>2004</v>
      </c>
      <c r="C1531" t="str">
        <f>_xlfn.CONCAT(Table13[[#This Row],[STATE]],"-",Table13[[#This Row],[Year]])</f>
        <v>Sikkim-2004</v>
      </c>
      <c r="D1531" t="s">
        <v>73</v>
      </c>
      <c r="E1531" t="s">
        <v>74</v>
      </c>
      <c r="F1531">
        <v>1786</v>
      </c>
      <c r="G1531">
        <v>38</v>
      </c>
      <c r="H1531">
        <v>12</v>
      </c>
      <c r="I1531">
        <v>0</v>
      </c>
      <c r="J1531">
        <v>1450</v>
      </c>
      <c r="K1531">
        <v>0</v>
      </c>
      <c r="L1531">
        <v>1</v>
      </c>
      <c r="M1531">
        <v>222</v>
      </c>
      <c r="N1531">
        <v>1</v>
      </c>
      <c r="O1531">
        <v>16</v>
      </c>
      <c r="P1531">
        <v>44</v>
      </c>
      <c r="Q1531">
        <v>2</v>
      </c>
      <c r="R1531">
        <f>SUM(Table13[[#This Row],[Rank_All_Ranks_Total]:[Rank_SSPSPAddlSPCommandant]])</f>
        <v>3572</v>
      </c>
    </row>
    <row r="1532" spans="1:18" x14ac:dyDescent="0.3">
      <c r="A1532" t="s">
        <v>42</v>
      </c>
      <c r="B1532">
        <v>2004</v>
      </c>
      <c r="C1532" t="str">
        <f>_xlfn.CONCAT(Table13[[#This Row],[STATE]],"-",Table13[[#This Row],[Year]])</f>
        <v>Tamil Nadu-2004</v>
      </c>
      <c r="D1532" t="s">
        <v>73</v>
      </c>
      <c r="E1532" t="s">
        <v>74</v>
      </c>
      <c r="F1532">
        <v>12688</v>
      </c>
      <c r="G1532">
        <v>0</v>
      </c>
      <c r="H1532">
        <v>46</v>
      </c>
      <c r="I1532">
        <v>1554</v>
      </c>
      <c r="J1532">
        <v>9035</v>
      </c>
      <c r="K1532">
        <v>0</v>
      </c>
      <c r="L1532">
        <v>2</v>
      </c>
      <c r="M1532">
        <v>1465</v>
      </c>
      <c r="N1532">
        <v>1</v>
      </c>
      <c r="O1532">
        <v>132</v>
      </c>
      <c r="P1532">
        <v>426</v>
      </c>
      <c r="Q1532">
        <v>27</v>
      </c>
      <c r="R1532">
        <f>SUM(Table13[[#This Row],[Rank_All_Ranks_Total]:[Rank_SSPSPAddlSPCommandant]])</f>
        <v>25376</v>
      </c>
    </row>
    <row r="1533" spans="1:18" x14ac:dyDescent="0.3">
      <c r="A1533" t="s">
        <v>30</v>
      </c>
      <c r="B1533">
        <v>2004</v>
      </c>
      <c r="C1533" t="str">
        <f>_xlfn.CONCAT(Table13[[#This Row],[STATE]],"-",Table13[[#This Row],[Year]])</f>
        <v>Tripura-2004</v>
      </c>
      <c r="D1533" t="s">
        <v>73</v>
      </c>
      <c r="E1533" t="s">
        <v>74</v>
      </c>
      <c r="F1533">
        <v>12774</v>
      </c>
      <c r="G1533">
        <v>0</v>
      </c>
      <c r="H1533">
        <v>93</v>
      </c>
      <c r="I1533">
        <v>2069</v>
      </c>
      <c r="J1533">
        <v>8242</v>
      </c>
      <c r="K1533">
        <v>0</v>
      </c>
      <c r="L1533">
        <v>0</v>
      </c>
      <c r="M1533">
        <v>1824</v>
      </c>
      <c r="N1533">
        <v>0</v>
      </c>
      <c r="O1533">
        <v>148</v>
      </c>
      <c r="P1533">
        <v>378</v>
      </c>
      <c r="Q1533">
        <v>20</v>
      </c>
      <c r="R1533">
        <f>SUM(Table13[[#This Row],[Rank_All_Ranks_Total]:[Rank_SSPSPAddlSPCommandant]])</f>
        <v>25548</v>
      </c>
    </row>
    <row r="1534" spans="1:18" x14ac:dyDescent="0.3">
      <c r="A1534" t="s">
        <v>31</v>
      </c>
      <c r="B1534">
        <v>2004</v>
      </c>
      <c r="C1534" t="str">
        <f>_xlfn.CONCAT(Table13[[#This Row],[STATE]],"-",Table13[[#This Row],[Year]])</f>
        <v>Uttar Pradesh-2004</v>
      </c>
      <c r="D1534" t="s">
        <v>73</v>
      </c>
      <c r="E1534" t="s">
        <v>74</v>
      </c>
      <c r="F1534">
        <v>33352</v>
      </c>
      <c r="G1534">
        <v>0</v>
      </c>
      <c r="H1534">
        <v>94</v>
      </c>
      <c r="I1534">
        <v>0</v>
      </c>
      <c r="J1534">
        <v>26421</v>
      </c>
      <c r="K1534">
        <v>1</v>
      </c>
      <c r="L1534">
        <v>7</v>
      </c>
      <c r="M1534">
        <v>5652</v>
      </c>
      <c r="N1534">
        <v>5</v>
      </c>
      <c r="O1534">
        <v>280</v>
      </c>
      <c r="P1534">
        <v>827</v>
      </c>
      <c r="Q1534">
        <v>65</v>
      </c>
      <c r="R1534">
        <f>SUM(Table13[[#This Row],[Rank_All_Ranks_Total]:[Rank_SSPSPAddlSPCommandant]])</f>
        <v>66704</v>
      </c>
    </row>
    <row r="1535" spans="1:18" x14ac:dyDescent="0.3">
      <c r="A1535" t="s">
        <v>65</v>
      </c>
      <c r="B1535">
        <v>2004</v>
      </c>
      <c r="C1535" t="str">
        <f>_xlfn.CONCAT(Table13[[#This Row],[STATE]],"-",Table13[[#This Row],[Year]])</f>
        <v>Uttarakhand-2004</v>
      </c>
      <c r="D1535" t="s">
        <v>73</v>
      </c>
      <c r="E1535" t="s">
        <v>74</v>
      </c>
      <c r="F1535">
        <v>3022</v>
      </c>
      <c r="G1535">
        <v>0</v>
      </c>
      <c r="H1535">
        <v>0</v>
      </c>
      <c r="I1535">
        <v>0</v>
      </c>
      <c r="J1535">
        <v>2368</v>
      </c>
      <c r="K1535">
        <v>0</v>
      </c>
      <c r="L1535">
        <v>0</v>
      </c>
      <c r="M1535">
        <v>546</v>
      </c>
      <c r="N1535">
        <v>0</v>
      </c>
      <c r="O1535">
        <v>27</v>
      </c>
      <c r="P1535">
        <v>81</v>
      </c>
      <c r="Q1535">
        <v>0</v>
      </c>
      <c r="R1535">
        <f>SUM(Table13[[#This Row],[Rank_All_Ranks_Total]:[Rank_SSPSPAddlSPCommandant]])</f>
        <v>6044</v>
      </c>
    </row>
    <row r="1536" spans="1:18" x14ac:dyDescent="0.3">
      <c r="A1536" t="s">
        <v>33</v>
      </c>
      <c r="B1536">
        <v>2004</v>
      </c>
      <c r="C1536" t="str">
        <f>_xlfn.CONCAT(Table13[[#This Row],[STATE]],"-",Table13[[#This Row],[Year]])</f>
        <v>West Bengal-2004</v>
      </c>
      <c r="D1536" t="s">
        <v>73</v>
      </c>
      <c r="E1536" t="s">
        <v>74</v>
      </c>
      <c r="F1536">
        <v>24348</v>
      </c>
      <c r="G1536">
        <v>233</v>
      </c>
      <c r="H1536">
        <v>126</v>
      </c>
      <c r="I1536">
        <v>2735</v>
      </c>
      <c r="J1536">
        <v>17728</v>
      </c>
      <c r="K1536">
        <v>1</v>
      </c>
      <c r="L1536">
        <v>4</v>
      </c>
      <c r="M1536">
        <v>2324</v>
      </c>
      <c r="N1536">
        <v>2</v>
      </c>
      <c r="O1536">
        <v>247</v>
      </c>
      <c r="P1536">
        <v>923</v>
      </c>
      <c r="Q1536">
        <v>25</v>
      </c>
      <c r="R1536">
        <f>SUM(Table13[[#This Row],[Rank_All_Ranks_Total]:[Rank_SSPSPAddlSPCommandant]])</f>
        <v>48696</v>
      </c>
    </row>
    <row r="1537" spans="1:18" x14ac:dyDescent="0.3">
      <c r="A1537" t="s">
        <v>59</v>
      </c>
      <c r="B1537">
        <v>2005</v>
      </c>
      <c r="C1537" t="str">
        <f>_xlfn.CONCAT(Table13[[#This Row],[STATE]],"-",Table13[[#This Row],[Year]])</f>
        <v>Andaman &amp; Nicobar Islands-2005</v>
      </c>
      <c r="D1537" t="s">
        <v>73</v>
      </c>
      <c r="E1537" t="s">
        <v>74</v>
      </c>
      <c r="F1537">
        <v>616</v>
      </c>
      <c r="G1537">
        <v>2</v>
      </c>
      <c r="H1537">
        <v>3</v>
      </c>
      <c r="I1537">
        <v>0</v>
      </c>
      <c r="J1537">
        <v>447</v>
      </c>
      <c r="K1537">
        <v>0</v>
      </c>
      <c r="L1537">
        <v>1</v>
      </c>
      <c r="M1537">
        <v>134</v>
      </c>
      <c r="N1537">
        <v>0</v>
      </c>
      <c r="O1537">
        <v>6</v>
      </c>
      <c r="P1537">
        <v>22</v>
      </c>
      <c r="Q1537">
        <v>1</v>
      </c>
      <c r="R1537">
        <f>SUM(Table13[[#This Row],[Rank_All_Ranks_Total]:[Rank_SSPSPAddlSPCommandant]])</f>
        <v>1232</v>
      </c>
    </row>
    <row r="1538" spans="1:18" x14ac:dyDescent="0.3">
      <c r="A1538" t="s">
        <v>6</v>
      </c>
      <c r="B1538">
        <v>2005</v>
      </c>
      <c r="C1538" t="str">
        <f>_xlfn.CONCAT(Table13[[#This Row],[STATE]],"-",Table13[[#This Row],[Year]])</f>
        <v>Andhra Pradesh-2005</v>
      </c>
      <c r="D1538" t="s">
        <v>73</v>
      </c>
      <c r="E1538" t="s">
        <v>74</v>
      </c>
      <c r="F1538">
        <v>14372</v>
      </c>
      <c r="G1538">
        <v>627</v>
      </c>
      <c r="H1538">
        <v>56</v>
      </c>
      <c r="I1538">
        <v>0</v>
      </c>
      <c r="J1538">
        <v>9876</v>
      </c>
      <c r="K1538">
        <v>0</v>
      </c>
      <c r="L1538">
        <v>4</v>
      </c>
      <c r="M1538">
        <v>3260</v>
      </c>
      <c r="N1538">
        <v>1</v>
      </c>
      <c r="O1538">
        <v>147</v>
      </c>
      <c r="P1538">
        <v>371</v>
      </c>
      <c r="Q1538">
        <v>30</v>
      </c>
      <c r="R1538">
        <f>SUM(Table13[[#This Row],[Rank_All_Ranks_Total]:[Rank_SSPSPAddlSPCommandant]])</f>
        <v>28744</v>
      </c>
    </row>
    <row r="1539" spans="1:18" x14ac:dyDescent="0.3">
      <c r="A1539" t="s">
        <v>7</v>
      </c>
      <c r="B1539">
        <v>2005</v>
      </c>
      <c r="C1539" t="str">
        <f>_xlfn.CONCAT(Table13[[#This Row],[STATE]],"-",Table13[[#This Row],[Year]])</f>
        <v>Arunachal Pradesh-2005</v>
      </c>
      <c r="D1539" t="s">
        <v>73</v>
      </c>
      <c r="E1539" t="s">
        <v>74</v>
      </c>
      <c r="F1539">
        <v>3040</v>
      </c>
      <c r="G1539">
        <v>28</v>
      </c>
      <c r="H1539">
        <v>24</v>
      </c>
      <c r="I1539">
        <v>216</v>
      </c>
      <c r="J1539">
        <v>2228</v>
      </c>
      <c r="K1539">
        <v>0</v>
      </c>
      <c r="L1539">
        <v>0</v>
      </c>
      <c r="M1539">
        <v>457</v>
      </c>
      <c r="N1539">
        <v>0</v>
      </c>
      <c r="O1539">
        <v>25</v>
      </c>
      <c r="P1539">
        <v>59</v>
      </c>
      <c r="Q1539">
        <v>3</v>
      </c>
      <c r="R1539">
        <f>SUM(Table13[[#This Row],[Rank_All_Ranks_Total]:[Rank_SSPSPAddlSPCommandant]])</f>
        <v>6080</v>
      </c>
    </row>
    <row r="1540" spans="1:18" x14ac:dyDescent="0.3">
      <c r="A1540" t="s">
        <v>8</v>
      </c>
      <c r="B1540">
        <v>2005</v>
      </c>
      <c r="C1540" t="str">
        <f>_xlfn.CONCAT(Table13[[#This Row],[STATE]],"-",Table13[[#This Row],[Year]])</f>
        <v>Assam-2005</v>
      </c>
      <c r="D1540" t="s">
        <v>73</v>
      </c>
      <c r="E1540" t="s">
        <v>74</v>
      </c>
      <c r="F1540">
        <v>25914</v>
      </c>
      <c r="G1540">
        <v>36</v>
      </c>
      <c r="H1540">
        <v>150</v>
      </c>
      <c r="I1540">
        <v>2447</v>
      </c>
      <c r="J1540">
        <v>18097</v>
      </c>
      <c r="K1540">
        <v>0</v>
      </c>
      <c r="L1540">
        <v>0</v>
      </c>
      <c r="M1540">
        <v>4168</v>
      </c>
      <c r="N1540">
        <v>0</v>
      </c>
      <c r="O1540">
        <v>235</v>
      </c>
      <c r="P1540">
        <v>729</v>
      </c>
      <c r="Q1540">
        <v>52</v>
      </c>
      <c r="R1540">
        <f>SUM(Table13[[#This Row],[Rank_All_Ranks_Total]:[Rank_SSPSPAddlSPCommandant]])</f>
        <v>51828</v>
      </c>
    </row>
    <row r="1541" spans="1:18" x14ac:dyDescent="0.3">
      <c r="A1541" t="s">
        <v>9</v>
      </c>
      <c r="B1541">
        <v>2005</v>
      </c>
      <c r="C1541" t="str">
        <f>_xlfn.CONCAT(Table13[[#This Row],[STATE]],"-",Table13[[#This Row],[Year]])</f>
        <v>Bihar-2005</v>
      </c>
      <c r="D1541" t="s">
        <v>73</v>
      </c>
      <c r="E1541" t="s">
        <v>74</v>
      </c>
      <c r="F1541">
        <v>16394</v>
      </c>
      <c r="G1541">
        <v>95</v>
      </c>
      <c r="H1541">
        <v>92</v>
      </c>
      <c r="I1541">
        <v>0</v>
      </c>
      <c r="J1541">
        <v>12250</v>
      </c>
      <c r="K1541">
        <v>1</v>
      </c>
      <c r="L1541">
        <v>2</v>
      </c>
      <c r="M1541">
        <v>3000</v>
      </c>
      <c r="N1541">
        <v>1</v>
      </c>
      <c r="O1541">
        <v>138</v>
      </c>
      <c r="P1541">
        <v>798</v>
      </c>
      <c r="Q1541">
        <v>17</v>
      </c>
      <c r="R1541">
        <f>SUM(Table13[[#This Row],[Rank_All_Ranks_Total]:[Rank_SSPSPAddlSPCommandant]])</f>
        <v>32788</v>
      </c>
    </row>
    <row r="1542" spans="1:18" x14ac:dyDescent="0.3">
      <c r="A1542" t="s">
        <v>35</v>
      </c>
      <c r="B1542">
        <v>2005</v>
      </c>
      <c r="C1542" t="str">
        <f>_xlfn.CONCAT(Table13[[#This Row],[STATE]],"-",Table13[[#This Row],[Year]])</f>
        <v>Chandigarh-2005</v>
      </c>
      <c r="D1542" t="s">
        <v>73</v>
      </c>
      <c r="E1542" t="s">
        <v>74</v>
      </c>
      <c r="F1542">
        <v>419</v>
      </c>
      <c r="G1542">
        <v>0</v>
      </c>
      <c r="H1542">
        <v>1</v>
      </c>
      <c r="I1542">
        <v>0</v>
      </c>
      <c r="J1542">
        <v>343</v>
      </c>
      <c r="K1542">
        <v>0</v>
      </c>
      <c r="L1542">
        <v>0</v>
      </c>
      <c r="M1542">
        <v>61</v>
      </c>
      <c r="N1542">
        <v>0</v>
      </c>
      <c r="O1542">
        <v>4</v>
      </c>
      <c r="P1542">
        <v>10</v>
      </c>
      <c r="Q1542">
        <v>0</v>
      </c>
      <c r="R1542">
        <f>SUM(Table13[[#This Row],[Rank_All_Ranks_Total]:[Rank_SSPSPAddlSPCommandant]])</f>
        <v>838</v>
      </c>
    </row>
    <row r="1543" spans="1:18" x14ac:dyDescent="0.3">
      <c r="A1543" t="s">
        <v>10</v>
      </c>
      <c r="B1543">
        <v>2005</v>
      </c>
      <c r="C1543" t="str">
        <f>_xlfn.CONCAT(Table13[[#This Row],[STATE]],"-",Table13[[#This Row],[Year]])</f>
        <v>Chhattisgarh-2005</v>
      </c>
      <c r="D1543" t="s">
        <v>73</v>
      </c>
      <c r="E1543" t="s">
        <v>74</v>
      </c>
      <c r="F1543">
        <v>10865</v>
      </c>
      <c r="G1543">
        <v>552</v>
      </c>
      <c r="H1543">
        <v>59</v>
      </c>
      <c r="I1543">
        <v>835</v>
      </c>
      <c r="J1543">
        <v>7121</v>
      </c>
      <c r="K1543">
        <v>1</v>
      </c>
      <c r="L1543">
        <v>1</v>
      </c>
      <c r="M1543">
        <v>1877</v>
      </c>
      <c r="N1543">
        <v>1</v>
      </c>
      <c r="O1543">
        <v>99</v>
      </c>
      <c r="P1543">
        <v>293</v>
      </c>
      <c r="Q1543">
        <v>26</v>
      </c>
      <c r="R1543">
        <f>SUM(Table13[[#This Row],[Rank_All_Ranks_Total]:[Rank_SSPSPAddlSPCommandant]])</f>
        <v>21730</v>
      </c>
    </row>
    <row r="1544" spans="1:18" x14ac:dyDescent="0.3">
      <c r="A1544" t="s">
        <v>62</v>
      </c>
      <c r="B1544">
        <v>2005</v>
      </c>
      <c r="C1544" t="str">
        <f>_xlfn.CONCAT(Table13[[#This Row],[STATE]],"-",Table13[[#This Row],[Year]])</f>
        <v>Dadra &amp; Nagar Haveli-2005</v>
      </c>
      <c r="D1544" t="s">
        <v>73</v>
      </c>
      <c r="E1544" t="s">
        <v>74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f>SUM(Table13[[#This Row],[Rank_All_Ranks_Total]:[Rank_SSPSPAddlSPCommandant]])</f>
        <v>0</v>
      </c>
    </row>
    <row r="1545" spans="1:18" x14ac:dyDescent="0.3">
      <c r="A1545" t="s">
        <v>37</v>
      </c>
      <c r="B1545">
        <v>2005</v>
      </c>
      <c r="C1545" t="str">
        <f>_xlfn.CONCAT(Table13[[#This Row],[STATE]],"-",Table13[[#This Row],[Year]])</f>
        <v>Daman &amp; Diu-2005</v>
      </c>
      <c r="D1545" t="s">
        <v>73</v>
      </c>
      <c r="E1545" t="s">
        <v>74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f>SUM(Table13[[#This Row],[Rank_All_Ranks_Total]:[Rank_SSPSPAddlSPCommandant]])</f>
        <v>0</v>
      </c>
    </row>
    <row r="1546" spans="1:18" x14ac:dyDescent="0.3">
      <c r="A1546" t="s">
        <v>38</v>
      </c>
      <c r="B1546">
        <v>2005</v>
      </c>
      <c r="C1546" t="str">
        <f>_xlfn.CONCAT(Table13[[#This Row],[STATE]],"-",Table13[[#This Row],[Year]])</f>
        <v>Delhi-2005</v>
      </c>
      <c r="D1546" t="s">
        <v>73</v>
      </c>
      <c r="E1546" t="s">
        <v>74</v>
      </c>
      <c r="F1546">
        <v>13936</v>
      </c>
      <c r="G1546">
        <v>236</v>
      </c>
      <c r="H1546">
        <v>60</v>
      </c>
      <c r="I1546">
        <v>0</v>
      </c>
      <c r="J1546">
        <v>10503</v>
      </c>
      <c r="K1546">
        <v>0</v>
      </c>
      <c r="L1546">
        <v>1</v>
      </c>
      <c r="M1546">
        <v>2569</v>
      </c>
      <c r="N1546">
        <v>1</v>
      </c>
      <c r="O1546">
        <v>118</v>
      </c>
      <c r="P1546">
        <v>421</v>
      </c>
      <c r="Q1546">
        <v>27</v>
      </c>
      <c r="R1546">
        <f>SUM(Table13[[#This Row],[Rank_All_Ranks_Total]:[Rank_SSPSPAddlSPCommandant]])</f>
        <v>27872</v>
      </c>
    </row>
    <row r="1547" spans="1:18" x14ac:dyDescent="0.3">
      <c r="A1547" t="s">
        <v>11</v>
      </c>
      <c r="B1547">
        <v>2005</v>
      </c>
      <c r="C1547" t="str">
        <f>_xlfn.CONCAT(Table13[[#This Row],[STATE]],"-",Table13[[#This Row],[Year]])</f>
        <v>Goa-2005</v>
      </c>
      <c r="D1547" t="s">
        <v>73</v>
      </c>
      <c r="E1547" t="s">
        <v>74</v>
      </c>
      <c r="F1547">
        <v>719</v>
      </c>
      <c r="G1547">
        <v>14</v>
      </c>
      <c r="H1547">
        <v>4</v>
      </c>
      <c r="I1547">
        <v>0</v>
      </c>
      <c r="J1547">
        <v>560</v>
      </c>
      <c r="K1547">
        <v>0</v>
      </c>
      <c r="L1547">
        <v>0</v>
      </c>
      <c r="M1547">
        <v>116</v>
      </c>
      <c r="N1547">
        <v>0</v>
      </c>
      <c r="O1547">
        <v>6</v>
      </c>
      <c r="P1547">
        <v>19</v>
      </c>
      <c r="Q1547">
        <v>0</v>
      </c>
      <c r="R1547">
        <f>SUM(Table13[[#This Row],[Rank_All_Ranks_Total]:[Rank_SSPSPAddlSPCommandant]])</f>
        <v>1438</v>
      </c>
    </row>
    <row r="1548" spans="1:18" x14ac:dyDescent="0.3">
      <c r="A1548" t="s">
        <v>12</v>
      </c>
      <c r="B1548">
        <v>2005</v>
      </c>
      <c r="C1548" t="str">
        <f>_xlfn.CONCAT(Table13[[#This Row],[STATE]],"-",Table13[[#This Row],[Year]])</f>
        <v>Gujarat-2005</v>
      </c>
      <c r="D1548" t="s">
        <v>73</v>
      </c>
      <c r="E1548" t="s">
        <v>74</v>
      </c>
      <c r="F1548">
        <v>12295</v>
      </c>
      <c r="G1548">
        <v>1083</v>
      </c>
      <c r="H1548">
        <v>42</v>
      </c>
      <c r="I1548">
        <v>0</v>
      </c>
      <c r="J1548">
        <v>9650</v>
      </c>
      <c r="K1548">
        <v>0</v>
      </c>
      <c r="L1548">
        <v>0</v>
      </c>
      <c r="M1548">
        <v>1102</v>
      </c>
      <c r="N1548">
        <v>0</v>
      </c>
      <c r="O1548">
        <v>104</v>
      </c>
      <c r="P1548">
        <v>314</v>
      </c>
      <c r="Q1548">
        <v>0</v>
      </c>
      <c r="R1548">
        <f>SUM(Table13[[#This Row],[Rank_All_Ranks_Total]:[Rank_SSPSPAddlSPCommandant]])</f>
        <v>24590</v>
      </c>
    </row>
    <row r="1549" spans="1:18" x14ac:dyDescent="0.3">
      <c r="A1549" t="s">
        <v>13</v>
      </c>
      <c r="B1549">
        <v>2005</v>
      </c>
      <c r="C1549" t="str">
        <f>_xlfn.CONCAT(Table13[[#This Row],[STATE]],"-",Table13[[#This Row],[Year]])</f>
        <v>Haryana-2005</v>
      </c>
      <c r="D1549" t="s">
        <v>73</v>
      </c>
      <c r="E1549" t="s">
        <v>74</v>
      </c>
      <c r="F1549">
        <v>7093</v>
      </c>
      <c r="G1549">
        <v>297</v>
      </c>
      <c r="H1549">
        <v>38</v>
      </c>
      <c r="I1549">
        <v>0</v>
      </c>
      <c r="J1549">
        <v>5418</v>
      </c>
      <c r="K1549">
        <v>1</v>
      </c>
      <c r="L1549">
        <v>1</v>
      </c>
      <c r="M1549">
        <v>1088</v>
      </c>
      <c r="N1549">
        <v>0</v>
      </c>
      <c r="O1549">
        <v>47</v>
      </c>
      <c r="P1549">
        <v>198</v>
      </c>
      <c r="Q1549">
        <v>5</v>
      </c>
      <c r="R1549">
        <f>SUM(Table13[[#This Row],[Rank_All_Ranks_Total]:[Rank_SSPSPAddlSPCommandant]])</f>
        <v>14186</v>
      </c>
    </row>
    <row r="1550" spans="1:18" x14ac:dyDescent="0.3">
      <c r="A1550" t="s">
        <v>14</v>
      </c>
      <c r="B1550">
        <v>2005</v>
      </c>
      <c r="C1550" t="str">
        <f>_xlfn.CONCAT(Table13[[#This Row],[STATE]],"-",Table13[[#This Row],[Year]])</f>
        <v>Himachal Pradesh-2005</v>
      </c>
      <c r="D1550" t="s">
        <v>73</v>
      </c>
      <c r="E1550" t="s">
        <v>74</v>
      </c>
      <c r="F1550">
        <v>5879</v>
      </c>
      <c r="G1550">
        <v>81</v>
      </c>
      <c r="H1550">
        <v>35</v>
      </c>
      <c r="I1550">
        <v>1010</v>
      </c>
      <c r="J1550">
        <v>3437</v>
      </c>
      <c r="K1550">
        <v>1</v>
      </c>
      <c r="L1550">
        <v>2</v>
      </c>
      <c r="M1550">
        <v>1056</v>
      </c>
      <c r="N1550">
        <v>1</v>
      </c>
      <c r="O1550">
        <v>52</v>
      </c>
      <c r="P1550">
        <v>188</v>
      </c>
      <c r="Q1550">
        <v>16</v>
      </c>
      <c r="R1550">
        <f>SUM(Table13[[#This Row],[Rank_All_Ranks_Total]:[Rank_SSPSPAddlSPCommandant]])</f>
        <v>11758</v>
      </c>
    </row>
    <row r="1551" spans="1:18" x14ac:dyDescent="0.3">
      <c r="A1551" t="s">
        <v>15</v>
      </c>
      <c r="B1551">
        <v>2005</v>
      </c>
      <c r="C1551" t="str">
        <f>_xlfn.CONCAT(Table13[[#This Row],[STATE]],"-",Table13[[#This Row],[Year]])</f>
        <v>Jammu &amp; Kashmir-2005</v>
      </c>
      <c r="D1551" t="s">
        <v>73</v>
      </c>
      <c r="E1551" t="s">
        <v>74</v>
      </c>
      <c r="F1551">
        <v>19300</v>
      </c>
      <c r="G1551">
        <v>415</v>
      </c>
      <c r="H1551">
        <v>152</v>
      </c>
      <c r="I1551">
        <v>3649</v>
      </c>
      <c r="J1551">
        <v>10947</v>
      </c>
      <c r="K1551">
        <v>1</v>
      </c>
      <c r="L1551">
        <v>2</v>
      </c>
      <c r="M1551">
        <v>3410</v>
      </c>
      <c r="N1551">
        <v>1</v>
      </c>
      <c r="O1551">
        <v>139</v>
      </c>
      <c r="P1551">
        <v>523</v>
      </c>
      <c r="Q1551">
        <v>61</v>
      </c>
      <c r="R1551">
        <f>SUM(Table13[[#This Row],[Rank_All_Ranks_Total]:[Rank_SSPSPAddlSPCommandant]])</f>
        <v>38600</v>
      </c>
    </row>
    <row r="1552" spans="1:18" x14ac:dyDescent="0.3">
      <c r="A1552" t="s">
        <v>16</v>
      </c>
      <c r="B1552">
        <v>2005</v>
      </c>
      <c r="C1552" t="str">
        <f>_xlfn.CONCAT(Table13[[#This Row],[STATE]],"-",Table13[[#This Row],[Year]])</f>
        <v>Jharkhand-2005</v>
      </c>
      <c r="D1552" t="s">
        <v>73</v>
      </c>
      <c r="E1552" t="s">
        <v>74</v>
      </c>
      <c r="F1552">
        <v>3490</v>
      </c>
      <c r="G1552">
        <v>33</v>
      </c>
      <c r="H1552">
        <v>3</v>
      </c>
      <c r="I1552">
        <v>0</v>
      </c>
      <c r="J1552">
        <v>3042</v>
      </c>
      <c r="K1552">
        <v>0</v>
      </c>
      <c r="L1552">
        <v>0</v>
      </c>
      <c r="M1552">
        <v>300</v>
      </c>
      <c r="N1552">
        <v>0</v>
      </c>
      <c r="O1552">
        <v>12</v>
      </c>
      <c r="P1552">
        <v>99</v>
      </c>
      <c r="Q1552">
        <v>1</v>
      </c>
      <c r="R1552">
        <f>SUM(Table13[[#This Row],[Rank_All_Ranks_Total]:[Rank_SSPSPAddlSPCommandant]])</f>
        <v>6980</v>
      </c>
    </row>
    <row r="1553" spans="1:18" x14ac:dyDescent="0.3">
      <c r="A1553" t="s">
        <v>17</v>
      </c>
      <c r="B1553">
        <v>2005</v>
      </c>
      <c r="C1553" t="str">
        <f>_xlfn.CONCAT(Table13[[#This Row],[STATE]],"-",Table13[[#This Row],[Year]])</f>
        <v>Karnataka-2005</v>
      </c>
      <c r="D1553" t="s">
        <v>73</v>
      </c>
      <c r="E1553" t="s">
        <v>74</v>
      </c>
      <c r="F1553">
        <v>4191</v>
      </c>
      <c r="G1553">
        <v>119</v>
      </c>
      <c r="H1553">
        <v>7</v>
      </c>
      <c r="I1553">
        <v>0</v>
      </c>
      <c r="J1553">
        <v>3269</v>
      </c>
      <c r="K1553">
        <v>0</v>
      </c>
      <c r="L1553">
        <v>0</v>
      </c>
      <c r="M1553">
        <v>695</v>
      </c>
      <c r="N1553">
        <v>0</v>
      </c>
      <c r="O1553">
        <v>27</v>
      </c>
      <c r="P1553">
        <v>74</v>
      </c>
      <c r="Q1553">
        <v>0</v>
      </c>
      <c r="R1553">
        <f>SUM(Table13[[#This Row],[Rank_All_Ranks_Total]:[Rank_SSPSPAddlSPCommandant]])</f>
        <v>8382</v>
      </c>
    </row>
    <row r="1554" spans="1:18" x14ac:dyDescent="0.3">
      <c r="A1554" t="s">
        <v>18</v>
      </c>
      <c r="B1554">
        <v>2005</v>
      </c>
      <c r="C1554" t="str">
        <f>_xlfn.CONCAT(Table13[[#This Row],[STATE]],"-",Table13[[#This Row],[Year]])</f>
        <v>Kerala-2005</v>
      </c>
      <c r="D1554" t="s">
        <v>73</v>
      </c>
      <c r="E1554" t="s">
        <v>74</v>
      </c>
      <c r="F1554">
        <v>9719</v>
      </c>
      <c r="G1554">
        <v>103</v>
      </c>
      <c r="H1554">
        <v>49</v>
      </c>
      <c r="I1554">
        <v>0</v>
      </c>
      <c r="J1554">
        <v>7867</v>
      </c>
      <c r="K1554">
        <v>0</v>
      </c>
      <c r="L1554">
        <v>0</v>
      </c>
      <c r="M1554">
        <v>1318</v>
      </c>
      <c r="N1554">
        <v>0</v>
      </c>
      <c r="O1554">
        <v>79</v>
      </c>
      <c r="P1554">
        <v>293</v>
      </c>
      <c r="Q1554">
        <v>10</v>
      </c>
      <c r="R1554">
        <f>SUM(Table13[[#This Row],[Rank_All_Ranks_Total]:[Rank_SSPSPAddlSPCommandant]])</f>
        <v>19438</v>
      </c>
    </row>
    <row r="1555" spans="1:18" x14ac:dyDescent="0.3">
      <c r="A1555" t="s">
        <v>39</v>
      </c>
      <c r="B1555">
        <v>2005</v>
      </c>
      <c r="C1555" t="str">
        <f>_xlfn.CONCAT(Table13[[#This Row],[STATE]],"-",Table13[[#This Row],[Year]])</f>
        <v>Lakshadweep-2005</v>
      </c>
      <c r="D1555" t="s">
        <v>73</v>
      </c>
      <c r="E1555" t="s">
        <v>74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f>SUM(Table13[[#This Row],[Rank_All_Ranks_Total]:[Rank_SSPSPAddlSPCommandant]])</f>
        <v>0</v>
      </c>
    </row>
    <row r="1556" spans="1:18" x14ac:dyDescent="0.3">
      <c r="A1556" t="s">
        <v>19</v>
      </c>
      <c r="B1556">
        <v>2005</v>
      </c>
      <c r="C1556" t="str">
        <f>_xlfn.CONCAT(Table13[[#This Row],[STATE]],"-",Table13[[#This Row],[Year]])</f>
        <v>Madhya Pradesh-2005</v>
      </c>
      <c r="D1556" t="s">
        <v>73</v>
      </c>
      <c r="E1556" t="s">
        <v>74</v>
      </c>
      <c r="F1556">
        <v>20082</v>
      </c>
      <c r="G1556">
        <v>1130</v>
      </c>
      <c r="H1556">
        <v>0</v>
      </c>
      <c r="I1556">
        <v>0</v>
      </c>
      <c r="J1556">
        <v>14622</v>
      </c>
      <c r="K1556">
        <v>0</v>
      </c>
      <c r="L1556">
        <v>0</v>
      </c>
      <c r="M1556">
        <v>3499</v>
      </c>
      <c r="N1556">
        <v>0</v>
      </c>
      <c r="O1556">
        <v>197</v>
      </c>
      <c r="P1556">
        <v>634</v>
      </c>
      <c r="Q1556">
        <v>0</v>
      </c>
      <c r="R1556">
        <f>SUM(Table13[[#This Row],[Rank_All_Ranks_Total]:[Rank_SSPSPAddlSPCommandant]])</f>
        <v>40164</v>
      </c>
    </row>
    <row r="1557" spans="1:18" x14ac:dyDescent="0.3">
      <c r="A1557" t="s">
        <v>20</v>
      </c>
      <c r="B1557">
        <v>2005</v>
      </c>
      <c r="C1557" t="str">
        <f>_xlfn.CONCAT(Table13[[#This Row],[STATE]],"-",Table13[[#This Row],[Year]])</f>
        <v>Maharashtra-2005</v>
      </c>
      <c r="D1557" t="s">
        <v>73</v>
      </c>
      <c r="E1557" t="s">
        <v>74</v>
      </c>
      <c r="F1557">
        <v>15894</v>
      </c>
      <c r="G1557">
        <v>1499</v>
      </c>
      <c r="H1557">
        <v>58</v>
      </c>
      <c r="I1557">
        <v>2961</v>
      </c>
      <c r="J1557">
        <v>7493</v>
      </c>
      <c r="K1557">
        <v>0</v>
      </c>
      <c r="L1557">
        <v>3</v>
      </c>
      <c r="M1557">
        <v>3427</v>
      </c>
      <c r="N1557">
        <v>1</v>
      </c>
      <c r="O1557">
        <v>165</v>
      </c>
      <c r="P1557">
        <v>266</v>
      </c>
      <c r="Q1557">
        <v>21</v>
      </c>
      <c r="R1557">
        <f>SUM(Table13[[#This Row],[Rank_All_Ranks_Total]:[Rank_SSPSPAddlSPCommandant]])</f>
        <v>31788</v>
      </c>
    </row>
    <row r="1558" spans="1:18" x14ac:dyDescent="0.3">
      <c r="A1558" t="s">
        <v>21</v>
      </c>
      <c r="B1558">
        <v>2005</v>
      </c>
      <c r="C1558" t="str">
        <f>_xlfn.CONCAT(Table13[[#This Row],[STATE]],"-",Table13[[#This Row],[Year]])</f>
        <v>Manipur-2005</v>
      </c>
      <c r="D1558" t="s">
        <v>73</v>
      </c>
      <c r="E1558" t="s">
        <v>74</v>
      </c>
      <c r="F1558">
        <v>11402</v>
      </c>
      <c r="G1558">
        <v>0</v>
      </c>
      <c r="H1558">
        <v>92</v>
      </c>
      <c r="I1558">
        <v>0</v>
      </c>
      <c r="J1558">
        <v>8690</v>
      </c>
      <c r="K1558">
        <v>1</v>
      </c>
      <c r="L1558">
        <v>2</v>
      </c>
      <c r="M1558">
        <v>2189</v>
      </c>
      <c r="N1558">
        <v>0</v>
      </c>
      <c r="O1558">
        <v>93</v>
      </c>
      <c r="P1558">
        <v>291</v>
      </c>
      <c r="Q1558">
        <v>44</v>
      </c>
      <c r="R1558">
        <f>SUM(Table13[[#This Row],[Rank_All_Ranks_Total]:[Rank_SSPSPAddlSPCommandant]])</f>
        <v>22804</v>
      </c>
    </row>
    <row r="1559" spans="1:18" x14ac:dyDescent="0.3">
      <c r="A1559" t="s">
        <v>22</v>
      </c>
      <c r="B1559">
        <v>2005</v>
      </c>
      <c r="C1559" t="str">
        <f>_xlfn.CONCAT(Table13[[#This Row],[STATE]],"-",Table13[[#This Row],[Year]])</f>
        <v>Meghalaya-2005</v>
      </c>
      <c r="D1559" t="s">
        <v>73</v>
      </c>
      <c r="E1559" t="s">
        <v>74</v>
      </c>
      <c r="F1559">
        <v>3923</v>
      </c>
      <c r="G1559">
        <v>44</v>
      </c>
      <c r="H1559">
        <v>31</v>
      </c>
      <c r="I1559">
        <v>254</v>
      </c>
      <c r="J1559">
        <v>2863</v>
      </c>
      <c r="K1559">
        <v>0</v>
      </c>
      <c r="L1559">
        <v>0</v>
      </c>
      <c r="M1559">
        <v>578</v>
      </c>
      <c r="N1559">
        <v>0</v>
      </c>
      <c r="O1559">
        <v>38</v>
      </c>
      <c r="P1559">
        <v>103</v>
      </c>
      <c r="Q1559">
        <v>12</v>
      </c>
      <c r="R1559">
        <f>SUM(Table13[[#This Row],[Rank_All_Ranks_Total]:[Rank_SSPSPAddlSPCommandant]])</f>
        <v>7846</v>
      </c>
    </row>
    <row r="1560" spans="1:18" x14ac:dyDescent="0.3">
      <c r="A1560" t="s">
        <v>23</v>
      </c>
      <c r="B1560">
        <v>2005</v>
      </c>
      <c r="C1560" t="str">
        <f>_xlfn.CONCAT(Table13[[#This Row],[STATE]],"-",Table13[[#This Row],[Year]])</f>
        <v>Mizoram-2005</v>
      </c>
      <c r="D1560" t="s">
        <v>73</v>
      </c>
      <c r="E1560" t="s">
        <v>74</v>
      </c>
      <c r="F1560">
        <v>4476</v>
      </c>
      <c r="G1560">
        <v>36</v>
      </c>
      <c r="H1560">
        <v>33</v>
      </c>
      <c r="I1560">
        <v>486</v>
      </c>
      <c r="J1560">
        <v>3003</v>
      </c>
      <c r="K1560">
        <v>0</v>
      </c>
      <c r="L1560">
        <v>0</v>
      </c>
      <c r="M1560">
        <v>724</v>
      </c>
      <c r="N1560">
        <v>0</v>
      </c>
      <c r="O1560">
        <v>46</v>
      </c>
      <c r="P1560">
        <v>129</v>
      </c>
      <c r="Q1560">
        <v>19</v>
      </c>
      <c r="R1560">
        <f>SUM(Table13[[#This Row],[Rank_All_Ranks_Total]:[Rank_SSPSPAddlSPCommandant]])</f>
        <v>8952</v>
      </c>
    </row>
    <row r="1561" spans="1:18" x14ac:dyDescent="0.3">
      <c r="A1561" t="s">
        <v>24</v>
      </c>
      <c r="B1561">
        <v>2005</v>
      </c>
      <c r="C1561" t="str">
        <f>_xlfn.CONCAT(Table13[[#This Row],[STATE]],"-",Table13[[#This Row],[Year]])</f>
        <v>Nagaland-2005</v>
      </c>
      <c r="D1561" t="s">
        <v>73</v>
      </c>
      <c r="E1561" t="s">
        <v>74</v>
      </c>
      <c r="F1561">
        <v>6505</v>
      </c>
      <c r="G1561">
        <v>0</v>
      </c>
      <c r="H1561">
        <v>19</v>
      </c>
      <c r="I1561">
        <v>757</v>
      </c>
      <c r="J1561">
        <v>4982</v>
      </c>
      <c r="K1561">
        <v>0</v>
      </c>
      <c r="L1561">
        <v>0</v>
      </c>
      <c r="M1561">
        <v>571</v>
      </c>
      <c r="N1561">
        <v>0</v>
      </c>
      <c r="O1561">
        <v>18</v>
      </c>
      <c r="P1561">
        <v>144</v>
      </c>
      <c r="Q1561">
        <v>14</v>
      </c>
      <c r="R1561">
        <f>SUM(Table13[[#This Row],[Rank_All_Ranks_Total]:[Rank_SSPSPAddlSPCommandant]])</f>
        <v>13010</v>
      </c>
    </row>
    <row r="1562" spans="1:18" x14ac:dyDescent="0.3">
      <c r="A1562" t="s">
        <v>63</v>
      </c>
      <c r="B1562">
        <v>2005</v>
      </c>
      <c r="C1562" t="str">
        <f>_xlfn.CONCAT(Table13[[#This Row],[STATE]],"-",Table13[[#This Row],[Year]])</f>
        <v>Odisha-2005</v>
      </c>
      <c r="D1562" t="s">
        <v>73</v>
      </c>
      <c r="E1562" t="s">
        <v>74</v>
      </c>
      <c r="F1562">
        <v>9634</v>
      </c>
      <c r="G1562">
        <v>277</v>
      </c>
      <c r="H1562">
        <v>79</v>
      </c>
      <c r="I1562">
        <v>411</v>
      </c>
      <c r="J1562">
        <v>7043</v>
      </c>
      <c r="K1562">
        <v>0</v>
      </c>
      <c r="L1562">
        <v>0</v>
      </c>
      <c r="M1562">
        <v>1450</v>
      </c>
      <c r="N1562">
        <v>0</v>
      </c>
      <c r="O1562">
        <v>78</v>
      </c>
      <c r="P1562">
        <v>270</v>
      </c>
      <c r="Q1562">
        <v>26</v>
      </c>
      <c r="R1562">
        <f>SUM(Table13[[#This Row],[Rank_All_Ranks_Total]:[Rank_SSPSPAddlSPCommandant]])</f>
        <v>19268</v>
      </c>
    </row>
    <row r="1563" spans="1:18" x14ac:dyDescent="0.3">
      <c r="A1563" t="s">
        <v>64</v>
      </c>
      <c r="B1563">
        <v>2005</v>
      </c>
      <c r="C1563" t="str">
        <f>_xlfn.CONCAT(Table13[[#This Row],[STATE]],"-",Table13[[#This Row],[Year]])</f>
        <v>Puducherry-2005</v>
      </c>
      <c r="D1563" t="s">
        <v>73</v>
      </c>
      <c r="E1563" t="s">
        <v>74</v>
      </c>
      <c r="F1563">
        <v>765</v>
      </c>
      <c r="G1563">
        <v>3</v>
      </c>
      <c r="H1563">
        <v>2</v>
      </c>
      <c r="I1563">
        <v>0</v>
      </c>
      <c r="J1563">
        <v>637</v>
      </c>
      <c r="K1563">
        <v>0</v>
      </c>
      <c r="L1563">
        <v>0</v>
      </c>
      <c r="M1563">
        <v>100</v>
      </c>
      <c r="N1563">
        <v>0</v>
      </c>
      <c r="O1563">
        <v>5</v>
      </c>
      <c r="P1563">
        <v>18</v>
      </c>
      <c r="Q1563">
        <v>0</v>
      </c>
      <c r="R1563">
        <f>SUM(Table13[[#This Row],[Rank_All_Ranks_Total]:[Rank_SSPSPAddlSPCommandant]])</f>
        <v>1530</v>
      </c>
    </row>
    <row r="1564" spans="1:18" x14ac:dyDescent="0.3">
      <c r="A1564" t="s">
        <v>26</v>
      </c>
      <c r="B1564">
        <v>2005</v>
      </c>
      <c r="C1564" t="str">
        <f>_xlfn.CONCAT(Table13[[#This Row],[STATE]],"-",Table13[[#This Row],[Year]])</f>
        <v>Punjab-2005</v>
      </c>
      <c r="D1564" t="s">
        <v>73</v>
      </c>
      <c r="E1564" t="s">
        <v>74</v>
      </c>
      <c r="F1564">
        <v>18838</v>
      </c>
      <c r="G1564">
        <v>372</v>
      </c>
      <c r="H1564">
        <v>128</v>
      </c>
      <c r="I1564">
        <v>0</v>
      </c>
      <c r="J1564">
        <v>14421</v>
      </c>
      <c r="K1564">
        <v>1</v>
      </c>
      <c r="L1564">
        <v>3</v>
      </c>
      <c r="M1564">
        <v>3197</v>
      </c>
      <c r="N1564">
        <v>3</v>
      </c>
      <c r="O1564">
        <v>150</v>
      </c>
      <c r="P1564">
        <v>497</v>
      </c>
      <c r="Q1564">
        <v>66</v>
      </c>
      <c r="R1564">
        <f>SUM(Table13[[#This Row],[Rank_All_Ranks_Total]:[Rank_SSPSPAddlSPCommandant]])</f>
        <v>37676</v>
      </c>
    </row>
    <row r="1565" spans="1:18" x14ac:dyDescent="0.3">
      <c r="A1565" t="s">
        <v>27</v>
      </c>
      <c r="B1565">
        <v>2005</v>
      </c>
      <c r="C1565" t="str">
        <f>_xlfn.CONCAT(Table13[[#This Row],[STATE]],"-",Table13[[#This Row],[Year]])</f>
        <v>Rajasthan-2005</v>
      </c>
      <c r="D1565" t="s">
        <v>73</v>
      </c>
      <c r="E1565" t="s">
        <v>74</v>
      </c>
      <c r="F1565">
        <v>12696</v>
      </c>
      <c r="G1565">
        <v>0</v>
      </c>
      <c r="H1565">
        <v>76</v>
      </c>
      <c r="I1565">
        <v>0</v>
      </c>
      <c r="J1565">
        <v>10011</v>
      </c>
      <c r="K1565">
        <v>1</v>
      </c>
      <c r="L1565">
        <v>3</v>
      </c>
      <c r="M1565">
        <v>2131</v>
      </c>
      <c r="N1565">
        <v>2</v>
      </c>
      <c r="O1565">
        <v>102</v>
      </c>
      <c r="P1565">
        <v>355</v>
      </c>
      <c r="Q1565">
        <v>15</v>
      </c>
      <c r="R1565">
        <f>SUM(Table13[[#This Row],[Rank_All_Ranks_Total]:[Rank_SSPSPAddlSPCommandant]])</f>
        <v>25392</v>
      </c>
    </row>
    <row r="1566" spans="1:18" x14ac:dyDescent="0.3">
      <c r="A1566" t="s">
        <v>28</v>
      </c>
      <c r="B1566">
        <v>2005</v>
      </c>
      <c r="C1566" t="str">
        <f>_xlfn.CONCAT(Table13[[#This Row],[STATE]],"-",Table13[[#This Row],[Year]])</f>
        <v>Sikkim-2005</v>
      </c>
      <c r="D1566" t="s">
        <v>73</v>
      </c>
      <c r="E1566" t="s">
        <v>74</v>
      </c>
      <c r="F1566">
        <v>1832</v>
      </c>
      <c r="G1566">
        <v>60</v>
      </c>
      <c r="H1566">
        <v>12</v>
      </c>
      <c r="I1566">
        <v>263</v>
      </c>
      <c r="J1566">
        <v>1345</v>
      </c>
      <c r="K1566">
        <v>0</v>
      </c>
      <c r="L1566">
        <v>1</v>
      </c>
      <c r="M1566">
        <v>87</v>
      </c>
      <c r="N1566">
        <v>0</v>
      </c>
      <c r="O1566">
        <v>19</v>
      </c>
      <c r="P1566">
        <v>43</v>
      </c>
      <c r="Q1566">
        <v>2</v>
      </c>
      <c r="R1566">
        <f>SUM(Table13[[#This Row],[Rank_All_Ranks_Total]:[Rank_SSPSPAddlSPCommandant]])</f>
        <v>3664</v>
      </c>
    </row>
    <row r="1567" spans="1:18" x14ac:dyDescent="0.3">
      <c r="A1567" t="s">
        <v>42</v>
      </c>
      <c r="B1567">
        <v>2005</v>
      </c>
      <c r="C1567" t="str">
        <f>_xlfn.CONCAT(Table13[[#This Row],[STATE]],"-",Table13[[#This Row],[Year]])</f>
        <v>Tamil Nadu-2005</v>
      </c>
      <c r="D1567" t="s">
        <v>73</v>
      </c>
      <c r="E1567" t="s">
        <v>74</v>
      </c>
      <c r="F1567">
        <v>14491</v>
      </c>
      <c r="G1567">
        <v>0</v>
      </c>
      <c r="H1567">
        <v>47</v>
      </c>
      <c r="I1567">
        <v>1581</v>
      </c>
      <c r="J1567">
        <v>10789</v>
      </c>
      <c r="K1567">
        <v>0</v>
      </c>
      <c r="L1567">
        <v>2</v>
      </c>
      <c r="M1567">
        <v>1468</v>
      </c>
      <c r="N1567">
        <v>1</v>
      </c>
      <c r="O1567">
        <v>139</v>
      </c>
      <c r="P1567">
        <v>438</v>
      </c>
      <c r="Q1567">
        <v>26</v>
      </c>
      <c r="R1567">
        <f>SUM(Table13[[#This Row],[Rank_All_Ranks_Total]:[Rank_SSPSPAddlSPCommandant]])</f>
        <v>28982</v>
      </c>
    </row>
    <row r="1568" spans="1:18" x14ac:dyDescent="0.3">
      <c r="A1568" t="s">
        <v>30</v>
      </c>
      <c r="B1568">
        <v>2005</v>
      </c>
      <c r="C1568" t="str">
        <f>_xlfn.CONCAT(Table13[[#This Row],[STATE]],"-",Table13[[#This Row],[Year]])</f>
        <v>Tripura-2005</v>
      </c>
      <c r="D1568" t="s">
        <v>73</v>
      </c>
      <c r="E1568" t="s">
        <v>74</v>
      </c>
      <c r="F1568">
        <v>12774</v>
      </c>
      <c r="G1568">
        <v>0</v>
      </c>
      <c r="H1568">
        <v>93</v>
      </c>
      <c r="I1568">
        <v>2069</v>
      </c>
      <c r="J1568">
        <v>8242</v>
      </c>
      <c r="K1568">
        <v>0</v>
      </c>
      <c r="L1568">
        <v>0</v>
      </c>
      <c r="M1568">
        <v>1824</v>
      </c>
      <c r="N1568">
        <v>0</v>
      </c>
      <c r="O1568">
        <v>148</v>
      </c>
      <c r="P1568">
        <v>378</v>
      </c>
      <c r="Q1568">
        <v>20</v>
      </c>
      <c r="R1568">
        <f>SUM(Table13[[#This Row],[Rank_All_Ranks_Total]:[Rank_SSPSPAddlSPCommandant]])</f>
        <v>25548</v>
      </c>
    </row>
    <row r="1569" spans="1:18" x14ac:dyDescent="0.3">
      <c r="A1569" t="s">
        <v>31</v>
      </c>
      <c r="B1569">
        <v>2005</v>
      </c>
      <c r="C1569" t="str">
        <f>_xlfn.CONCAT(Table13[[#This Row],[STATE]],"-",Table13[[#This Row],[Year]])</f>
        <v>Uttar Pradesh-2005</v>
      </c>
      <c r="D1569" t="s">
        <v>73</v>
      </c>
      <c r="E1569" t="s">
        <v>74</v>
      </c>
      <c r="F1569">
        <v>33380</v>
      </c>
      <c r="G1569">
        <v>0</v>
      </c>
      <c r="H1569">
        <v>94</v>
      </c>
      <c r="I1569">
        <v>0</v>
      </c>
      <c r="J1569">
        <v>26420</v>
      </c>
      <c r="K1569">
        <v>1</v>
      </c>
      <c r="L1569">
        <v>7</v>
      </c>
      <c r="M1569">
        <v>5650</v>
      </c>
      <c r="N1569">
        <v>5</v>
      </c>
      <c r="O1569">
        <v>280</v>
      </c>
      <c r="P1569">
        <v>858</v>
      </c>
      <c r="Q1569">
        <v>65</v>
      </c>
      <c r="R1569">
        <f>SUM(Table13[[#This Row],[Rank_All_Ranks_Total]:[Rank_SSPSPAddlSPCommandant]])</f>
        <v>66760</v>
      </c>
    </row>
    <row r="1570" spans="1:18" x14ac:dyDescent="0.3">
      <c r="A1570" t="s">
        <v>65</v>
      </c>
      <c r="B1570">
        <v>2005</v>
      </c>
      <c r="C1570" t="str">
        <f>_xlfn.CONCAT(Table13[[#This Row],[STATE]],"-",Table13[[#This Row],[Year]])</f>
        <v>Uttarakhand-2005</v>
      </c>
      <c r="D1570" t="s">
        <v>73</v>
      </c>
      <c r="E1570" t="s">
        <v>74</v>
      </c>
      <c r="F1570">
        <v>3022</v>
      </c>
      <c r="G1570">
        <v>0</v>
      </c>
      <c r="H1570">
        <v>0</v>
      </c>
      <c r="I1570">
        <v>0</v>
      </c>
      <c r="J1570">
        <v>2368</v>
      </c>
      <c r="K1570">
        <v>0</v>
      </c>
      <c r="L1570">
        <v>0</v>
      </c>
      <c r="M1570">
        <v>546</v>
      </c>
      <c r="N1570">
        <v>0</v>
      </c>
      <c r="O1570">
        <v>27</v>
      </c>
      <c r="P1570">
        <v>81</v>
      </c>
      <c r="Q1570">
        <v>0</v>
      </c>
      <c r="R1570">
        <f>SUM(Table13[[#This Row],[Rank_All_Ranks_Total]:[Rank_SSPSPAddlSPCommandant]])</f>
        <v>6044</v>
      </c>
    </row>
    <row r="1571" spans="1:18" x14ac:dyDescent="0.3">
      <c r="A1571" t="s">
        <v>33</v>
      </c>
      <c r="B1571">
        <v>2005</v>
      </c>
      <c r="C1571" t="str">
        <f>_xlfn.CONCAT(Table13[[#This Row],[STATE]],"-",Table13[[#This Row],[Year]])</f>
        <v>West Bengal-2005</v>
      </c>
      <c r="D1571" t="s">
        <v>73</v>
      </c>
      <c r="E1571" t="s">
        <v>74</v>
      </c>
      <c r="F1571">
        <v>24796</v>
      </c>
      <c r="G1571">
        <v>1723</v>
      </c>
      <c r="H1571">
        <v>127</v>
      </c>
      <c r="I1571">
        <v>2539</v>
      </c>
      <c r="J1571">
        <v>18548</v>
      </c>
      <c r="K1571">
        <v>1</v>
      </c>
      <c r="L1571">
        <v>4</v>
      </c>
      <c r="M1571">
        <v>824</v>
      </c>
      <c r="N1571">
        <v>3</v>
      </c>
      <c r="O1571">
        <v>257</v>
      </c>
      <c r="P1571">
        <v>733</v>
      </c>
      <c r="Q1571">
        <v>37</v>
      </c>
      <c r="R1571">
        <f>SUM(Table13[[#This Row],[Rank_All_Ranks_Total]:[Rank_SSPSPAddlSPCommandant]])</f>
        <v>49592</v>
      </c>
    </row>
    <row r="1572" spans="1:18" x14ac:dyDescent="0.3">
      <c r="A1572" t="s">
        <v>59</v>
      </c>
      <c r="B1572">
        <v>2006</v>
      </c>
      <c r="C1572" t="str">
        <f>_xlfn.CONCAT(Table13[[#This Row],[STATE]],"-",Table13[[#This Row],[Year]])</f>
        <v>Andaman &amp; Nicobar Islands-2006</v>
      </c>
      <c r="D1572" t="s">
        <v>73</v>
      </c>
      <c r="E1572" t="s">
        <v>74</v>
      </c>
      <c r="F1572">
        <v>615</v>
      </c>
      <c r="G1572">
        <v>2</v>
      </c>
      <c r="H1572">
        <v>3</v>
      </c>
      <c r="I1572">
        <v>0</v>
      </c>
      <c r="J1572">
        <v>447</v>
      </c>
      <c r="K1572">
        <v>0</v>
      </c>
      <c r="L1572">
        <v>1</v>
      </c>
      <c r="M1572">
        <v>134</v>
      </c>
      <c r="N1572">
        <v>0</v>
      </c>
      <c r="O1572">
        <v>6</v>
      </c>
      <c r="P1572">
        <v>22</v>
      </c>
      <c r="Q1572">
        <v>0</v>
      </c>
      <c r="R1572">
        <f>SUM(Table13[[#This Row],[Rank_All_Ranks_Total]:[Rank_SSPSPAddlSPCommandant]])</f>
        <v>1230</v>
      </c>
    </row>
    <row r="1573" spans="1:18" x14ac:dyDescent="0.3">
      <c r="A1573" t="s">
        <v>6</v>
      </c>
      <c r="B1573">
        <v>2006</v>
      </c>
      <c r="C1573" t="str">
        <f>_xlfn.CONCAT(Table13[[#This Row],[STATE]],"-",Table13[[#This Row],[Year]])</f>
        <v>Andhra Pradesh-2006</v>
      </c>
      <c r="D1573" t="s">
        <v>73</v>
      </c>
      <c r="E1573" t="s">
        <v>74</v>
      </c>
      <c r="F1573">
        <v>15568</v>
      </c>
      <c r="G1573">
        <v>672</v>
      </c>
      <c r="H1573">
        <v>60</v>
      </c>
      <c r="I1573">
        <v>0</v>
      </c>
      <c r="J1573">
        <v>10700</v>
      </c>
      <c r="K1573">
        <v>1</v>
      </c>
      <c r="L1573">
        <v>4</v>
      </c>
      <c r="M1573">
        <v>3541</v>
      </c>
      <c r="N1573">
        <v>1</v>
      </c>
      <c r="O1573">
        <v>157</v>
      </c>
      <c r="P1573">
        <v>401</v>
      </c>
      <c r="Q1573">
        <v>31</v>
      </c>
      <c r="R1573">
        <f>SUM(Table13[[#This Row],[Rank_All_Ranks_Total]:[Rank_SSPSPAddlSPCommandant]])</f>
        <v>31136</v>
      </c>
    </row>
    <row r="1574" spans="1:18" x14ac:dyDescent="0.3">
      <c r="A1574" t="s">
        <v>7</v>
      </c>
      <c r="B1574">
        <v>2006</v>
      </c>
      <c r="C1574" t="str">
        <f>_xlfn.CONCAT(Table13[[#This Row],[STATE]],"-",Table13[[#This Row],[Year]])</f>
        <v>Arunachal Pradesh-2006</v>
      </c>
      <c r="D1574" t="s">
        <v>73</v>
      </c>
      <c r="E1574" t="s">
        <v>74</v>
      </c>
      <c r="F1574">
        <v>3040</v>
      </c>
      <c r="G1574">
        <v>28</v>
      </c>
      <c r="H1574">
        <v>24</v>
      </c>
      <c r="I1574">
        <v>216</v>
      </c>
      <c r="J1574">
        <v>2228</v>
      </c>
      <c r="K1574">
        <v>0</v>
      </c>
      <c r="L1574">
        <v>0</v>
      </c>
      <c r="M1574">
        <v>457</v>
      </c>
      <c r="N1574">
        <v>0</v>
      </c>
      <c r="O1574">
        <v>25</v>
      </c>
      <c r="P1574">
        <v>59</v>
      </c>
      <c r="Q1574">
        <v>3</v>
      </c>
      <c r="R1574">
        <f>SUM(Table13[[#This Row],[Rank_All_Ranks_Total]:[Rank_SSPSPAddlSPCommandant]])</f>
        <v>6080</v>
      </c>
    </row>
    <row r="1575" spans="1:18" x14ac:dyDescent="0.3">
      <c r="A1575" t="s">
        <v>8</v>
      </c>
      <c r="B1575">
        <v>2006</v>
      </c>
      <c r="C1575" t="str">
        <f>_xlfn.CONCAT(Table13[[#This Row],[STATE]],"-",Table13[[#This Row],[Year]])</f>
        <v>Assam-2006</v>
      </c>
      <c r="D1575" t="s">
        <v>73</v>
      </c>
      <c r="E1575" t="s">
        <v>74</v>
      </c>
      <c r="F1575">
        <v>25914</v>
      </c>
      <c r="G1575">
        <v>36</v>
      </c>
      <c r="H1575">
        <v>150</v>
      </c>
      <c r="I1575">
        <v>2447</v>
      </c>
      <c r="J1575">
        <v>18097</v>
      </c>
      <c r="K1575">
        <v>0</v>
      </c>
      <c r="L1575">
        <v>0</v>
      </c>
      <c r="M1575">
        <v>4168</v>
      </c>
      <c r="N1575">
        <v>0</v>
      </c>
      <c r="O1575">
        <v>235</v>
      </c>
      <c r="P1575">
        <v>729</v>
      </c>
      <c r="Q1575">
        <v>52</v>
      </c>
      <c r="R1575">
        <f>SUM(Table13[[#This Row],[Rank_All_Ranks_Total]:[Rank_SSPSPAddlSPCommandant]])</f>
        <v>51828</v>
      </c>
    </row>
    <row r="1576" spans="1:18" x14ac:dyDescent="0.3">
      <c r="A1576" t="s">
        <v>9</v>
      </c>
      <c r="B1576">
        <v>2006</v>
      </c>
      <c r="C1576" t="str">
        <f>_xlfn.CONCAT(Table13[[#This Row],[STATE]],"-",Table13[[#This Row],[Year]])</f>
        <v>Bihar-2006</v>
      </c>
      <c r="D1576" t="s">
        <v>73</v>
      </c>
      <c r="E1576" t="s">
        <v>74</v>
      </c>
      <c r="F1576">
        <v>18171</v>
      </c>
      <c r="G1576">
        <v>127</v>
      </c>
      <c r="H1576">
        <v>106</v>
      </c>
      <c r="I1576">
        <v>0</v>
      </c>
      <c r="J1576">
        <v>13593</v>
      </c>
      <c r="K1576">
        <v>1</v>
      </c>
      <c r="L1576">
        <v>2</v>
      </c>
      <c r="M1576">
        <v>3319</v>
      </c>
      <c r="N1576">
        <v>1</v>
      </c>
      <c r="O1576">
        <v>153</v>
      </c>
      <c r="P1576">
        <v>851</v>
      </c>
      <c r="Q1576">
        <v>18</v>
      </c>
      <c r="R1576">
        <f>SUM(Table13[[#This Row],[Rank_All_Ranks_Total]:[Rank_SSPSPAddlSPCommandant]])</f>
        <v>36342</v>
      </c>
    </row>
    <row r="1577" spans="1:18" x14ac:dyDescent="0.3">
      <c r="A1577" t="s">
        <v>35</v>
      </c>
      <c r="B1577">
        <v>2006</v>
      </c>
      <c r="C1577" t="str">
        <f>_xlfn.CONCAT(Table13[[#This Row],[STATE]],"-",Table13[[#This Row],[Year]])</f>
        <v>Chandigarh-2006</v>
      </c>
      <c r="D1577" t="s">
        <v>73</v>
      </c>
      <c r="E1577" t="s">
        <v>74</v>
      </c>
      <c r="F1577">
        <v>419</v>
      </c>
      <c r="G1577">
        <v>0</v>
      </c>
      <c r="H1577">
        <v>1</v>
      </c>
      <c r="I1577">
        <v>0</v>
      </c>
      <c r="J1577">
        <v>343</v>
      </c>
      <c r="K1577">
        <v>0</v>
      </c>
      <c r="L1577">
        <v>0</v>
      </c>
      <c r="M1577">
        <v>61</v>
      </c>
      <c r="N1577">
        <v>0</v>
      </c>
      <c r="O1577">
        <v>4</v>
      </c>
      <c r="P1577">
        <v>10</v>
      </c>
      <c r="Q1577">
        <v>0</v>
      </c>
      <c r="R1577">
        <f>SUM(Table13[[#This Row],[Rank_All_Ranks_Total]:[Rank_SSPSPAddlSPCommandant]])</f>
        <v>838</v>
      </c>
    </row>
    <row r="1578" spans="1:18" x14ac:dyDescent="0.3">
      <c r="A1578" t="s">
        <v>10</v>
      </c>
      <c r="B1578">
        <v>2006</v>
      </c>
      <c r="C1578" t="str">
        <f>_xlfn.CONCAT(Table13[[#This Row],[STATE]],"-",Table13[[#This Row],[Year]])</f>
        <v>Chhattisgarh-2006</v>
      </c>
      <c r="D1578" t="s">
        <v>73</v>
      </c>
      <c r="E1578" t="s">
        <v>74</v>
      </c>
      <c r="F1578">
        <v>11943</v>
      </c>
      <c r="G1578">
        <v>556</v>
      </c>
      <c r="H1578">
        <v>59</v>
      </c>
      <c r="I1578">
        <v>0</v>
      </c>
      <c r="J1578">
        <v>8540</v>
      </c>
      <c r="K1578">
        <v>0</v>
      </c>
      <c r="L1578">
        <v>0</v>
      </c>
      <c r="M1578">
        <v>2270</v>
      </c>
      <c r="N1578">
        <v>0</v>
      </c>
      <c r="O1578">
        <v>120</v>
      </c>
      <c r="P1578">
        <v>361</v>
      </c>
      <c r="Q1578">
        <v>37</v>
      </c>
      <c r="R1578">
        <f>SUM(Table13[[#This Row],[Rank_All_Ranks_Total]:[Rank_SSPSPAddlSPCommandant]])</f>
        <v>23886</v>
      </c>
    </row>
    <row r="1579" spans="1:18" x14ac:dyDescent="0.3">
      <c r="A1579" t="s">
        <v>62</v>
      </c>
      <c r="B1579">
        <v>2006</v>
      </c>
      <c r="C1579" t="str">
        <f>_xlfn.CONCAT(Table13[[#This Row],[STATE]],"-",Table13[[#This Row],[Year]])</f>
        <v>Dadra &amp; Nagar Haveli-2006</v>
      </c>
      <c r="D1579" t="s">
        <v>73</v>
      </c>
      <c r="E1579" t="s">
        <v>74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f>SUM(Table13[[#This Row],[Rank_All_Ranks_Total]:[Rank_SSPSPAddlSPCommandant]])</f>
        <v>0</v>
      </c>
    </row>
    <row r="1580" spans="1:18" x14ac:dyDescent="0.3">
      <c r="A1580" t="s">
        <v>37</v>
      </c>
      <c r="B1580">
        <v>2006</v>
      </c>
      <c r="C1580" t="str">
        <f>_xlfn.CONCAT(Table13[[#This Row],[STATE]],"-",Table13[[#This Row],[Year]])</f>
        <v>Daman &amp; Diu-2006</v>
      </c>
      <c r="D1580" t="s">
        <v>73</v>
      </c>
      <c r="E1580" t="s">
        <v>74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f>SUM(Table13[[#This Row],[Rank_All_Ranks_Total]:[Rank_SSPSPAddlSPCommandant]])</f>
        <v>0</v>
      </c>
    </row>
    <row r="1581" spans="1:18" x14ac:dyDescent="0.3">
      <c r="A1581" t="s">
        <v>38</v>
      </c>
      <c r="B1581">
        <v>2006</v>
      </c>
      <c r="C1581" t="str">
        <f>_xlfn.CONCAT(Table13[[#This Row],[STATE]],"-",Table13[[#This Row],[Year]])</f>
        <v>Delhi-2006</v>
      </c>
      <c r="D1581" t="s">
        <v>73</v>
      </c>
      <c r="E1581" t="s">
        <v>74</v>
      </c>
      <c r="F1581">
        <v>15787</v>
      </c>
      <c r="G1581">
        <v>282</v>
      </c>
      <c r="H1581">
        <v>74</v>
      </c>
      <c r="I1581">
        <v>0</v>
      </c>
      <c r="J1581">
        <v>11853</v>
      </c>
      <c r="K1581">
        <v>0</v>
      </c>
      <c r="L1581">
        <v>1</v>
      </c>
      <c r="M1581">
        <v>2951</v>
      </c>
      <c r="N1581">
        <v>1</v>
      </c>
      <c r="O1581">
        <v>128</v>
      </c>
      <c r="P1581">
        <v>463</v>
      </c>
      <c r="Q1581">
        <v>34</v>
      </c>
      <c r="R1581">
        <f>SUM(Table13[[#This Row],[Rank_All_Ranks_Total]:[Rank_SSPSPAddlSPCommandant]])</f>
        <v>31574</v>
      </c>
    </row>
    <row r="1582" spans="1:18" x14ac:dyDescent="0.3">
      <c r="A1582" t="s">
        <v>11</v>
      </c>
      <c r="B1582">
        <v>2006</v>
      </c>
      <c r="C1582" t="str">
        <f>_xlfn.CONCAT(Table13[[#This Row],[STATE]],"-",Table13[[#This Row],[Year]])</f>
        <v>Goa-2006</v>
      </c>
      <c r="D1582" t="s">
        <v>73</v>
      </c>
      <c r="E1582" t="s">
        <v>74</v>
      </c>
      <c r="F1582">
        <v>720</v>
      </c>
      <c r="G1582">
        <v>14</v>
      </c>
      <c r="H1582">
        <v>4</v>
      </c>
      <c r="I1582">
        <v>0</v>
      </c>
      <c r="J1582">
        <v>560</v>
      </c>
      <c r="K1582">
        <v>0</v>
      </c>
      <c r="L1582">
        <v>0</v>
      </c>
      <c r="M1582">
        <v>116</v>
      </c>
      <c r="N1582">
        <v>0</v>
      </c>
      <c r="O1582">
        <v>6</v>
      </c>
      <c r="P1582">
        <v>19</v>
      </c>
      <c r="Q1582">
        <v>1</v>
      </c>
      <c r="R1582">
        <f>SUM(Table13[[#This Row],[Rank_All_Ranks_Total]:[Rank_SSPSPAddlSPCommandant]])</f>
        <v>1440</v>
      </c>
    </row>
    <row r="1583" spans="1:18" x14ac:dyDescent="0.3">
      <c r="A1583" t="s">
        <v>12</v>
      </c>
      <c r="B1583">
        <v>2006</v>
      </c>
      <c r="C1583" t="str">
        <f>_xlfn.CONCAT(Table13[[#This Row],[STATE]],"-",Table13[[#This Row],[Year]])</f>
        <v>Gujarat-2006</v>
      </c>
      <c r="D1583" t="s">
        <v>73</v>
      </c>
      <c r="E1583" t="s">
        <v>74</v>
      </c>
      <c r="F1583">
        <v>16288</v>
      </c>
      <c r="G1583">
        <v>2383</v>
      </c>
      <c r="H1583">
        <v>42</v>
      </c>
      <c r="I1583">
        <v>0</v>
      </c>
      <c r="J1583">
        <v>12243</v>
      </c>
      <c r="K1583">
        <v>0</v>
      </c>
      <c r="L1583">
        <v>0</v>
      </c>
      <c r="M1583">
        <v>1202</v>
      </c>
      <c r="N1583">
        <v>0</v>
      </c>
      <c r="O1583">
        <v>104</v>
      </c>
      <c r="P1583">
        <v>314</v>
      </c>
      <c r="Q1583">
        <v>0</v>
      </c>
      <c r="R1583">
        <f>SUM(Table13[[#This Row],[Rank_All_Ranks_Total]:[Rank_SSPSPAddlSPCommandant]])</f>
        <v>32576</v>
      </c>
    </row>
    <row r="1584" spans="1:18" x14ac:dyDescent="0.3">
      <c r="A1584" t="s">
        <v>13</v>
      </c>
      <c r="B1584">
        <v>2006</v>
      </c>
      <c r="C1584" t="str">
        <f>_xlfn.CONCAT(Table13[[#This Row],[STATE]],"-",Table13[[#This Row],[Year]])</f>
        <v>Haryana-2006</v>
      </c>
      <c r="D1584" t="s">
        <v>73</v>
      </c>
      <c r="E1584" t="s">
        <v>74</v>
      </c>
      <c r="F1584">
        <v>4702</v>
      </c>
      <c r="G1584">
        <v>214</v>
      </c>
      <c r="H1584">
        <v>16</v>
      </c>
      <c r="I1584">
        <v>0</v>
      </c>
      <c r="J1584">
        <v>3598</v>
      </c>
      <c r="K1584">
        <v>1</v>
      </c>
      <c r="L1584">
        <v>1</v>
      </c>
      <c r="M1584">
        <v>688</v>
      </c>
      <c r="N1584">
        <v>1</v>
      </c>
      <c r="O1584">
        <v>47</v>
      </c>
      <c r="P1584">
        <v>131</v>
      </c>
      <c r="Q1584">
        <v>5</v>
      </c>
      <c r="R1584">
        <f>SUM(Table13[[#This Row],[Rank_All_Ranks_Total]:[Rank_SSPSPAddlSPCommandant]])</f>
        <v>9404</v>
      </c>
    </row>
    <row r="1585" spans="1:18" x14ac:dyDescent="0.3">
      <c r="A1585" t="s">
        <v>14</v>
      </c>
      <c r="B1585">
        <v>2006</v>
      </c>
      <c r="C1585" t="str">
        <f>_xlfn.CONCAT(Table13[[#This Row],[STATE]],"-",Table13[[#This Row],[Year]])</f>
        <v>Himachal Pradesh-2006</v>
      </c>
      <c r="D1585" t="s">
        <v>73</v>
      </c>
      <c r="E1585" t="s">
        <v>74</v>
      </c>
      <c r="F1585">
        <v>3794</v>
      </c>
      <c r="G1585">
        <v>84</v>
      </c>
      <c r="H1585">
        <v>15</v>
      </c>
      <c r="I1585">
        <v>1010</v>
      </c>
      <c r="J1585">
        <v>1842</v>
      </c>
      <c r="K1585">
        <v>1</v>
      </c>
      <c r="L1585">
        <v>1</v>
      </c>
      <c r="M1585">
        <v>685</v>
      </c>
      <c r="N1585">
        <v>1</v>
      </c>
      <c r="O1585">
        <v>35</v>
      </c>
      <c r="P1585">
        <v>111</v>
      </c>
      <c r="Q1585">
        <v>9</v>
      </c>
      <c r="R1585">
        <f>SUM(Table13[[#This Row],[Rank_All_Ranks_Total]:[Rank_SSPSPAddlSPCommandant]])</f>
        <v>7588</v>
      </c>
    </row>
    <row r="1586" spans="1:18" x14ac:dyDescent="0.3">
      <c r="A1586" t="s">
        <v>15</v>
      </c>
      <c r="B1586">
        <v>2006</v>
      </c>
      <c r="C1586" t="str">
        <f>_xlfn.CONCAT(Table13[[#This Row],[STATE]],"-",Table13[[#This Row],[Year]])</f>
        <v>Jammu &amp; Kashmir-2006</v>
      </c>
      <c r="D1586" t="s">
        <v>73</v>
      </c>
      <c r="E1586" t="s">
        <v>74</v>
      </c>
      <c r="F1586">
        <v>24816</v>
      </c>
      <c r="G1586">
        <v>487</v>
      </c>
      <c r="H1586">
        <v>190</v>
      </c>
      <c r="I1586">
        <v>17296</v>
      </c>
      <c r="J1586">
        <v>1928</v>
      </c>
      <c r="K1586">
        <v>1</v>
      </c>
      <c r="L1586">
        <v>2</v>
      </c>
      <c r="M1586">
        <v>4050</v>
      </c>
      <c r="N1586">
        <v>1</v>
      </c>
      <c r="O1586">
        <v>167</v>
      </c>
      <c r="P1586">
        <v>615</v>
      </c>
      <c r="Q1586">
        <v>79</v>
      </c>
      <c r="R1586">
        <f>SUM(Table13[[#This Row],[Rank_All_Ranks_Total]:[Rank_SSPSPAddlSPCommandant]])</f>
        <v>49632</v>
      </c>
    </row>
    <row r="1587" spans="1:18" x14ac:dyDescent="0.3">
      <c r="A1587" t="s">
        <v>16</v>
      </c>
      <c r="B1587">
        <v>2006</v>
      </c>
      <c r="C1587" t="str">
        <f>_xlfn.CONCAT(Table13[[#This Row],[STATE]],"-",Table13[[#This Row],[Year]])</f>
        <v>Jharkhand-2006</v>
      </c>
      <c r="D1587" t="s">
        <v>73</v>
      </c>
      <c r="E1587" t="s">
        <v>74</v>
      </c>
      <c r="F1587">
        <v>3824</v>
      </c>
      <c r="G1587">
        <v>33</v>
      </c>
      <c r="H1587">
        <v>3</v>
      </c>
      <c r="I1587">
        <v>0</v>
      </c>
      <c r="J1587">
        <v>3042</v>
      </c>
      <c r="K1587">
        <v>0</v>
      </c>
      <c r="L1587">
        <v>0</v>
      </c>
      <c r="M1587">
        <v>634</v>
      </c>
      <c r="N1587">
        <v>0</v>
      </c>
      <c r="O1587">
        <v>12</v>
      </c>
      <c r="P1587">
        <v>99</v>
      </c>
      <c r="Q1587">
        <v>1</v>
      </c>
      <c r="R1587">
        <f>SUM(Table13[[#This Row],[Rank_All_Ranks_Total]:[Rank_SSPSPAddlSPCommandant]])</f>
        <v>7648</v>
      </c>
    </row>
    <row r="1588" spans="1:18" x14ac:dyDescent="0.3">
      <c r="A1588" t="s">
        <v>17</v>
      </c>
      <c r="B1588">
        <v>2006</v>
      </c>
      <c r="C1588" t="str">
        <f>_xlfn.CONCAT(Table13[[#This Row],[STATE]],"-",Table13[[#This Row],[Year]])</f>
        <v>Karnataka-2006</v>
      </c>
      <c r="D1588" t="s">
        <v>73</v>
      </c>
      <c r="E1588" t="s">
        <v>74</v>
      </c>
      <c r="F1588">
        <v>4314</v>
      </c>
      <c r="G1588">
        <v>119</v>
      </c>
      <c r="H1588">
        <v>7</v>
      </c>
      <c r="I1588">
        <v>0</v>
      </c>
      <c r="J1588">
        <v>3360</v>
      </c>
      <c r="K1588">
        <v>0</v>
      </c>
      <c r="L1588">
        <v>0</v>
      </c>
      <c r="M1588">
        <v>727</v>
      </c>
      <c r="N1588">
        <v>0</v>
      </c>
      <c r="O1588">
        <v>27</v>
      </c>
      <c r="P1588">
        <v>74</v>
      </c>
      <c r="Q1588">
        <v>0</v>
      </c>
      <c r="R1588">
        <f>SUM(Table13[[#This Row],[Rank_All_Ranks_Total]:[Rank_SSPSPAddlSPCommandant]])</f>
        <v>8628</v>
      </c>
    </row>
    <row r="1589" spans="1:18" x14ac:dyDescent="0.3">
      <c r="A1589" t="s">
        <v>18</v>
      </c>
      <c r="B1589">
        <v>2006</v>
      </c>
      <c r="C1589" t="str">
        <f>_xlfn.CONCAT(Table13[[#This Row],[STATE]],"-",Table13[[#This Row],[Year]])</f>
        <v>Kerala-2006</v>
      </c>
      <c r="D1589" t="s">
        <v>73</v>
      </c>
      <c r="E1589" t="s">
        <v>74</v>
      </c>
      <c r="F1589">
        <v>8449</v>
      </c>
      <c r="G1589">
        <v>74</v>
      </c>
      <c r="H1589">
        <v>43</v>
      </c>
      <c r="I1589">
        <v>0</v>
      </c>
      <c r="J1589">
        <v>6827</v>
      </c>
      <c r="K1589">
        <v>1</v>
      </c>
      <c r="L1589">
        <v>2</v>
      </c>
      <c r="M1589">
        <v>1224</v>
      </c>
      <c r="N1589">
        <v>2</v>
      </c>
      <c r="O1589">
        <v>77</v>
      </c>
      <c r="P1589">
        <v>187</v>
      </c>
      <c r="Q1589">
        <v>12</v>
      </c>
      <c r="R1589">
        <f>SUM(Table13[[#This Row],[Rank_All_Ranks_Total]:[Rank_SSPSPAddlSPCommandant]])</f>
        <v>16898</v>
      </c>
    </row>
    <row r="1590" spans="1:18" x14ac:dyDescent="0.3">
      <c r="A1590" t="s">
        <v>39</v>
      </c>
      <c r="B1590">
        <v>2006</v>
      </c>
      <c r="C1590" t="str">
        <f>_xlfn.CONCAT(Table13[[#This Row],[STATE]],"-",Table13[[#This Row],[Year]])</f>
        <v>Lakshadweep-2006</v>
      </c>
      <c r="D1590" t="s">
        <v>73</v>
      </c>
      <c r="E1590" t="s">
        <v>74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f>SUM(Table13[[#This Row],[Rank_All_Ranks_Total]:[Rank_SSPSPAddlSPCommandant]])</f>
        <v>0</v>
      </c>
    </row>
    <row r="1591" spans="1:18" x14ac:dyDescent="0.3">
      <c r="A1591" t="s">
        <v>19</v>
      </c>
      <c r="B1591">
        <v>2006</v>
      </c>
      <c r="C1591" t="str">
        <f>_xlfn.CONCAT(Table13[[#This Row],[STATE]],"-",Table13[[#This Row],[Year]])</f>
        <v>Madhya Pradesh-2006</v>
      </c>
      <c r="D1591" t="s">
        <v>73</v>
      </c>
      <c r="E1591" t="s">
        <v>74</v>
      </c>
      <c r="F1591">
        <v>21067</v>
      </c>
      <c r="G1591">
        <v>1148</v>
      </c>
      <c r="H1591">
        <v>0</v>
      </c>
      <c r="I1591">
        <v>0</v>
      </c>
      <c r="J1591">
        <v>15392</v>
      </c>
      <c r="K1591">
        <v>0</v>
      </c>
      <c r="L1591">
        <v>0</v>
      </c>
      <c r="M1591">
        <v>3663</v>
      </c>
      <c r="N1591">
        <v>0</v>
      </c>
      <c r="O1591">
        <v>205</v>
      </c>
      <c r="P1591">
        <v>659</v>
      </c>
      <c r="Q1591">
        <v>0</v>
      </c>
      <c r="R1591">
        <f>SUM(Table13[[#This Row],[Rank_All_Ranks_Total]:[Rank_SSPSPAddlSPCommandant]])</f>
        <v>42134</v>
      </c>
    </row>
    <row r="1592" spans="1:18" x14ac:dyDescent="0.3">
      <c r="A1592" t="s">
        <v>20</v>
      </c>
      <c r="B1592">
        <v>2006</v>
      </c>
      <c r="C1592" t="str">
        <f>_xlfn.CONCAT(Table13[[#This Row],[STATE]],"-",Table13[[#This Row],[Year]])</f>
        <v>Maharashtra-2006</v>
      </c>
      <c r="D1592" t="s">
        <v>73</v>
      </c>
      <c r="E1592" t="s">
        <v>74</v>
      </c>
      <c r="F1592">
        <v>16040</v>
      </c>
      <c r="G1592">
        <v>1513</v>
      </c>
      <c r="H1592">
        <v>58</v>
      </c>
      <c r="I1592">
        <v>2976</v>
      </c>
      <c r="J1592">
        <v>7589</v>
      </c>
      <c r="K1592">
        <v>0</v>
      </c>
      <c r="L1592">
        <v>3</v>
      </c>
      <c r="M1592">
        <v>3433</v>
      </c>
      <c r="N1592">
        <v>1</v>
      </c>
      <c r="O1592">
        <v>165</v>
      </c>
      <c r="P1592">
        <v>281</v>
      </c>
      <c r="Q1592">
        <v>21</v>
      </c>
      <c r="R1592">
        <f>SUM(Table13[[#This Row],[Rank_All_Ranks_Total]:[Rank_SSPSPAddlSPCommandant]])</f>
        <v>32080</v>
      </c>
    </row>
    <row r="1593" spans="1:18" x14ac:dyDescent="0.3">
      <c r="A1593" t="s">
        <v>21</v>
      </c>
      <c r="B1593">
        <v>2006</v>
      </c>
      <c r="C1593" t="str">
        <f>_xlfn.CONCAT(Table13[[#This Row],[STATE]],"-",Table13[[#This Row],[Year]])</f>
        <v>Manipur-2006</v>
      </c>
      <c r="D1593" t="s">
        <v>73</v>
      </c>
      <c r="E1593" t="s">
        <v>74</v>
      </c>
      <c r="F1593">
        <v>11406</v>
      </c>
      <c r="G1593">
        <v>0</v>
      </c>
      <c r="H1593">
        <v>93</v>
      </c>
      <c r="I1593">
        <v>0</v>
      </c>
      <c r="J1593">
        <v>8691</v>
      </c>
      <c r="K1593">
        <v>1</v>
      </c>
      <c r="L1593">
        <v>3</v>
      </c>
      <c r="M1593">
        <v>2189</v>
      </c>
      <c r="N1593">
        <v>1</v>
      </c>
      <c r="O1593">
        <v>93</v>
      </c>
      <c r="P1593">
        <v>291</v>
      </c>
      <c r="Q1593">
        <v>44</v>
      </c>
      <c r="R1593">
        <f>SUM(Table13[[#This Row],[Rank_All_Ranks_Total]:[Rank_SSPSPAddlSPCommandant]])</f>
        <v>22812</v>
      </c>
    </row>
    <row r="1594" spans="1:18" x14ac:dyDescent="0.3">
      <c r="A1594" t="s">
        <v>22</v>
      </c>
      <c r="B1594">
        <v>2006</v>
      </c>
      <c r="C1594" t="str">
        <f>_xlfn.CONCAT(Table13[[#This Row],[STATE]],"-",Table13[[#This Row],[Year]])</f>
        <v>Meghalaya-2006</v>
      </c>
      <c r="D1594" t="s">
        <v>73</v>
      </c>
      <c r="E1594" t="s">
        <v>74</v>
      </c>
      <c r="F1594">
        <v>3925</v>
      </c>
      <c r="G1594">
        <v>44</v>
      </c>
      <c r="H1594">
        <v>31</v>
      </c>
      <c r="I1594">
        <v>254</v>
      </c>
      <c r="J1594">
        <v>2862</v>
      </c>
      <c r="K1594">
        <v>0</v>
      </c>
      <c r="L1594">
        <v>0</v>
      </c>
      <c r="M1594">
        <v>580</v>
      </c>
      <c r="N1594">
        <v>0</v>
      </c>
      <c r="O1594">
        <v>38</v>
      </c>
      <c r="P1594">
        <v>104</v>
      </c>
      <c r="Q1594">
        <v>12</v>
      </c>
      <c r="R1594">
        <f>SUM(Table13[[#This Row],[Rank_All_Ranks_Total]:[Rank_SSPSPAddlSPCommandant]])</f>
        <v>7850</v>
      </c>
    </row>
    <row r="1595" spans="1:18" x14ac:dyDescent="0.3">
      <c r="A1595" t="s">
        <v>23</v>
      </c>
      <c r="B1595">
        <v>2006</v>
      </c>
      <c r="C1595" t="str">
        <f>_xlfn.CONCAT(Table13[[#This Row],[STATE]],"-",Table13[[#This Row],[Year]])</f>
        <v>Mizoram-2006</v>
      </c>
      <c r="D1595" t="s">
        <v>73</v>
      </c>
      <c r="E1595" t="s">
        <v>74</v>
      </c>
      <c r="F1595">
        <v>5751</v>
      </c>
      <c r="G1595">
        <v>54</v>
      </c>
      <c r="H1595">
        <v>56</v>
      </c>
      <c r="I1595">
        <v>486</v>
      </c>
      <c r="J1595">
        <v>4059</v>
      </c>
      <c r="K1595">
        <v>0</v>
      </c>
      <c r="L1595">
        <v>0</v>
      </c>
      <c r="M1595">
        <v>884</v>
      </c>
      <c r="N1595">
        <v>0</v>
      </c>
      <c r="O1595">
        <v>53</v>
      </c>
      <c r="P1595">
        <v>152</v>
      </c>
      <c r="Q1595">
        <v>7</v>
      </c>
      <c r="R1595">
        <f>SUM(Table13[[#This Row],[Rank_All_Ranks_Total]:[Rank_SSPSPAddlSPCommandant]])</f>
        <v>11502</v>
      </c>
    </row>
    <row r="1596" spans="1:18" x14ac:dyDescent="0.3">
      <c r="A1596" t="s">
        <v>24</v>
      </c>
      <c r="B1596">
        <v>2006</v>
      </c>
      <c r="C1596" t="str">
        <f>_xlfn.CONCAT(Table13[[#This Row],[STATE]],"-",Table13[[#This Row],[Year]])</f>
        <v>Nagaland-2006</v>
      </c>
      <c r="D1596" t="s">
        <v>73</v>
      </c>
      <c r="E1596" t="s">
        <v>74</v>
      </c>
      <c r="F1596">
        <v>6507</v>
      </c>
      <c r="G1596">
        <v>0</v>
      </c>
      <c r="H1596">
        <v>19</v>
      </c>
      <c r="I1596">
        <v>759</v>
      </c>
      <c r="J1596">
        <v>4982</v>
      </c>
      <c r="K1596">
        <v>0</v>
      </c>
      <c r="L1596">
        <v>0</v>
      </c>
      <c r="M1596">
        <v>571</v>
      </c>
      <c r="N1596">
        <v>0</v>
      </c>
      <c r="O1596">
        <v>18</v>
      </c>
      <c r="P1596">
        <v>144</v>
      </c>
      <c r="Q1596">
        <v>14</v>
      </c>
      <c r="R1596">
        <f>SUM(Table13[[#This Row],[Rank_All_Ranks_Total]:[Rank_SSPSPAddlSPCommandant]])</f>
        <v>13014</v>
      </c>
    </row>
    <row r="1597" spans="1:18" x14ac:dyDescent="0.3">
      <c r="A1597" t="s">
        <v>63</v>
      </c>
      <c r="B1597">
        <v>2006</v>
      </c>
      <c r="C1597" t="str">
        <f>_xlfn.CONCAT(Table13[[#This Row],[STATE]],"-",Table13[[#This Row],[Year]])</f>
        <v>Odisha-2006</v>
      </c>
      <c r="D1597" t="s">
        <v>73</v>
      </c>
      <c r="E1597" t="s">
        <v>74</v>
      </c>
      <c r="F1597">
        <v>14891</v>
      </c>
      <c r="G1597">
        <v>295</v>
      </c>
      <c r="H1597">
        <v>125</v>
      </c>
      <c r="I1597">
        <v>657</v>
      </c>
      <c r="J1597">
        <v>11030</v>
      </c>
      <c r="K1597">
        <v>0</v>
      </c>
      <c r="L1597">
        <v>0</v>
      </c>
      <c r="M1597">
        <v>2171</v>
      </c>
      <c r="N1597">
        <v>0</v>
      </c>
      <c r="O1597">
        <v>125</v>
      </c>
      <c r="P1597">
        <v>440</v>
      </c>
      <c r="Q1597">
        <v>48</v>
      </c>
      <c r="R1597">
        <f>SUM(Table13[[#This Row],[Rank_All_Ranks_Total]:[Rank_SSPSPAddlSPCommandant]])</f>
        <v>29782</v>
      </c>
    </row>
    <row r="1598" spans="1:18" x14ac:dyDescent="0.3">
      <c r="A1598" t="s">
        <v>64</v>
      </c>
      <c r="B1598">
        <v>2006</v>
      </c>
      <c r="C1598" t="str">
        <f>_xlfn.CONCAT(Table13[[#This Row],[STATE]],"-",Table13[[#This Row],[Year]])</f>
        <v>Puducherry-2006</v>
      </c>
      <c r="D1598" t="s">
        <v>73</v>
      </c>
      <c r="E1598" t="s">
        <v>74</v>
      </c>
      <c r="F1598">
        <v>765</v>
      </c>
      <c r="G1598">
        <v>3</v>
      </c>
      <c r="H1598">
        <v>2</v>
      </c>
      <c r="I1598">
        <v>0</v>
      </c>
      <c r="J1598">
        <v>637</v>
      </c>
      <c r="K1598">
        <v>0</v>
      </c>
      <c r="L1598">
        <v>0</v>
      </c>
      <c r="M1598">
        <v>100</v>
      </c>
      <c r="N1598">
        <v>0</v>
      </c>
      <c r="O1598">
        <v>5</v>
      </c>
      <c r="P1598">
        <v>18</v>
      </c>
      <c r="Q1598">
        <v>0</v>
      </c>
      <c r="R1598">
        <f>SUM(Table13[[#This Row],[Rank_All_Ranks_Total]:[Rank_SSPSPAddlSPCommandant]])</f>
        <v>1530</v>
      </c>
    </row>
    <row r="1599" spans="1:18" x14ac:dyDescent="0.3">
      <c r="A1599" t="s">
        <v>26</v>
      </c>
      <c r="B1599">
        <v>2006</v>
      </c>
      <c r="C1599" t="str">
        <f>_xlfn.CONCAT(Table13[[#This Row],[STATE]],"-",Table13[[#This Row],[Year]])</f>
        <v>Punjab-2006</v>
      </c>
      <c r="D1599" t="s">
        <v>73</v>
      </c>
      <c r="E1599" t="s">
        <v>74</v>
      </c>
      <c r="F1599">
        <v>19731</v>
      </c>
      <c r="G1599">
        <v>390</v>
      </c>
      <c r="H1599">
        <v>135</v>
      </c>
      <c r="I1599">
        <v>0</v>
      </c>
      <c r="J1599">
        <v>15093</v>
      </c>
      <c r="K1599">
        <v>1</v>
      </c>
      <c r="L1599">
        <v>5</v>
      </c>
      <c r="M1599">
        <v>3357</v>
      </c>
      <c r="N1599">
        <v>3</v>
      </c>
      <c r="O1599">
        <v>157</v>
      </c>
      <c r="P1599">
        <v>520</v>
      </c>
      <c r="Q1599">
        <v>70</v>
      </c>
      <c r="R1599">
        <f>SUM(Table13[[#This Row],[Rank_All_Ranks_Total]:[Rank_SSPSPAddlSPCommandant]])</f>
        <v>39462</v>
      </c>
    </row>
    <row r="1600" spans="1:18" x14ac:dyDescent="0.3">
      <c r="A1600" t="s">
        <v>27</v>
      </c>
      <c r="B1600">
        <v>2006</v>
      </c>
      <c r="C1600" t="str">
        <f>_xlfn.CONCAT(Table13[[#This Row],[STATE]],"-",Table13[[#This Row],[Year]])</f>
        <v>Rajasthan-2006</v>
      </c>
      <c r="D1600" t="s">
        <v>73</v>
      </c>
      <c r="E1600" t="s">
        <v>74</v>
      </c>
      <c r="F1600">
        <v>12707</v>
      </c>
      <c r="G1600">
        <v>0</v>
      </c>
      <c r="H1600">
        <v>87</v>
      </c>
      <c r="I1600">
        <v>0</v>
      </c>
      <c r="J1600">
        <v>10011</v>
      </c>
      <c r="K1600">
        <v>1</v>
      </c>
      <c r="L1600">
        <v>3</v>
      </c>
      <c r="M1600">
        <v>2131</v>
      </c>
      <c r="N1600">
        <v>2</v>
      </c>
      <c r="O1600">
        <v>102</v>
      </c>
      <c r="P1600">
        <v>355</v>
      </c>
      <c r="Q1600">
        <v>15</v>
      </c>
      <c r="R1600">
        <f>SUM(Table13[[#This Row],[Rank_All_Ranks_Total]:[Rank_SSPSPAddlSPCommandant]])</f>
        <v>25414</v>
      </c>
    </row>
    <row r="1601" spans="1:18" x14ac:dyDescent="0.3">
      <c r="A1601" t="s">
        <v>28</v>
      </c>
      <c r="B1601">
        <v>2006</v>
      </c>
      <c r="C1601" t="str">
        <f>_xlfn.CONCAT(Table13[[#This Row],[STATE]],"-",Table13[[#This Row],[Year]])</f>
        <v>Sikkim-2006</v>
      </c>
      <c r="D1601" t="s">
        <v>73</v>
      </c>
      <c r="E1601" t="s">
        <v>74</v>
      </c>
      <c r="F1601">
        <v>2064</v>
      </c>
      <c r="G1601">
        <v>60</v>
      </c>
      <c r="H1601">
        <v>12</v>
      </c>
      <c r="I1601">
        <v>263</v>
      </c>
      <c r="J1601">
        <v>1573</v>
      </c>
      <c r="K1601">
        <v>0</v>
      </c>
      <c r="L1601">
        <v>1</v>
      </c>
      <c r="M1601">
        <v>87</v>
      </c>
      <c r="N1601">
        <v>0</v>
      </c>
      <c r="O1601">
        <v>19</v>
      </c>
      <c r="P1601">
        <v>43</v>
      </c>
      <c r="Q1601">
        <v>6</v>
      </c>
      <c r="R1601">
        <f>SUM(Table13[[#This Row],[Rank_All_Ranks_Total]:[Rank_SSPSPAddlSPCommandant]])</f>
        <v>4128</v>
      </c>
    </row>
    <row r="1602" spans="1:18" x14ac:dyDescent="0.3">
      <c r="A1602" t="s">
        <v>42</v>
      </c>
      <c r="B1602">
        <v>2006</v>
      </c>
      <c r="C1602" t="str">
        <f>_xlfn.CONCAT(Table13[[#This Row],[STATE]],"-",Table13[[#This Row],[Year]])</f>
        <v>Tamil Nadu-2006</v>
      </c>
      <c r="D1602" t="s">
        <v>73</v>
      </c>
      <c r="E1602" t="s">
        <v>74</v>
      </c>
      <c r="F1602">
        <v>14500</v>
      </c>
      <c r="G1602">
        <v>0</v>
      </c>
      <c r="H1602">
        <v>52</v>
      </c>
      <c r="I1602">
        <v>1581</v>
      </c>
      <c r="J1602">
        <v>10789</v>
      </c>
      <c r="K1602">
        <v>0</v>
      </c>
      <c r="L1602">
        <v>2</v>
      </c>
      <c r="M1602">
        <v>1468</v>
      </c>
      <c r="N1602">
        <v>1</v>
      </c>
      <c r="O1602">
        <v>139</v>
      </c>
      <c r="P1602">
        <v>438</v>
      </c>
      <c r="Q1602">
        <v>30</v>
      </c>
      <c r="R1602">
        <f>SUM(Table13[[#This Row],[Rank_All_Ranks_Total]:[Rank_SSPSPAddlSPCommandant]])</f>
        <v>29000</v>
      </c>
    </row>
    <row r="1603" spans="1:18" x14ac:dyDescent="0.3">
      <c r="A1603" t="s">
        <v>30</v>
      </c>
      <c r="B1603">
        <v>2006</v>
      </c>
      <c r="C1603" t="str">
        <f>_xlfn.CONCAT(Table13[[#This Row],[STATE]],"-",Table13[[#This Row],[Year]])</f>
        <v>Tripura-2006</v>
      </c>
      <c r="D1603" t="s">
        <v>73</v>
      </c>
      <c r="E1603" t="s">
        <v>74</v>
      </c>
      <c r="F1603">
        <v>13970</v>
      </c>
      <c r="G1603">
        <v>0</v>
      </c>
      <c r="H1603">
        <v>93</v>
      </c>
      <c r="I1603">
        <v>2069</v>
      </c>
      <c r="J1603">
        <v>9436</v>
      </c>
      <c r="K1603">
        <v>0</v>
      </c>
      <c r="L1603">
        <v>2</v>
      </c>
      <c r="M1603">
        <v>1824</v>
      </c>
      <c r="N1603">
        <v>0</v>
      </c>
      <c r="O1603">
        <v>148</v>
      </c>
      <c r="P1603">
        <v>378</v>
      </c>
      <c r="Q1603">
        <v>20</v>
      </c>
      <c r="R1603">
        <f>SUM(Table13[[#This Row],[Rank_All_Ranks_Total]:[Rank_SSPSPAddlSPCommandant]])</f>
        <v>27940</v>
      </c>
    </row>
    <row r="1604" spans="1:18" x14ac:dyDescent="0.3">
      <c r="A1604" t="s">
        <v>31</v>
      </c>
      <c r="B1604">
        <v>2006</v>
      </c>
      <c r="C1604" t="str">
        <f>_xlfn.CONCAT(Table13[[#This Row],[STATE]],"-",Table13[[#This Row],[Year]])</f>
        <v>Uttar Pradesh-2006</v>
      </c>
      <c r="D1604" t="s">
        <v>73</v>
      </c>
      <c r="E1604" t="s">
        <v>74</v>
      </c>
      <c r="F1604">
        <v>33380</v>
      </c>
      <c r="G1604">
        <v>0</v>
      </c>
      <c r="H1604">
        <v>94</v>
      </c>
      <c r="I1604">
        <v>0</v>
      </c>
      <c r="J1604">
        <v>26420</v>
      </c>
      <c r="K1604">
        <v>1</v>
      </c>
      <c r="L1604">
        <v>7</v>
      </c>
      <c r="M1604">
        <v>5650</v>
      </c>
      <c r="N1604">
        <v>5</v>
      </c>
      <c r="O1604">
        <v>280</v>
      </c>
      <c r="P1604">
        <v>858</v>
      </c>
      <c r="Q1604">
        <v>65</v>
      </c>
      <c r="R1604">
        <f>SUM(Table13[[#This Row],[Rank_All_Ranks_Total]:[Rank_SSPSPAddlSPCommandant]])</f>
        <v>66760</v>
      </c>
    </row>
    <row r="1605" spans="1:18" x14ac:dyDescent="0.3">
      <c r="A1605" t="s">
        <v>65</v>
      </c>
      <c r="B1605">
        <v>2006</v>
      </c>
      <c r="C1605" t="str">
        <f>_xlfn.CONCAT(Table13[[#This Row],[STATE]],"-",Table13[[#This Row],[Year]])</f>
        <v>Uttarakhand-2006</v>
      </c>
      <c r="D1605" t="s">
        <v>73</v>
      </c>
      <c r="E1605" t="s">
        <v>74</v>
      </c>
      <c r="F1605">
        <v>4389</v>
      </c>
      <c r="G1605">
        <v>0</v>
      </c>
      <c r="H1605">
        <v>34</v>
      </c>
      <c r="I1605">
        <v>216</v>
      </c>
      <c r="J1605">
        <v>3174</v>
      </c>
      <c r="K1605">
        <v>0</v>
      </c>
      <c r="L1605">
        <v>1</v>
      </c>
      <c r="M1605">
        <v>801</v>
      </c>
      <c r="N1605">
        <v>0</v>
      </c>
      <c r="O1605">
        <v>45</v>
      </c>
      <c r="P1605">
        <v>114</v>
      </c>
      <c r="Q1605">
        <v>4</v>
      </c>
      <c r="R1605">
        <f>SUM(Table13[[#This Row],[Rank_All_Ranks_Total]:[Rank_SSPSPAddlSPCommandant]])</f>
        <v>8778</v>
      </c>
    </row>
    <row r="1606" spans="1:18" x14ac:dyDescent="0.3">
      <c r="A1606" t="s">
        <v>33</v>
      </c>
      <c r="B1606">
        <v>2006</v>
      </c>
      <c r="C1606" t="str">
        <f>_xlfn.CONCAT(Table13[[#This Row],[STATE]],"-",Table13[[#This Row],[Year]])</f>
        <v>West Bengal-2006</v>
      </c>
      <c r="D1606" t="s">
        <v>73</v>
      </c>
      <c r="E1606" t="s">
        <v>74</v>
      </c>
      <c r="F1606">
        <v>24841</v>
      </c>
      <c r="G1606">
        <v>1749</v>
      </c>
      <c r="H1606">
        <v>128</v>
      </c>
      <c r="I1606">
        <v>2539</v>
      </c>
      <c r="J1606">
        <v>18562</v>
      </c>
      <c r="K1606">
        <v>1</v>
      </c>
      <c r="L1606">
        <v>3</v>
      </c>
      <c r="M1606">
        <v>827</v>
      </c>
      <c r="N1606">
        <v>3</v>
      </c>
      <c r="O1606">
        <v>259</v>
      </c>
      <c r="P1606">
        <v>741</v>
      </c>
      <c r="Q1606">
        <v>29</v>
      </c>
      <c r="R1606">
        <f>SUM(Table13[[#This Row],[Rank_All_Ranks_Total]:[Rank_SSPSPAddlSPCommandant]])</f>
        <v>49682</v>
      </c>
    </row>
    <row r="1607" spans="1:18" x14ac:dyDescent="0.3">
      <c r="A1607" t="s">
        <v>59</v>
      </c>
      <c r="B1607">
        <v>2007</v>
      </c>
      <c r="C1607" t="str">
        <f>_xlfn.CONCAT(Table13[[#This Row],[STATE]],"-",Table13[[#This Row],[Year]])</f>
        <v>Andaman &amp; Nicobar Islands-2007</v>
      </c>
      <c r="D1607" t="s">
        <v>73</v>
      </c>
      <c r="E1607" t="s">
        <v>74</v>
      </c>
      <c r="F1607">
        <v>619</v>
      </c>
      <c r="G1607">
        <v>2</v>
      </c>
      <c r="H1607">
        <v>3</v>
      </c>
      <c r="I1607">
        <v>0</v>
      </c>
      <c r="J1607">
        <v>447</v>
      </c>
      <c r="K1607">
        <v>0</v>
      </c>
      <c r="L1607">
        <v>1</v>
      </c>
      <c r="M1607">
        <v>134</v>
      </c>
      <c r="N1607">
        <v>0</v>
      </c>
      <c r="O1607">
        <v>6</v>
      </c>
      <c r="P1607">
        <v>26</v>
      </c>
      <c r="Q1607">
        <v>0</v>
      </c>
      <c r="R1607">
        <f>SUM(Table13[[#This Row],[Rank_All_Ranks_Total]:[Rank_SSPSPAddlSPCommandant]])</f>
        <v>1238</v>
      </c>
    </row>
    <row r="1608" spans="1:18" x14ac:dyDescent="0.3">
      <c r="A1608" t="s">
        <v>6</v>
      </c>
      <c r="B1608">
        <v>2007</v>
      </c>
      <c r="C1608" t="str">
        <f>_xlfn.CONCAT(Table13[[#This Row],[STATE]],"-",Table13[[#This Row],[Year]])</f>
        <v>Andhra Pradesh-2007</v>
      </c>
      <c r="D1608" t="s">
        <v>73</v>
      </c>
      <c r="E1608" t="s">
        <v>74</v>
      </c>
      <c r="F1608">
        <v>15566</v>
      </c>
      <c r="G1608">
        <v>672</v>
      </c>
      <c r="H1608">
        <v>60</v>
      </c>
      <c r="I1608">
        <v>0</v>
      </c>
      <c r="J1608">
        <v>10700</v>
      </c>
      <c r="K1608">
        <v>1</v>
      </c>
      <c r="L1608">
        <v>2</v>
      </c>
      <c r="M1608">
        <v>3541</v>
      </c>
      <c r="N1608">
        <v>1</v>
      </c>
      <c r="O1608">
        <v>157</v>
      </c>
      <c r="P1608">
        <v>401</v>
      </c>
      <c r="Q1608">
        <v>31</v>
      </c>
      <c r="R1608">
        <f>SUM(Table13[[#This Row],[Rank_All_Ranks_Total]:[Rank_SSPSPAddlSPCommandant]])</f>
        <v>31132</v>
      </c>
    </row>
    <row r="1609" spans="1:18" x14ac:dyDescent="0.3">
      <c r="A1609" t="s">
        <v>7</v>
      </c>
      <c r="B1609">
        <v>2007</v>
      </c>
      <c r="C1609" t="str">
        <f>_xlfn.CONCAT(Table13[[#This Row],[STATE]],"-",Table13[[#This Row],[Year]])</f>
        <v>Arunachal Pradesh-2007</v>
      </c>
      <c r="D1609" t="s">
        <v>73</v>
      </c>
      <c r="E1609" t="s">
        <v>74</v>
      </c>
      <c r="F1609">
        <v>3040</v>
      </c>
      <c r="G1609">
        <v>28</v>
      </c>
      <c r="H1609">
        <v>24</v>
      </c>
      <c r="I1609">
        <v>216</v>
      </c>
      <c r="J1609">
        <v>2228</v>
      </c>
      <c r="K1609">
        <v>0</v>
      </c>
      <c r="L1609">
        <v>0</v>
      </c>
      <c r="M1609">
        <v>457</v>
      </c>
      <c r="N1609">
        <v>0</v>
      </c>
      <c r="O1609">
        <v>25</v>
      </c>
      <c r="P1609">
        <v>59</v>
      </c>
      <c r="Q1609">
        <v>3</v>
      </c>
      <c r="R1609">
        <f>SUM(Table13[[#This Row],[Rank_All_Ranks_Total]:[Rank_SSPSPAddlSPCommandant]])</f>
        <v>6080</v>
      </c>
    </row>
    <row r="1610" spans="1:18" x14ac:dyDescent="0.3">
      <c r="A1610" t="s">
        <v>8</v>
      </c>
      <c r="B1610">
        <v>2007</v>
      </c>
      <c r="C1610" t="str">
        <f>_xlfn.CONCAT(Table13[[#This Row],[STATE]],"-",Table13[[#This Row],[Year]])</f>
        <v>Assam-2007</v>
      </c>
      <c r="D1610" t="s">
        <v>73</v>
      </c>
      <c r="E1610" t="s">
        <v>74</v>
      </c>
      <c r="F1610">
        <v>25914</v>
      </c>
      <c r="G1610">
        <v>36</v>
      </c>
      <c r="H1610">
        <v>150</v>
      </c>
      <c r="I1610">
        <v>2447</v>
      </c>
      <c r="J1610">
        <v>18097</v>
      </c>
      <c r="K1610">
        <v>0</v>
      </c>
      <c r="L1610">
        <v>0</v>
      </c>
      <c r="M1610">
        <v>4168</v>
      </c>
      <c r="N1610">
        <v>0</v>
      </c>
      <c r="O1610">
        <v>235</v>
      </c>
      <c r="P1610">
        <v>729</v>
      </c>
      <c r="Q1610">
        <v>52</v>
      </c>
      <c r="R1610">
        <f>SUM(Table13[[#This Row],[Rank_All_Ranks_Total]:[Rank_SSPSPAddlSPCommandant]])</f>
        <v>51828</v>
      </c>
    </row>
    <row r="1611" spans="1:18" x14ac:dyDescent="0.3">
      <c r="A1611" t="s">
        <v>9</v>
      </c>
      <c r="B1611">
        <v>2007</v>
      </c>
      <c r="C1611" t="str">
        <f>_xlfn.CONCAT(Table13[[#This Row],[STATE]],"-",Table13[[#This Row],[Year]])</f>
        <v>Bihar-2007</v>
      </c>
      <c r="D1611" t="s">
        <v>73</v>
      </c>
      <c r="E1611" t="s">
        <v>74</v>
      </c>
      <c r="F1611">
        <v>18250</v>
      </c>
      <c r="G1611">
        <v>132</v>
      </c>
      <c r="H1611">
        <v>105</v>
      </c>
      <c r="I1611">
        <v>0</v>
      </c>
      <c r="J1611">
        <v>13637</v>
      </c>
      <c r="K1611">
        <v>1</v>
      </c>
      <c r="L1611">
        <v>2</v>
      </c>
      <c r="M1611">
        <v>3347</v>
      </c>
      <c r="N1611">
        <v>1</v>
      </c>
      <c r="O1611">
        <v>154</v>
      </c>
      <c r="P1611">
        <v>853</v>
      </c>
      <c r="Q1611">
        <v>18</v>
      </c>
      <c r="R1611">
        <f>SUM(Table13[[#This Row],[Rank_All_Ranks_Total]:[Rank_SSPSPAddlSPCommandant]])</f>
        <v>36500</v>
      </c>
    </row>
    <row r="1612" spans="1:18" x14ac:dyDescent="0.3">
      <c r="A1612" t="s">
        <v>35</v>
      </c>
      <c r="B1612">
        <v>2007</v>
      </c>
      <c r="C1612" t="str">
        <f>_xlfn.CONCAT(Table13[[#This Row],[STATE]],"-",Table13[[#This Row],[Year]])</f>
        <v>Chandigarh-2007</v>
      </c>
      <c r="D1612" t="s">
        <v>73</v>
      </c>
      <c r="E1612" t="s">
        <v>74</v>
      </c>
      <c r="F1612">
        <v>419</v>
      </c>
      <c r="G1612">
        <v>0</v>
      </c>
      <c r="H1612">
        <v>1</v>
      </c>
      <c r="I1612">
        <v>0</v>
      </c>
      <c r="J1612">
        <v>343</v>
      </c>
      <c r="K1612">
        <v>0</v>
      </c>
      <c r="L1612">
        <v>0</v>
      </c>
      <c r="M1612">
        <v>61</v>
      </c>
      <c r="N1612">
        <v>0</v>
      </c>
      <c r="O1612">
        <v>4</v>
      </c>
      <c r="P1612">
        <v>10</v>
      </c>
      <c r="Q1612">
        <v>0</v>
      </c>
      <c r="R1612">
        <f>SUM(Table13[[#This Row],[Rank_All_Ranks_Total]:[Rank_SSPSPAddlSPCommandant]])</f>
        <v>838</v>
      </c>
    </row>
    <row r="1613" spans="1:18" x14ac:dyDescent="0.3">
      <c r="A1613" t="s">
        <v>10</v>
      </c>
      <c r="B1613">
        <v>2007</v>
      </c>
      <c r="C1613" t="str">
        <f>_xlfn.CONCAT(Table13[[#This Row],[STATE]],"-",Table13[[#This Row],[Year]])</f>
        <v>Chhattisgarh-2007</v>
      </c>
      <c r="D1613" t="s">
        <v>73</v>
      </c>
      <c r="E1613" t="s">
        <v>74</v>
      </c>
      <c r="F1613">
        <v>14611</v>
      </c>
      <c r="G1613">
        <v>691</v>
      </c>
      <c r="H1613">
        <v>113</v>
      </c>
      <c r="I1613">
        <v>0</v>
      </c>
      <c r="J1613">
        <v>10605</v>
      </c>
      <c r="K1613">
        <v>1</v>
      </c>
      <c r="L1613">
        <v>3</v>
      </c>
      <c r="M1613">
        <v>2589</v>
      </c>
      <c r="N1613">
        <v>1</v>
      </c>
      <c r="O1613">
        <v>162</v>
      </c>
      <c r="P1613">
        <v>426</v>
      </c>
      <c r="Q1613">
        <v>20</v>
      </c>
      <c r="R1613">
        <f>SUM(Table13[[#This Row],[Rank_All_Ranks_Total]:[Rank_SSPSPAddlSPCommandant]])</f>
        <v>29222</v>
      </c>
    </row>
    <row r="1614" spans="1:18" x14ac:dyDescent="0.3">
      <c r="A1614" t="s">
        <v>62</v>
      </c>
      <c r="B1614">
        <v>2007</v>
      </c>
      <c r="C1614" t="str">
        <f>_xlfn.CONCAT(Table13[[#This Row],[STATE]],"-",Table13[[#This Row],[Year]])</f>
        <v>Dadra &amp; Nagar Haveli-2007</v>
      </c>
      <c r="D1614" t="s">
        <v>73</v>
      </c>
      <c r="E1614" t="s">
        <v>74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f>SUM(Table13[[#This Row],[Rank_All_Ranks_Total]:[Rank_SSPSPAddlSPCommandant]])</f>
        <v>0</v>
      </c>
    </row>
    <row r="1615" spans="1:18" x14ac:dyDescent="0.3">
      <c r="A1615" t="s">
        <v>37</v>
      </c>
      <c r="B1615">
        <v>2007</v>
      </c>
      <c r="C1615" t="str">
        <f>_xlfn.CONCAT(Table13[[#This Row],[STATE]],"-",Table13[[#This Row],[Year]])</f>
        <v>Daman &amp; Diu-2007</v>
      </c>
      <c r="D1615" t="s">
        <v>73</v>
      </c>
      <c r="E1615" t="s">
        <v>74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f>SUM(Table13[[#This Row],[Rank_All_Ranks_Total]:[Rank_SSPSPAddlSPCommandant]])</f>
        <v>0</v>
      </c>
    </row>
    <row r="1616" spans="1:18" x14ac:dyDescent="0.3">
      <c r="A1616" t="s">
        <v>38</v>
      </c>
      <c r="B1616">
        <v>2007</v>
      </c>
      <c r="C1616" t="str">
        <f>_xlfn.CONCAT(Table13[[#This Row],[STATE]],"-",Table13[[#This Row],[Year]])</f>
        <v>Delhi-2007</v>
      </c>
      <c r="D1616" t="s">
        <v>73</v>
      </c>
      <c r="E1616" t="s">
        <v>74</v>
      </c>
      <c r="F1616">
        <v>12568</v>
      </c>
      <c r="G1616">
        <v>226</v>
      </c>
      <c r="H1616">
        <v>58</v>
      </c>
      <c r="I1616">
        <v>0</v>
      </c>
      <c r="J1616">
        <v>9354</v>
      </c>
      <c r="K1616">
        <v>0</v>
      </c>
      <c r="L1616">
        <v>1</v>
      </c>
      <c r="M1616">
        <v>2401</v>
      </c>
      <c r="N1616">
        <v>1</v>
      </c>
      <c r="O1616">
        <v>104</v>
      </c>
      <c r="P1616">
        <v>395</v>
      </c>
      <c r="Q1616">
        <v>28</v>
      </c>
      <c r="R1616">
        <f>SUM(Table13[[#This Row],[Rank_All_Ranks_Total]:[Rank_SSPSPAddlSPCommandant]])</f>
        <v>25136</v>
      </c>
    </row>
    <row r="1617" spans="1:18" x14ac:dyDescent="0.3">
      <c r="A1617" t="s">
        <v>11</v>
      </c>
      <c r="B1617">
        <v>2007</v>
      </c>
      <c r="C1617" t="str">
        <f>_xlfn.CONCAT(Table13[[#This Row],[STATE]],"-",Table13[[#This Row],[Year]])</f>
        <v>Goa-2007</v>
      </c>
      <c r="D1617" t="s">
        <v>73</v>
      </c>
      <c r="E1617" t="s">
        <v>74</v>
      </c>
      <c r="F1617">
        <v>894</v>
      </c>
      <c r="G1617">
        <v>18</v>
      </c>
      <c r="H1617">
        <v>10</v>
      </c>
      <c r="I1617">
        <v>0</v>
      </c>
      <c r="J1617">
        <v>675</v>
      </c>
      <c r="K1617">
        <v>0</v>
      </c>
      <c r="L1617">
        <v>0</v>
      </c>
      <c r="M1617">
        <v>160</v>
      </c>
      <c r="N1617">
        <v>0</v>
      </c>
      <c r="O1617">
        <v>7</v>
      </c>
      <c r="P1617">
        <v>23</v>
      </c>
      <c r="Q1617">
        <v>1</v>
      </c>
      <c r="R1617">
        <f>SUM(Table13[[#This Row],[Rank_All_Ranks_Total]:[Rank_SSPSPAddlSPCommandant]])</f>
        <v>1788</v>
      </c>
    </row>
    <row r="1618" spans="1:18" x14ac:dyDescent="0.3">
      <c r="A1618" t="s">
        <v>12</v>
      </c>
      <c r="B1618">
        <v>2007</v>
      </c>
      <c r="C1618" t="str">
        <f>_xlfn.CONCAT(Table13[[#This Row],[STATE]],"-",Table13[[#This Row],[Year]])</f>
        <v>Gujarat-2007</v>
      </c>
      <c r="D1618" t="s">
        <v>73</v>
      </c>
      <c r="E1618" t="s">
        <v>74</v>
      </c>
      <c r="F1618">
        <v>16433</v>
      </c>
      <c r="G1618">
        <v>2383</v>
      </c>
      <c r="H1618">
        <v>57</v>
      </c>
      <c r="I1618">
        <v>0</v>
      </c>
      <c r="J1618">
        <v>12243</v>
      </c>
      <c r="K1618">
        <v>1</v>
      </c>
      <c r="L1618">
        <v>1</v>
      </c>
      <c r="M1618">
        <v>1294</v>
      </c>
      <c r="N1618">
        <v>1</v>
      </c>
      <c r="O1618">
        <v>126</v>
      </c>
      <c r="P1618">
        <v>314</v>
      </c>
      <c r="Q1618">
        <v>13</v>
      </c>
      <c r="R1618">
        <f>SUM(Table13[[#This Row],[Rank_All_Ranks_Total]:[Rank_SSPSPAddlSPCommandant]])</f>
        <v>32866</v>
      </c>
    </row>
    <row r="1619" spans="1:18" x14ac:dyDescent="0.3">
      <c r="A1619" t="s">
        <v>13</v>
      </c>
      <c r="B1619">
        <v>2007</v>
      </c>
      <c r="C1619" t="str">
        <f>_xlfn.CONCAT(Table13[[#This Row],[STATE]],"-",Table13[[#This Row],[Year]])</f>
        <v>Haryana-2007</v>
      </c>
      <c r="D1619" t="s">
        <v>73</v>
      </c>
      <c r="E1619" t="s">
        <v>74</v>
      </c>
      <c r="F1619">
        <v>7474</v>
      </c>
      <c r="G1619">
        <v>268</v>
      </c>
      <c r="H1619">
        <v>37</v>
      </c>
      <c r="I1619">
        <v>0</v>
      </c>
      <c r="J1619">
        <v>5701</v>
      </c>
      <c r="K1619">
        <v>1</v>
      </c>
      <c r="L1619">
        <v>1</v>
      </c>
      <c r="M1619">
        <v>1180</v>
      </c>
      <c r="N1619">
        <v>1</v>
      </c>
      <c r="O1619">
        <v>71</v>
      </c>
      <c r="P1619">
        <v>206</v>
      </c>
      <c r="Q1619">
        <v>8</v>
      </c>
      <c r="R1619">
        <f>SUM(Table13[[#This Row],[Rank_All_Ranks_Total]:[Rank_SSPSPAddlSPCommandant]])</f>
        <v>14948</v>
      </c>
    </row>
    <row r="1620" spans="1:18" x14ac:dyDescent="0.3">
      <c r="A1620" t="s">
        <v>14</v>
      </c>
      <c r="B1620">
        <v>2007</v>
      </c>
      <c r="C1620" t="str">
        <f>_xlfn.CONCAT(Table13[[#This Row],[STATE]],"-",Table13[[#This Row],[Year]])</f>
        <v>Himachal Pradesh-2007</v>
      </c>
      <c r="D1620" t="s">
        <v>73</v>
      </c>
      <c r="E1620" t="s">
        <v>74</v>
      </c>
      <c r="F1620">
        <v>3777</v>
      </c>
      <c r="G1620">
        <v>87</v>
      </c>
      <c r="H1620">
        <v>15</v>
      </c>
      <c r="I1620">
        <v>0</v>
      </c>
      <c r="J1620">
        <v>2840</v>
      </c>
      <c r="K1620">
        <v>1</v>
      </c>
      <c r="L1620">
        <v>1</v>
      </c>
      <c r="M1620">
        <v>674</v>
      </c>
      <c r="N1620">
        <v>1</v>
      </c>
      <c r="O1620">
        <v>37</v>
      </c>
      <c r="P1620">
        <v>112</v>
      </c>
      <c r="Q1620">
        <v>9</v>
      </c>
      <c r="R1620">
        <f>SUM(Table13[[#This Row],[Rank_All_Ranks_Total]:[Rank_SSPSPAddlSPCommandant]])</f>
        <v>7554</v>
      </c>
    </row>
    <row r="1621" spans="1:18" x14ac:dyDescent="0.3">
      <c r="A1621" t="s">
        <v>15</v>
      </c>
      <c r="B1621">
        <v>2007</v>
      </c>
      <c r="C1621" t="str">
        <f>_xlfn.CONCAT(Table13[[#This Row],[STATE]],"-",Table13[[#This Row],[Year]])</f>
        <v>Jammu &amp; Kashmir-2007</v>
      </c>
      <c r="D1621" t="s">
        <v>73</v>
      </c>
      <c r="E1621" t="s">
        <v>74</v>
      </c>
      <c r="F1621">
        <v>25777</v>
      </c>
      <c r="G1621">
        <v>505</v>
      </c>
      <c r="H1621">
        <v>195</v>
      </c>
      <c r="I1621">
        <v>17971</v>
      </c>
      <c r="J1621">
        <v>1997</v>
      </c>
      <c r="K1621">
        <v>1</v>
      </c>
      <c r="L1621">
        <v>2</v>
      </c>
      <c r="M1621">
        <v>4210</v>
      </c>
      <c r="N1621">
        <v>1</v>
      </c>
      <c r="O1621">
        <v>174</v>
      </c>
      <c r="P1621">
        <v>638</v>
      </c>
      <c r="Q1621">
        <v>83</v>
      </c>
      <c r="R1621">
        <f>SUM(Table13[[#This Row],[Rank_All_Ranks_Total]:[Rank_SSPSPAddlSPCommandant]])</f>
        <v>51554</v>
      </c>
    </row>
    <row r="1622" spans="1:18" x14ac:dyDescent="0.3">
      <c r="A1622" t="s">
        <v>16</v>
      </c>
      <c r="B1622">
        <v>2007</v>
      </c>
      <c r="C1622" t="str">
        <f>_xlfn.CONCAT(Table13[[#This Row],[STATE]],"-",Table13[[#This Row],[Year]])</f>
        <v>Jharkhand-2007</v>
      </c>
      <c r="D1622" t="s">
        <v>73</v>
      </c>
      <c r="E1622" t="s">
        <v>74</v>
      </c>
      <c r="F1622">
        <v>12358</v>
      </c>
      <c r="G1622">
        <v>55</v>
      </c>
      <c r="H1622">
        <v>65</v>
      </c>
      <c r="I1622">
        <v>0</v>
      </c>
      <c r="J1622">
        <v>9250</v>
      </c>
      <c r="K1622">
        <v>0</v>
      </c>
      <c r="L1622">
        <v>1</v>
      </c>
      <c r="M1622">
        <v>2229</v>
      </c>
      <c r="N1622">
        <v>1</v>
      </c>
      <c r="O1622">
        <v>115</v>
      </c>
      <c r="P1622">
        <v>631</v>
      </c>
      <c r="Q1622">
        <v>11</v>
      </c>
      <c r="R1622">
        <f>SUM(Table13[[#This Row],[Rank_All_Ranks_Total]:[Rank_SSPSPAddlSPCommandant]])</f>
        <v>24716</v>
      </c>
    </row>
    <row r="1623" spans="1:18" x14ac:dyDescent="0.3">
      <c r="A1623" t="s">
        <v>17</v>
      </c>
      <c r="B1623">
        <v>2007</v>
      </c>
      <c r="C1623" t="str">
        <f>_xlfn.CONCAT(Table13[[#This Row],[STATE]],"-",Table13[[#This Row],[Year]])</f>
        <v>Karnataka-2007</v>
      </c>
      <c r="D1623" t="s">
        <v>73</v>
      </c>
      <c r="E1623" t="s">
        <v>74</v>
      </c>
      <c r="F1623">
        <v>4651</v>
      </c>
      <c r="G1623">
        <v>119</v>
      </c>
      <c r="H1623">
        <v>7</v>
      </c>
      <c r="I1623">
        <v>0</v>
      </c>
      <c r="J1623">
        <v>3626</v>
      </c>
      <c r="K1623">
        <v>0</v>
      </c>
      <c r="L1623">
        <v>0</v>
      </c>
      <c r="M1623">
        <v>796</v>
      </c>
      <c r="N1623">
        <v>0</v>
      </c>
      <c r="O1623">
        <v>27</v>
      </c>
      <c r="P1623">
        <v>76</v>
      </c>
      <c r="Q1623">
        <v>0</v>
      </c>
      <c r="R1623">
        <f>SUM(Table13[[#This Row],[Rank_All_Ranks_Total]:[Rank_SSPSPAddlSPCommandant]])</f>
        <v>9302</v>
      </c>
    </row>
    <row r="1624" spans="1:18" x14ac:dyDescent="0.3">
      <c r="A1624" t="s">
        <v>18</v>
      </c>
      <c r="B1624">
        <v>2007</v>
      </c>
      <c r="C1624" t="str">
        <f>_xlfn.CONCAT(Table13[[#This Row],[STATE]],"-",Table13[[#This Row],[Year]])</f>
        <v>Kerala-2007</v>
      </c>
      <c r="D1624" t="s">
        <v>73</v>
      </c>
      <c r="E1624" t="s">
        <v>74</v>
      </c>
      <c r="F1624">
        <v>8464</v>
      </c>
      <c r="G1624">
        <v>74</v>
      </c>
      <c r="H1624">
        <v>43</v>
      </c>
      <c r="I1624">
        <v>0</v>
      </c>
      <c r="J1624">
        <v>6827</v>
      </c>
      <c r="K1624">
        <v>1</v>
      </c>
      <c r="L1624">
        <v>1</v>
      </c>
      <c r="M1624">
        <v>1224</v>
      </c>
      <c r="N1624">
        <v>1</v>
      </c>
      <c r="O1624">
        <v>79</v>
      </c>
      <c r="P1624">
        <v>206</v>
      </c>
      <c r="Q1624">
        <v>8</v>
      </c>
      <c r="R1624">
        <f>SUM(Table13[[#This Row],[Rank_All_Ranks_Total]:[Rank_SSPSPAddlSPCommandant]])</f>
        <v>16928</v>
      </c>
    </row>
    <row r="1625" spans="1:18" x14ac:dyDescent="0.3">
      <c r="A1625" t="s">
        <v>39</v>
      </c>
      <c r="B1625">
        <v>2007</v>
      </c>
      <c r="C1625" t="str">
        <f>_xlfn.CONCAT(Table13[[#This Row],[STATE]],"-",Table13[[#This Row],[Year]])</f>
        <v>Lakshadweep-2007</v>
      </c>
      <c r="D1625" t="s">
        <v>73</v>
      </c>
      <c r="E1625" t="s">
        <v>74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f>SUM(Table13[[#This Row],[Rank_All_Ranks_Total]:[Rank_SSPSPAddlSPCommandant]])</f>
        <v>0</v>
      </c>
    </row>
    <row r="1626" spans="1:18" x14ac:dyDescent="0.3">
      <c r="A1626" t="s">
        <v>19</v>
      </c>
      <c r="B1626">
        <v>2007</v>
      </c>
      <c r="C1626" t="str">
        <f>_xlfn.CONCAT(Table13[[#This Row],[STATE]],"-",Table13[[#This Row],[Year]])</f>
        <v>Madhya Pradesh-2007</v>
      </c>
      <c r="D1626" t="s">
        <v>73</v>
      </c>
      <c r="E1626" t="s">
        <v>74</v>
      </c>
      <c r="F1626">
        <v>21199</v>
      </c>
      <c r="G1626">
        <v>1157</v>
      </c>
      <c r="H1626">
        <v>0</v>
      </c>
      <c r="I1626">
        <v>0</v>
      </c>
      <c r="J1626">
        <v>15488</v>
      </c>
      <c r="K1626">
        <v>0</v>
      </c>
      <c r="L1626">
        <v>0</v>
      </c>
      <c r="M1626">
        <v>3685</v>
      </c>
      <c r="N1626">
        <v>0</v>
      </c>
      <c r="O1626">
        <v>206</v>
      </c>
      <c r="P1626">
        <v>663</v>
      </c>
      <c r="Q1626">
        <v>0</v>
      </c>
      <c r="R1626">
        <f>SUM(Table13[[#This Row],[Rank_All_Ranks_Total]:[Rank_SSPSPAddlSPCommandant]])</f>
        <v>42398</v>
      </c>
    </row>
    <row r="1627" spans="1:18" x14ac:dyDescent="0.3">
      <c r="A1627" t="s">
        <v>20</v>
      </c>
      <c r="B1627">
        <v>2007</v>
      </c>
      <c r="C1627" t="str">
        <f>_xlfn.CONCAT(Table13[[#This Row],[STATE]],"-",Table13[[#This Row],[Year]])</f>
        <v>Maharashtra-2007</v>
      </c>
      <c r="D1627" t="s">
        <v>73</v>
      </c>
      <c r="E1627" t="s">
        <v>74</v>
      </c>
      <c r="F1627">
        <v>17403</v>
      </c>
      <c r="G1627">
        <v>1453</v>
      </c>
      <c r="H1627">
        <v>81</v>
      </c>
      <c r="I1627">
        <v>2985</v>
      </c>
      <c r="J1627">
        <v>8915</v>
      </c>
      <c r="K1627">
        <v>1</v>
      </c>
      <c r="L1627">
        <v>1</v>
      </c>
      <c r="M1627">
        <v>3359</v>
      </c>
      <c r="N1627">
        <v>2</v>
      </c>
      <c r="O1627">
        <v>188</v>
      </c>
      <c r="P1627">
        <v>395</v>
      </c>
      <c r="Q1627">
        <v>23</v>
      </c>
      <c r="R1627">
        <f>SUM(Table13[[#This Row],[Rank_All_Ranks_Total]:[Rank_SSPSPAddlSPCommandant]])</f>
        <v>34806</v>
      </c>
    </row>
    <row r="1628" spans="1:18" x14ac:dyDescent="0.3">
      <c r="A1628" t="s">
        <v>21</v>
      </c>
      <c r="B1628">
        <v>2007</v>
      </c>
      <c r="C1628" t="str">
        <f>_xlfn.CONCAT(Table13[[#This Row],[STATE]],"-",Table13[[#This Row],[Year]])</f>
        <v>Manipur-2007</v>
      </c>
      <c r="D1628" t="s">
        <v>73</v>
      </c>
      <c r="E1628" t="s">
        <v>74</v>
      </c>
      <c r="F1628">
        <v>12371</v>
      </c>
      <c r="G1628">
        <v>0</v>
      </c>
      <c r="H1628">
        <v>94</v>
      </c>
      <c r="I1628">
        <v>0</v>
      </c>
      <c r="J1628">
        <v>9438</v>
      </c>
      <c r="K1628">
        <v>1</v>
      </c>
      <c r="L1628">
        <v>3</v>
      </c>
      <c r="M1628">
        <v>2367</v>
      </c>
      <c r="N1628">
        <v>1</v>
      </c>
      <c r="O1628">
        <v>106</v>
      </c>
      <c r="P1628">
        <v>314</v>
      </c>
      <c r="Q1628">
        <v>47</v>
      </c>
      <c r="R1628">
        <f>SUM(Table13[[#This Row],[Rank_All_Ranks_Total]:[Rank_SSPSPAddlSPCommandant]])</f>
        <v>24742</v>
      </c>
    </row>
    <row r="1629" spans="1:18" x14ac:dyDescent="0.3">
      <c r="A1629" t="s">
        <v>22</v>
      </c>
      <c r="B1629">
        <v>2007</v>
      </c>
      <c r="C1629" t="str">
        <f>_xlfn.CONCAT(Table13[[#This Row],[STATE]],"-",Table13[[#This Row],[Year]])</f>
        <v>Meghalaya-2007</v>
      </c>
      <c r="D1629" t="s">
        <v>73</v>
      </c>
      <c r="E1629" t="s">
        <v>74</v>
      </c>
      <c r="F1629">
        <v>4725</v>
      </c>
      <c r="G1629">
        <v>62</v>
      </c>
      <c r="H1629">
        <v>37</v>
      </c>
      <c r="I1629">
        <v>248</v>
      </c>
      <c r="J1629">
        <v>3467</v>
      </c>
      <c r="K1629">
        <v>0</v>
      </c>
      <c r="L1629">
        <v>0</v>
      </c>
      <c r="M1629">
        <v>735</v>
      </c>
      <c r="N1629">
        <v>0</v>
      </c>
      <c r="O1629">
        <v>45</v>
      </c>
      <c r="P1629">
        <v>126</v>
      </c>
      <c r="Q1629">
        <v>5</v>
      </c>
      <c r="R1629">
        <f>SUM(Table13[[#This Row],[Rank_All_Ranks_Total]:[Rank_SSPSPAddlSPCommandant]])</f>
        <v>9450</v>
      </c>
    </row>
    <row r="1630" spans="1:18" x14ac:dyDescent="0.3">
      <c r="A1630" t="s">
        <v>23</v>
      </c>
      <c r="B1630">
        <v>2007</v>
      </c>
      <c r="C1630" t="str">
        <f>_xlfn.CONCAT(Table13[[#This Row],[STATE]],"-",Table13[[#This Row],[Year]])</f>
        <v>Mizoram-2007</v>
      </c>
      <c r="D1630" t="s">
        <v>73</v>
      </c>
      <c r="E1630" t="s">
        <v>74</v>
      </c>
      <c r="F1630">
        <v>5370</v>
      </c>
      <c r="G1630">
        <v>54</v>
      </c>
      <c r="H1630">
        <v>56</v>
      </c>
      <c r="I1630">
        <v>486</v>
      </c>
      <c r="J1630">
        <v>3678</v>
      </c>
      <c r="K1630">
        <v>0</v>
      </c>
      <c r="L1630">
        <v>0</v>
      </c>
      <c r="M1630">
        <v>884</v>
      </c>
      <c r="N1630">
        <v>0</v>
      </c>
      <c r="O1630">
        <v>53</v>
      </c>
      <c r="P1630">
        <v>152</v>
      </c>
      <c r="Q1630">
        <v>7</v>
      </c>
      <c r="R1630">
        <f>SUM(Table13[[#This Row],[Rank_All_Ranks_Total]:[Rank_SSPSPAddlSPCommandant]])</f>
        <v>10740</v>
      </c>
    </row>
    <row r="1631" spans="1:18" x14ac:dyDescent="0.3">
      <c r="A1631" t="s">
        <v>24</v>
      </c>
      <c r="B1631">
        <v>2007</v>
      </c>
      <c r="C1631" t="str">
        <f>_xlfn.CONCAT(Table13[[#This Row],[STATE]],"-",Table13[[#This Row],[Year]])</f>
        <v>Nagaland-2007</v>
      </c>
      <c r="D1631" t="s">
        <v>73</v>
      </c>
      <c r="E1631" t="s">
        <v>74</v>
      </c>
      <c r="F1631">
        <v>4720</v>
      </c>
      <c r="G1631">
        <v>1</v>
      </c>
      <c r="H1631">
        <v>26</v>
      </c>
      <c r="I1631">
        <v>649</v>
      </c>
      <c r="J1631">
        <v>3495</v>
      </c>
      <c r="K1631">
        <v>0</v>
      </c>
      <c r="L1631">
        <v>0</v>
      </c>
      <c r="M1631">
        <v>400</v>
      </c>
      <c r="N1631">
        <v>0</v>
      </c>
      <c r="O1631">
        <v>26</v>
      </c>
      <c r="P1631">
        <v>116</v>
      </c>
      <c r="Q1631">
        <v>7</v>
      </c>
      <c r="R1631">
        <f>SUM(Table13[[#This Row],[Rank_All_Ranks_Total]:[Rank_SSPSPAddlSPCommandant]])</f>
        <v>9440</v>
      </c>
    </row>
    <row r="1632" spans="1:18" x14ac:dyDescent="0.3">
      <c r="A1632" t="s">
        <v>63</v>
      </c>
      <c r="B1632">
        <v>2007</v>
      </c>
      <c r="C1632" t="str">
        <f>_xlfn.CONCAT(Table13[[#This Row],[STATE]],"-",Table13[[#This Row],[Year]])</f>
        <v>Odisha-2007</v>
      </c>
      <c r="D1632" t="s">
        <v>73</v>
      </c>
      <c r="E1632" t="s">
        <v>74</v>
      </c>
      <c r="F1632">
        <v>15818</v>
      </c>
      <c r="G1632">
        <v>313</v>
      </c>
      <c r="H1632">
        <v>132</v>
      </c>
      <c r="I1632">
        <v>657</v>
      </c>
      <c r="J1632">
        <v>11731</v>
      </c>
      <c r="K1632">
        <v>0</v>
      </c>
      <c r="L1632">
        <v>0</v>
      </c>
      <c r="M1632">
        <v>2335</v>
      </c>
      <c r="N1632">
        <v>0</v>
      </c>
      <c r="O1632">
        <v>133</v>
      </c>
      <c r="P1632">
        <v>465</v>
      </c>
      <c r="Q1632">
        <v>52</v>
      </c>
      <c r="R1632">
        <f>SUM(Table13[[#This Row],[Rank_All_Ranks_Total]:[Rank_SSPSPAddlSPCommandant]])</f>
        <v>31636</v>
      </c>
    </row>
    <row r="1633" spans="1:18" x14ac:dyDescent="0.3">
      <c r="A1633" t="s">
        <v>64</v>
      </c>
      <c r="B1633">
        <v>2007</v>
      </c>
      <c r="C1633" t="str">
        <f>_xlfn.CONCAT(Table13[[#This Row],[STATE]],"-",Table13[[#This Row],[Year]])</f>
        <v>Puducherry-2007</v>
      </c>
      <c r="D1633" t="s">
        <v>73</v>
      </c>
      <c r="E1633" t="s">
        <v>74</v>
      </c>
      <c r="F1633">
        <v>769</v>
      </c>
      <c r="G1633">
        <v>3</v>
      </c>
      <c r="H1633">
        <v>2</v>
      </c>
      <c r="I1633">
        <v>0</v>
      </c>
      <c r="J1633">
        <v>641</v>
      </c>
      <c r="K1633">
        <v>0</v>
      </c>
      <c r="L1633">
        <v>0</v>
      </c>
      <c r="M1633">
        <v>100</v>
      </c>
      <c r="N1633">
        <v>0</v>
      </c>
      <c r="O1633">
        <v>5</v>
      </c>
      <c r="P1633">
        <v>18</v>
      </c>
      <c r="Q1633">
        <v>0</v>
      </c>
      <c r="R1633">
        <f>SUM(Table13[[#This Row],[Rank_All_Ranks_Total]:[Rank_SSPSPAddlSPCommandant]])</f>
        <v>1538</v>
      </c>
    </row>
    <row r="1634" spans="1:18" x14ac:dyDescent="0.3">
      <c r="A1634" t="s">
        <v>26</v>
      </c>
      <c r="B1634">
        <v>2007</v>
      </c>
      <c r="C1634" t="str">
        <f>_xlfn.CONCAT(Table13[[#This Row],[STATE]],"-",Table13[[#This Row],[Year]])</f>
        <v>Punjab-2007</v>
      </c>
      <c r="D1634" t="s">
        <v>73</v>
      </c>
      <c r="E1634" t="s">
        <v>74</v>
      </c>
      <c r="F1634">
        <v>19731</v>
      </c>
      <c r="G1634">
        <v>390</v>
      </c>
      <c r="H1634">
        <v>135</v>
      </c>
      <c r="I1634">
        <v>0</v>
      </c>
      <c r="J1634">
        <v>15093</v>
      </c>
      <c r="K1634">
        <v>1</v>
      </c>
      <c r="L1634">
        <v>5</v>
      </c>
      <c r="M1634">
        <v>3357</v>
      </c>
      <c r="N1634">
        <v>3</v>
      </c>
      <c r="O1634">
        <v>157</v>
      </c>
      <c r="P1634">
        <v>520</v>
      </c>
      <c r="Q1634">
        <v>70</v>
      </c>
      <c r="R1634">
        <f>SUM(Table13[[#This Row],[Rank_All_Ranks_Total]:[Rank_SSPSPAddlSPCommandant]])</f>
        <v>39462</v>
      </c>
    </row>
    <row r="1635" spans="1:18" x14ac:dyDescent="0.3">
      <c r="A1635" t="s">
        <v>27</v>
      </c>
      <c r="B1635">
        <v>2007</v>
      </c>
      <c r="C1635" t="str">
        <f>_xlfn.CONCAT(Table13[[#This Row],[STATE]],"-",Table13[[#This Row],[Year]])</f>
        <v>Rajasthan-2007</v>
      </c>
      <c r="D1635" t="s">
        <v>73</v>
      </c>
      <c r="E1635" t="s">
        <v>74</v>
      </c>
      <c r="F1635">
        <v>11872</v>
      </c>
      <c r="G1635">
        <v>0</v>
      </c>
      <c r="H1635">
        <v>87</v>
      </c>
      <c r="I1635">
        <v>0</v>
      </c>
      <c r="J1635">
        <v>9302</v>
      </c>
      <c r="K1635">
        <v>1</v>
      </c>
      <c r="L1635">
        <v>3</v>
      </c>
      <c r="M1635">
        <v>2016</v>
      </c>
      <c r="N1635">
        <v>2</v>
      </c>
      <c r="O1635">
        <v>102</v>
      </c>
      <c r="P1635">
        <v>355</v>
      </c>
      <c r="Q1635">
        <v>4</v>
      </c>
      <c r="R1635">
        <f>SUM(Table13[[#This Row],[Rank_All_Ranks_Total]:[Rank_SSPSPAddlSPCommandant]])</f>
        <v>23744</v>
      </c>
    </row>
    <row r="1636" spans="1:18" x14ac:dyDescent="0.3">
      <c r="A1636" t="s">
        <v>28</v>
      </c>
      <c r="B1636">
        <v>2007</v>
      </c>
      <c r="C1636" t="str">
        <f>_xlfn.CONCAT(Table13[[#This Row],[STATE]],"-",Table13[[#This Row],[Year]])</f>
        <v>Sikkim-2007</v>
      </c>
      <c r="D1636" t="s">
        <v>73</v>
      </c>
      <c r="E1636" t="s">
        <v>74</v>
      </c>
      <c r="F1636">
        <v>1433</v>
      </c>
      <c r="G1636">
        <v>39</v>
      </c>
      <c r="H1636">
        <v>16</v>
      </c>
      <c r="I1636">
        <v>258</v>
      </c>
      <c r="J1636">
        <v>973</v>
      </c>
      <c r="K1636">
        <v>0</v>
      </c>
      <c r="L1636">
        <v>0</v>
      </c>
      <c r="M1636">
        <v>84</v>
      </c>
      <c r="N1636">
        <v>1</v>
      </c>
      <c r="O1636">
        <v>18</v>
      </c>
      <c r="P1636">
        <v>42</v>
      </c>
      <c r="Q1636">
        <v>2</v>
      </c>
      <c r="R1636">
        <f>SUM(Table13[[#This Row],[Rank_All_Ranks_Total]:[Rank_SSPSPAddlSPCommandant]])</f>
        <v>2866</v>
      </c>
    </row>
    <row r="1637" spans="1:18" x14ac:dyDescent="0.3">
      <c r="A1637" t="s">
        <v>42</v>
      </c>
      <c r="B1637">
        <v>2007</v>
      </c>
      <c r="C1637" t="str">
        <f>_xlfn.CONCAT(Table13[[#This Row],[STATE]],"-",Table13[[#This Row],[Year]])</f>
        <v>Tamil Nadu-2007</v>
      </c>
      <c r="D1637" t="s">
        <v>73</v>
      </c>
      <c r="E1637" t="s">
        <v>74</v>
      </c>
      <c r="F1637">
        <v>15415</v>
      </c>
      <c r="G1637">
        <v>0</v>
      </c>
      <c r="H1637">
        <v>55</v>
      </c>
      <c r="I1637">
        <v>1715</v>
      </c>
      <c r="J1637">
        <v>11425</v>
      </c>
      <c r="K1637">
        <v>0</v>
      </c>
      <c r="L1637">
        <v>2</v>
      </c>
      <c r="M1637">
        <v>1568</v>
      </c>
      <c r="N1637">
        <v>1</v>
      </c>
      <c r="O1637">
        <v>148</v>
      </c>
      <c r="P1637">
        <v>468</v>
      </c>
      <c r="Q1637">
        <v>33</v>
      </c>
      <c r="R1637">
        <f>SUM(Table13[[#This Row],[Rank_All_Ranks_Total]:[Rank_SSPSPAddlSPCommandant]])</f>
        <v>30830</v>
      </c>
    </row>
    <row r="1638" spans="1:18" x14ac:dyDescent="0.3">
      <c r="A1638" t="s">
        <v>30</v>
      </c>
      <c r="B1638">
        <v>2007</v>
      </c>
      <c r="C1638" t="str">
        <f>_xlfn.CONCAT(Table13[[#This Row],[STATE]],"-",Table13[[#This Row],[Year]])</f>
        <v>Tripura-2007</v>
      </c>
      <c r="D1638" t="s">
        <v>73</v>
      </c>
      <c r="E1638" t="s">
        <v>74</v>
      </c>
      <c r="F1638">
        <v>15098</v>
      </c>
      <c r="G1638">
        <v>0</v>
      </c>
      <c r="H1638">
        <v>93</v>
      </c>
      <c r="I1638">
        <v>2232</v>
      </c>
      <c r="J1638">
        <v>10232</v>
      </c>
      <c r="K1638">
        <v>0</v>
      </c>
      <c r="L1638">
        <v>2</v>
      </c>
      <c r="M1638">
        <v>1960</v>
      </c>
      <c r="N1638">
        <v>0</v>
      </c>
      <c r="O1638">
        <v>156</v>
      </c>
      <c r="P1638">
        <v>403</v>
      </c>
      <c r="Q1638">
        <v>20</v>
      </c>
      <c r="R1638">
        <f>SUM(Table13[[#This Row],[Rank_All_Ranks_Total]:[Rank_SSPSPAddlSPCommandant]])</f>
        <v>30196</v>
      </c>
    </row>
    <row r="1639" spans="1:18" x14ac:dyDescent="0.3">
      <c r="A1639" t="s">
        <v>31</v>
      </c>
      <c r="B1639">
        <v>2007</v>
      </c>
      <c r="C1639" t="str">
        <f>_xlfn.CONCAT(Table13[[#This Row],[STATE]],"-",Table13[[#This Row],[Year]])</f>
        <v>Uttar Pradesh-2007</v>
      </c>
      <c r="D1639" t="s">
        <v>73</v>
      </c>
      <c r="E1639" t="s">
        <v>74</v>
      </c>
      <c r="F1639">
        <v>36379</v>
      </c>
      <c r="G1639">
        <v>0</v>
      </c>
      <c r="H1639">
        <v>94</v>
      </c>
      <c r="I1639">
        <v>0</v>
      </c>
      <c r="J1639">
        <v>26420</v>
      </c>
      <c r="K1639">
        <v>1</v>
      </c>
      <c r="L1639">
        <v>8</v>
      </c>
      <c r="M1639">
        <v>7809</v>
      </c>
      <c r="N1639">
        <v>5</v>
      </c>
      <c r="O1639">
        <v>280</v>
      </c>
      <c r="P1639">
        <v>1697</v>
      </c>
      <c r="Q1639">
        <v>65</v>
      </c>
      <c r="R1639">
        <f>SUM(Table13[[#This Row],[Rank_All_Ranks_Total]:[Rank_SSPSPAddlSPCommandant]])</f>
        <v>72758</v>
      </c>
    </row>
    <row r="1640" spans="1:18" x14ac:dyDescent="0.3">
      <c r="A1640" t="s">
        <v>65</v>
      </c>
      <c r="B1640">
        <v>2007</v>
      </c>
      <c r="C1640" t="str">
        <f>_xlfn.CONCAT(Table13[[#This Row],[STATE]],"-",Table13[[#This Row],[Year]])</f>
        <v>Uttarakhand-2007</v>
      </c>
      <c r="D1640" t="s">
        <v>73</v>
      </c>
      <c r="E1640" t="s">
        <v>74</v>
      </c>
      <c r="F1640">
        <v>4697</v>
      </c>
      <c r="G1640">
        <v>0</v>
      </c>
      <c r="H1640">
        <v>17</v>
      </c>
      <c r="I1640">
        <v>649</v>
      </c>
      <c r="J1640">
        <v>2607</v>
      </c>
      <c r="K1640">
        <v>0</v>
      </c>
      <c r="L1640">
        <v>0</v>
      </c>
      <c r="M1640">
        <v>1273</v>
      </c>
      <c r="N1640">
        <v>0</v>
      </c>
      <c r="O1640">
        <v>29</v>
      </c>
      <c r="P1640">
        <v>113</v>
      </c>
      <c r="Q1640">
        <v>9</v>
      </c>
      <c r="R1640">
        <f>SUM(Table13[[#This Row],[Rank_All_Ranks_Total]:[Rank_SSPSPAddlSPCommandant]])</f>
        <v>9394</v>
      </c>
    </row>
    <row r="1641" spans="1:18" x14ac:dyDescent="0.3">
      <c r="A1641" t="s">
        <v>33</v>
      </c>
      <c r="B1641">
        <v>2007</v>
      </c>
      <c r="C1641" t="str">
        <f>_xlfn.CONCAT(Table13[[#This Row],[STATE]],"-",Table13[[#This Row],[Year]])</f>
        <v>West Bengal-2007</v>
      </c>
      <c r="D1641" t="s">
        <v>73</v>
      </c>
      <c r="E1641" t="s">
        <v>74</v>
      </c>
      <c r="F1641">
        <v>36012</v>
      </c>
      <c r="G1641">
        <v>5808</v>
      </c>
      <c r="H1641">
        <v>131</v>
      </c>
      <c r="I1641">
        <v>2350</v>
      </c>
      <c r="J1641">
        <v>26402</v>
      </c>
      <c r="K1641">
        <v>1</v>
      </c>
      <c r="L1641">
        <v>3</v>
      </c>
      <c r="M1641">
        <v>0</v>
      </c>
      <c r="N1641">
        <v>3</v>
      </c>
      <c r="O1641">
        <v>269</v>
      </c>
      <c r="P1641">
        <v>1020</v>
      </c>
      <c r="Q1641">
        <v>25</v>
      </c>
      <c r="R1641">
        <f>SUM(Table13[[#This Row],[Rank_All_Ranks_Total]:[Rank_SSPSPAddlSPCommandant]])</f>
        <v>72024</v>
      </c>
    </row>
    <row r="1642" spans="1:18" x14ac:dyDescent="0.3">
      <c r="A1642" t="s">
        <v>59</v>
      </c>
      <c r="B1642">
        <v>2008</v>
      </c>
      <c r="C1642" t="str">
        <f>_xlfn.CONCAT(Table13[[#This Row],[STATE]],"-",Table13[[#This Row],[Year]])</f>
        <v>Andaman &amp; Nicobar Islands-2008</v>
      </c>
      <c r="D1642" t="s">
        <v>73</v>
      </c>
      <c r="E1642" t="s">
        <v>74</v>
      </c>
      <c r="F1642">
        <v>619</v>
      </c>
      <c r="G1642">
        <v>2</v>
      </c>
      <c r="H1642">
        <v>3</v>
      </c>
      <c r="I1642">
        <v>0</v>
      </c>
      <c r="J1642">
        <v>447</v>
      </c>
      <c r="K1642">
        <v>0</v>
      </c>
      <c r="L1642">
        <v>1</v>
      </c>
      <c r="M1642">
        <v>134</v>
      </c>
      <c r="N1642">
        <v>0</v>
      </c>
      <c r="O1642">
        <v>6</v>
      </c>
      <c r="P1642">
        <v>26</v>
      </c>
      <c r="Q1642">
        <v>0</v>
      </c>
      <c r="R1642">
        <f>SUM(Table13[[#This Row],[Rank_All_Ranks_Total]:[Rank_SSPSPAddlSPCommandant]])</f>
        <v>1238</v>
      </c>
    </row>
    <row r="1643" spans="1:18" x14ac:dyDescent="0.3">
      <c r="A1643" t="s">
        <v>6</v>
      </c>
      <c r="B1643">
        <v>2008</v>
      </c>
      <c r="C1643" t="str">
        <f>_xlfn.CONCAT(Table13[[#This Row],[STATE]],"-",Table13[[#This Row],[Year]])</f>
        <v>Andhra Pradesh-2008</v>
      </c>
      <c r="D1643" t="s">
        <v>73</v>
      </c>
      <c r="E1643" t="s">
        <v>74</v>
      </c>
      <c r="F1643">
        <v>15566</v>
      </c>
      <c r="G1643">
        <v>672</v>
      </c>
      <c r="H1643">
        <v>60</v>
      </c>
      <c r="I1643">
        <v>0</v>
      </c>
      <c r="J1643">
        <v>10700</v>
      </c>
      <c r="K1643">
        <v>1</v>
      </c>
      <c r="L1643">
        <v>2</v>
      </c>
      <c r="M1643">
        <v>3541</v>
      </c>
      <c r="N1643">
        <v>1</v>
      </c>
      <c r="O1643">
        <v>157</v>
      </c>
      <c r="P1643">
        <v>401</v>
      </c>
      <c r="Q1643">
        <v>31</v>
      </c>
      <c r="R1643">
        <f>SUM(Table13[[#This Row],[Rank_All_Ranks_Total]:[Rank_SSPSPAddlSPCommandant]])</f>
        <v>31132</v>
      </c>
    </row>
    <row r="1644" spans="1:18" x14ac:dyDescent="0.3">
      <c r="A1644" t="s">
        <v>7</v>
      </c>
      <c r="B1644">
        <v>2008</v>
      </c>
      <c r="C1644" t="str">
        <f>_xlfn.CONCAT(Table13[[#This Row],[STATE]],"-",Table13[[#This Row],[Year]])</f>
        <v>Arunachal Pradesh-2008</v>
      </c>
      <c r="D1644" t="s">
        <v>73</v>
      </c>
      <c r="E1644" t="s">
        <v>74</v>
      </c>
      <c r="F1644">
        <v>4057</v>
      </c>
      <c r="G1644">
        <v>41</v>
      </c>
      <c r="H1644">
        <v>25</v>
      </c>
      <c r="I1644">
        <v>216</v>
      </c>
      <c r="J1644">
        <v>2977</v>
      </c>
      <c r="K1644">
        <v>0</v>
      </c>
      <c r="L1644">
        <v>0</v>
      </c>
      <c r="M1644">
        <v>662</v>
      </c>
      <c r="N1644">
        <v>0</v>
      </c>
      <c r="O1644">
        <v>30</v>
      </c>
      <c r="P1644">
        <v>101</v>
      </c>
      <c r="Q1644">
        <v>5</v>
      </c>
      <c r="R1644">
        <f>SUM(Table13[[#This Row],[Rank_All_Ranks_Total]:[Rank_SSPSPAddlSPCommandant]])</f>
        <v>8114</v>
      </c>
    </row>
    <row r="1645" spans="1:18" x14ac:dyDescent="0.3">
      <c r="A1645" t="s">
        <v>8</v>
      </c>
      <c r="B1645">
        <v>2008</v>
      </c>
      <c r="C1645" t="str">
        <f>_xlfn.CONCAT(Table13[[#This Row],[STATE]],"-",Table13[[#This Row],[Year]])</f>
        <v>Assam-2008</v>
      </c>
      <c r="D1645" t="s">
        <v>73</v>
      </c>
      <c r="E1645" t="s">
        <v>74</v>
      </c>
      <c r="F1645">
        <v>25914</v>
      </c>
      <c r="G1645">
        <v>36</v>
      </c>
      <c r="H1645">
        <v>150</v>
      </c>
      <c r="I1645">
        <v>2447</v>
      </c>
      <c r="J1645">
        <v>18097</v>
      </c>
      <c r="K1645">
        <v>0</v>
      </c>
      <c r="L1645">
        <v>0</v>
      </c>
      <c r="M1645">
        <v>4168</v>
      </c>
      <c r="N1645">
        <v>0</v>
      </c>
      <c r="O1645">
        <v>235</v>
      </c>
      <c r="P1645">
        <v>729</v>
      </c>
      <c r="Q1645">
        <v>52</v>
      </c>
      <c r="R1645">
        <f>SUM(Table13[[#This Row],[Rank_All_Ranks_Total]:[Rank_SSPSPAddlSPCommandant]])</f>
        <v>51828</v>
      </c>
    </row>
    <row r="1646" spans="1:18" x14ac:dyDescent="0.3">
      <c r="A1646" t="s">
        <v>9</v>
      </c>
      <c r="B1646">
        <v>2008</v>
      </c>
      <c r="C1646" t="str">
        <f>_xlfn.CONCAT(Table13[[#This Row],[STATE]],"-",Table13[[#This Row],[Year]])</f>
        <v>Bihar-2008</v>
      </c>
      <c r="D1646" t="s">
        <v>73</v>
      </c>
      <c r="E1646" t="s">
        <v>74</v>
      </c>
      <c r="F1646">
        <v>18321</v>
      </c>
      <c r="G1646">
        <v>149</v>
      </c>
      <c r="H1646">
        <v>103</v>
      </c>
      <c r="I1646">
        <v>0</v>
      </c>
      <c r="J1646">
        <v>13688</v>
      </c>
      <c r="K1646">
        <v>1</v>
      </c>
      <c r="L1646">
        <v>2</v>
      </c>
      <c r="M1646">
        <v>3345</v>
      </c>
      <c r="N1646">
        <v>1</v>
      </c>
      <c r="O1646">
        <v>155</v>
      </c>
      <c r="P1646">
        <v>858</v>
      </c>
      <c r="Q1646">
        <v>19</v>
      </c>
      <c r="R1646">
        <f>SUM(Table13[[#This Row],[Rank_All_Ranks_Total]:[Rank_SSPSPAddlSPCommandant]])</f>
        <v>36642</v>
      </c>
    </row>
    <row r="1647" spans="1:18" x14ac:dyDescent="0.3">
      <c r="A1647" t="s">
        <v>35</v>
      </c>
      <c r="B1647">
        <v>2008</v>
      </c>
      <c r="C1647" t="str">
        <f>_xlfn.CONCAT(Table13[[#This Row],[STATE]],"-",Table13[[#This Row],[Year]])</f>
        <v>Chandigarh-2008</v>
      </c>
      <c r="D1647" t="s">
        <v>73</v>
      </c>
      <c r="E1647" t="s">
        <v>74</v>
      </c>
      <c r="F1647">
        <v>419</v>
      </c>
      <c r="G1647">
        <v>0</v>
      </c>
      <c r="H1647">
        <v>1</v>
      </c>
      <c r="I1647">
        <v>0</v>
      </c>
      <c r="J1647">
        <v>343</v>
      </c>
      <c r="K1647">
        <v>0</v>
      </c>
      <c r="L1647">
        <v>0</v>
      </c>
      <c r="M1647">
        <v>61</v>
      </c>
      <c r="N1647">
        <v>0</v>
      </c>
      <c r="O1647">
        <v>4</v>
      </c>
      <c r="P1647">
        <v>10</v>
      </c>
      <c r="Q1647">
        <v>0</v>
      </c>
      <c r="R1647">
        <f>SUM(Table13[[#This Row],[Rank_All_Ranks_Total]:[Rank_SSPSPAddlSPCommandant]])</f>
        <v>838</v>
      </c>
    </row>
    <row r="1648" spans="1:18" x14ac:dyDescent="0.3">
      <c r="A1648" t="s">
        <v>10</v>
      </c>
      <c r="B1648">
        <v>2008</v>
      </c>
      <c r="C1648" t="str">
        <f>_xlfn.CONCAT(Table13[[#This Row],[STATE]],"-",Table13[[#This Row],[Year]])</f>
        <v>Chhattisgarh-2008</v>
      </c>
      <c r="D1648" t="s">
        <v>73</v>
      </c>
      <c r="E1648" t="s">
        <v>74</v>
      </c>
      <c r="F1648">
        <v>16981</v>
      </c>
      <c r="G1648">
        <v>857</v>
      </c>
      <c r="H1648">
        <v>113</v>
      </c>
      <c r="I1648">
        <v>0</v>
      </c>
      <c r="J1648">
        <v>12257</v>
      </c>
      <c r="K1648">
        <v>1</v>
      </c>
      <c r="L1648">
        <v>5</v>
      </c>
      <c r="M1648">
        <v>2918</v>
      </c>
      <c r="N1648">
        <v>1</v>
      </c>
      <c r="O1648">
        <v>182</v>
      </c>
      <c r="P1648">
        <v>593</v>
      </c>
      <c r="Q1648">
        <v>54</v>
      </c>
      <c r="R1648">
        <f>SUM(Table13[[#This Row],[Rank_All_Ranks_Total]:[Rank_SSPSPAddlSPCommandant]])</f>
        <v>33962</v>
      </c>
    </row>
    <row r="1649" spans="1:18" x14ac:dyDescent="0.3">
      <c r="A1649" t="s">
        <v>62</v>
      </c>
      <c r="B1649">
        <v>2008</v>
      </c>
      <c r="C1649" t="str">
        <f>_xlfn.CONCAT(Table13[[#This Row],[STATE]],"-",Table13[[#This Row],[Year]])</f>
        <v>Dadra &amp; Nagar Haveli-2008</v>
      </c>
      <c r="D1649" t="s">
        <v>73</v>
      </c>
      <c r="E1649" t="s">
        <v>74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f>SUM(Table13[[#This Row],[Rank_All_Ranks_Total]:[Rank_SSPSPAddlSPCommandant]])</f>
        <v>0</v>
      </c>
    </row>
    <row r="1650" spans="1:18" x14ac:dyDescent="0.3">
      <c r="A1650" t="s">
        <v>37</v>
      </c>
      <c r="B1650">
        <v>2008</v>
      </c>
      <c r="C1650" t="str">
        <f>_xlfn.CONCAT(Table13[[#This Row],[STATE]],"-",Table13[[#This Row],[Year]])</f>
        <v>Daman &amp; Diu-2008</v>
      </c>
      <c r="D1650" t="s">
        <v>73</v>
      </c>
      <c r="E1650" t="s">
        <v>74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f>SUM(Table13[[#This Row],[Rank_All_Ranks_Total]:[Rank_SSPSPAddlSPCommandant]])</f>
        <v>0</v>
      </c>
    </row>
    <row r="1651" spans="1:18" x14ac:dyDescent="0.3">
      <c r="A1651" t="s">
        <v>38</v>
      </c>
      <c r="B1651">
        <v>2008</v>
      </c>
      <c r="C1651" t="str">
        <f>_xlfn.CONCAT(Table13[[#This Row],[STATE]],"-",Table13[[#This Row],[Year]])</f>
        <v>Delhi-2008</v>
      </c>
      <c r="D1651" t="s">
        <v>73</v>
      </c>
      <c r="E1651" t="s">
        <v>74</v>
      </c>
      <c r="F1651">
        <v>13279</v>
      </c>
      <c r="G1651">
        <v>226</v>
      </c>
      <c r="H1651">
        <v>58</v>
      </c>
      <c r="I1651">
        <v>0</v>
      </c>
      <c r="J1651">
        <v>10131</v>
      </c>
      <c r="K1651">
        <v>0</v>
      </c>
      <c r="L1651">
        <v>1</v>
      </c>
      <c r="M1651">
        <v>2353</v>
      </c>
      <c r="N1651">
        <v>1</v>
      </c>
      <c r="O1651">
        <v>101</v>
      </c>
      <c r="P1651">
        <v>380</v>
      </c>
      <c r="Q1651">
        <v>28</v>
      </c>
      <c r="R1651">
        <f>SUM(Table13[[#This Row],[Rank_All_Ranks_Total]:[Rank_SSPSPAddlSPCommandant]])</f>
        <v>26558</v>
      </c>
    </row>
    <row r="1652" spans="1:18" x14ac:dyDescent="0.3">
      <c r="A1652" t="s">
        <v>11</v>
      </c>
      <c r="B1652">
        <v>2008</v>
      </c>
      <c r="C1652" t="str">
        <f>_xlfn.CONCAT(Table13[[#This Row],[STATE]],"-",Table13[[#This Row],[Year]])</f>
        <v>Goa-2008</v>
      </c>
      <c r="D1652" t="s">
        <v>73</v>
      </c>
      <c r="E1652" t="s">
        <v>74</v>
      </c>
      <c r="F1652">
        <v>1788</v>
      </c>
      <c r="G1652">
        <v>36</v>
      </c>
      <c r="H1652">
        <v>20</v>
      </c>
      <c r="I1652">
        <v>0</v>
      </c>
      <c r="J1652">
        <v>1350</v>
      </c>
      <c r="K1652">
        <v>0</v>
      </c>
      <c r="L1652">
        <v>0</v>
      </c>
      <c r="M1652">
        <v>320</v>
      </c>
      <c r="N1652">
        <v>0</v>
      </c>
      <c r="O1652">
        <v>14</v>
      </c>
      <c r="P1652">
        <v>46</v>
      </c>
      <c r="Q1652">
        <v>2</v>
      </c>
      <c r="R1652">
        <f>SUM(Table13[[#This Row],[Rank_All_Ranks_Total]:[Rank_SSPSPAddlSPCommandant]])</f>
        <v>3576</v>
      </c>
    </row>
    <row r="1653" spans="1:18" x14ac:dyDescent="0.3">
      <c r="A1653" t="s">
        <v>12</v>
      </c>
      <c r="B1653">
        <v>2008</v>
      </c>
      <c r="C1653" t="str">
        <f>_xlfn.CONCAT(Table13[[#This Row],[STATE]],"-",Table13[[#This Row],[Year]])</f>
        <v>Gujarat-2008</v>
      </c>
      <c r="D1653" t="s">
        <v>73</v>
      </c>
      <c r="E1653" t="s">
        <v>74</v>
      </c>
      <c r="F1653">
        <v>16699</v>
      </c>
      <c r="G1653">
        <v>1487</v>
      </c>
      <c r="H1653">
        <v>57</v>
      </c>
      <c r="I1653">
        <v>0</v>
      </c>
      <c r="J1653">
        <v>12974</v>
      </c>
      <c r="K1653">
        <v>1</v>
      </c>
      <c r="L1653">
        <v>1</v>
      </c>
      <c r="M1653">
        <v>1511</v>
      </c>
      <c r="N1653">
        <v>1</v>
      </c>
      <c r="O1653">
        <v>126</v>
      </c>
      <c r="P1653">
        <v>526</v>
      </c>
      <c r="Q1653">
        <v>15</v>
      </c>
      <c r="R1653">
        <f>SUM(Table13[[#This Row],[Rank_All_Ranks_Total]:[Rank_SSPSPAddlSPCommandant]])</f>
        <v>33398</v>
      </c>
    </row>
    <row r="1654" spans="1:18" x14ac:dyDescent="0.3">
      <c r="A1654" t="s">
        <v>13</v>
      </c>
      <c r="B1654">
        <v>2008</v>
      </c>
      <c r="C1654" t="str">
        <f>_xlfn.CONCAT(Table13[[#This Row],[STATE]],"-",Table13[[#This Row],[Year]])</f>
        <v>Haryana-2008</v>
      </c>
      <c r="D1654" t="s">
        <v>73</v>
      </c>
      <c r="E1654" t="s">
        <v>74</v>
      </c>
      <c r="F1654">
        <v>7483</v>
      </c>
      <c r="G1654">
        <v>268</v>
      </c>
      <c r="H1654">
        <v>37</v>
      </c>
      <c r="I1654">
        <v>0</v>
      </c>
      <c r="J1654">
        <v>5701</v>
      </c>
      <c r="K1654">
        <v>1</v>
      </c>
      <c r="L1654">
        <v>1</v>
      </c>
      <c r="M1654">
        <v>1180</v>
      </c>
      <c r="N1654">
        <v>1</v>
      </c>
      <c r="O1654">
        <v>71</v>
      </c>
      <c r="P1654">
        <v>206</v>
      </c>
      <c r="Q1654">
        <v>17</v>
      </c>
      <c r="R1654">
        <f>SUM(Table13[[#This Row],[Rank_All_Ranks_Total]:[Rank_SSPSPAddlSPCommandant]])</f>
        <v>14966</v>
      </c>
    </row>
    <row r="1655" spans="1:18" x14ac:dyDescent="0.3">
      <c r="A1655" t="s">
        <v>14</v>
      </c>
      <c r="B1655">
        <v>2008</v>
      </c>
      <c r="C1655" t="str">
        <f>_xlfn.CONCAT(Table13[[#This Row],[STATE]],"-",Table13[[#This Row],[Year]])</f>
        <v>Himachal Pradesh-2008</v>
      </c>
      <c r="D1655" t="s">
        <v>73</v>
      </c>
      <c r="E1655" t="s">
        <v>74</v>
      </c>
      <c r="F1655">
        <v>5403</v>
      </c>
      <c r="G1655">
        <v>110</v>
      </c>
      <c r="H1655">
        <v>31</v>
      </c>
      <c r="I1655">
        <v>0</v>
      </c>
      <c r="J1655">
        <v>4061</v>
      </c>
      <c r="K1655">
        <v>0</v>
      </c>
      <c r="L1655">
        <v>1</v>
      </c>
      <c r="M1655">
        <v>981</v>
      </c>
      <c r="N1655">
        <v>1</v>
      </c>
      <c r="O1655">
        <v>49</v>
      </c>
      <c r="P1655">
        <v>150</v>
      </c>
      <c r="Q1655">
        <v>19</v>
      </c>
      <c r="R1655">
        <f>SUM(Table13[[#This Row],[Rank_All_Ranks_Total]:[Rank_SSPSPAddlSPCommandant]])</f>
        <v>10806</v>
      </c>
    </row>
    <row r="1656" spans="1:18" x14ac:dyDescent="0.3">
      <c r="A1656" t="s">
        <v>15</v>
      </c>
      <c r="B1656">
        <v>2008</v>
      </c>
      <c r="C1656" t="str">
        <f>_xlfn.CONCAT(Table13[[#This Row],[STATE]],"-",Table13[[#This Row],[Year]])</f>
        <v>Jammu &amp; Kashmir-2008</v>
      </c>
      <c r="D1656" t="s">
        <v>73</v>
      </c>
      <c r="E1656" t="s">
        <v>74</v>
      </c>
      <c r="F1656">
        <v>30592</v>
      </c>
      <c r="G1656">
        <v>595</v>
      </c>
      <c r="H1656">
        <v>230</v>
      </c>
      <c r="I1656">
        <v>21346</v>
      </c>
      <c r="J1656">
        <v>2342</v>
      </c>
      <c r="K1656">
        <v>1</v>
      </c>
      <c r="L1656">
        <v>2</v>
      </c>
      <c r="M1656">
        <v>5010</v>
      </c>
      <c r="N1656">
        <v>1</v>
      </c>
      <c r="O1656">
        <v>209</v>
      </c>
      <c r="P1656">
        <v>753</v>
      </c>
      <c r="Q1656">
        <v>103</v>
      </c>
      <c r="R1656">
        <f>SUM(Table13[[#This Row],[Rank_All_Ranks_Total]:[Rank_SSPSPAddlSPCommandant]])</f>
        <v>61184</v>
      </c>
    </row>
    <row r="1657" spans="1:18" x14ac:dyDescent="0.3">
      <c r="A1657" t="s">
        <v>16</v>
      </c>
      <c r="B1657">
        <v>2008</v>
      </c>
      <c r="C1657" t="str">
        <f>_xlfn.CONCAT(Table13[[#This Row],[STATE]],"-",Table13[[#This Row],[Year]])</f>
        <v>Jharkhand-2008</v>
      </c>
      <c r="D1657" t="s">
        <v>73</v>
      </c>
      <c r="E1657" t="s">
        <v>74</v>
      </c>
      <c r="F1657">
        <v>12957</v>
      </c>
      <c r="G1657">
        <v>85</v>
      </c>
      <c r="H1657">
        <v>101</v>
      </c>
      <c r="I1657">
        <v>0</v>
      </c>
      <c r="J1657">
        <v>9691</v>
      </c>
      <c r="K1657">
        <v>0</v>
      </c>
      <c r="L1657">
        <v>1</v>
      </c>
      <c r="M1657">
        <v>2321</v>
      </c>
      <c r="N1657">
        <v>1</v>
      </c>
      <c r="O1657">
        <v>120</v>
      </c>
      <c r="P1657">
        <v>624</v>
      </c>
      <c r="Q1657">
        <v>13</v>
      </c>
      <c r="R1657">
        <f>SUM(Table13[[#This Row],[Rank_All_Ranks_Total]:[Rank_SSPSPAddlSPCommandant]])</f>
        <v>25914</v>
      </c>
    </row>
    <row r="1658" spans="1:18" x14ac:dyDescent="0.3">
      <c r="A1658" t="s">
        <v>17</v>
      </c>
      <c r="B1658">
        <v>2008</v>
      </c>
      <c r="C1658" t="str">
        <f>_xlfn.CONCAT(Table13[[#This Row],[STATE]],"-",Table13[[#This Row],[Year]])</f>
        <v>Karnataka-2008</v>
      </c>
      <c r="D1658" t="s">
        <v>73</v>
      </c>
      <c r="E1658" t="s">
        <v>74</v>
      </c>
      <c r="F1658">
        <v>11534</v>
      </c>
      <c r="G1658">
        <v>111</v>
      </c>
      <c r="H1658">
        <v>48</v>
      </c>
      <c r="I1658">
        <v>0</v>
      </c>
      <c r="J1658">
        <v>8777</v>
      </c>
      <c r="K1658">
        <v>1</v>
      </c>
      <c r="L1658">
        <v>2</v>
      </c>
      <c r="M1658">
        <v>2173</v>
      </c>
      <c r="N1658">
        <v>1</v>
      </c>
      <c r="O1658">
        <v>111</v>
      </c>
      <c r="P1658">
        <v>292</v>
      </c>
      <c r="Q1658">
        <v>18</v>
      </c>
      <c r="R1658">
        <f>SUM(Table13[[#This Row],[Rank_All_Ranks_Total]:[Rank_SSPSPAddlSPCommandant]])</f>
        <v>23068</v>
      </c>
    </row>
    <row r="1659" spans="1:18" x14ac:dyDescent="0.3">
      <c r="A1659" t="s">
        <v>18</v>
      </c>
      <c r="B1659">
        <v>2008</v>
      </c>
      <c r="C1659" t="str">
        <f>_xlfn.CONCAT(Table13[[#This Row],[STATE]],"-",Table13[[#This Row],[Year]])</f>
        <v>Kerala-2008</v>
      </c>
      <c r="D1659" t="s">
        <v>73</v>
      </c>
      <c r="E1659" t="s">
        <v>74</v>
      </c>
      <c r="F1659">
        <v>7505</v>
      </c>
      <c r="G1659">
        <v>76</v>
      </c>
      <c r="H1659">
        <v>42</v>
      </c>
      <c r="I1659">
        <v>0</v>
      </c>
      <c r="J1659">
        <v>5872</v>
      </c>
      <c r="K1659">
        <v>1</v>
      </c>
      <c r="L1659">
        <v>1</v>
      </c>
      <c r="M1659">
        <v>1218</v>
      </c>
      <c r="N1659">
        <v>1</v>
      </c>
      <c r="O1659">
        <v>77</v>
      </c>
      <c r="P1659">
        <v>209</v>
      </c>
      <c r="Q1659">
        <v>8</v>
      </c>
      <c r="R1659">
        <f>SUM(Table13[[#This Row],[Rank_All_Ranks_Total]:[Rank_SSPSPAddlSPCommandant]])</f>
        <v>15010</v>
      </c>
    </row>
    <row r="1660" spans="1:18" x14ac:dyDescent="0.3">
      <c r="A1660" t="s">
        <v>39</v>
      </c>
      <c r="B1660">
        <v>2008</v>
      </c>
      <c r="C1660" t="str">
        <f>_xlfn.CONCAT(Table13[[#This Row],[STATE]],"-",Table13[[#This Row],[Year]])</f>
        <v>Lakshadweep-2008</v>
      </c>
      <c r="D1660" t="s">
        <v>73</v>
      </c>
      <c r="E1660" t="s">
        <v>74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f>SUM(Table13[[#This Row],[Rank_All_Ranks_Total]:[Rank_SSPSPAddlSPCommandant]])</f>
        <v>0</v>
      </c>
    </row>
    <row r="1661" spans="1:18" x14ac:dyDescent="0.3">
      <c r="A1661" t="s">
        <v>19</v>
      </c>
      <c r="B1661">
        <v>2008</v>
      </c>
      <c r="C1661" t="str">
        <f>_xlfn.CONCAT(Table13[[#This Row],[STATE]],"-",Table13[[#This Row],[Year]])</f>
        <v>Madhya Pradesh-2008</v>
      </c>
      <c r="D1661" t="s">
        <v>73</v>
      </c>
      <c r="E1661" t="s">
        <v>74</v>
      </c>
      <c r="F1661">
        <v>21333</v>
      </c>
      <c r="G1661">
        <v>1157</v>
      </c>
      <c r="H1661">
        <v>80</v>
      </c>
      <c r="I1661">
        <v>0</v>
      </c>
      <c r="J1661">
        <v>15488</v>
      </c>
      <c r="K1661">
        <v>1</v>
      </c>
      <c r="L1661">
        <v>8</v>
      </c>
      <c r="M1661">
        <v>3685</v>
      </c>
      <c r="N1661">
        <v>1</v>
      </c>
      <c r="O1661">
        <v>206</v>
      </c>
      <c r="P1661">
        <v>663</v>
      </c>
      <c r="Q1661">
        <v>44</v>
      </c>
      <c r="R1661">
        <f>SUM(Table13[[#This Row],[Rank_All_Ranks_Total]:[Rank_SSPSPAddlSPCommandant]])</f>
        <v>42666</v>
      </c>
    </row>
    <row r="1662" spans="1:18" x14ac:dyDescent="0.3">
      <c r="A1662" t="s">
        <v>20</v>
      </c>
      <c r="B1662">
        <v>2008</v>
      </c>
      <c r="C1662" t="str">
        <f>_xlfn.CONCAT(Table13[[#This Row],[STATE]],"-",Table13[[#This Row],[Year]])</f>
        <v>Maharashtra-2008</v>
      </c>
      <c r="D1662" t="s">
        <v>73</v>
      </c>
      <c r="E1662" t="s">
        <v>74</v>
      </c>
      <c r="F1662">
        <v>17436</v>
      </c>
      <c r="G1662">
        <v>1453</v>
      </c>
      <c r="H1662">
        <v>81</v>
      </c>
      <c r="I1662">
        <v>3005</v>
      </c>
      <c r="J1662">
        <v>8915</v>
      </c>
      <c r="K1662">
        <v>1</v>
      </c>
      <c r="L1662">
        <v>1</v>
      </c>
      <c r="M1662">
        <v>3359</v>
      </c>
      <c r="N1662">
        <v>2</v>
      </c>
      <c r="O1662">
        <v>201</v>
      </c>
      <c r="P1662">
        <v>395</v>
      </c>
      <c r="Q1662">
        <v>23</v>
      </c>
      <c r="R1662">
        <f>SUM(Table13[[#This Row],[Rank_All_Ranks_Total]:[Rank_SSPSPAddlSPCommandant]])</f>
        <v>34872</v>
      </c>
    </row>
    <row r="1663" spans="1:18" x14ac:dyDescent="0.3">
      <c r="A1663" t="s">
        <v>21</v>
      </c>
      <c r="B1663">
        <v>2008</v>
      </c>
      <c r="C1663" t="str">
        <f>_xlfn.CONCAT(Table13[[#This Row],[STATE]],"-",Table13[[#This Row],[Year]])</f>
        <v>Manipur-2008</v>
      </c>
      <c r="D1663" t="s">
        <v>73</v>
      </c>
      <c r="E1663" t="s">
        <v>74</v>
      </c>
      <c r="F1663">
        <v>12371</v>
      </c>
      <c r="G1663">
        <v>0</v>
      </c>
      <c r="H1663">
        <v>94</v>
      </c>
      <c r="I1663">
        <v>0</v>
      </c>
      <c r="J1663">
        <v>9438</v>
      </c>
      <c r="K1663">
        <v>1</v>
      </c>
      <c r="L1663">
        <v>3</v>
      </c>
      <c r="M1663">
        <v>2367</v>
      </c>
      <c r="N1663">
        <v>1</v>
      </c>
      <c r="O1663">
        <v>106</v>
      </c>
      <c r="P1663">
        <v>314</v>
      </c>
      <c r="Q1663">
        <v>47</v>
      </c>
      <c r="R1663">
        <f>SUM(Table13[[#This Row],[Rank_All_Ranks_Total]:[Rank_SSPSPAddlSPCommandant]])</f>
        <v>24742</v>
      </c>
    </row>
    <row r="1664" spans="1:18" x14ac:dyDescent="0.3">
      <c r="A1664" t="s">
        <v>22</v>
      </c>
      <c r="B1664">
        <v>2008</v>
      </c>
      <c r="C1664" t="str">
        <f>_xlfn.CONCAT(Table13[[#This Row],[STATE]],"-",Table13[[#This Row],[Year]])</f>
        <v>Meghalaya-2008</v>
      </c>
      <c r="D1664" t="s">
        <v>73</v>
      </c>
      <c r="E1664" t="s">
        <v>74</v>
      </c>
      <c r="F1664">
        <v>4866</v>
      </c>
      <c r="G1664">
        <v>66</v>
      </c>
      <c r="H1664">
        <v>48</v>
      </c>
      <c r="I1664">
        <v>250</v>
      </c>
      <c r="J1664">
        <v>3580</v>
      </c>
      <c r="K1664">
        <v>0</v>
      </c>
      <c r="L1664">
        <v>0</v>
      </c>
      <c r="M1664">
        <v>743</v>
      </c>
      <c r="N1664">
        <v>0</v>
      </c>
      <c r="O1664">
        <v>46</v>
      </c>
      <c r="P1664">
        <v>128</v>
      </c>
      <c r="Q1664">
        <v>5</v>
      </c>
      <c r="R1664">
        <f>SUM(Table13[[#This Row],[Rank_All_Ranks_Total]:[Rank_SSPSPAddlSPCommandant]])</f>
        <v>9732</v>
      </c>
    </row>
    <row r="1665" spans="1:18" x14ac:dyDescent="0.3">
      <c r="A1665" t="s">
        <v>23</v>
      </c>
      <c r="B1665">
        <v>2008</v>
      </c>
      <c r="C1665" t="str">
        <f>_xlfn.CONCAT(Table13[[#This Row],[STATE]],"-",Table13[[#This Row],[Year]])</f>
        <v>Mizoram-2008</v>
      </c>
      <c r="D1665" t="s">
        <v>73</v>
      </c>
      <c r="E1665" t="s">
        <v>74</v>
      </c>
      <c r="F1665">
        <v>8430</v>
      </c>
      <c r="G1665">
        <v>11</v>
      </c>
      <c r="H1665">
        <v>54</v>
      </c>
      <c r="I1665">
        <v>561</v>
      </c>
      <c r="J1665">
        <v>6350</v>
      </c>
      <c r="K1665">
        <v>0</v>
      </c>
      <c r="L1665">
        <v>0</v>
      </c>
      <c r="M1665">
        <v>1155</v>
      </c>
      <c r="N1665">
        <v>0</v>
      </c>
      <c r="O1665">
        <v>69</v>
      </c>
      <c r="P1665">
        <v>199</v>
      </c>
      <c r="Q1665">
        <v>31</v>
      </c>
      <c r="R1665">
        <f>SUM(Table13[[#This Row],[Rank_All_Ranks_Total]:[Rank_SSPSPAddlSPCommandant]])</f>
        <v>16860</v>
      </c>
    </row>
    <row r="1666" spans="1:18" x14ac:dyDescent="0.3">
      <c r="A1666" t="s">
        <v>24</v>
      </c>
      <c r="B1666">
        <v>2008</v>
      </c>
      <c r="C1666" t="str">
        <f>_xlfn.CONCAT(Table13[[#This Row],[STATE]],"-",Table13[[#This Row],[Year]])</f>
        <v>Nagaland-2008</v>
      </c>
      <c r="D1666" t="s">
        <v>73</v>
      </c>
      <c r="E1666" t="s">
        <v>74</v>
      </c>
      <c r="F1666">
        <v>4766</v>
      </c>
      <c r="G1666">
        <v>1</v>
      </c>
      <c r="H1666">
        <v>26</v>
      </c>
      <c r="I1666">
        <v>660</v>
      </c>
      <c r="J1666">
        <v>3526</v>
      </c>
      <c r="K1666">
        <v>0</v>
      </c>
      <c r="L1666">
        <v>0</v>
      </c>
      <c r="M1666">
        <v>404</v>
      </c>
      <c r="N1666">
        <v>0</v>
      </c>
      <c r="O1666">
        <v>26</v>
      </c>
      <c r="P1666">
        <v>116</v>
      </c>
      <c r="Q1666">
        <v>7</v>
      </c>
      <c r="R1666">
        <f>SUM(Table13[[#This Row],[Rank_All_Ranks_Total]:[Rank_SSPSPAddlSPCommandant]])</f>
        <v>9532</v>
      </c>
    </row>
    <row r="1667" spans="1:18" x14ac:dyDescent="0.3">
      <c r="A1667" t="s">
        <v>63</v>
      </c>
      <c r="B1667">
        <v>2008</v>
      </c>
      <c r="C1667" t="str">
        <f>_xlfn.CONCAT(Table13[[#This Row],[STATE]],"-",Table13[[#This Row],[Year]])</f>
        <v>Odisha-2008</v>
      </c>
      <c r="D1667" t="s">
        <v>73</v>
      </c>
      <c r="E1667" t="s">
        <v>74</v>
      </c>
      <c r="F1667">
        <v>18677</v>
      </c>
      <c r="G1667">
        <v>384</v>
      </c>
      <c r="H1667">
        <v>154</v>
      </c>
      <c r="I1667">
        <v>669</v>
      </c>
      <c r="J1667">
        <v>13845</v>
      </c>
      <c r="K1667">
        <v>0</v>
      </c>
      <c r="L1667">
        <v>0</v>
      </c>
      <c r="M1667">
        <v>2795</v>
      </c>
      <c r="N1667">
        <v>0</v>
      </c>
      <c r="O1667">
        <v>172</v>
      </c>
      <c r="P1667">
        <v>597</v>
      </c>
      <c r="Q1667">
        <v>61</v>
      </c>
      <c r="R1667">
        <f>SUM(Table13[[#This Row],[Rank_All_Ranks_Total]:[Rank_SSPSPAddlSPCommandant]])</f>
        <v>37354</v>
      </c>
    </row>
    <row r="1668" spans="1:18" x14ac:dyDescent="0.3">
      <c r="A1668" t="s">
        <v>64</v>
      </c>
      <c r="B1668">
        <v>2008</v>
      </c>
      <c r="C1668" t="str">
        <f>_xlfn.CONCAT(Table13[[#This Row],[STATE]],"-",Table13[[#This Row],[Year]])</f>
        <v>Puducherry-2008</v>
      </c>
      <c r="D1668" t="s">
        <v>73</v>
      </c>
      <c r="E1668" t="s">
        <v>74</v>
      </c>
      <c r="F1668">
        <v>769</v>
      </c>
      <c r="G1668">
        <v>3</v>
      </c>
      <c r="H1668">
        <v>2</v>
      </c>
      <c r="I1668">
        <v>0</v>
      </c>
      <c r="J1668">
        <v>641</v>
      </c>
      <c r="K1668">
        <v>0</v>
      </c>
      <c r="L1668">
        <v>0</v>
      </c>
      <c r="M1668">
        <v>100</v>
      </c>
      <c r="N1668">
        <v>0</v>
      </c>
      <c r="O1668">
        <v>5</v>
      </c>
      <c r="P1668">
        <v>18</v>
      </c>
      <c r="Q1668">
        <v>0</v>
      </c>
      <c r="R1668">
        <f>SUM(Table13[[#This Row],[Rank_All_Ranks_Total]:[Rank_SSPSPAddlSPCommandant]])</f>
        <v>1538</v>
      </c>
    </row>
    <row r="1669" spans="1:18" x14ac:dyDescent="0.3">
      <c r="A1669" t="s">
        <v>26</v>
      </c>
      <c r="B1669">
        <v>2008</v>
      </c>
      <c r="C1669" t="str">
        <f>_xlfn.CONCAT(Table13[[#This Row],[STATE]],"-",Table13[[#This Row],[Year]])</f>
        <v>Punjab-2008</v>
      </c>
      <c r="D1669" t="s">
        <v>73</v>
      </c>
      <c r="E1669" t="s">
        <v>74</v>
      </c>
      <c r="F1669">
        <v>19663</v>
      </c>
      <c r="G1669">
        <v>453</v>
      </c>
      <c r="H1669">
        <v>139</v>
      </c>
      <c r="I1669">
        <v>0</v>
      </c>
      <c r="J1669">
        <v>14730</v>
      </c>
      <c r="K1669">
        <v>1</v>
      </c>
      <c r="L1669">
        <v>5</v>
      </c>
      <c r="M1669">
        <v>3510</v>
      </c>
      <c r="N1669">
        <v>3</v>
      </c>
      <c r="O1669">
        <v>179</v>
      </c>
      <c r="P1669">
        <v>573</v>
      </c>
      <c r="Q1669">
        <v>70</v>
      </c>
      <c r="R1669">
        <f>SUM(Table13[[#This Row],[Rank_All_Ranks_Total]:[Rank_SSPSPAddlSPCommandant]])</f>
        <v>39326</v>
      </c>
    </row>
    <row r="1670" spans="1:18" x14ac:dyDescent="0.3">
      <c r="A1670" t="s">
        <v>27</v>
      </c>
      <c r="B1670">
        <v>2008</v>
      </c>
      <c r="C1670" t="str">
        <f>_xlfn.CONCAT(Table13[[#This Row],[STATE]],"-",Table13[[#This Row],[Year]])</f>
        <v>Rajasthan-2008</v>
      </c>
      <c r="D1670" t="s">
        <v>73</v>
      </c>
      <c r="E1670" t="s">
        <v>74</v>
      </c>
      <c r="F1670">
        <v>12410</v>
      </c>
      <c r="G1670">
        <v>18</v>
      </c>
      <c r="H1670">
        <v>97</v>
      </c>
      <c r="I1670">
        <v>0</v>
      </c>
      <c r="J1670">
        <v>9859</v>
      </c>
      <c r="K1670">
        <v>1</v>
      </c>
      <c r="L1670">
        <v>3</v>
      </c>
      <c r="M1670">
        <v>1988</v>
      </c>
      <c r="N1670">
        <v>1</v>
      </c>
      <c r="O1670">
        <v>94</v>
      </c>
      <c r="P1670">
        <v>345</v>
      </c>
      <c r="Q1670">
        <v>4</v>
      </c>
      <c r="R1670">
        <f>SUM(Table13[[#This Row],[Rank_All_Ranks_Total]:[Rank_SSPSPAddlSPCommandant]])</f>
        <v>24820</v>
      </c>
    </row>
    <row r="1671" spans="1:18" x14ac:dyDescent="0.3">
      <c r="A1671" t="s">
        <v>28</v>
      </c>
      <c r="B1671">
        <v>2008</v>
      </c>
      <c r="C1671" t="str">
        <f>_xlfn.CONCAT(Table13[[#This Row],[STATE]],"-",Table13[[#This Row],[Year]])</f>
        <v>Sikkim-2008</v>
      </c>
      <c r="D1671" t="s">
        <v>73</v>
      </c>
      <c r="E1671" t="s">
        <v>74</v>
      </c>
      <c r="F1671">
        <v>1427</v>
      </c>
      <c r="G1671">
        <v>60</v>
      </c>
      <c r="H1671">
        <v>0</v>
      </c>
      <c r="I1671">
        <v>0</v>
      </c>
      <c r="J1671">
        <v>1219</v>
      </c>
      <c r="K1671">
        <v>0</v>
      </c>
      <c r="L1671">
        <v>0</v>
      </c>
      <c r="M1671">
        <v>87</v>
      </c>
      <c r="N1671">
        <v>1</v>
      </c>
      <c r="O1671">
        <v>18</v>
      </c>
      <c r="P1671">
        <v>42</v>
      </c>
      <c r="Q1671">
        <v>0</v>
      </c>
      <c r="R1671">
        <f>SUM(Table13[[#This Row],[Rank_All_Ranks_Total]:[Rank_SSPSPAddlSPCommandant]])</f>
        <v>2854</v>
      </c>
    </row>
    <row r="1672" spans="1:18" x14ac:dyDescent="0.3">
      <c r="A1672" t="s">
        <v>42</v>
      </c>
      <c r="B1672">
        <v>2008</v>
      </c>
      <c r="C1672" t="str">
        <f>_xlfn.CONCAT(Table13[[#This Row],[STATE]],"-",Table13[[#This Row],[Year]])</f>
        <v>Tamil Nadu-2008</v>
      </c>
      <c r="D1672" t="s">
        <v>73</v>
      </c>
      <c r="E1672" t="s">
        <v>74</v>
      </c>
      <c r="F1672">
        <v>15427</v>
      </c>
      <c r="G1672">
        <v>0</v>
      </c>
      <c r="H1672">
        <v>55</v>
      </c>
      <c r="I1672">
        <v>1715</v>
      </c>
      <c r="J1672">
        <v>11425</v>
      </c>
      <c r="K1672">
        <v>0</v>
      </c>
      <c r="L1672">
        <v>2</v>
      </c>
      <c r="M1672">
        <v>1580</v>
      </c>
      <c r="N1672">
        <v>1</v>
      </c>
      <c r="O1672">
        <v>148</v>
      </c>
      <c r="P1672">
        <v>468</v>
      </c>
      <c r="Q1672">
        <v>33</v>
      </c>
      <c r="R1672">
        <f>SUM(Table13[[#This Row],[Rank_All_Ranks_Total]:[Rank_SSPSPAddlSPCommandant]])</f>
        <v>30854</v>
      </c>
    </row>
    <row r="1673" spans="1:18" x14ac:dyDescent="0.3">
      <c r="A1673" t="s">
        <v>30</v>
      </c>
      <c r="B1673">
        <v>2008</v>
      </c>
      <c r="C1673" t="str">
        <f>_xlfn.CONCAT(Table13[[#This Row],[STATE]],"-",Table13[[#This Row],[Year]])</f>
        <v>Tripura-2008</v>
      </c>
      <c r="D1673" t="s">
        <v>73</v>
      </c>
      <c r="E1673" t="s">
        <v>74</v>
      </c>
      <c r="F1673">
        <v>16338</v>
      </c>
      <c r="G1673">
        <v>0</v>
      </c>
      <c r="H1673">
        <v>117</v>
      </c>
      <c r="I1673">
        <v>2409</v>
      </c>
      <c r="J1673">
        <v>11030</v>
      </c>
      <c r="K1673">
        <v>0</v>
      </c>
      <c r="L1673">
        <v>2</v>
      </c>
      <c r="M1673">
        <v>2117</v>
      </c>
      <c r="N1673">
        <v>0</v>
      </c>
      <c r="O1673">
        <v>201</v>
      </c>
      <c r="P1673">
        <v>436</v>
      </c>
      <c r="Q1673">
        <v>26</v>
      </c>
      <c r="R1673">
        <f>SUM(Table13[[#This Row],[Rank_All_Ranks_Total]:[Rank_SSPSPAddlSPCommandant]])</f>
        <v>32676</v>
      </c>
    </row>
    <row r="1674" spans="1:18" x14ac:dyDescent="0.3">
      <c r="A1674" t="s">
        <v>31</v>
      </c>
      <c r="B1674">
        <v>2008</v>
      </c>
      <c r="C1674" t="str">
        <f>_xlfn.CONCAT(Table13[[#This Row],[STATE]],"-",Table13[[#This Row],[Year]])</f>
        <v>Uttar Pradesh-2008</v>
      </c>
      <c r="D1674" t="s">
        <v>73</v>
      </c>
      <c r="E1674" t="s">
        <v>74</v>
      </c>
      <c r="F1674">
        <v>36393</v>
      </c>
      <c r="G1674">
        <v>0</v>
      </c>
      <c r="H1674">
        <v>129</v>
      </c>
      <c r="I1674">
        <v>0</v>
      </c>
      <c r="J1674">
        <v>26420</v>
      </c>
      <c r="K1674">
        <v>1</v>
      </c>
      <c r="L1674">
        <v>8</v>
      </c>
      <c r="M1674">
        <v>7809</v>
      </c>
      <c r="N1674">
        <v>5</v>
      </c>
      <c r="O1674">
        <v>280</v>
      </c>
      <c r="P1674">
        <v>1697</v>
      </c>
      <c r="Q1674">
        <v>44</v>
      </c>
      <c r="R1674">
        <f>SUM(Table13[[#This Row],[Rank_All_Ranks_Total]:[Rank_SSPSPAddlSPCommandant]])</f>
        <v>72786</v>
      </c>
    </row>
    <row r="1675" spans="1:18" x14ac:dyDescent="0.3">
      <c r="A1675" t="s">
        <v>65</v>
      </c>
      <c r="B1675">
        <v>2008</v>
      </c>
      <c r="C1675" t="str">
        <f>_xlfn.CONCAT(Table13[[#This Row],[STATE]],"-",Table13[[#This Row],[Year]])</f>
        <v>Uttarakhand-2008</v>
      </c>
      <c r="D1675" t="s">
        <v>73</v>
      </c>
      <c r="E1675" t="s">
        <v>74</v>
      </c>
      <c r="F1675">
        <v>4097</v>
      </c>
      <c r="G1675">
        <v>0</v>
      </c>
      <c r="H1675">
        <v>23</v>
      </c>
      <c r="I1675">
        <v>0</v>
      </c>
      <c r="J1675">
        <v>3177</v>
      </c>
      <c r="K1675">
        <v>0</v>
      </c>
      <c r="L1675">
        <v>1</v>
      </c>
      <c r="M1675">
        <v>735</v>
      </c>
      <c r="N1675">
        <v>0</v>
      </c>
      <c r="O1675">
        <v>42</v>
      </c>
      <c r="P1675">
        <v>106</v>
      </c>
      <c r="Q1675">
        <v>13</v>
      </c>
      <c r="R1675">
        <f>SUM(Table13[[#This Row],[Rank_All_Ranks_Total]:[Rank_SSPSPAddlSPCommandant]])</f>
        <v>8194</v>
      </c>
    </row>
    <row r="1676" spans="1:18" x14ac:dyDescent="0.3">
      <c r="A1676" t="s">
        <v>33</v>
      </c>
      <c r="B1676">
        <v>2008</v>
      </c>
      <c r="C1676" t="str">
        <f>_xlfn.CONCAT(Table13[[#This Row],[STATE]],"-",Table13[[#This Row],[Year]])</f>
        <v>West Bengal-2008</v>
      </c>
      <c r="D1676" t="s">
        <v>73</v>
      </c>
      <c r="E1676" t="s">
        <v>74</v>
      </c>
      <c r="F1676">
        <v>24259</v>
      </c>
      <c r="G1676">
        <v>4336</v>
      </c>
      <c r="H1676">
        <v>125</v>
      </c>
      <c r="I1676">
        <v>39</v>
      </c>
      <c r="J1676">
        <v>18712</v>
      </c>
      <c r="K1676">
        <v>1</v>
      </c>
      <c r="L1676">
        <v>5</v>
      </c>
      <c r="M1676">
        <v>0</v>
      </c>
      <c r="N1676">
        <v>2</v>
      </c>
      <c r="O1676">
        <v>271</v>
      </c>
      <c r="P1676">
        <v>748</v>
      </c>
      <c r="Q1676">
        <v>20</v>
      </c>
      <c r="R1676">
        <f>SUM(Table13[[#This Row],[Rank_All_Ranks_Total]:[Rank_SSPSPAddlSPCommandant]])</f>
        <v>48518</v>
      </c>
    </row>
    <row r="1677" spans="1:18" x14ac:dyDescent="0.3">
      <c r="A1677" t="s">
        <v>59</v>
      </c>
      <c r="B1677">
        <v>2009</v>
      </c>
      <c r="C1677" t="str">
        <f>_xlfn.CONCAT(Table13[[#This Row],[STATE]],"-",Table13[[#This Row],[Year]])</f>
        <v>Andaman &amp; Nicobar Islands-2009</v>
      </c>
      <c r="D1677" t="s">
        <v>73</v>
      </c>
      <c r="E1677" t="s">
        <v>74</v>
      </c>
      <c r="F1677">
        <v>923</v>
      </c>
      <c r="G1677">
        <v>18</v>
      </c>
      <c r="H1677">
        <v>7</v>
      </c>
      <c r="I1677">
        <v>0</v>
      </c>
      <c r="J1677">
        <v>701</v>
      </c>
      <c r="K1677">
        <v>0</v>
      </c>
      <c r="L1677">
        <v>0</v>
      </c>
      <c r="M1677">
        <v>164</v>
      </c>
      <c r="N1677">
        <v>0</v>
      </c>
      <c r="O1677">
        <v>7</v>
      </c>
      <c r="P1677">
        <v>25</v>
      </c>
      <c r="Q1677">
        <v>1</v>
      </c>
      <c r="R1677">
        <f>SUM(Table13[[#This Row],[Rank_All_Ranks_Total]:[Rank_SSPSPAddlSPCommandant]])</f>
        <v>1846</v>
      </c>
    </row>
    <row r="1678" spans="1:18" x14ac:dyDescent="0.3">
      <c r="A1678" t="s">
        <v>6</v>
      </c>
      <c r="B1678">
        <v>2009</v>
      </c>
      <c r="C1678" t="str">
        <f>_xlfn.CONCAT(Table13[[#This Row],[STATE]],"-",Table13[[#This Row],[Year]])</f>
        <v>Andhra Pradesh-2009</v>
      </c>
      <c r="D1678" t="s">
        <v>73</v>
      </c>
      <c r="E1678" t="s">
        <v>74</v>
      </c>
      <c r="F1678">
        <v>15930</v>
      </c>
      <c r="G1678">
        <v>694</v>
      </c>
      <c r="H1678">
        <v>60</v>
      </c>
      <c r="I1678">
        <v>0</v>
      </c>
      <c r="J1678">
        <v>10963</v>
      </c>
      <c r="K1678">
        <v>1</v>
      </c>
      <c r="L1678">
        <v>4</v>
      </c>
      <c r="M1678">
        <v>3606</v>
      </c>
      <c r="N1678">
        <v>1</v>
      </c>
      <c r="O1678">
        <v>160</v>
      </c>
      <c r="P1678">
        <v>410</v>
      </c>
      <c r="Q1678">
        <v>31</v>
      </c>
      <c r="R1678">
        <f>SUM(Table13[[#This Row],[Rank_All_Ranks_Total]:[Rank_SSPSPAddlSPCommandant]])</f>
        <v>31860</v>
      </c>
    </row>
    <row r="1679" spans="1:18" x14ac:dyDescent="0.3">
      <c r="A1679" t="s">
        <v>7</v>
      </c>
      <c r="B1679">
        <v>2009</v>
      </c>
      <c r="C1679" t="str">
        <f>_xlfn.CONCAT(Table13[[#This Row],[STATE]],"-",Table13[[#This Row],[Year]])</f>
        <v>Arunachal Pradesh-2009</v>
      </c>
      <c r="D1679" t="s">
        <v>73</v>
      </c>
      <c r="E1679" t="s">
        <v>74</v>
      </c>
      <c r="F1679">
        <v>4057</v>
      </c>
      <c r="G1679">
        <v>41</v>
      </c>
      <c r="H1679">
        <v>25</v>
      </c>
      <c r="I1679">
        <v>216</v>
      </c>
      <c r="J1679">
        <v>2977</v>
      </c>
      <c r="K1679">
        <v>0</v>
      </c>
      <c r="L1679">
        <v>0</v>
      </c>
      <c r="M1679">
        <v>662</v>
      </c>
      <c r="N1679">
        <v>0</v>
      </c>
      <c r="O1679">
        <v>30</v>
      </c>
      <c r="P1679">
        <v>101</v>
      </c>
      <c r="Q1679">
        <v>5</v>
      </c>
      <c r="R1679">
        <f>SUM(Table13[[#This Row],[Rank_All_Ranks_Total]:[Rank_SSPSPAddlSPCommandant]])</f>
        <v>8114</v>
      </c>
    </row>
    <row r="1680" spans="1:18" x14ac:dyDescent="0.3">
      <c r="A1680" t="s">
        <v>8</v>
      </c>
      <c r="B1680">
        <v>2009</v>
      </c>
      <c r="C1680" t="str">
        <f>_xlfn.CONCAT(Table13[[#This Row],[STATE]],"-",Table13[[#This Row],[Year]])</f>
        <v>Assam-2009</v>
      </c>
      <c r="D1680" t="s">
        <v>73</v>
      </c>
      <c r="E1680" t="s">
        <v>74</v>
      </c>
      <c r="F1680">
        <v>25914</v>
      </c>
      <c r="G1680">
        <v>36</v>
      </c>
      <c r="H1680">
        <v>150</v>
      </c>
      <c r="I1680">
        <v>2447</v>
      </c>
      <c r="J1680">
        <v>18097</v>
      </c>
      <c r="K1680">
        <v>0</v>
      </c>
      <c r="L1680">
        <v>0</v>
      </c>
      <c r="M1680">
        <v>4168</v>
      </c>
      <c r="N1680">
        <v>0</v>
      </c>
      <c r="O1680">
        <v>235</v>
      </c>
      <c r="P1680">
        <v>729</v>
      </c>
      <c r="Q1680">
        <v>52</v>
      </c>
      <c r="R1680">
        <f>SUM(Table13[[#This Row],[Rank_All_Ranks_Total]:[Rank_SSPSPAddlSPCommandant]])</f>
        <v>51828</v>
      </c>
    </row>
    <row r="1681" spans="1:18" x14ac:dyDescent="0.3">
      <c r="A1681" t="s">
        <v>9</v>
      </c>
      <c r="B1681">
        <v>2009</v>
      </c>
      <c r="C1681" t="str">
        <f>_xlfn.CONCAT(Table13[[#This Row],[STATE]],"-",Table13[[#This Row],[Year]])</f>
        <v>Bihar-2009</v>
      </c>
      <c r="D1681" t="s">
        <v>73</v>
      </c>
      <c r="E1681" t="s">
        <v>74</v>
      </c>
      <c r="F1681">
        <v>18027</v>
      </c>
      <c r="G1681">
        <v>134</v>
      </c>
      <c r="H1681">
        <v>103</v>
      </c>
      <c r="I1681">
        <v>0</v>
      </c>
      <c r="J1681">
        <v>13447</v>
      </c>
      <c r="K1681">
        <v>1</v>
      </c>
      <c r="L1681">
        <v>2</v>
      </c>
      <c r="M1681">
        <v>3312</v>
      </c>
      <c r="N1681">
        <v>1</v>
      </c>
      <c r="O1681">
        <v>154</v>
      </c>
      <c r="P1681">
        <v>854</v>
      </c>
      <c r="Q1681">
        <v>19</v>
      </c>
      <c r="R1681">
        <f>SUM(Table13[[#This Row],[Rank_All_Ranks_Total]:[Rank_SSPSPAddlSPCommandant]])</f>
        <v>36054</v>
      </c>
    </row>
    <row r="1682" spans="1:18" x14ac:dyDescent="0.3">
      <c r="A1682" t="s">
        <v>35</v>
      </c>
      <c r="B1682">
        <v>2009</v>
      </c>
      <c r="C1682" t="str">
        <f>_xlfn.CONCAT(Table13[[#This Row],[STATE]],"-",Table13[[#This Row],[Year]])</f>
        <v>Chandigarh-2009</v>
      </c>
      <c r="D1682" t="s">
        <v>73</v>
      </c>
      <c r="E1682" t="s">
        <v>74</v>
      </c>
      <c r="F1682">
        <v>927</v>
      </c>
      <c r="G1682">
        <v>18</v>
      </c>
      <c r="H1682">
        <v>7</v>
      </c>
      <c r="I1682">
        <v>0</v>
      </c>
      <c r="J1682">
        <v>701</v>
      </c>
      <c r="K1682">
        <v>0</v>
      </c>
      <c r="L1682">
        <v>0</v>
      </c>
      <c r="M1682">
        <v>164</v>
      </c>
      <c r="N1682">
        <v>0</v>
      </c>
      <c r="O1682">
        <v>8</v>
      </c>
      <c r="P1682">
        <v>25</v>
      </c>
      <c r="Q1682">
        <v>4</v>
      </c>
      <c r="R1682">
        <f>SUM(Table13[[#This Row],[Rank_All_Ranks_Total]:[Rank_SSPSPAddlSPCommandant]])</f>
        <v>1854</v>
      </c>
    </row>
    <row r="1683" spans="1:18" x14ac:dyDescent="0.3">
      <c r="A1683" t="s">
        <v>10</v>
      </c>
      <c r="B1683">
        <v>2009</v>
      </c>
      <c r="C1683" t="str">
        <f>_xlfn.CONCAT(Table13[[#This Row],[STATE]],"-",Table13[[#This Row],[Year]])</f>
        <v>Chhattisgarh-2009</v>
      </c>
      <c r="D1683" t="s">
        <v>73</v>
      </c>
      <c r="E1683" t="s">
        <v>74</v>
      </c>
      <c r="F1683">
        <v>16975</v>
      </c>
      <c r="G1683">
        <v>851</v>
      </c>
      <c r="H1683">
        <v>113</v>
      </c>
      <c r="I1683">
        <v>0</v>
      </c>
      <c r="J1683">
        <v>12257</v>
      </c>
      <c r="K1683">
        <v>1</v>
      </c>
      <c r="L1683">
        <v>5</v>
      </c>
      <c r="M1683">
        <v>2918</v>
      </c>
      <c r="N1683">
        <v>1</v>
      </c>
      <c r="O1683">
        <v>182</v>
      </c>
      <c r="P1683">
        <v>593</v>
      </c>
      <c r="Q1683">
        <v>54</v>
      </c>
      <c r="R1683">
        <f>SUM(Table13[[#This Row],[Rank_All_Ranks_Total]:[Rank_SSPSPAddlSPCommandant]])</f>
        <v>33950</v>
      </c>
    </row>
    <row r="1684" spans="1:18" x14ac:dyDescent="0.3">
      <c r="A1684" t="s">
        <v>62</v>
      </c>
      <c r="B1684">
        <v>2009</v>
      </c>
      <c r="C1684" t="str">
        <f>_xlfn.CONCAT(Table13[[#This Row],[STATE]],"-",Table13[[#This Row],[Year]])</f>
        <v>Dadra &amp; Nagar Haveli-2009</v>
      </c>
      <c r="D1684" t="s">
        <v>73</v>
      </c>
      <c r="E1684" t="s">
        <v>74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f>SUM(Table13[[#This Row],[Rank_All_Ranks_Total]:[Rank_SSPSPAddlSPCommandant]])</f>
        <v>0</v>
      </c>
    </row>
    <row r="1685" spans="1:18" x14ac:dyDescent="0.3">
      <c r="A1685" t="s">
        <v>37</v>
      </c>
      <c r="B1685">
        <v>2009</v>
      </c>
      <c r="C1685" t="str">
        <f>_xlfn.CONCAT(Table13[[#This Row],[STATE]],"-",Table13[[#This Row],[Year]])</f>
        <v>Daman &amp; Diu-2009</v>
      </c>
      <c r="D1685" t="s">
        <v>73</v>
      </c>
      <c r="E1685" t="s">
        <v>74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f>SUM(Table13[[#This Row],[Rank_All_Ranks_Total]:[Rank_SSPSPAddlSPCommandant]])</f>
        <v>0</v>
      </c>
    </row>
    <row r="1686" spans="1:18" x14ac:dyDescent="0.3">
      <c r="A1686" t="s">
        <v>38</v>
      </c>
      <c r="B1686">
        <v>2009</v>
      </c>
      <c r="C1686" t="str">
        <f>_xlfn.CONCAT(Table13[[#This Row],[STATE]],"-",Table13[[#This Row],[Year]])</f>
        <v>Delhi-2009</v>
      </c>
      <c r="D1686" t="s">
        <v>73</v>
      </c>
      <c r="E1686" t="s">
        <v>74</v>
      </c>
      <c r="F1686">
        <v>9420</v>
      </c>
      <c r="G1686">
        <v>262</v>
      </c>
      <c r="H1686">
        <v>58</v>
      </c>
      <c r="I1686">
        <v>0</v>
      </c>
      <c r="J1686">
        <v>6594</v>
      </c>
      <c r="K1686">
        <v>0</v>
      </c>
      <c r="L1686">
        <v>1</v>
      </c>
      <c r="M1686">
        <v>2050</v>
      </c>
      <c r="N1686">
        <v>1</v>
      </c>
      <c r="O1686">
        <v>68</v>
      </c>
      <c r="P1686">
        <v>358</v>
      </c>
      <c r="Q1686">
        <v>28</v>
      </c>
      <c r="R1686">
        <f>SUM(Table13[[#This Row],[Rank_All_Ranks_Total]:[Rank_SSPSPAddlSPCommandant]])</f>
        <v>18840</v>
      </c>
    </row>
    <row r="1687" spans="1:18" x14ac:dyDescent="0.3">
      <c r="A1687" t="s">
        <v>11</v>
      </c>
      <c r="B1687">
        <v>2009</v>
      </c>
      <c r="C1687" t="str">
        <f>_xlfn.CONCAT(Table13[[#This Row],[STATE]],"-",Table13[[#This Row],[Year]])</f>
        <v>Goa-2009</v>
      </c>
      <c r="D1687" t="s">
        <v>73</v>
      </c>
      <c r="E1687" t="s">
        <v>74</v>
      </c>
      <c r="F1687">
        <v>1788</v>
      </c>
      <c r="G1687">
        <v>36</v>
      </c>
      <c r="H1687">
        <v>20</v>
      </c>
      <c r="I1687">
        <v>0</v>
      </c>
      <c r="J1687">
        <v>1350</v>
      </c>
      <c r="K1687">
        <v>0</v>
      </c>
      <c r="L1687">
        <v>0</v>
      </c>
      <c r="M1687">
        <v>320</v>
      </c>
      <c r="N1687">
        <v>0</v>
      </c>
      <c r="O1687">
        <v>14</v>
      </c>
      <c r="P1687">
        <v>46</v>
      </c>
      <c r="Q1687">
        <v>2</v>
      </c>
      <c r="R1687">
        <f>SUM(Table13[[#This Row],[Rank_All_Ranks_Total]:[Rank_SSPSPAddlSPCommandant]])</f>
        <v>3576</v>
      </c>
    </row>
    <row r="1688" spans="1:18" x14ac:dyDescent="0.3">
      <c r="A1688" t="s">
        <v>12</v>
      </c>
      <c r="B1688">
        <v>2009</v>
      </c>
      <c r="C1688" t="str">
        <f>_xlfn.CONCAT(Table13[[#This Row],[STATE]],"-",Table13[[#This Row],[Year]])</f>
        <v>Gujarat-2009</v>
      </c>
      <c r="D1688" t="s">
        <v>73</v>
      </c>
      <c r="E1688" t="s">
        <v>74</v>
      </c>
      <c r="F1688">
        <v>16699</v>
      </c>
      <c r="G1688">
        <v>1487</v>
      </c>
      <c r="H1688">
        <v>57</v>
      </c>
      <c r="I1688">
        <v>0</v>
      </c>
      <c r="J1688">
        <v>12974</v>
      </c>
      <c r="K1688">
        <v>1</v>
      </c>
      <c r="L1688">
        <v>1</v>
      </c>
      <c r="M1688">
        <v>1511</v>
      </c>
      <c r="N1688">
        <v>1</v>
      </c>
      <c r="O1688">
        <v>126</v>
      </c>
      <c r="P1688">
        <v>526</v>
      </c>
      <c r="Q1688">
        <v>15</v>
      </c>
      <c r="R1688">
        <f>SUM(Table13[[#This Row],[Rank_All_Ranks_Total]:[Rank_SSPSPAddlSPCommandant]])</f>
        <v>33398</v>
      </c>
    </row>
    <row r="1689" spans="1:18" x14ac:dyDescent="0.3">
      <c r="A1689" t="s">
        <v>13</v>
      </c>
      <c r="B1689">
        <v>2009</v>
      </c>
      <c r="C1689" t="str">
        <f>_xlfn.CONCAT(Table13[[#This Row],[STATE]],"-",Table13[[#This Row],[Year]])</f>
        <v>Haryana-2009</v>
      </c>
      <c r="D1689" t="s">
        <v>73</v>
      </c>
      <c r="E1689" t="s">
        <v>74</v>
      </c>
      <c r="F1689">
        <v>7502</v>
      </c>
      <c r="G1689">
        <v>276</v>
      </c>
      <c r="H1689">
        <v>44</v>
      </c>
      <c r="I1689">
        <v>0</v>
      </c>
      <c r="J1689">
        <v>5701</v>
      </c>
      <c r="K1689">
        <v>1</v>
      </c>
      <c r="L1689">
        <v>1</v>
      </c>
      <c r="M1689">
        <v>1180</v>
      </c>
      <c r="N1689">
        <v>1</v>
      </c>
      <c r="O1689">
        <v>71</v>
      </c>
      <c r="P1689">
        <v>206</v>
      </c>
      <c r="Q1689">
        <v>21</v>
      </c>
      <c r="R1689">
        <f>SUM(Table13[[#This Row],[Rank_All_Ranks_Total]:[Rank_SSPSPAddlSPCommandant]])</f>
        <v>15004</v>
      </c>
    </row>
    <row r="1690" spans="1:18" x14ac:dyDescent="0.3">
      <c r="A1690" t="s">
        <v>14</v>
      </c>
      <c r="B1690">
        <v>2009</v>
      </c>
      <c r="C1690" t="str">
        <f>_xlfn.CONCAT(Table13[[#This Row],[STATE]],"-",Table13[[#This Row],[Year]])</f>
        <v>Himachal Pradesh-2009</v>
      </c>
      <c r="D1690" t="s">
        <v>73</v>
      </c>
      <c r="E1690" t="s">
        <v>74</v>
      </c>
      <c r="F1690">
        <v>6338</v>
      </c>
      <c r="G1690">
        <v>128</v>
      </c>
      <c r="H1690">
        <v>51</v>
      </c>
      <c r="I1690">
        <v>0</v>
      </c>
      <c r="J1690">
        <v>4753</v>
      </c>
      <c r="K1690">
        <v>0</v>
      </c>
      <c r="L1690">
        <v>2</v>
      </c>
      <c r="M1690">
        <v>1144</v>
      </c>
      <c r="N1690">
        <v>0</v>
      </c>
      <c r="O1690">
        <v>57</v>
      </c>
      <c r="P1690">
        <v>176</v>
      </c>
      <c r="Q1690">
        <v>27</v>
      </c>
      <c r="R1690">
        <f>SUM(Table13[[#This Row],[Rank_All_Ranks_Total]:[Rank_SSPSPAddlSPCommandant]])</f>
        <v>12676</v>
      </c>
    </row>
    <row r="1691" spans="1:18" x14ac:dyDescent="0.3">
      <c r="A1691" t="s">
        <v>15</v>
      </c>
      <c r="B1691">
        <v>2009</v>
      </c>
      <c r="C1691" t="str">
        <f>_xlfn.CONCAT(Table13[[#This Row],[STATE]],"-",Table13[[#This Row],[Year]])</f>
        <v>Jammu &amp; Kashmir-2009</v>
      </c>
      <c r="D1691" t="s">
        <v>73</v>
      </c>
      <c r="E1691" t="s">
        <v>74</v>
      </c>
      <c r="F1691">
        <v>28149</v>
      </c>
      <c r="G1691">
        <v>505</v>
      </c>
      <c r="H1691">
        <v>195</v>
      </c>
      <c r="I1691">
        <v>19978</v>
      </c>
      <c r="J1691">
        <v>2342</v>
      </c>
      <c r="K1691">
        <v>1</v>
      </c>
      <c r="L1691">
        <v>2</v>
      </c>
      <c r="M1691">
        <v>4210</v>
      </c>
      <c r="N1691">
        <v>1</v>
      </c>
      <c r="O1691">
        <v>194</v>
      </c>
      <c r="P1691">
        <v>638</v>
      </c>
      <c r="Q1691">
        <v>83</v>
      </c>
      <c r="R1691">
        <f>SUM(Table13[[#This Row],[Rank_All_Ranks_Total]:[Rank_SSPSPAddlSPCommandant]])</f>
        <v>56298</v>
      </c>
    </row>
    <row r="1692" spans="1:18" x14ac:dyDescent="0.3">
      <c r="A1692" t="s">
        <v>16</v>
      </c>
      <c r="B1692">
        <v>2009</v>
      </c>
      <c r="C1692" t="str">
        <f>_xlfn.CONCAT(Table13[[#This Row],[STATE]],"-",Table13[[#This Row],[Year]])</f>
        <v>Jharkhand-2009</v>
      </c>
      <c r="D1692" t="s">
        <v>73</v>
      </c>
      <c r="E1692" t="s">
        <v>74</v>
      </c>
      <c r="F1692">
        <v>15165</v>
      </c>
      <c r="G1692">
        <v>80</v>
      </c>
      <c r="H1692">
        <v>101</v>
      </c>
      <c r="I1692">
        <v>0</v>
      </c>
      <c r="J1692">
        <v>11272</v>
      </c>
      <c r="K1692">
        <v>0</v>
      </c>
      <c r="L1692">
        <v>1</v>
      </c>
      <c r="M1692">
        <v>2829</v>
      </c>
      <c r="N1692">
        <v>1</v>
      </c>
      <c r="O1692">
        <v>135</v>
      </c>
      <c r="P1692">
        <v>730</v>
      </c>
      <c r="Q1692">
        <v>16</v>
      </c>
      <c r="R1692">
        <f>SUM(Table13[[#This Row],[Rank_All_Ranks_Total]:[Rank_SSPSPAddlSPCommandant]])</f>
        <v>30330</v>
      </c>
    </row>
    <row r="1693" spans="1:18" x14ac:dyDescent="0.3">
      <c r="A1693" t="s">
        <v>17</v>
      </c>
      <c r="B1693">
        <v>2009</v>
      </c>
      <c r="C1693" t="str">
        <f>_xlfn.CONCAT(Table13[[#This Row],[STATE]],"-",Table13[[#This Row],[Year]])</f>
        <v>Karnataka-2009</v>
      </c>
      <c r="D1693" t="s">
        <v>73</v>
      </c>
      <c r="E1693" t="s">
        <v>74</v>
      </c>
      <c r="F1693">
        <v>11689</v>
      </c>
      <c r="G1693">
        <v>255</v>
      </c>
      <c r="H1693">
        <v>48</v>
      </c>
      <c r="I1693">
        <v>0</v>
      </c>
      <c r="J1693">
        <v>8777</v>
      </c>
      <c r="K1693">
        <v>1</v>
      </c>
      <c r="L1693">
        <v>2</v>
      </c>
      <c r="M1693">
        <v>2175</v>
      </c>
      <c r="N1693">
        <v>1</v>
      </c>
      <c r="O1693">
        <v>120</v>
      </c>
      <c r="P1693">
        <v>292</v>
      </c>
      <c r="Q1693">
        <v>18</v>
      </c>
      <c r="R1693">
        <f>SUM(Table13[[#This Row],[Rank_All_Ranks_Total]:[Rank_SSPSPAddlSPCommandant]])</f>
        <v>23378</v>
      </c>
    </row>
    <row r="1694" spans="1:18" x14ac:dyDescent="0.3">
      <c r="A1694" t="s">
        <v>18</v>
      </c>
      <c r="B1694">
        <v>2009</v>
      </c>
      <c r="C1694" t="str">
        <f>_xlfn.CONCAT(Table13[[#This Row],[STATE]],"-",Table13[[#This Row],[Year]])</f>
        <v>Kerala-2009</v>
      </c>
      <c r="D1694" t="s">
        <v>73</v>
      </c>
      <c r="E1694" t="s">
        <v>74</v>
      </c>
      <c r="F1694">
        <v>8007</v>
      </c>
      <c r="G1694">
        <v>87</v>
      </c>
      <c r="H1694">
        <v>52</v>
      </c>
      <c r="I1694">
        <v>0</v>
      </c>
      <c r="J1694">
        <v>6171</v>
      </c>
      <c r="K1694">
        <v>0</v>
      </c>
      <c r="L1694">
        <v>2</v>
      </c>
      <c r="M1694">
        <v>1412</v>
      </c>
      <c r="N1694">
        <v>1</v>
      </c>
      <c r="O1694">
        <v>70</v>
      </c>
      <c r="P1694">
        <v>203</v>
      </c>
      <c r="Q1694">
        <v>9</v>
      </c>
      <c r="R1694">
        <f>SUM(Table13[[#This Row],[Rank_All_Ranks_Total]:[Rank_SSPSPAddlSPCommandant]])</f>
        <v>16014</v>
      </c>
    </row>
    <row r="1695" spans="1:18" x14ac:dyDescent="0.3">
      <c r="A1695" t="s">
        <v>39</v>
      </c>
      <c r="B1695">
        <v>2009</v>
      </c>
      <c r="C1695" t="str">
        <f>_xlfn.CONCAT(Table13[[#This Row],[STATE]],"-",Table13[[#This Row],[Year]])</f>
        <v>Lakshadweep-2009</v>
      </c>
      <c r="D1695" t="s">
        <v>73</v>
      </c>
      <c r="E1695" t="s">
        <v>74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f>SUM(Table13[[#This Row],[Rank_All_Ranks_Total]:[Rank_SSPSPAddlSPCommandant]])</f>
        <v>0</v>
      </c>
    </row>
    <row r="1696" spans="1:18" x14ac:dyDescent="0.3">
      <c r="A1696" t="s">
        <v>19</v>
      </c>
      <c r="B1696">
        <v>2009</v>
      </c>
      <c r="C1696" t="str">
        <f>_xlfn.CONCAT(Table13[[#This Row],[STATE]],"-",Table13[[#This Row],[Year]])</f>
        <v>Madhya Pradesh-2009</v>
      </c>
      <c r="D1696" t="s">
        <v>73</v>
      </c>
      <c r="E1696" t="s">
        <v>74</v>
      </c>
      <c r="F1696">
        <v>21333</v>
      </c>
      <c r="G1696">
        <v>1157</v>
      </c>
      <c r="H1696">
        <v>80</v>
      </c>
      <c r="I1696">
        <v>0</v>
      </c>
      <c r="J1696">
        <v>15488</v>
      </c>
      <c r="K1696">
        <v>1</v>
      </c>
      <c r="L1696">
        <v>8</v>
      </c>
      <c r="M1696">
        <v>3685</v>
      </c>
      <c r="N1696">
        <v>1</v>
      </c>
      <c r="O1696">
        <v>206</v>
      </c>
      <c r="P1696">
        <v>663</v>
      </c>
      <c r="Q1696">
        <v>44</v>
      </c>
      <c r="R1696">
        <f>SUM(Table13[[#This Row],[Rank_All_Ranks_Total]:[Rank_SSPSPAddlSPCommandant]])</f>
        <v>42666</v>
      </c>
    </row>
    <row r="1697" spans="1:18" x14ac:dyDescent="0.3">
      <c r="A1697" t="s">
        <v>20</v>
      </c>
      <c r="B1697">
        <v>2009</v>
      </c>
      <c r="C1697" t="str">
        <f>_xlfn.CONCAT(Table13[[#This Row],[STATE]],"-",Table13[[#This Row],[Year]])</f>
        <v>Maharashtra-2009</v>
      </c>
      <c r="D1697" t="s">
        <v>73</v>
      </c>
      <c r="E1697" t="s">
        <v>74</v>
      </c>
      <c r="F1697">
        <v>15095</v>
      </c>
      <c r="G1697">
        <v>1276</v>
      </c>
      <c r="H1697">
        <v>65</v>
      </c>
      <c r="I1697">
        <v>2937</v>
      </c>
      <c r="J1697">
        <v>7711</v>
      </c>
      <c r="K1697">
        <v>0</v>
      </c>
      <c r="L1697">
        <v>0</v>
      </c>
      <c r="M1697">
        <v>2651</v>
      </c>
      <c r="N1697">
        <v>0</v>
      </c>
      <c r="O1697">
        <v>129</v>
      </c>
      <c r="P1697">
        <v>311</v>
      </c>
      <c r="Q1697">
        <v>15</v>
      </c>
      <c r="R1697">
        <f>SUM(Table13[[#This Row],[Rank_All_Ranks_Total]:[Rank_SSPSPAddlSPCommandant]])</f>
        <v>30190</v>
      </c>
    </row>
    <row r="1698" spans="1:18" x14ac:dyDescent="0.3">
      <c r="A1698" t="s">
        <v>21</v>
      </c>
      <c r="B1698">
        <v>2009</v>
      </c>
      <c r="C1698" t="str">
        <f>_xlfn.CONCAT(Table13[[#This Row],[STATE]],"-",Table13[[#This Row],[Year]])</f>
        <v>Manipur-2009</v>
      </c>
      <c r="D1698" t="s">
        <v>73</v>
      </c>
      <c r="E1698" t="s">
        <v>74</v>
      </c>
      <c r="F1698">
        <v>14413</v>
      </c>
      <c r="G1698">
        <v>0</v>
      </c>
      <c r="H1698">
        <v>111</v>
      </c>
      <c r="I1698">
        <v>0</v>
      </c>
      <c r="J1698">
        <v>10975</v>
      </c>
      <c r="K1698">
        <v>1</v>
      </c>
      <c r="L1698">
        <v>3</v>
      </c>
      <c r="M1698">
        <v>2679</v>
      </c>
      <c r="N1698">
        <v>1</v>
      </c>
      <c r="O1698">
        <v>140</v>
      </c>
      <c r="P1698">
        <v>442</v>
      </c>
      <c r="Q1698">
        <v>61</v>
      </c>
      <c r="R1698">
        <f>SUM(Table13[[#This Row],[Rank_All_Ranks_Total]:[Rank_SSPSPAddlSPCommandant]])</f>
        <v>28826</v>
      </c>
    </row>
    <row r="1699" spans="1:18" x14ac:dyDescent="0.3">
      <c r="A1699" t="s">
        <v>22</v>
      </c>
      <c r="B1699">
        <v>2009</v>
      </c>
      <c r="C1699" t="str">
        <f>_xlfn.CONCAT(Table13[[#This Row],[STATE]],"-",Table13[[#This Row],[Year]])</f>
        <v>Meghalaya-2009</v>
      </c>
      <c r="D1699" t="s">
        <v>73</v>
      </c>
      <c r="E1699" t="s">
        <v>74</v>
      </c>
      <c r="F1699">
        <v>4868</v>
      </c>
      <c r="G1699">
        <v>66</v>
      </c>
      <c r="H1699">
        <v>37</v>
      </c>
      <c r="I1699">
        <v>258</v>
      </c>
      <c r="J1699">
        <v>3574</v>
      </c>
      <c r="K1699">
        <v>0</v>
      </c>
      <c r="L1699">
        <v>0</v>
      </c>
      <c r="M1699">
        <v>743</v>
      </c>
      <c r="N1699">
        <v>0</v>
      </c>
      <c r="O1699">
        <v>46</v>
      </c>
      <c r="P1699">
        <v>128</v>
      </c>
      <c r="Q1699">
        <v>16</v>
      </c>
      <c r="R1699">
        <f>SUM(Table13[[#This Row],[Rank_All_Ranks_Total]:[Rank_SSPSPAddlSPCommandant]])</f>
        <v>9736</v>
      </c>
    </row>
    <row r="1700" spans="1:18" x14ac:dyDescent="0.3">
      <c r="A1700" t="s">
        <v>23</v>
      </c>
      <c r="B1700">
        <v>2009</v>
      </c>
      <c r="C1700" t="str">
        <f>_xlfn.CONCAT(Table13[[#This Row],[STATE]],"-",Table13[[#This Row],[Year]])</f>
        <v>Mizoram-2009</v>
      </c>
      <c r="D1700" t="s">
        <v>73</v>
      </c>
      <c r="E1700" t="s">
        <v>74</v>
      </c>
      <c r="F1700">
        <v>8866</v>
      </c>
      <c r="G1700">
        <v>11</v>
      </c>
      <c r="H1700">
        <v>54</v>
      </c>
      <c r="I1700">
        <v>940</v>
      </c>
      <c r="J1700">
        <v>6350</v>
      </c>
      <c r="K1700">
        <v>0</v>
      </c>
      <c r="L1700">
        <v>0</v>
      </c>
      <c r="M1700">
        <v>1155</v>
      </c>
      <c r="N1700">
        <v>0</v>
      </c>
      <c r="O1700">
        <v>69</v>
      </c>
      <c r="P1700">
        <v>256</v>
      </c>
      <c r="Q1700">
        <v>31</v>
      </c>
      <c r="R1700">
        <f>SUM(Table13[[#This Row],[Rank_All_Ranks_Total]:[Rank_SSPSPAddlSPCommandant]])</f>
        <v>17732</v>
      </c>
    </row>
    <row r="1701" spans="1:18" x14ac:dyDescent="0.3">
      <c r="A1701" t="s">
        <v>24</v>
      </c>
      <c r="B1701">
        <v>2009</v>
      </c>
      <c r="C1701" t="str">
        <f>_xlfn.CONCAT(Table13[[#This Row],[STATE]],"-",Table13[[#This Row],[Year]])</f>
        <v>Nagaland-2009</v>
      </c>
      <c r="D1701" t="s">
        <v>73</v>
      </c>
      <c r="E1701" t="s">
        <v>74</v>
      </c>
      <c r="F1701">
        <v>4766</v>
      </c>
      <c r="G1701">
        <v>1</v>
      </c>
      <c r="H1701">
        <v>26</v>
      </c>
      <c r="I1701">
        <v>660</v>
      </c>
      <c r="J1701">
        <v>3526</v>
      </c>
      <c r="K1701">
        <v>0</v>
      </c>
      <c r="L1701">
        <v>0</v>
      </c>
      <c r="M1701">
        <v>404</v>
      </c>
      <c r="N1701">
        <v>0</v>
      </c>
      <c r="O1701">
        <v>26</v>
      </c>
      <c r="P1701">
        <v>116</v>
      </c>
      <c r="Q1701">
        <v>7</v>
      </c>
      <c r="R1701">
        <f>SUM(Table13[[#This Row],[Rank_All_Ranks_Total]:[Rank_SSPSPAddlSPCommandant]])</f>
        <v>9532</v>
      </c>
    </row>
    <row r="1702" spans="1:18" x14ac:dyDescent="0.3">
      <c r="A1702" t="s">
        <v>63</v>
      </c>
      <c r="B1702">
        <v>2009</v>
      </c>
      <c r="C1702" t="str">
        <f>_xlfn.CONCAT(Table13[[#This Row],[STATE]],"-",Table13[[#This Row],[Year]])</f>
        <v>Odisha-2009</v>
      </c>
      <c r="D1702" t="s">
        <v>73</v>
      </c>
      <c r="E1702" t="s">
        <v>74</v>
      </c>
      <c r="F1702">
        <v>20800</v>
      </c>
      <c r="G1702">
        <v>434</v>
      </c>
      <c r="H1702">
        <v>172</v>
      </c>
      <c r="I1702">
        <v>696</v>
      </c>
      <c r="J1702">
        <v>15405</v>
      </c>
      <c r="K1702">
        <v>0</v>
      </c>
      <c r="L1702">
        <v>0</v>
      </c>
      <c r="M1702">
        <v>3179</v>
      </c>
      <c r="N1702">
        <v>0</v>
      </c>
      <c r="O1702">
        <v>188</v>
      </c>
      <c r="P1702">
        <v>654</v>
      </c>
      <c r="Q1702">
        <v>72</v>
      </c>
      <c r="R1702">
        <f>SUM(Table13[[#This Row],[Rank_All_Ranks_Total]:[Rank_SSPSPAddlSPCommandant]])</f>
        <v>41600</v>
      </c>
    </row>
    <row r="1703" spans="1:18" x14ac:dyDescent="0.3">
      <c r="A1703" t="s">
        <v>64</v>
      </c>
      <c r="B1703">
        <v>2009</v>
      </c>
      <c r="C1703" t="str">
        <f>_xlfn.CONCAT(Table13[[#This Row],[STATE]],"-",Table13[[#This Row],[Year]])</f>
        <v>Puducherry-2009</v>
      </c>
      <c r="D1703" t="s">
        <v>73</v>
      </c>
      <c r="E1703" t="s">
        <v>74</v>
      </c>
      <c r="F1703">
        <v>765</v>
      </c>
      <c r="G1703">
        <v>3</v>
      </c>
      <c r="H1703">
        <v>2</v>
      </c>
      <c r="I1703">
        <v>0</v>
      </c>
      <c r="J1703">
        <v>637</v>
      </c>
      <c r="K1703">
        <v>0</v>
      </c>
      <c r="L1703">
        <v>0</v>
      </c>
      <c r="M1703">
        <v>100</v>
      </c>
      <c r="N1703">
        <v>0</v>
      </c>
      <c r="O1703">
        <v>5</v>
      </c>
      <c r="P1703">
        <v>18</v>
      </c>
      <c r="Q1703">
        <v>0</v>
      </c>
      <c r="R1703">
        <f>SUM(Table13[[#This Row],[Rank_All_Ranks_Total]:[Rank_SSPSPAddlSPCommandant]])</f>
        <v>1530</v>
      </c>
    </row>
    <row r="1704" spans="1:18" x14ac:dyDescent="0.3">
      <c r="A1704" t="s">
        <v>26</v>
      </c>
      <c r="B1704">
        <v>2009</v>
      </c>
      <c r="C1704" t="str">
        <f>_xlfn.CONCAT(Table13[[#This Row],[STATE]],"-",Table13[[#This Row],[Year]])</f>
        <v>Punjab-2009</v>
      </c>
      <c r="D1704" t="s">
        <v>73</v>
      </c>
      <c r="E1704" t="s">
        <v>74</v>
      </c>
      <c r="F1704">
        <v>19663</v>
      </c>
      <c r="G1704">
        <v>453</v>
      </c>
      <c r="H1704">
        <v>139</v>
      </c>
      <c r="I1704">
        <v>0</v>
      </c>
      <c r="J1704">
        <v>14730</v>
      </c>
      <c r="K1704">
        <v>1</v>
      </c>
      <c r="L1704">
        <v>5</v>
      </c>
      <c r="M1704">
        <v>3510</v>
      </c>
      <c r="N1704">
        <v>3</v>
      </c>
      <c r="O1704">
        <v>179</v>
      </c>
      <c r="P1704">
        <v>573</v>
      </c>
      <c r="Q1704">
        <v>70</v>
      </c>
      <c r="R1704">
        <f>SUM(Table13[[#This Row],[Rank_All_Ranks_Total]:[Rank_SSPSPAddlSPCommandant]])</f>
        <v>39326</v>
      </c>
    </row>
    <row r="1705" spans="1:18" x14ac:dyDescent="0.3">
      <c r="A1705" t="s">
        <v>27</v>
      </c>
      <c r="B1705">
        <v>2009</v>
      </c>
      <c r="C1705" t="str">
        <f>_xlfn.CONCAT(Table13[[#This Row],[STATE]],"-",Table13[[#This Row],[Year]])</f>
        <v>Rajasthan-2009</v>
      </c>
      <c r="D1705" t="s">
        <v>73</v>
      </c>
      <c r="E1705" t="s">
        <v>74</v>
      </c>
      <c r="F1705">
        <v>13251</v>
      </c>
      <c r="G1705">
        <v>0</v>
      </c>
      <c r="H1705">
        <v>67</v>
      </c>
      <c r="I1705">
        <v>0</v>
      </c>
      <c r="J1705">
        <v>10538</v>
      </c>
      <c r="K1705">
        <v>1</v>
      </c>
      <c r="L1705">
        <v>2</v>
      </c>
      <c r="M1705">
        <v>2117</v>
      </c>
      <c r="N1705">
        <v>2</v>
      </c>
      <c r="O1705">
        <v>118</v>
      </c>
      <c r="P1705">
        <v>371</v>
      </c>
      <c r="Q1705">
        <v>35</v>
      </c>
      <c r="R1705">
        <f>SUM(Table13[[#This Row],[Rank_All_Ranks_Total]:[Rank_SSPSPAddlSPCommandant]])</f>
        <v>26502</v>
      </c>
    </row>
    <row r="1706" spans="1:18" x14ac:dyDescent="0.3">
      <c r="A1706" t="s">
        <v>28</v>
      </c>
      <c r="B1706">
        <v>2009</v>
      </c>
      <c r="C1706" t="str">
        <f>_xlfn.CONCAT(Table13[[#This Row],[STATE]],"-",Table13[[#This Row],[Year]])</f>
        <v>Sikkim-2009</v>
      </c>
      <c r="D1706" t="s">
        <v>73</v>
      </c>
      <c r="E1706" t="s">
        <v>74</v>
      </c>
      <c r="F1706">
        <v>1704</v>
      </c>
      <c r="G1706">
        <v>60</v>
      </c>
      <c r="H1706">
        <v>12</v>
      </c>
      <c r="I1706">
        <v>0</v>
      </c>
      <c r="J1706">
        <v>1477</v>
      </c>
      <c r="K1706">
        <v>0</v>
      </c>
      <c r="L1706">
        <v>0</v>
      </c>
      <c r="M1706">
        <v>87</v>
      </c>
      <c r="N1706">
        <v>1</v>
      </c>
      <c r="O1706">
        <v>18</v>
      </c>
      <c r="P1706">
        <v>43</v>
      </c>
      <c r="Q1706">
        <v>6</v>
      </c>
      <c r="R1706">
        <f>SUM(Table13[[#This Row],[Rank_All_Ranks_Total]:[Rank_SSPSPAddlSPCommandant]])</f>
        <v>3408</v>
      </c>
    </row>
    <row r="1707" spans="1:18" x14ac:dyDescent="0.3">
      <c r="A1707" t="s">
        <v>42</v>
      </c>
      <c r="B1707">
        <v>2009</v>
      </c>
      <c r="C1707" t="str">
        <f>_xlfn.CONCAT(Table13[[#This Row],[STATE]],"-",Table13[[#This Row],[Year]])</f>
        <v>Tamil Nadu-2009</v>
      </c>
      <c r="D1707" t="s">
        <v>73</v>
      </c>
      <c r="E1707" t="s">
        <v>74</v>
      </c>
      <c r="F1707">
        <v>14700</v>
      </c>
      <c r="G1707">
        <v>0</v>
      </c>
      <c r="H1707">
        <v>54</v>
      </c>
      <c r="I1707">
        <v>1956</v>
      </c>
      <c r="J1707">
        <v>10356</v>
      </c>
      <c r="K1707">
        <v>0</v>
      </c>
      <c r="L1707">
        <v>2</v>
      </c>
      <c r="M1707">
        <v>1657</v>
      </c>
      <c r="N1707">
        <v>1</v>
      </c>
      <c r="O1707">
        <v>155</v>
      </c>
      <c r="P1707">
        <v>486</v>
      </c>
      <c r="Q1707">
        <v>33</v>
      </c>
      <c r="R1707">
        <f>SUM(Table13[[#This Row],[Rank_All_Ranks_Total]:[Rank_SSPSPAddlSPCommandant]])</f>
        <v>29400</v>
      </c>
    </row>
    <row r="1708" spans="1:18" x14ac:dyDescent="0.3">
      <c r="A1708" t="s">
        <v>30</v>
      </c>
      <c r="B1708">
        <v>2009</v>
      </c>
      <c r="C1708" t="str">
        <f>_xlfn.CONCAT(Table13[[#This Row],[STATE]],"-",Table13[[#This Row],[Year]])</f>
        <v>Tripura-2009</v>
      </c>
      <c r="D1708" t="s">
        <v>73</v>
      </c>
      <c r="E1708" t="s">
        <v>74</v>
      </c>
      <c r="F1708">
        <v>16338</v>
      </c>
      <c r="G1708">
        <v>0</v>
      </c>
      <c r="H1708">
        <v>117</v>
      </c>
      <c r="I1708">
        <v>2409</v>
      </c>
      <c r="J1708">
        <v>11030</v>
      </c>
      <c r="K1708">
        <v>0</v>
      </c>
      <c r="L1708">
        <v>2</v>
      </c>
      <c r="M1708">
        <v>2117</v>
      </c>
      <c r="N1708">
        <v>0</v>
      </c>
      <c r="O1708">
        <v>201</v>
      </c>
      <c r="P1708">
        <v>436</v>
      </c>
      <c r="Q1708">
        <v>26</v>
      </c>
      <c r="R1708">
        <f>SUM(Table13[[#This Row],[Rank_All_Ranks_Total]:[Rank_SSPSPAddlSPCommandant]])</f>
        <v>32676</v>
      </c>
    </row>
    <row r="1709" spans="1:18" x14ac:dyDescent="0.3">
      <c r="A1709" t="s">
        <v>31</v>
      </c>
      <c r="B1709">
        <v>2009</v>
      </c>
      <c r="C1709" t="str">
        <f>_xlfn.CONCAT(Table13[[#This Row],[STATE]],"-",Table13[[#This Row],[Year]])</f>
        <v>Uttar Pradesh-2009</v>
      </c>
      <c r="D1709" t="s">
        <v>73</v>
      </c>
      <c r="E1709" t="s">
        <v>74</v>
      </c>
      <c r="F1709">
        <v>36199</v>
      </c>
      <c r="G1709">
        <v>0</v>
      </c>
      <c r="H1709">
        <v>39</v>
      </c>
      <c r="I1709">
        <v>0</v>
      </c>
      <c r="J1709">
        <v>26217</v>
      </c>
      <c r="K1709">
        <v>1</v>
      </c>
      <c r="L1709">
        <v>8</v>
      </c>
      <c r="M1709">
        <v>7809</v>
      </c>
      <c r="N1709">
        <v>5</v>
      </c>
      <c r="O1709">
        <v>306</v>
      </c>
      <c r="P1709">
        <v>1697</v>
      </c>
      <c r="Q1709">
        <v>117</v>
      </c>
      <c r="R1709">
        <f>SUM(Table13[[#This Row],[Rank_All_Ranks_Total]:[Rank_SSPSPAddlSPCommandant]])</f>
        <v>72398</v>
      </c>
    </row>
    <row r="1710" spans="1:18" x14ac:dyDescent="0.3">
      <c r="A1710" t="s">
        <v>65</v>
      </c>
      <c r="B1710">
        <v>2009</v>
      </c>
      <c r="C1710" t="str">
        <f>_xlfn.CONCAT(Table13[[#This Row],[STATE]],"-",Table13[[#This Row],[Year]])</f>
        <v>Uttarakhand-2009</v>
      </c>
      <c r="D1710" t="s">
        <v>73</v>
      </c>
      <c r="E1710" t="s">
        <v>74</v>
      </c>
      <c r="F1710">
        <v>5151</v>
      </c>
      <c r="G1710">
        <v>0</v>
      </c>
      <c r="H1710">
        <v>23</v>
      </c>
      <c r="I1710">
        <v>0</v>
      </c>
      <c r="J1710">
        <v>4030</v>
      </c>
      <c r="K1710">
        <v>0</v>
      </c>
      <c r="L1710">
        <v>1</v>
      </c>
      <c r="M1710">
        <v>910</v>
      </c>
      <c r="N1710">
        <v>0</v>
      </c>
      <c r="O1710">
        <v>43</v>
      </c>
      <c r="P1710">
        <v>130</v>
      </c>
      <c r="Q1710">
        <v>14</v>
      </c>
      <c r="R1710">
        <f>SUM(Table13[[#This Row],[Rank_All_Ranks_Total]:[Rank_SSPSPAddlSPCommandant]])</f>
        <v>10302</v>
      </c>
    </row>
    <row r="1711" spans="1:18" x14ac:dyDescent="0.3">
      <c r="A1711" t="s">
        <v>33</v>
      </c>
      <c r="B1711">
        <v>2009</v>
      </c>
      <c r="C1711" t="str">
        <f>_xlfn.CONCAT(Table13[[#This Row],[STATE]],"-",Table13[[#This Row],[Year]])</f>
        <v>West Bengal-2009</v>
      </c>
      <c r="D1711" t="s">
        <v>73</v>
      </c>
      <c r="E1711" t="s">
        <v>74</v>
      </c>
      <c r="F1711">
        <v>26910</v>
      </c>
      <c r="G1711">
        <v>4840</v>
      </c>
      <c r="H1711">
        <v>139</v>
      </c>
      <c r="I1711">
        <v>39</v>
      </c>
      <c r="J1711">
        <v>20654</v>
      </c>
      <c r="K1711">
        <v>1</v>
      </c>
      <c r="L1711">
        <v>3</v>
      </c>
      <c r="M1711">
        <v>0</v>
      </c>
      <c r="N1711">
        <v>4</v>
      </c>
      <c r="O1711">
        <v>306</v>
      </c>
      <c r="P1711">
        <v>894</v>
      </c>
      <c r="Q1711">
        <v>30</v>
      </c>
      <c r="R1711">
        <f>SUM(Table13[[#This Row],[Rank_All_Ranks_Total]:[Rank_SSPSPAddlSPCommandant]])</f>
        <v>53820</v>
      </c>
    </row>
    <row r="1712" spans="1:18" x14ac:dyDescent="0.3">
      <c r="A1712" t="s">
        <v>59</v>
      </c>
      <c r="B1712">
        <v>2010</v>
      </c>
      <c r="C1712" t="str">
        <f>_xlfn.CONCAT(Table13[[#This Row],[STATE]],"-",Table13[[#This Row],[Year]])</f>
        <v>Andaman &amp; Nicobar Islands-2010</v>
      </c>
      <c r="D1712" t="s">
        <v>73</v>
      </c>
      <c r="E1712" t="s">
        <v>74</v>
      </c>
      <c r="F1712">
        <v>924</v>
      </c>
      <c r="G1712">
        <v>18</v>
      </c>
      <c r="H1712">
        <v>7</v>
      </c>
      <c r="I1712">
        <v>0</v>
      </c>
      <c r="J1712">
        <v>701</v>
      </c>
      <c r="K1712">
        <v>0</v>
      </c>
      <c r="L1712">
        <v>0</v>
      </c>
      <c r="M1712">
        <v>164</v>
      </c>
      <c r="N1712">
        <v>0</v>
      </c>
      <c r="O1712">
        <v>8</v>
      </c>
      <c r="P1712">
        <v>25</v>
      </c>
      <c r="Q1712">
        <v>1</v>
      </c>
      <c r="R1712">
        <f>SUM(Table13[[#This Row],[Rank_All_Ranks_Total]:[Rank_SSPSPAddlSPCommandant]])</f>
        <v>1848</v>
      </c>
    </row>
    <row r="1713" spans="1:18" x14ac:dyDescent="0.3">
      <c r="A1713" t="s">
        <v>6</v>
      </c>
      <c r="B1713">
        <v>2010</v>
      </c>
      <c r="C1713" t="str">
        <f>_xlfn.CONCAT(Table13[[#This Row],[STATE]],"-",Table13[[#This Row],[Year]])</f>
        <v>Andhra Pradesh-2010</v>
      </c>
      <c r="D1713" t="s">
        <v>73</v>
      </c>
      <c r="E1713" t="s">
        <v>74</v>
      </c>
      <c r="F1713">
        <v>15969</v>
      </c>
      <c r="G1713">
        <v>694</v>
      </c>
      <c r="H1713">
        <v>60</v>
      </c>
      <c r="I1713">
        <v>0</v>
      </c>
      <c r="J1713">
        <v>11002</v>
      </c>
      <c r="K1713">
        <v>1</v>
      </c>
      <c r="L1713">
        <v>4</v>
      </c>
      <c r="M1713">
        <v>3606</v>
      </c>
      <c r="N1713">
        <v>1</v>
      </c>
      <c r="O1713">
        <v>160</v>
      </c>
      <c r="P1713">
        <v>410</v>
      </c>
      <c r="Q1713">
        <v>31</v>
      </c>
      <c r="R1713">
        <f>SUM(Table13[[#This Row],[Rank_All_Ranks_Total]:[Rank_SSPSPAddlSPCommandant]])</f>
        <v>31938</v>
      </c>
    </row>
    <row r="1714" spans="1:18" x14ac:dyDescent="0.3">
      <c r="A1714" t="s">
        <v>7</v>
      </c>
      <c r="B1714">
        <v>2010</v>
      </c>
      <c r="C1714" t="str">
        <f>_xlfn.CONCAT(Table13[[#This Row],[STATE]],"-",Table13[[#This Row],[Year]])</f>
        <v>Arunachal Pradesh-2010</v>
      </c>
      <c r="D1714" t="s">
        <v>73</v>
      </c>
      <c r="E1714" t="s">
        <v>74</v>
      </c>
      <c r="F1714">
        <v>4163</v>
      </c>
      <c r="G1714">
        <v>41</v>
      </c>
      <c r="H1714">
        <v>25</v>
      </c>
      <c r="I1714">
        <v>216</v>
      </c>
      <c r="J1714">
        <v>3050</v>
      </c>
      <c r="K1714">
        <v>0</v>
      </c>
      <c r="L1714">
        <v>0</v>
      </c>
      <c r="M1714">
        <v>662</v>
      </c>
      <c r="N1714">
        <v>0</v>
      </c>
      <c r="O1714">
        <v>30</v>
      </c>
      <c r="P1714">
        <v>134</v>
      </c>
      <c r="Q1714">
        <v>5</v>
      </c>
      <c r="R1714">
        <f>SUM(Table13[[#This Row],[Rank_All_Ranks_Total]:[Rank_SSPSPAddlSPCommandant]])</f>
        <v>8326</v>
      </c>
    </row>
    <row r="1715" spans="1:18" x14ac:dyDescent="0.3">
      <c r="A1715" t="s">
        <v>8</v>
      </c>
      <c r="B1715">
        <v>2010</v>
      </c>
      <c r="C1715" t="str">
        <f>_xlfn.CONCAT(Table13[[#This Row],[STATE]],"-",Table13[[#This Row],[Year]])</f>
        <v>Assam-2010</v>
      </c>
      <c r="D1715" t="s">
        <v>73</v>
      </c>
      <c r="E1715" t="s">
        <v>74</v>
      </c>
      <c r="F1715">
        <v>25914</v>
      </c>
      <c r="G1715">
        <v>36</v>
      </c>
      <c r="H1715">
        <v>150</v>
      </c>
      <c r="I1715">
        <v>2447</v>
      </c>
      <c r="J1715">
        <v>18097</v>
      </c>
      <c r="K1715">
        <v>0</v>
      </c>
      <c r="L1715">
        <v>0</v>
      </c>
      <c r="M1715">
        <v>4168</v>
      </c>
      <c r="N1715">
        <v>0</v>
      </c>
      <c r="O1715">
        <v>235</v>
      </c>
      <c r="P1715">
        <v>729</v>
      </c>
      <c r="Q1715">
        <v>52</v>
      </c>
      <c r="R1715">
        <f>SUM(Table13[[#This Row],[Rank_All_Ranks_Total]:[Rank_SSPSPAddlSPCommandant]])</f>
        <v>51828</v>
      </c>
    </row>
    <row r="1716" spans="1:18" x14ac:dyDescent="0.3">
      <c r="A1716" t="s">
        <v>9</v>
      </c>
      <c r="B1716">
        <v>2010</v>
      </c>
      <c r="C1716" t="str">
        <f>_xlfn.CONCAT(Table13[[#This Row],[STATE]],"-",Table13[[#This Row],[Year]])</f>
        <v>Bihar-2010</v>
      </c>
      <c r="D1716" t="s">
        <v>73</v>
      </c>
      <c r="E1716" t="s">
        <v>74</v>
      </c>
      <c r="F1716">
        <v>18057</v>
      </c>
      <c r="G1716">
        <v>136</v>
      </c>
      <c r="H1716">
        <v>103</v>
      </c>
      <c r="I1716">
        <v>0</v>
      </c>
      <c r="J1716">
        <v>13476</v>
      </c>
      <c r="K1716">
        <v>1</v>
      </c>
      <c r="L1716">
        <v>2</v>
      </c>
      <c r="M1716">
        <v>3311</v>
      </c>
      <c r="N1716">
        <v>1</v>
      </c>
      <c r="O1716">
        <v>154</v>
      </c>
      <c r="P1716">
        <v>854</v>
      </c>
      <c r="Q1716">
        <v>19</v>
      </c>
      <c r="R1716">
        <f>SUM(Table13[[#This Row],[Rank_All_Ranks_Total]:[Rank_SSPSPAddlSPCommandant]])</f>
        <v>36114</v>
      </c>
    </row>
    <row r="1717" spans="1:18" x14ac:dyDescent="0.3">
      <c r="A1717" t="s">
        <v>35</v>
      </c>
      <c r="B1717">
        <v>2010</v>
      </c>
      <c r="C1717" t="str">
        <f>_xlfn.CONCAT(Table13[[#This Row],[STATE]],"-",Table13[[#This Row],[Year]])</f>
        <v>Chandigarh-2010</v>
      </c>
      <c r="D1717" t="s">
        <v>73</v>
      </c>
      <c r="E1717" t="s">
        <v>74</v>
      </c>
      <c r="F1717">
        <v>927</v>
      </c>
      <c r="G1717">
        <v>18</v>
      </c>
      <c r="H1717">
        <v>10</v>
      </c>
      <c r="I1717">
        <v>0</v>
      </c>
      <c r="J1717">
        <v>701</v>
      </c>
      <c r="K1717">
        <v>0</v>
      </c>
      <c r="L1717">
        <v>0</v>
      </c>
      <c r="M1717">
        <v>164</v>
      </c>
      <c r="N1717">
        <v>0</v>
      </c>
      <c r="O1717">
        <v>8</v>
      </c>
      <c r="P1717">
        <v>25</v>
      </c>
      <c r="Q1717">
        <v>1</v>
      </c>
      <c r="R1717">
        <f>SUM(Table13[[#This Row],[Rank_All_Ranks_Total]:[Rank_SSPSPAddlSPCommandant]])</f>
        <v>1854</v>
      </c>
    </row>
    <row r="1718" spans="1:18" x14ac:dyDescent="0.3">
      <c r="A1718" t="s">
        <v>10</v>
      </c>
      <c r="B1718">
        <v>2010</v>
      </c>
      <c r="C1718" t="str">
        <f>_xlfn.CONCAT(Table13[[#This Row],[STATE]],"-",Table13[[#This Row],[Year]])</f>
        <v>Chhattisgarh-2010</v>
      </c>
      <c r="D1718" t="s">
        <v>73</v>
      </c>
      <c r="E1718" t="s">
        <v>74</v>
      </c>
      <c r="F1718">
        <v>16975</v>
      </c>
      <c r="G1718">
        <v>851</v>
      </c>
      <c r="H1718">
        <v>113</v>
      </c>
      <c r="I1718">
        <v>0</v>
      </c>
      <c r="J1718">
        <v>12257</v>
      </c>
      <c r="K1718">
        <v>1</v>
      </c>
      <c r="L1718">
        <v>5</v>
      </c>
      <c r="M1718">
        <v>2918</v>
      </c>
      <c r="N1718">
        <v>1</v>
      </c>
      <c r="O1718">
        <v>182</v>
      </c>
      <c r="P1718">
        <v>593</v>
      </c>
      <c r="Q1718">
        <v>54</v>
      </c>
      <c r="R1718">
        <f>SUM(Table13[[#This Row],[Rank_All_Ranks_Total]:[Rank_SSPSPAddlSPCommandant]])</f>
        <v>33950</v>
      </c>
    </row>
    <row r="1719" spans="1:18" x14ac:dyDescent="0.3">
      <c r="A1719" t="s">
        <v>62</v>
      </c>
      <c r="B1719">
        <v>2010</v>
      </c>
      <c r="C1719" t="str">
        <f>_xlfn.CONCAT(Table13[[#This Row],[STATE]],"-",Table13[[#This Row],[Year]])</f>
        <v>Dadra &amp; Nagar Haveli-2010</v>
      </c>
      <c r="D1719" t="s">
        <v>73</v>
      </c>
      <c r="E1719" t="s">
        <v>74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f>SUM(Table13[[#This Row],[Rank_All_Ranks_Total]:[Rank_SSPSPAddlSPCommandant]])</f>
        <v>0</v>
      </c>
    </row>
    <row r="1720" spans="1:18" x14ac:dyDescent="0.3">
      <c r="A1720" t="s">
        <v>37</v>
      </c>
      <c r="B1720">
        <v>2010</v>
      </c>
      <c r="C1720" t="str">
        <f>_xlfn.CONCAT(Table13[[#This Row],[STATE]],"-",Table13[[#This Row],[Year]])</f>
        <v>Daman &amp; Diu-2010</v>
      </c>
      <c r="D1720" t="s">
        <v>73</v>
      </c>
      <c r="E1720" t="s">
        <v>74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f>SUM(Table13[[#This Row],[Rank_All_Ranks_Total]:[Rank_SSPSPAddlSPCommandant]])</f>
        <v>0</v>
      </c>
    </row>
    <row r="1721" spans="1:18" x14ac:dyDescent="0.3">
      <c r="A1721" t="s">
        <v>38</v>
      </c>
      <c r="B1721">
        <v>2010</v>
      </c>
      <c r="C1721" t="str">
        <f>_xlfn.CONCAT(Table13[[#This Row],[STATE]],"-",Table13[[#This Row],[Year]])</f>
        <v>Delhi-2010</v>
      </c>
      <c r="D1721" t="s">
        <v>73</v>
      </c>
      <c r="E1721" t="s">
        <v>74</v>
      </c>
      <c r="F1721">
        <v>7909</v>
      </c>
      <c r="G1721">
        <v>262</v>
      </c>
      <c r="H1721">
        <v>58</v>
      </c>
      <c r="I1721">
        <v>0</v>
      </c>
      <c r="J1721">
        <v>5256</v>
      </c>
      <c r="K1721">
        <v>0</v>
      </c>
      <c r="L1721">
        <v>0</v>
      </c>
      <c r="M1721">
        <v>1896</v>
      </c>
      <c r="N1721">
        <v>0</v>
      </c>
      <c r="O1721">
        <v>62</v>
      </c>
      <c r="P1721">
        <v>347</v>
      </c>
      <c r="Q1721">
        <v>28</v>
      </c>
      <c r="R1721">
        <f>SUM(Table13[[#This Row],[Rank_All_Ranks_Total]:[Rank_SSPSPAddlSPCommandant]])</f>
        <v>15818</v>
      </c>
    </row>
    <row r="1722" spans="1:18" x14ac:dyDescent="0.3">
      <c r="A1722" t="s">
        <v>11</v>
      </c>
      <c r="B1722">
        <v>2010</v>
      </c>
      <c r="C1722" t="str">
        <f>_xlfn.CONCAT(Table13[[#This Row],[STATE]],"-",Table13[[#This Row],[Year]])</f>
        <v>Goa-2010</v>
      </c>
      <c r="D1722" t="s">
        <v>73</v>
      </c>
      <c r="E1722" t="s">
        <v>74</v>
      </c>
      <c r="F1722">
        <v>1794</v>
      </c>
      <c r="G1722">
        <v>36</v>
      </c>
      <c r="H1722">
        <v>20</v>
      </c>
      <c r="I1722">
        <v>0</v>
      </c>
      <c r="J1722">
        <v>1350</v>
      </c>
      <c r="K1722">
        <v>0</v>
      </c>
      <c r="L1722">
        <v>0</v>
      </c>
      <c r="M1722">
        <v>320</v>
      </c>
      <c r="N1722">
        <v>0</v>
      </c>
      <c r="O1722">
        <v>16</v>
      </c>
      <c r="P1722">
        <v>50</v>
      </c>
      <c r="Q1722">
        <v>2</v>
      </c>
      <c r="R1722">
        <f>SUM(Table13[[#This Row],[Rank_All_Ranks_Total]:[Rank_SSPSPAddlSPCommandant]])</f>
        <v>3588</v>
      </c>
    </row>
    <row r="1723" spans="1:18" x14ac:dyDescent="0.3">
      <c r="A1723" t="s">
        <v>12</v>
      </c>
      <c r="B1723">
        <v>2010</v>
      </c>
      <c r="C1723" t="str">
        <f>_xlfn.CONCAT(Table13[[#This Row],[STATE]],"-",Table13[[#This Row],[Year]])</f>
        <v>Gujarat-2010</v>
      </c>
      <c r="D1723" t="s">
        <v>73</v>
      </c>
      <c r="E1723" t="s">
        <v>74</v>
      </c>
      <c r="F1723">
        <v>21089</v>
      </c>
      <c r="G1723">
        <v>1776</v>
      </c>
      <c r="H1723">
        <v>81</v>
      </c>
      <c r="I1723">
        <v>0</v>
      </c>
      <c r="J1723">
        <v>16335</v>
      </c>
      <c r="K1723">
        <v>1</v>
      </c>
      <c r="L1723">
        <v>3</v>
      </c>
      <c r="M1723">
        <v>1892</v>
      </c>
      <c r="N1723">
        <v>0</v>
      </c>
      <c r="O1723">
        <v>183</v>
      </c>
      <c r="P1723">
        <v>798</v>
      </c>
      <c r="Q1723">
        <v>20</v>
      </c>
      <c r="R1723">
        <f>SUM(Table13[[#This Row],[Rank_All_Ranks_Total]:[Rank_SSPSPAddlSPCommandant]])</f>
        <v>42178</v>
      </c>
    </row>
    <row r="1724" spans="1:18" x14ac:dyDescent="0.3">
      <c r="A1724" t="s">
        <v>13</v>
      </c>
      <c r="B1724">
        <v>2010</v>
      </c>
      <c r="C1724" t="str">
        <f>_xlfn.CONCAT(Table13[[#This Row],[STATE]],"-",Table13[[#This Row],[Year]])</f>
        <v>Haryana-2010</v>
      </c>
      <c r="D1724" t="s">
        <v>73</v>
      </c>
      <c r="E1724" t="s">
        <v>74</v>
      </c>
      <c r="F1724">
        <v>8397</v>
      </c>
      <c r="G1724">
        <v>286</v>
      </c>
      <c r="H1724">
        <v>44</v>
      </c>
      <c r="I1724">
        <v>0</v>
      </c>
      <c r="J1724">
        <v>6402</v>
      </c>
      <c r="K1724">
        <v>0</v>
      </c>
      <c r="L1724">
        <v>0</v>
      </c>
      <c r="M1724">
        <v>1344</v>
      </c>
      <c r="N1724">
        <v>1</v>
      </c>
      <c r="O1724">
        <v>70</v>
      </c>
      <c r="P1724">
        <v>231</v>
      </c>
      <c r="Q1724">
        <v>19</v>
      </c>
      <c r="R1724">
        <f>SUM(Table13[[#This Row],[Rank_All_Ranks_Total]:[Rank_SSPSPAddlSPCommandant]])</f>
        <v>16794</v>
      </c>
    </row>
    <row r="1725" spans="1:18" x14ac:dyDescent="0.3">
      <c r="A1725" t="s">
        <v>14</v>
      </c>
      <c r="B1725">
        <v>2010</v>
      </c>
      <c r="C1725" t="str">
        <f>_xlfn.CONCAT(Table13[[#This Row],[STATE]],"-",Table13[[#This Row],[Year]])</f>
        <v>Himachal Pradesh-2010</v>
      </c>
      <c r="D1725" t="s">
        <v>73</v>
      </c>
      <c r="E1725" t="s">
        <v>74</v>
      </c>
      <c r="F1725">
        <v>6338</v>
      </c>
      <c r="G1725">
        <v>127</v>
      </c>
      <c r="H1725">
        <v>51</v>
      </c>
      <c r="I1725">
        <v>0</v>
      </c>
      <c r="J1725">
        <v>4747</v>
      </c>
      <c r="K1725">
        <v>0</v>
      </c>
      <c r="L1725">
        <v>1</v>
      </c>
      <c r="M1725">
        <v>1142</v>
      </c>
      <c r="N1725">
        <v>0</v>
      </c>
      <c r="O1725">
        <v>57</v>
      </c>
      <c r="P1725">
        <v>175</v>
      </c>
      <c r="Q1725">
        <v>38</v>
      </c>
      <c r="R1725">
        <f>SUM(Table13[[#This Row],[Rank_All_Ranks_Total]:[Rank_SSPSPAddlSPCommandant]])</f>
        <v>12676</v>
      </c>
    </row>
    <row r="1726" spans="1:18" x14ac:dyDescent="0.3">
      <c r="A1726" t="s">
        <v>15</v>
      </c>
      <c r="B1726">
        <v>2010</v>
      </c>
      <c r="C1726" t="str">
        <f>_xlfn.CONCAT(Table13[[#This Row],[STATE]],"-",Table13[[#This Row],[Year]])</f>
        <v>Jammu &amp; Kashmir-2010</v>
      </c>
      <c r="D1726" t="s">
        <v>73</v>
      </c>
      <c r="E1726" t="s">
        <v>74</v>
      </c>
      <c r="F1726">
        <v>30595</v>
      </c>
      <c r="G1726">
        <v>595</v>
      </c>
      <c r="H1726">
        <v>230</v>
      </c>
      <c r="I1726">
        <v>5337</v>
      </c>
      <c r="J1726">
        <v>18351</v>
      </c>
      <c r="K1726">
        <v>1</v>
      </c>
      <c r="L1726">
        <v>4</v>
      </c>
      <c r="M1726">
        <v>5010</v>
      </c>
      <c r="N1726">
        <v>2</v>
      </c>
      <c r="O1726">
        <v>209</v>
      </c>
      <c r="P1726">
        <v>753</v>
      </c>
      <c r="Q1726">
        <v>103</v>
      </c>
      <c r="R1726">
        <f>SUM(Table13[[#This Row],[Rank_All_Ranks_Total]:[Rank_SSPSPAddlSPCommandant]])</f>
        <v>61190</v>
      </c>
    </row>
    <row r="1727" spans="1:18" x14ac:dyDescent="0.3">
      <c r="A1727" t="s">
        <v>16</v>
      </c>
      <c r="B1727">
        <v>2010</v>
      </c>
      <c r="C1727" t="str">
        <f>_xlfn.CONCAT(Table13[[#This Row],[STATE]],"-",Table13[[#This Row],[Year]])</f>
        <v>Jharkhand-2010</v>
      </c>
      <c r="D1727" t="s">
        <v>73</v>
      </c>
      <c r="E1727" t="s">
        <v>74</v>
      </c>
      <c r="F1727">
        <v>16404</v>
      </c>
      <c r="G1727">
        <v>134</v>
      </c>
      <c r="H1727">
        <v>143</v>
      </c>
      <c r="I1727">
        <v>0</v>
      </c>
      <c r="J1727">
        <v>12195</v>
      </c>
      <c r="K1727">
        <v>0</v>
      </c>
      <c r="L1727">
        <v>1</v>
      </c>
      <c r="M1727">
        <v>2992</v>
      </c>
      <c r="N1727">
        <v>1</v>
      </c>
      <c r="O1727">
        <v>143</v>
      </c>
      <c r="P1727">
        <v>779</v>
      </c>
      <c r="Q1727">
        <v>16</v>
      </c>
      <c r="R1727">
        <f>SUM(Table13[[#This Row],[Rank_All_Ranks_Total]:[Rank_SSPSPAddlSPCommandant]])</f>
        <v>32808</v>
      </c>
    </row>
    <row r="1728" spans="1:18" x14ac:dyDescent="0.3">
      <c r="A1728" t="s">
        <v>17</v>
      </c>
      <c r="B1728">
        <v>2010</v>
      </c>
      <c r="C1728" t="str">
        <f>_xlfn.CONCAT(Table13[[#This Row],[STATE]],"-",Table13[[#This Row],[Year]])</f>
        <v>Karnataka-2010</v>
      </c>
      <c r="D1728" t="s">
        <v>73</v>
      </c>
      <c r="E1728" t="s">
        <v>74</v>
      </c>
      <c r="F1728">
        <v>12571</v>
      </c>
      <c r="G1728">
        <v>130</v>
      </c>
      <c r="H1728">
        <v>37</v>
      </c>
      <c r="I1728">
        <v>0</v>
      </c>
      <c r="J1728">
        <v>9568</v>
      </c>
      <c r="K1728">
        <v>1</v>
      </c>
      <c r="L1728">
        <v>1</v>
      </c>
      <c r="M1728">
        <v>2360</v>
      </c>
      <c r="N1728">
        <v>1</v>
      </c>
      <c r="O1728">
        <v>133</v>
      </c>
      <c r="P1728">
        <v>319</v>
      </c>
      <c r="Q1728">
        <v>21</v>
      </c>
      <c r="R1728">
        <f>SUM(Table13[[#This Row],[Rank_All_Ranks_Total]:[Rank_SSPSPAddlSPCommandant]])</f>
        <v>25142</v>
      </c>
    </row>
    <row r="1729" spans="1:18" x14ac:dyDescent="0.3">
      <c r="A1729" t="s">
        <v>18</v>
      </c>
      <c r="B1729">
        <v>2010</v>
      </c>
      <c r="C1729" t="str">
        <f>_xlfn.CONCAT(Table13[[#This Row],[STATE]],"-",Table13[[#This Row],[Year]])</f>
        <v>Kerala-2010</v>
      </c>
      <c r="D1729" t="s">
        <v>73</v>
      </c>
      <c r="E1729" t="s">
        <v>74</v>
      </c>
      <c r="F1729">
        <v>8238</v>
      </c>
      <c r="G1729">
        <v>89</v>
      </c>
      <c r="H1729">
        <v>53</v>
      </c>
      <c r="I1729">
        <v>0</v>
      </c>
      <c r="J1729">
        <v>6387</v>
      </c>
      <c r="K1729">
        <v>1</v>
      </c>
      <c r="L1729">
        <v>1</v>
      </c>
      <c r="M1729">
        <v>1412</v>
      </c>
      <c r="N1729">
        <v>1</v>
      </c>
      <c r="O1729">
        <v>73</v>
      </c>
      <c r="P1729">
        <v>212</v>
      </c>
      <c r="Q1729">
        <v>9</v>
      </c>
      <c r="R1729">
        <f>SUM(Table13[[#This Row],[Rank_All_Ranks_Total]:[Rank_SSPSPAddlSPCommandant]])</f>
        <v>16476</v>
      </c>
    </row>
    <row r="1730" spans="1:18" x14ac:dyDescent="0.3">
      <c r="A1730" t="s">
        <v>39</v>
      </c>
      <c r="B1730">
        <v>2010</v>
      </c>
      <c r="C1730" t="str">
        <f>_xlfn.CONCAT(Table13[[#This Row],[STATE]],"-",Table13[[#This Row],[Year]])</f>
        <v>Lakshadweep-2010</v>
      </c>
      <c r="D1730" t="s">
        <v>73</v>
      </c>
      <c r="E1730" t="s">
        <v>74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f>SUM(Table13[[#This Row],[Rank_All_Ranks_Total]:[Rank_SSPSPAddlSPCommandant]])</f>
        <v>0</v>
      </c>
    </row>
    <row r="1731" spans="1:18" x14ac:dyDescent="0.3">
      <c r="A1731" t="s">
        <v>19</v>
      </c>
      <c r="B1731">
        <v>2010</v>
      </c>
      <c r="C1731" t="str">
        <f>_xlfn.CONCAT(Table13[[#This Row],[STATE]],"-",Table13[[#This Row],[Year]])</f>
        <v>Madhya Pradesh-2010</v>
      </c>
      <c r="D1731" t="s">
        <v>73</v>
      </c>
      <c r="E1731" t="s">
        <v>74</v>
      </c>
      <c r="F1731">
        <v>21395</v>
      </c>
      <c r="G1731">
        <v>1205</v>
      </c>
      <c r="H1731">
        <v>80</v>
      </c>
      <c r="I1731">
        <v>0</v>
      </c>
      <c r="J1731">
        <v>15450</v>
      </c>
      <c r="K1731">
        <v>1</v>
      </c>
      <c r="L1731">
        <v>8</v>
      </c>
      <c r="M1731">
        <v>3725</v>
      </c>
      <c r="N1731">
        <v>1</v>
      </c>
      <c r="O1731">
        <v>209</v>
      </c>
      <c r="P1731">
        <v>672</v>
      </c>
      <c r="Q1731">
        <v>44</v>
      </c>
      <c r="R1731">
        <f>SUM(Table13[[#This Row],[Rank_All_Ranks_Total]:[Rank_SSPSPAddlSPCommandant]])</f>
        <v>42790</v>
      </c>
    </row>
    <row r="1732" spans="1:18" x14ac:dyDescent="0.3">
      <c r="A1732" t="s">
        <v>20</v>
      </c>
      <c r="B1732">
        <v>2010</v>
      </c>
      <c r="C1732" t="str">
        <f>_xlfn.CONCAT(Table13[[#This Row],[STATE]],"-",Table13[[#This Row],[Year]])</f>
        <v>Maharashtra-2010</v>
      </c>
      <c r="D1732" t="s">
        <v>73</v>
      </c>
      <c r="E1732" t="s">
        <v>74</v>
      </c>
      <c r="F1732">
        <v>18841</v>
      </c>
      <c r="G1732">
        <v>1472</v>
      </c>
      <c r="H1732">
        <v>93</v>
      </c>
      <c r="I1732">
        <v>3263</v>
      </c>
      <c r="J1732">
        <v>9602</v>
      </c>
      <c r="K1732">
        <v>3</v>
      </c>
      <c r="L1732">
        <v>4</v>
      </c>
      <c r="M1732">
        <v>3496</v>
      </c>
      <c r="N1732">
        <v>4</v>
      </c>
      <c r="O1732">
        <v>257</v>
      </c>
      <c r="P1732">
        <v>625</v>
      </c>
      <c r="Q1732">
        <v>22</v>
      </c>
      <c r="R1732">
        <f>SUM(Table13[[#This Row],[Rank_All_Ranks_Total]:[Rank_SSPSPAddlSPCommandant]])</f>
        <v>37682</v>
      </c>
    </row>
    <row r="1733" spans="1:18" x14ac:dyDescent="0.3">
      <c r="A1733" t="s">
        <v>21</v>
      </c>
      <c r="B1733">
        <v>2010</v>
      </c>
      <c r="C1733" t="str">
        <f>_xlfn.CONCAT(Table13[[#This Row],[STATE]],"-",Table13[[#This Row],[Year]])</f>
        <v>Manipur-2010</v>
      </c>
      <c r="D1733" t="s">
        <v>73</v>
      </c>
      <c r="E1733" t="s">
        <v>74</v>
      </c>
      <c r="F1733">
        <v>14806</v>
      </c>
      <c r="G1733">
        <v>0</v>
      </c>
      <c r="H1733">
        <v>113</v>
      </c>
      <c r="I1733">
        <v>0</v>
      </c>
      <c r="J1733">
        <v>11356</v>
      </c>
      <c r="K1733">
        <v>1</v>
      </c>
      <c r="L1733">
        <v>3</v>
      </c>
      <c r="M1733">
        <v>2681</v>
      </c>
      <c r="N1733">
        <v>1</v>
      </c>
      <c r="O1733">
        <v>142</v>
      </c>
      <c r="P1733">
        <v>448</v>
      </c>
      <c r="Q1733">
        <v>61</v>
      </c>
      <c r="R1733">
        <f>SUM(Table13[[#This Row],[Rank_All_Ranks_Total]:[Rank_SSPSPAddlSPCommandant]])</f>
        <v>29612</v>
      </c>
    </row>
    <row r="1734" spans="1:18" x14ac:dyDescent="0.3">
      <c r="A1734" t="s">
        <v>22</v>
      </c>
      <c r="B1734">
        <v>2010</v>
      </c>
      <c r="C1734" t="str">
        <f>_xlfn.CONCAT(Table13[[#This Row],[STATE]],"-",Table13[[#This Row],[Year]])</f>
        <v>Meghalaya-2010</v>
      </c>
      <c r="D1734" t="s">
        <v>73</v>
      </c>
      <c r="E1734" t="s">
        <v>74</v>
      </c>
      <c r="F1734">
        <v>4869</v>
      </c>
      <c r="G1734">
        <v>66</v>
      </c>
      <c r="H1734">
        <v>37</v>
      </c>
      <c r="I1734">
        <v>250</v>
      </c>
      <c r="J1734">
        <v>3582</v>
      </c>
      <c r="K1734">
        <v>0</v>
      </c>
      <c r="L1734">
        <v>0</v>
      </c>
      <c r="M1734">
        <v>743</v>
      </c>
      <c r="N1734">
        <v>0</v>
      </c>
      <c r="O1734">
        <v>46</v>
      </c>
      <c r="P1734">
        <v>129</v>
      </c>
      <c r="Q1734">
        <v>16</v>
      </c>
      <c r="R1734">
        <f>SUM(Table13[[#This Row],[Rank_All_Ranks_Total]:[Rank_SSPSPAddlSPCommandant]])</f>
        <v>9738</v>
      </c>
    </row>
    <row r="1735" spans="1:18" x14ac:dyDescent="0.3">
      <c r="A1735" t="s">
        <v>23</v>
      </c>
      <c r="B1735">
        <v>2010</v>
      </c>
      <c r="C1735" t="str">
        <f>_xlfn.CONCAT(Table13[[#This Row],[STATE]],"-",Table13[[#This Row],[Year]])</f>
        <v>Mizoram-2010</v>
      </c>
      <c r="D1735" t="s">
        <v>73</v>
      </c>
      <c r="E1735" t="s">
        <v>74</v>
      </c>
      <c r="F1735">
        <v>7478</v>
      </c>
      <c r="G1735">
        <v>11</v>
      </c>
      <c r="H1735">
        <v>54</v>
      </c>
      <c r="I1735">
        <v>968</v>
      </c>
      <c r="J1735">
        <v>4991</v>
      </c>
      <c r="K1735">
        <v>0</v>
      </c>
      <c r="L1735">
        <v>0</v>
      </c>
      <c r="M1735">
        <v>1155</v>
      </c>
      <c r="N1735">
        <v>0</v>
      </c>
      <c r="O1735">
        <v>69</v>
      </c>
      <c r="P1735">
        <v>199</v>
      </c>
      <c r="Q1735">
        <v>31</v>
      </c>
      <c r="R1735">
        <f>SUM(Table13[[#This Row],[Rank_All_Ranks_Total]:[Rank_SSPSPAddlSPCommandant]])</f>
        <v>14956</v>
      </c>
    </row>
    <row r="1736" spans="1:18" x14ac:dyDescent="0.3">
      <c r="A1736" t="s">
        <v>24</v>
      </c>
      <c r="B1736">
        <v>2010</v>
      </c>
      <c r="C1736" t="str">
        <f>_xlfn.CONCAT(Table13[[#This Row],[STATE]],"-",Table13[[#This Row],[Year]])</f>
        <v>Nagaland-2010</v>
      </c>
      <c r="D1736" t="s">
        <v>73</v>
      </c>
      <c r="E1736" t="s">
        <v>74</v>
      </c>
      <c r="F1736">
        <v>4766</v>
      </c>
      <c r="G1736">
        <v>1</v>
      </c>
      <c r="H1736">
        <v>26</v>
      </c>
      <c r="I1736">
        <v>660</v>
      </c>
      <c r="J1736">
        <v>3526</v>
      </c>
      <c r="K1736">
        <v>0</v>
      </c>
      <c r="L1736">
        <v>0</v>
      </c>
      <c r="M1736">
        <v>404</v>
      </c>
      <c r="N1736">
        <v>0</v>
      </c>
      <c r="O1736">
        <v>26</v>
      </c>
      <c r="P1736">
        <v>116</v>
      </c>
      <c r="Q1736">
        <v>7</v>
      </c>
      <c r="R1736">
        <f>SUM(Table13[[#This Row],[Rank_All_Ranks_Total]:[Rank_SSPSPAddlSPCommandant]])</f>
        <v>9532</v>
      </c>
    </row>
    <row r="1737" spans="1:18" x14ac:dyDescent="0.3">
      <c r="A1737" t="s">
        <v>63</v>
      </c>
      <c r="B1737">
        <v>2010</v>
      </c>
      <c r="C1737" t="str">
        <f>_xlfn.CONCAT(Table13[[#This Row],[STATE]],"-",Table13[[#This Row],[Year]])</f>
        <v>Odisha-2010</v>
      </c>
      <c r="D1737" t="s">
        <v>73</v>
      </c>
      <c r="E1737" t="s">
        <v>74</v>
      </c>
      <c r="F1737">
        <v>20796</v>
      </c>
      <c r="G1737">
        <v>434</v>
      </c>
      <c r="H1737">
        <v>172</v>
      </c>
      <c r="I1737">
        <v>696</v>
      </c>
      <c r="J1737">
        <v>15403</v>
      </c>
      <c r="K1737">
        <v>0</v>
      </c>
      <c r="L1737">
        <v>0</v>
      </c>
      <c r="M1737">
        <v>3179</v>
      </c>
      <c r="N1737">
        <v>0</v>
      </c>
      <c r="O1737">
        <v>188</v>
      </c>
      <c r="P1737">
        <v>652</v>
      </c>
      <c r="Q1737">
        <v>72</v>
      </c>
      <c r="R1737">
        <f>SUM(Table13[[#This Row],[Rank_All_Ranks_Total]:[Rank_SSPSPAddlSPCommandant]])</f>
        <v>41592</v>
      </c>
    </row>
    <row r="1738" spans="1:18" x14ac:dyDescent="0.3">
      <c r="A1738" t="s">
        <v>64</v>
      </c>
      <c r="B1738">
        <v>2010</v>
      </c>
      <c r="C1738" t="str">
        <f>_xlfn.CONCAT(Table13[[#This Row],[STATE]],"-",Table13[[#This Row],[Year]])</f>
        <v>Puducherry-2010</v>
      </c>
      <c r="D1738" t="s">
        <v>73</v>
      </c>
      <c r="E1738" t="s">
        <v>74</v>
      </c>
      <c r="F1738">
        <v>765</v>
      </c>
      <c r="G1738">
        <v>3</v>
      </c>
      <c r="H1738">
        <v>2</v>
      </c>
      <c r="I1738">
        <v>0</v>
      </c>
      <c r="J1738">
        <v>637</v>
      </c>
      <c r="K1738">
        <v>0</v>
      </c>
      <c r="L1738">
        <v>0</v>
      </c>
      <c r="M1738">
        <v>100</v>
      </c>
      <c r="N1738">
        <v>0</v>
      </c>
      <c r="O1738">
        <v>5</v>
      </c>
      <c r="P1738">
        <v>18</v>
      </c>
      <c r="Q1738">
        <v>0</v>
      </c>
      <c r="R1738">
        <f>SUM(Table13[[#This Row],[Rank_All_Ranks_Total]:[Rank_SSPSPAddlSPCommandant]])</f>
        <v>1530</v>
      </c>
    </row>
    <row r="1739" spans="1:18" x14ac:dyDescent="0.3">
      <c r="A1739" t="s">
        <v>26</v>
      </c>
      <c r="B1739">
        <v>2010</v>
      </c>
      <c r="C1739" t="str">
        <f>_xlfn.CONCAT(Table13[[#This Row],[STATE]],"-",Table13[[#This Row],[Year]])</f>
        <v>Punjab-2010</v>
      </c>
      <c r="D1739" t="s">
        <v>73</v>
      </c>
      <c r="E1739" t="s">
        <v>74</v>
      </c>
      <c r="F1739">
        <v>19663</v>
      </c>
      <c r="G1739">
        <v>453</v>
      </c>
      <c r="H1739">
        <v>139</v>
      </c>
      <c r="I1739">
        <v>0</v>
      </c>
      <c r="J1739">
        <v>14730</v>
      </c>
      <c r="K1739">
        <v>1</v>
      </c>
      <c r="L1739">
        <v>5</v>
      </c>
      <c r="M1739">
        <v>3510</v>
      </c>
      <c r="N1739">
        <v>3</v>
      </c>
      <c r="O1739">
        <v>179</v>
      </c>
      <c r="P1739">
        <v>573</v>
      </c>
      <c r="Q1739">
        <v>70</v>
      </c>
      <c r="R1739">
        <f>SUM(Table13[[#This Row],[Rank_All_Ranks_Total]:[Rank_SSPSPAddlSPCommandant]])</f>
        <v>39326</v>
      </c>
    </row>
    <row r="1740" spans="1:18" x14ac:dyDescent="0.3">
      <c r="A1740" t="s">
        <v>27</v>
      </c>
      <c r="B1740">
        <v>2010</v>
      </c>
      <c r="C1740" t="str">
        <f>_xlfn.CONCAT(Table13[[#This Row],[STATE]],"-",Table13[[#This Row],[Year]])</f>
        <v>Rajasthan-2010</v>
      </c>
      <c r="D1740" t="s">
        <v>73</v>
      </c>
      <c r="E1740" t="s">
        <v>74</v>
      </c>
      <c r="F1740">
        <v>13230</v>
      </c>
      <c r="G1740">
        <v>0</v>
      </c>
      <c r="H1740">
        <v>74</v>
      </c>
      <c r="I1740">
        <v>0</v>
      </c>
      <c r="J1740">
        <v>10538</v>
      </c>
      <c r="K1740">
        <v>1</v>
      </c>
      <c r="L1740">
        <v>1</v>
      </c>
      <c r="M1740">
        <v>2117</v>
      </c>
      <c r="N1740">
        <v>2</v>
      </c>
      <c r="O1740">
        <v>118</v>
      </c>
      <c r="P1740">
        <v>371</v>
      </c>
      <c r="Q1740">
        <v>8</v>
      </c>
      <c r="R1740">
        <f>SUM(Table13[[#This Row],[Rank_All_Ranks_Total]:[Rank_SSPSPAddlSPCommandant]])</f>
        <v>26460</v>
      </c>
    </row>
    <row r="1741" spans="1:18" x14ac:dyDescent="0.3">
      <c r="A1741" t="s">
        <v>28</v>
      </c>
      <c r="B1741">
        <v>2010</v>
      </c>
      <c r="C1741" t="str">
        <f>_xlfn.CONCAT(Table13[[#This Row],[STATE]],"-",Table13[[#This Row],[Year]])</f>
        <v>Sikkim-2010</v>
      </c>
      <c r="D1741" t="s">
        <v>73</v>
      </c>
      <c r="E1741" t="s">
        <v>74</v>
      </c>
      <c r="F1741">
        <v>3405</v>
      </c>
      <c r="G1741">
        <v>96</v>
      </c>
      <c r="H1741">
        <v>26</v>
      </c>
      <c r="I1741">
        <v>492</v>
      </c>
      <c r="J1741">
        <v>2490</v>
      </c>
      <c r="K1741">
        <v>0</v>
      </c>
      <c r="L1741">
        <v>4</v>
      </c>
      <c r="M1741">
        <v>171</v>
      </c>
      <c r="N1741">
        <v>1</v>
      </c>
      <c r="O1741">
        <v>32</v>
      </c>
      <c r="P1741">
        <v>89</v>
      </c>
      <c r="Q1741">
        <v>4</v>
      </c>
      <c r="R1741">
        <f>SUM(Table13[[#This Row],[Rank_All_Ranks_Total]:[Rank_SSPSPAddlSPCommandant]])</f>
        <v>6810</v>
      </c>
    </row>
    <row r="1742" spans="1:18" x14ac:dyDescent="0.3">
      <c r="A1742" t="s">
        <v>42</v>
      </c>
      <c r="B1742">
        <v>2010</v>
      </c>
      <c r="C1742" t="str">
        <f>_xlfn.CONCAT(Table13[[#This Row],[STATE]],"-",Table13[[#This Row],[Year]])</f>
        <v>Tamil Nadu-2010</v>
      </c>
      <c r="D1742" t="s">
        <v>73</v>
      </c>
      <c r="E1742" t="s">
        <v>74</v>
      </c>
      <c r="F1742">
        <v>14810</v>
      </c>
      <c r="G1742">
        <v>0</v>
      </c>
      <c r="H1742">
        <v>52</v>
      </c>
      <c r="I1742">
        <v>1974</v>
      </c>
      <c r="J1742">
        <v>10436</v>
      </c>
      <c r="K1742">
        <v>0</v>
      </c>
      <c r="L1742">
        <v>0</v>
      </c>
      <c r="M1742">
        <v>1669</v>
      </c>
      <c r="N1742">
        <v>0</v>
      </c>
      <c r="O1742">
        <v>157</v>
      </c>
      <c r="P1742">
        <v>489</v>
      </c>
      <c r="Q1742">
        <v>33</v>
      </c>
      <c r="R1742">
        <f>SUM(Table13[[#This Row],[Rank_All_Ranks_Total]:[Rank_SSPSPAddlSPCommandant]])</f>
        <v>29620</v>
      </c>
    </row>
    <row r="1743" spans="1:18" x14ac:dyDescent="0.3">
      <c r="A1743" t="s">
        <v>30</v>
      </c>
      <c r="B1743">
        <v>2010</v>
      </c>
      <c r="C1743" t="str">
        <f>_xlfn.CONCAT(Table13[[#This Row],[STATE]],"-",Table13[[#This Row],[Year]])</f>
        <v>Tripura-2010</v>
      </c>
      <c r="D1743" t="s">
        <v>73</v>
      </c>
      <c r="E1743" t="s">
        <v>74</v>
      </c>
      <c r="F1743">
        <v>16818</v>
      </c>
      <c r="G1743">
        <v>0</v>
      </c>
      <c r="H1743">
        <v>117</v>
      </c>
      <c r="I1743">
        <v>2409</v>
      </c>
      <c r="J1743">
        <v>11030</v>
      </c>
      <c r="K1743">
        <v>0</v>
      </c>
      <c r="L1743">
        <v>2</v>
      </c>
      <c r="M1743">
        <v>2597</v>
      </c>
      <c r="N1743">
        <v>0</v>
      </c>
      <c r="O1743">
        <v>201</v>
      </c>
      <c r="P1743">
        <v>436</v>
      </c>
      <c r="Q1743">
        <v>26</v>
      </c>
      <c r="R1743">
        <f>SUM(Table13[[#This Row],[Rank_All_Ranks_Total]:[Rank_SSPSPAddlSPCommandant]])</f>
        <v>33636</v>
      </c>
    </row>
    <row r="1744" spans="1:18" x14ac:dyDescent="0.3">
      <c r="A1744" t="s">
        <v>31</v>
      </c>
      <c r="B1744">
        <v>2010</v>
      </c>
      <c r="C1744" t="str">
        <f>_xlfn.CONCAT(Table13[[#This Row],[STATE]],"-",Table13[[#This Row],[Year]])</f>
        <v>Uttar Pradesh-2010</v>
      </c>
      <c r="D1744" t="s">
        <v>73</v>
      </c>
      <c r="E1744" t="s">
        <v>74</v>
      </c>
      <c r="F1744">
        <v>36243</v>
      </c>
      <c r="G1744">
        <v>0</v>
      </c>
      <c r="H1744">
        <v>108</v>
      </c>
      <c r="I1744">
        <v>0</v>
      </c>
      <c r="J1744">
        <v>26217</v>
      </c>
      <c r="K1744">
        <v>1</v>
      </c>
      <c r="L1744">
        <v>8</v>
      </c>
      <c r="M1744">
        <v>7809</v>
      </c>
      <c r="N1744">
        <v>5</v>
      </c>
      <c r="O1744">
        <v>306</v>
      </c>
      <c r="P1744">
        <v>1717</v>
      </c>
      <c r="Q1744">
        <v>72</v>
      </c>
      <c r="R1744">
        <f>SUM(Table13[[#This Row],[Rank_All_Ranks_Total]:[Rank_SSPSPAddlSPCommandant]])</f>
        <v>72486</v>
      </c>
    </row>
    <row r="1745" spans="1:18" x14ac:dyDescent="0.3">
      <c r="A1745" t="s">
        <v>65</v>
      </c>
      <c r="B1745">
        <v>2010</v>
      </c>
      <c r="C1745" t="str">
        <f>_xlfn.CONCAT(Table13[[#This Row],[STATE]],"-",Table13[[#This Row],[Year]])</f>
        <v>Uttarakhand-2010</v>
      </c>
      <c r="D1745" t="s">
        <v>73</v>
      </c>
      <c r="E1745" t="s">
        <v>74</v>
      </c>
      <c r="F1745">
        <v>5151</v>
      </c>
      <c r="G1745">
        <v>0</v>
      </c>
      <c r="H1745">
        <v>23</v>
      </c>
      <c r="I1745">
        <v>0</v>
      </c>
      <c r="J1745">
        <v>4030</v>
      </c>
      <c r="K1745">
        <v>0</v>
      </c>
      <c r="L1745">
        <v>1</v>
      </c>
      <c r="M1745">
        <v>910</v>
      </c>
      <c r="N1745">
        <v>0</v>
      </c>
      <c r="O1745">
        <v>43</v>
      </c>
      <c r="P1745">
        <v>130</v>
      </c>
      <c r="Q1745">
        <v>14</v>
      </c>
      <c r="R1745">
        <f>SUM(Table13[[#This Row],[Rank_All_Ranks_Total]:[Rank_SSPSPAddlSPCommandant]])</f>
        <v>10302</v>
      </c>
    </row>
    <row r="1746" spans="1:18" x14ac:dyDescent="0.3">
      <c r="A1746" t="s">
        <v>33</v>
      </c>
      <c r="B1746">
        <v>2010</v>
      </c>
      <c r="C1746" t="str">
        <f>_xlfn.CONCAT(Table13[[#This Row],[STATE]],"-",Table13[[#This Row],[Year]])</f>
        <v>West Bengal-2010</v>
      </c>
      <c r="D1746" t="s">
        <v>73</v>
      </c>
      <c r="E1746" t="s">
        <v>74</v>
      </c>
      <c r="F1746">
        <v>27579</v>
      </c>
      <c r="G1746">
        <v>5023</v>
      </c>
      <c r="H1746">
        <v>139</v>
      </c>
      <c r="I1746">
        <v>11</v>
      </c>
      <c r="J1746">
        <v>21099</v>
      </c>
      <c r="K1746">
        <v>1</v>
      </c>
      <c r="L1746">
        <v>5</v>
      </c>
      <c r="M1746">
        <v>0</v>
      </c>
      <c r="N1746">
        <v>3</v>
      </c>
      <c r="O1746">
        <v>306</v>
      </c>
      <c r="P1746">
        <v>950</v>
      </c>
      <c r="Q1746">
        <v>42</v>
      </c>
      <c r="R1746">
        <f>SUM(Table13[[#This Row],[Rank_All_Ranks_Total]:[Rank_SSPSPAddlSPCommandant]])</f>
        <v>55158</v>
      </c>
    </row>
    <row r="1747" spans="1:18" x14ac:dyDescent="0.3">
      <c r="A1747" t="s">
        <v>59</v>
      </c>
      <c r="B1747">
        <v>2001</v>
      </c>
      <c r="C1747" t="str">
        <f>_xlfn.CONCAT(Table13[[#This Row],[STATE]],"-",Table13[[#This Row],[Year]])</f>
        <v>Andaman &amp; Nicobar Islands-2001</v>
      </c>
      <c r="D1747" t="s">
        <v>75</v>
      </c>
      <c r="E1747" t="s">
        <v>76</v>
      </c>
      <c r="F1747">
        <v>2138</v>
      </c>
      <c r="G1747">
        <v>219</v>
      </c>
      <c r="H1747">
        <v>10</v>
      </c>
      <c r="I1747">
        <v>0</v>
      </c>
      <c r="J1747">
        <v>1434</v>
      </c>
      <c r="K1747">
        <v>0</v>
      </c>
      <c r="L1747">
        <v>0</v>
      </c>
      <c r="M1747">
        <v>319</v>
      </c>
      <c r="N1747">
        <v>1</v>
      </c>
      <c r="O1747">
        <v>28</v>
      </c>
      <c r="P1747">
        <v>125</v>
      </c>
      <c r="Q1747">
        <v>2</v>
      </c>
      <c r="R1747">
        <f>SUM(Table13[[#This Row],[Rank_All_Ranks_Total]:[Rank_SSPSPAddlSPCommandant]])</f>
        <v>4276</v>
      </c>
    </row>
    <row r="1748" spans="1:18" x14ac:dyDescent="0.3">
      <c r="A1748" t="s">
        <v>6</v>
      </c>
      <c r="B1748">
        <v>2001</v>
      </c>
      <c r="C1748" t="str">
        <f>_xlfn.CONCAT(Table13[[#This Row],[STATE]],"-",Table13[[#This Row],[Year]])</f>
        <v>Andhra Pradesh-2001</v>
      </c>
      <c r="D1748" t="s">
        <v>75</v>
      </c>
      <c r="E1748" t="s">
        <v>76</v>
      </c>
      <c r="F1748">
        <v>69693</v>
      </c>
      <c r="G1748">
        <v>2569</v>
      </c>
      <c r="H1748">
        <v>316</v>
      </c>
      <c r="I1748">
        <v>0</v>
      </c>
      <c r="J1748">
        <v>50952</v>
      </c>
      <c r="K1748">
        <v>5</v>
      </c>
      <c r="L1748">
        <v>20</v>
      </c>
      <c r="M1748">
        <v>10850</v>
      </c>
      <c r="N1748">
        <v>23</v>
      </c>
      <c r="O1748">
        <v>1053</v>
      </c>
      <c r="P1748">
        <v>3774</v>
      </c>
      <c r="Q1748">
        <v>131</v>
      </c>
      <c r="R1748">
        <f>SUM(Table13[[#This Row],[Rank_All_Ranks_Total]:[Rank_SSPSPAddlSPCommandant]])</f>
        <v>139386</v>
      </c>
    </row>
    <row r="1749" spans="1:18" x14ac:dyDescent="0.3">
      <c r="A1749" t="s">
        <v>7</v>
      </c>
      <c r="B1749">
        <v>2001</v>
      </c>
      <c r="C1749" t="str">
        <f>_xlfn.CONCAT(Table13[[#This Row],[STATE]],"-",Table13[[#This Row],[Year]])</f>
        <v>Arunachal Pradesh-2001</v>
      </c>
      <c r="D1749" t="s">
        <v>75</v>
      </c>
      <c r="E1749" t="s">
        <v>76</v>
      </c>
      <c r="F1749">
        <v>3235</v>
      </c>
      <c r="G1749">
        <v>143</v>
      </c>
      <c r="H1749">
        <v>42</v>
      </c>
      <c r="I1749">
        <v>0</v>
      </c>
      <c r="J1749">
        <v>2297</v>
      </c>
      <c r="K1749">
        <v>1</v>
      </c>
      <c r="L1749">
        <v>3</v>
      </c>
      <c r="M1749">
        <v>358</v>
      </c>
      <c r="N1749">
        <v>1</v>
      </c>
      <c r="O1749">
        <v>46</v>
      </c>
      <c r="P1749">
        <v>323</v>
      </c>
      <c r="Q1749">
        <v>21</v>
      </c>
      <c r="R1749">
        <f>SUM(Table13[[#This Row],[Rank_All_Ranks_Total]:[Rank_SSPSPAddlSPCommandant]])</f>
        <v>6470</v>
      </c>
    </row>
    <row r="1750" spans="1:18" x14ac:dyDescent="0.3">
      <c r="A1750" t="s">
        <v>8</v>
      </c>
      <c r="B1750">
        <v>2001</v>
      </c>
      <c r="C1750" t="str">
        <f>_xlfn.CONCAT(Table13[[#This Row],[STATE]],"-",Table13[[#This Row],[Year]])</f>
        <v>Assam-2001</v>
      </c>
      <c r="D1750" t="s">
        <v>75</v>
      </c>
      <c r="E1750" t="s">
        <v>76</v>
      </c>
      <c r="F1750">
        <v>30033</v>
      </c>
      <c r="G1750">
        <v>1789</v>
      </c>
      <c r="H1750">
        <v>161</v>
      </c>
      <c r="I1750">
        <v>901</v>
      </c>
      <c r="J1750">
        <v>21969</v>
      </c>
      <c r="K1750">
        <v>7</v>
      </c>
      <c r="L1750">
        <v>16</v>
      </c>
      <c r="M1750">
        <v>1826</v>
      </c>
      <c r="N1750">
        <v>11</v>
      </c>
      <c r="O1750">
        <v>487</v>
      </c>
      <c r="P1750">
        <v>2732</v>
      </c>
      <c r="Q1750">
        <v>134</v>
      </c>
      <c r="R1750">
        <f>SUM(Table13[[#This Row],[Rank_All_Ranks_Total]:[Rank_SSPSPAddlSPCommandant]])</f>
        <v>60066</v>
      </c>
    </row>
    <row r="1751" spans="1:18" x14ac:dyDescent="0.3">
      <c r="A1751" t="s">
        <v>9</v>
      </c>
      <c r="B1751">
        <v>2001</v>
      </c>
      <c r="C1751" t="str">
        <f>_xlfn.CONCAT(Table13[[#This Row],[STATE]],"-",Table13[[#This Row],[Year]])</f>
        <v>Bihar-2001</v>
      </c>
      <c r="D1751" t="s">
        <v>75</v>
      </c>
      <c r="E1751" t="s">
        <v>76</v>
      </c>
      <c r="F1751">
        <v>52844</v>
      </c>
      <c r="G1751">
        <v>3431</v>
      </c>
      <c r="H1751">
        <v>171</v>
      </c>
      <c r="I1751">
        <v>364</v>
      </c>
      <c r="J1751">
        <v>36172</v>
      </c>
      <c r="K1751">
        <v>1</v>
      </c>
      <c r="L1751">
        <v>3</v>
      </c>
      <c r="M1751">
        <v>7332</v>
      </c>
      <c r="N1751">
        <v>0</v>
      </c>
      <c r="O1751">
        <v>388</v>
      </c>
      <c r="P1751">
        <v>4935</v>
      </c>
      <c r="Q1751">
        <v>47</v>
      </c>
      <c r="R1751">
        <f>SUM(Table13[[#This Row],[Rank_All_Ranks_Total]:[Rank_SSPSPAddlSPCommandant]])</f>
        <v>105688</v>
      </c>
    </row>
    <row r="1752" spans="1:18" x14ac:dyDescent="0.3">
      <c r="A1752" t="s">
        <v>35</v>
      </c>
      <c r="B1752">
        <v>2001</v>
      </c>
      <c r="C1752" t="str">
        <f>_xlfn.CONCAT(Table13[[#This Row],[STATE]],"-",Table13[[#This Row],[Year]])</f>
        <v>Chandigarh-2001</v>
      </c>
      <c r="D1752" t="s">
        <v>75</v>
      </c>
      <c r="E1752" t="s">
        <v>76</v>
      </c>
      <c r="F1752">
        <v>3049</v>
      </c>
      <c r="G1752">
        <v>189</v>
      </c>
      <c r="H1752">
        <v>10</v>
      </c>
      <c r="I1752">
        <v>0</v>
      </c>
      <c r="J1752">
        <v>1918</v>
      </c>
      <c r="K1752">
        <v>0</v>
      </c>
      <c r="L1752">
        <v>1</v>
      </c>
      <c r="M1752">
        <v>666</v>
      </c>
      <c r="N1752">
        <v>1</v>
      </c>
      <c r="O1752">
        <v>42</v>
      </c>
      <c r="P1752">
        <v>219</v>
      </c>
      <c r="Q1752">
        <v>3</v>
      </c>
      <c r="R1752">
        <f>SUM(Table13[[#This Row],[Rank_All_Ranks_Total]:[Rank_SSPSPAddlSPCommandant]])</f>
        <v>6098</v>
      </c>
    </row>
    <row r="1753" spans="1:18" x14ac:dyDescent="0.3">
      <c r="A1753" t="s">
        <v>10</v>
      </c>
      <c r="B1753">
        <v>2001</v>
      </c>
      <c r="C1753" t="str">
        <f>_xlfn.CONCAT(Table13[[#This Row],[STATE]],"-",Table13[[#This Row],[Year]])</f>
        <v>Chhattisgarh-2001</v>
      </c>
      <c r="D1753" t="s">
        <v>75</v>
      </c>
      <c r="E1753" t="s">
        <v>76</v>
      </c>
      <c r="F1753">
        <v>11918</v>
      </c>
      <c r="G1753">
        <v>512</v>
      </c>
      <c r="H1753">
        <v>92</v>
      </c>
      <c r="I1753">
        <v>0</v>
      </c>
      <c r="J1753">
        <v>8133</v>
      </c>
      <c r="K1753">
        <v>0</v>
      </c>
      <c r="L1753">
        <v>1</v>
      </c>
      <c r="M1753">
        <v>2387</v>
      </c>
      <c r="N1753">
        <v>4</v>
      </c>
      <c r="O1753">
        <v>134</v>
      </c>
      <c r="P1753">
        <v>624</v>
      </c>
      <c r="Q1753">
        <v>31</v>
      </c>
      <c r="R1753">
        <f>SUM(Table13[[#This Row],[Rank_All_Ranks_Total]:[Rank_SSPSPAddlSPCommandant]])</f>
        <v>23836</v>
      </c>
    </row>
    <row r="1754" spans="1:18" x14ac:dyDescent="0.3">
      <c r="A1754" t="s">
        <v>62</v>
      </c>
      <c r="B1754">
        <v>2001</v>
      </c>
      <c r="C1754" t="str">
        <f>_xlfn.CONCAT(Table13[[#This Row],[STATE]],"-",Table13[[#This Row],[Year]])</f>
        <v>Dadra &amp; Nagar Haveli-2001</v>
      </c>
      <c r="D1754" t="s">
        <v>75</v>
      </c>
      <c r="E1754" t="s">
        <v>76</v>
      </c>
      <c r="F1754">
        <v>140</v>
      </c>
      <c r="G1754">
        <v>2</v>
      </c>
      <c r="H1754">
        <v>1</v>
      </c>
      <c r="I1754">
        <v>0</v>
      </c>
      <c r="J1754">
        <v>91</v>
      </c>
      <c r="K1754">
        <v>0</v>
      </c>
      <c r="L1754">
        <v>0</v>
      </c>
      <c r="M1754">
        <v>33</v>
      </c>
      <c r="N1754">
        <v>0</v>
      </c>
      <c r="O1754">
        <v>1</v>
      </c>
      <c r="P1754">
        <v>11</v>
      </c>
      <c r="Q1754">
        <v>1</v>
      </c>
      <c r="R1754">
        <f>SUM(Table13[[#This Row],[Rank_All_Ranks_Total]:[Rank_SSPSPAddlSPCommandant]])</f>
        <v>280</v>
      </c>
    </row>
    <row r="1755" spans="1:18" x14ac:dyDescent="0.3">
      <c r="A1755" t="s">
        <v>37</v>
      </c>
      <c r="B1755">
        <v>2001</v>
      </c>
      <c r="C1755" t="str">
        <f>_xlfn.CONCAT(Table13[[#This Row],[STATE]],"-",Table13[[#This Row],[Year]])</f>
        <v>Daman &amp; Diu-2001</v>
      </c>
      <c r="D1755" t="s">
        <v>75</v>
      </c>
      <c r="E1755" t="s">
        <v>76</v>
      </c>
      <c r="F1755">
        <v>221</v>
      </c>
      <c r="G1755">
        <v>8</v>
      </c>
      <c r="H1755">
        <v>2</v>
      </c>
      <c r="I1755">
        <v>0</v>
      </c>
      <c r="J1755">
        <v>173</v>
      </c>
      <c r="K1755">
        <v>0</v>
      </c>
      <c r="L1755">
        <v>0</v>
      </c>
      <c r="M1755">
        <v>25</v>
      </c>
      <c r="N1755">
        <v>0</v>
      </c>
      <c r="O1755">
        <v>3</v>
      </c>
      <c r="P1755">
        <v>9</v>
      </c>
      <c r="Q1755">
        <v>1</v>
      </c>
      <c r="R1755">
        <f>SUM(Table13[[#This Row],[Rank_All_Ranks_Total]:[Rank_SSPSPAddlSPCommandant]])</f>
        <v>442</v>
      </c>
    </row>
    <row r="1756" spans="1:18" x14ac:dyDescent="0.3">
      <c r="A1756" t="s">
        <v>38</v>
      </c>
      <c r="B1756">
        <v>2001</v>
      </c>
      <c r="C1756" t="str">
        <f>_xlfn.CONCAT(Table13[[#This Row],[STATE]],"-",Table13[[#This Row],[Year]])</f>
        <v>Delhi-2001</v>
      </c>
      <c r="D1756" t="s">
        <v>75</v>
      </c>
      <c r="E1756" t="s">
        <v>76</v>
      </c>
      <c r="F1756">
        <v>46575</v>
      </c>
      <c r="G1756">
        <v>5420</v>
      </c>
      <c r="H1756">
        <v>233</v>
      </c>
      <c r="I1756">
        <v>0</v>
      </c>
      <c r="J1756">
        <v>24211</v>
      </c>
      <c r="K1756">
        <v>4</v>
      </c>
      <c r="L1756">
        <v>5</v>
      </c>
      <c r="M1756">
        <v>11722</v>
      </c>
      <c r="N1756">
        <v>14</v>
      </c>
      <c r="O1756">
        <v>924</v>
      </c>
      <c r="P1756">
        <v>3983</v>
      </c>
      <c r="Q1756">
        <v>59</v>
      </c>
      <c r="R1756">
        <f>SUM(Table13[[#This Row],[Rank_All_Ranks_Total]:[Rank_SSPSPAddlSPCommandant]])</f>
        <v>93150</v>
      </c>
    </row>
    <row r="1757" spans="1:18" x14ac:dyDescent="0.3">
      <c r="A1757" t="s">
        <v>11</v>
      </c>
      <c r="B1757">
        <v>2001</v>
      </c>
      <c r="C1757" t="str">
        <f>_xlfn.CONCAT(Table13[[#This Row],[STATE]],"-",Table13[[#This Row],[Year]])</f>
        <v>Goa-2001</v>
      </c>
      <c r="D1757" t="s">
        <v>75</v>
      </c>
      <c r="E1757" t="s">
        <v>76</v>
      </c>
      <c r="F1757">
        <v>3230</v>
      </c>
      <c r="G1757">
        <v>133</v>
      </c>
      <c r="H1757">
        <v>20</v>
      </c>
      <c r="I1757">
        <v>0</v>
      </c>
      <c r="J1757">
        <v>2293</v>
      </c>
      <c r="K1757">
        <v>1</v>
      </c>
      <c r="L1757">
        <v>2</v>
      </c>
      <c r="M1757">
        <v>592</v>
      </c>
      <c r="N1757">
        <v>0</v>
      </c>
      <c r="O1757">
        <v>48</v>
      </c>
      <c r="P1757">
        <v>135</v>
      </c>
      <c r="Q1757">
        <v>6</v>
      </c>
      <c r="R1757">
        <f>SUM(Table13[[#This Row],[Rank_All_Ranks_Total]:[Rank_SSPSPAddlSPCommandant]])</f>
        <v>6460</v>
      </c>
    </row>
    <row r="1758" spans="1:18" x14ac:dyDescent="0.3">
      <c r="A1758" t="s">
        <v>12</v>
      </c>
      <c r="B1758">
        <v>2001</v>
      </c>
      <c r="C1758" t="str">
        <f>_xlfn.CONCAT(Table13[[#This Row],[STATE]],"-",Table13[[#This Row],[Year]])</f>
        <v>Gujarat-2001</v>
      </c>
      <c r="D1758" t="s">
        <v>75</v>
      </c>
      <c r="E1758" t="s">
        <v>76</v>
      </c>
      <c r="F1758">
        <v>53013</v>
      </c>
      <c r="G1758">
        <v>7038</v>
      </c>
      <c r="H1758">
        <v>197</v>
      </c>
      <c r="I1758">
        <v>0</v>
      </c>
      <c r="J1758">
        <v>33260</v>
      </c>
      <c r="K1758">
        <v>17</v>
      </c>
      <c r="L1758">
        <v>18</v>
      </c>
      <c r="M1758">
        <v>9423</v>
      </c>
      <c r="N1758">
        <v>26</v>
      </c>
      <c r="O1758">
        <v>705</v>
      </c>
      <c r="P1758">
        <v>2255</v>
      </c>
      <c r="Q1758">
        <v>74</v>
      </c>
      <c r="R1758">
        <f>SUM(Table13[[#This Row],[Rank_All_Ranks_Total]:[Rank_SSPSPAddlSPCommandant]])</f>
        <v>106026</v>
      </c>
    </row>
    <row r="1759" spans="1:18" x14ac:dyDescent="0.3">
      <c r="A1759" t="s">
        <v>13</v>
      </c>
      <c r="B1759">
        <v>2001</v>
      </c>
      <c r="C1759" t="str">
        <f>_xlfn.CONCAT(Table13[[#This Row],[STATE]],"-",Table13[[#This Row],[Year]])</f>
        <v>Haryana-2001</v>
      </c>
      <c r="D1759" t="s">
        <v>75</v>
      </c>
      <c r="E1759" t="s">
        <v>76</v>
      </c>
      <c r="F1759">
        <v>34757</v>
      </c>
      <c r="G1759">
        <v>2349</v>
      </c>
      <c r="H1759">
        <v>140</v>
      </c>
      <c r="I1759">
        <v>0</v>
      </c>
      <c r="J1759">
        <v>23187</v>
      </c>
      <c r="K1759">
        <v>6</v>
      </c>
      <c r="L1759">
        <v>9</v>
      </c>
      <c r="M1759">
        <v>7674</v>
      </c>
      <c r="N1759">
        <v>12</v>
      </c>
      <c r="O1759">
        <v>334</v>
      </c>
      <c r="P1759">
        <v>994</v>
      </c>
      <c r="Q1759">
        <v>52</v>
      </c>
      <c r="R1759">
        <f>SUM(Table13[[#This Row],[Rank_All_Ranks_Total]:[Rank_SSPSPAddlSPCommandant]])</f>
        <v>69514</v>
      </c>
    </row>
    <row r="1760" spans="1:18" x14ac:dyDescent="0.3">
      <c r="A1760" t="s">
        <v>14</v>
      </c>
      <c r="B1760">
        <v>2001</v>
      </c>
      <c r="C1760" t="str">
        <f>_xlfn.CONCAT(Table13[[#This Row],[STATE]],"-",Table13[[#This Row],[Year]])</f>
        <v>Himachal Pradesh-2001</v>
      </c>
      <c r="D1760" t="s">
        <v>75</v>
      </c>
      <c r="E1760" t="s">
        <v>76</v>
      </c>
      <c r="F1760">
        <v>8821</v>
      </c>
      <c r="G1760">
        <v>730</v>
      </c>
      <c r="H1760">
        <v>81</v>
      </c>
      <c r="I1760">
        <v>1300</v>
      </c>
      <c r="J1760">
        <v>4706</v>
      </c>
      <c r="K1760">
        <v>8</v>
      </c>
      <c r="L1760">
        <v>13</v>
      </c>
      <c r="M1760">
        <v>1399</v>
      </c>
      <c r="N1760">
        <v>13</v>
      </c>
      <c r="O1760">
        <v>156</v>
      </c>
      <c r="P1760">
        <v>368</v>
      </c>
      <c r="Q1760">
        <v>47</v>
      </c>
      <c r="R1760">
        <f>SUM(Table13[[#This Row],[Rank_All_Ranks_Total]:[Rank_SSPSPAddlSPCommandant]])</f>
        <v>17642</v>
      </c>
    </row>
    <row r="1761" spans="1:18" x14ac:dyDescent="0.3">
      <c r="A1761" t="s">
        <v>15</v>
      </c>
      <c r="B1761">
        <v>2001</v>
      </c>
      <c r="C1761" t="str">
        <f>_xlfn.CONCAT(Table13[[#This Row],[STATE]],"-",Table13[[#This Row],[Year]])</f>
        <v>Jammu &amp; Kashmir-2001</v>
      </c>
      <c r="D1761" t="s">
        <v>75</v>
      </c>
      <c r="E1761" t="s">
        <v>76</v>
      </c>
      <c r="F1761">
        <v>40278</v>
      </c>
      <c r="G1761">
        <v>2617</v>
      </c>
      <c r="H1761">
        <v>223</v>
      </c>
      <c r="I1761">
        <v>0</v>
      </c>
      <c r="J1761">
        <v>28212</v>
      </c>
      <c r="K1761">
        <v>3</v>
      </c>
      <c r="L1761">
        <v>19</v>
      </c>
      <c r="M1761">
        <v>6892</v>
      </c>
      <c r="N1761">
        <v>13</v>
      </c>
      <c r="O1761">
        <v>554</v>
      </c>
      <c r="P1761">
        <v>1639</v>
      </c>
      <c r="Q1761">
        <v>106</v>
      </c>
      <c r="R1761">
        <f>SUM(Table13[[#This Row],[Rank_All_Ranks_Total]:[Rank_SSPSPAddlSPCommandant]])</f>
        <v>80556</v>
      </c>
    </row>
    <row r="1762" spans="1:18" x14ac:dyDescent="0.3">
      <c r="A1762" t="s">
        <v>17</v>
      </c>
      <c r="B1762">
        <v>2001</v>
      </c>
      <c r="C1762" t="str">
        <f>_xlfn.CONCAT(Table13[[#This Row],[STATE]],"-",Table13[[#This Row],[Year]])</f>
        <v>Karnataka-2001</v>
      </c>
      <c r="D1762" t="s">
        <v>75</v>
      </c>
      <c r="E1762" t="s">
        <v>76</v>
      </c>
      <c r="F1762">
        <v>56026</v>
      </c>
      <c r="G1762">
        <v>2728</v>
      </c>
      <c r="H1762">
        <v>185</v>
      </c>
      <c r="I1762">
        <v>0</v>
      </c>
      <c r="J1762">
        <v>38599</v>
      </c>
      <c r="K1762">
        <v>2</v>
      </c>
      <c r="L1762">
        <v>4</v>
      </c>
      <c r="M1762">
        <v>11606</v>
      </c>
      <c r="N1762">
        <v>4</v>
      </c>
      <c r="O1762">
        <v>697</v>
      </c>
      <c r="P1762">
        <v>2131</v>
      </c>
      <c r="Q1762">
        <v>70</v>
      </c>
      <c r="R1762">
        <f>SUM(Table13[[#This Row],[Rank_All_Ranks_Total]:[Rank_SSPSPAddlSPCommandant]])</f>
        <v>112052</v>
      </c>
    </row>
    <row r="1763" spans="1:18" x14ac:dyDescent="0.3">
      <c r="A1763" t="s">
        <v>18</v>
      </c>
      <c r="B1763">
        <v>2001</v>
      </c>
      <c r="C1763" t="str">
        <f>_xlfn.CONCAT(Table13[[#This Row],[STATE]],"-",Table13[[#This Row],[Year]])</f>
        <v>Kerala-2001</v>
      </c>
      <c r="D1763" t="s">
        <v>75</v>
      </c>
      <c r="E1763" t="s">
        <v>76</v>
      </c>
      <c r="F1763">
        <v>36040</v>
      </c>
      <c r="G1763">
        <v>1613</v>
      </c>
      <c r="H1763">
        <v>277</v>
      </c>
      <c r="I1763">
        <v>0</v>
      </c>
      <c r="J1763">
        <v>24712</v>
      </c>
      <c r="K1763">
        <v>6</v>
      </c>
      <c r="L1763">
        <v>11</v>
      </c>
      <c r="M1763">
        <v>7458</v>
      </c>
      <c r="N1763">
        <v>6</v>
      </c>
      <c r="O1763">
        <v>398</v>
      </c>
      <c r="P1763">
        <v>1494</v>
      </c>
      <c r="Q1763">
        <v>65</v>
      </c>
      <c r="R1763">
        <f>SUM(Table13[[#This Row],[Rank_All_Ranks_Total]:[Rank_SSPSPAddlSPCommandant]])</f>
        <v>72080</v>
      </c>
    </row>
    <row r="1764" spans="1:18" x14ac:dyDescent="0.3">
      <c r="A1764" t="s">
        <v>39</v>
      </c>
      <c r="B1764">
        <v>2001</v>
      </c>
      <c r="C1764" t="str">
        <f>_xlfn.CONCAT(Table13[[#This Row],[STATE]],"-",Table13[[#This Row],[Year]])</f>
        <v>Lakshadweep-2001</v>
      </c>
      <c r="D1764" t="s">
        <v>75</v>
      </c>
      <c r="E1764" t="s">
        <v>76</v>
      </c>
      <c r="F1764">
        <v>348</v>
      </c>
      <c r="G1764">
        <v>28</v>
      </c>
      <c r="H1764">
        <v>1</v>
      </c>
      <c r="I1764">
        <v>0</v>
      </c>
      <c r="J1764">
        <v>230</v>
      </c>
      <c r="K1764">
        <v>0</v>
      </c>
      <c r="L1764">
        <v>0</v>
      </c>
      <c r="M1764">
        <v>63</v>
      </c>
      <c r="N1764">
        <v>0</v>
      </c>
      <c r="O1764">
        <v>5</v>
      </c>
      <c r="P1764">
        <v>20</v>
      </c>
      <c r="Q1764">
        <v>1</v>
      </c>
      <c r="R1764">
        <f>SUM(Table13[[#This Row],[Rank_All_Ranks_Total]:[Rank_SSPSPAddlSPCommandant]])</f>
        <v>696</v>
      </c>
    </row>
    <row r="1765" spans="1:18" x14ac:dyDescent="0.3">
      <c r="A1765" t="s">
        <v>19</v>
      </c>
      <c r="B1765">
        <v>2001</v>
      </c>
      <c r="C1765" t="str">
        <f>_xlfn.CONCAT(Table13[[#This Row],[STATE]],"-",Table13[[#This Row],[Year]])</f>
        <v>Madhya Pradesh-2001</v>
      </c>
      <c r="D1765" t="s">
        <v>75</v>
      </c>
      <c r="E1765" t="s">
        <v>76</v>
      </c>
      <c r="F1765">
        <v>70202</v>
      </c>
      <c r="G1765">
        <v>5444</v>
      </c>
      <c r="H1765">
        <v>589</v>
      </c>
      <c r="I1765">
        <v>44785</v>
      </c>
      <c r="J1765">
        <v>0</v>
      </c>
      <c r="K1765">
        <v>25</v>
      </c>
      <c r="L1765">
        <v>34</v>
      </c>
      <c r="M1765">
        <v>12563</v>
      </c>
      <c r="N1765">
        <v>20</v>
      </c>
      <c r="O1765">
        <v>2096</v>
      </c>
      <c r="P1765">
        <v>4348</v>
      </c>
      <c r="Q1765">
        <v>298</v>
      </c>
      <c r="R1765">
        <f>SUM(Table13[[#This Row],[Rank_All_Ranks_Total]:[Rank_SSPSPAddlSPCommandant]])</f>
        <v>140404</v>
      </c>
    </row>
    <row r="1766" spans="1:18" x14ac:dyDescent="0.3">
      <c r="A1766" t="s">
        <v>20</v>
      </c>
      <c r="B1766">
        <v>2001</v>
      </c>
      <c r="C1766" t="str">
        <f>_xlfn.CONCAT(Table13[[#This Row],[STATE]],"-",Table13[[#This Row],[Year]])</f>
        <v>Maharashtra-2001</v>
      </c>
      <c r="D1766" t="s">
        <v>75</v>
      </c>
      <c r="E1766" t="s">
        <v>76</v>
      </c>
      <c r="F1766">
        <v>134147</v>
      </c>
      <c r="G1766">
        <v>12242</v>
      </c>
      <c r="H1766">
        <v>594</v>
      </c>
      <c r="I1766">
        <v>19690</v>
      </c>
      <c r="J1766">
        <v>61523</v>
      </c>
      <c r="K1766">
        <v>17</v>
      </c>
      <c r="L1766">
        <v>27</v>
      </c>
      <c r="M1766">
        <v>29140</v>
      </c>
      <c r="N1766">
        <v>23</v>
      </c>
      <c r="O1766">
        <v>2537</v>
      </c>
      <c r="P1766">
        <v>8162</v>
      </c>
      <c r="Q1766">
        <v>192</v>
      </c>
      <c r="R1766">
        <f>SUM(Table13[[#This Row],[Rank_All_Ranks_Total]:[Rank_SSPSPAddlSPCommandant]])</f>
        <v>268294</v>
      </c>
    </row>
    <row r="1767" spans="1:18" x14ac:dyDescent="0.3">
      <c r="A1767" t="s">
        <v>21</v>
      </c>
      <c r="B1767">
        <v>2001</v>
      </c>
      <c r="C1767" t="str">
        <f>_xlfn.CONCAT(Table13[[#This Row],[STATE]],"-",Table13[[#This Row],[Year]])</f>
        <v>Manipur-2001</v>
      </c>
      <c r="D1767" t="s">
        <v>75</v>
      </c>
      <c r="E1767" t="s">
        <v>76</v>
      </c>
      <c r="F1767">
        <v>5251</v>
      </c>
      <c r="G1767">
        <v>454</v>
      </c>
      <c r="H1767">
        <v>56</v>
      </c>
      <c r="I1767">
        <v>107</v>
      </c>
      <c r="J1767">
        <v>3688</v>
      </c>
      <c r="K1767">
        <v>2</v>
      </c>
      <c r="L1767">
        <v>5</v>
      </c>
      <c r="M1767">
        <v>331</v>
      </c>
      <c r="N1767">
        <v>3</v>
      </c>
      <c r="O1767">
        <v>113</v>
      </c>
      <c r="P1767">
        <v>450</v>
      </c>
      <c r="Q1767">
        <v>42</v>
      </c>
      <c r="R1767">
        <f>SUM(Table13[[#This Row],[Rank_All_Ranks_Total]:[Rank_SSPSPAddlSPCommandant]])</f>
        <v>10502</v>
      </c>
    </row>
    <row r="1768" spans="1:18" x14ac:dyDescent="0.3">
      <c r="A1768" t="s">
        <v>22</v>
      </c>
      <c r="B1768">
        <v>2001</v>
      </c>
      <c r="C1768" t="str">
        <f>_xlfn.CONCAT(Table13[[#This Row],[STATE]],"-",Table13[[#This Row],[Year]])</f>
        <v>Meghalaya-2001</v>
      </c>
      <c r="D1768" t="s">
        <v>75</v>
      </c>
      <c r="E1768" t="s">
        <v>76</v>
      </c>
      <c r="F1768">
        <v>9369</v>
      </c>
      <c r="G1768">
        <v>539</v>
      </c>
      <c r="H1768">
        <v>50</v>
      </c>
      <c r="I1768">
        <v>1698</v>
      </c>
      <c r="J1768">
        <v>5615</v>
      </c>
      <c r="K1768">
        <v>2</v>
      </c>
      <c r="L1768">
        <v>6</v>
      </c>
      <c r="M1768">
        <v>809</v>
      </c>
      <c r="N1768">
        <v>5</v>
      </c>
      <c r="O1768">
        <v>133</v>
      </c>
      <c r="P1768">
        <v>488</v>
      </c>
      <c r="Q1768">
        <v>24</v>
      </c>
      <c r="R1768">
        <f>SUM(Table13[[#This Row],[Rank_All_Ranks_Total]:[Rank_SSPSPAddlSPCommandant]])</f>
        <v>18738</v>
      </c>
    </row>
    <row r="1769" spans="1:18" x14ac:dyDescent="0.3">
      <c r="A1769" t="s">
        <v>23</v>
      </c>
      <c r="B1769">
        <v>2001</v>
      </c>
      <c r="C1769" t="str">
        <f>_xlfn.CONCAT(Table13[[#This Row],[STATE]],"-",Table13[[#This Row],[Year]])</f>
        <v>Mizoram-2001</v>
      </c>
      <c r="D1769" t="s">
        <v>75</v>
      </c>
      <c r="E1769" t="s">
        <v>76</v>
      </c>
      <c r="F1769">
        <v>3827</v>
      </c>
      <c r="G1769">
        <v>326</v>
      </c>
      <c r="H1769">
        <v>37</v>
      </c>
      <c r="I1769">
        <v>156</v>
      </c>
      <c r="J1769">
        <v>2343</v>
      </c>
      <c r="K1769">
        <v>1</v>
      </c>
      <c r="L1769">
        <v>3</v>
      </c>
      <c r="M1769">
        <v>564</v>
      </c>
      <c r="N1769">
        <v>1</v>
      </c>
      <c r="O1769">
        <v>97</v>
      </c>
      <c r="P1769">
        <v>268</v>
      </c>
      <c r="Q1769">
        <v>31</v>
      </c>
      <c r="R1769">
        <f>SUM(Table13[[#This Row],[Rank_All_Ranks_Total]:[Rank_SSPSPAddlSPCommandant]])</f>
        <v>7654</v>
      </c>
    </row>
    <row r="1770" spans="1:18" x14ac:dyDescent="0.3">
      <c r="A1770" t="s">
        <v>24</v>
      </c>
      <c r="B1770">
        <v>2001</v>
      </c>
      <c r="C1770" t="str">
        <f>_xlfn.CONCAT(Table13[[#This Row],[STATE]],"-",Table13[[#This Row],[Year]])</f>
        <v>Nagaland-2001</v>
      </c>
      <c r="D1770" t="s">
        <v>75</v>
      </c>
      <c r="E1770" t="s">
        <v>76</v>
      </c>
      <c r="F1770">
        <v>5012</v>
      </c>
      <c r="G1770">
        <v>196</v>
      </c>
      <c r="H1770">
        <v>24</v>
      </c>
      <c r="I1770">
        <v>470</v>
      </c>
      <c r="J1770">
        <v>3610</v>
      </c>
      <c r="K1770">
        <v>3</v>
      </c>
      <c r="L1770">
        <v>7</v>
      </c>
      <c r="M1770">
        <v>428</v>
      </c>
      <c r="N1770">
        <v>5</v>
      </c>
      <c r="O1770">
        <v>43</v>
      </c>
      <c r="P1770">
        <v>196</v>
      </c>
      <c r="Q1770">
        <v>30</v>
      </c>
      <c r="R1770">
        <f>SUM(Table13[[#This Row],[Rank_All_Ranks_Total]:[Rank_SSPSPAddlSPCommandant]])</f>
        <v>10024</v>
      </c>
    </row>
    <row r="1771" spans="1:18" x14ac:dyDescent="0.3">
      <c r="A1771" t="s">
        <v>63</v>
      </c>
      <c r="B1771">
        <v>2001</v>
      </c>
      <c r="C1771" t="str">
        <f>_xlfn.CONCAT(Table13[[#This Row],[STATE]],"-",Table13[[#This Row],[Year]])</f>
        <v>Odisha-2001</v>
      </c>
      <c r="D1771" t="s">
        <v>75</v>
      </c>
      <c r="E1771" t="s">
        <v>76</v>
      </c>
      <c r="F1771">
        <v>28966</v>
      </c>
      <c r="G1771">
        <v>2638</v>
      </c>
      <c r="H1771">
        <v>168</v>
      </c>
      <c r="I1771">
        <v>318</v>
      </c>
      <c r="J1771">
        <v>20218</v>
      </c>
      <c r="K1771">
        <v>8</v>
      </c>
      <c r="L1771">
        <v>18</v>
      </c>
      <c r="M1771">
        <v>2636</v>
      </c>
      <c r="N1771">
        <v>13</v>
      </c>
      <c r="O1771">
        <v>565</v>
      </c>
      <c r="P1771">
        <v>2272</v>
      </c>
      <c r="Q1771">
        <v>112</v>
      </c>
      <c r="R1771">
        <f>SUM(Table13[[#This Row],[Rank_All_Ranks_Total]:[Rank_SSPSPAddlSPCommandant]])</f>
        <v>57932</v>
      </c>
    </row>
    <row r="1772" spans="1:18" x14ac:dyDescent="0.3">
      <c r="A1772" t="s">
        <v>64</v>
      </c>
      <c r="B1772">
        <v>2001</v>
      </c>
      <c r="C1772" t="str">
        <f>_xlfn.CONCAT(Table13[[#This Row],[STATE]],"-",Table13[[#This Row],[Year]])</f>
        <v>Puducherry-2001</v>
      </c>
      <c r="D1772" t="s">
        <v>75</v>
      </c>
      <c r="E1772" t="s">
        <v>76</v>
      </c>
      <c r="F1772">
        <v>1641</v>
      </c>
      <c r="G1772">
        <v>107</v>
      </c>
      <c r="H1772">
        <v>16</v>
      </c>
      <c r="I1772">
        <v>0</v>
      </c>
      <c r="J1772">
        <v>1055</v>
      </c>
      <c r="K1772">
        <v>0</v>
      </c>
      <c r="L1772">
        <v>0</v>
      </c>
      <c r="M1772">
        <v>288</v>
      </c>
      <c r="N1772">
        <v>1</v>
      </c>
      <c r="O1772">
        <v>37</v>
      </c>
      <c r="P1772">
        <v>135</v>
      </c>
      <c r="Q1772">
        <v>2</v>
      </c>
      <c r="R1772">
        <f>SUM(Table13[[#This Row],[Rank_All_Ranks_Total]:[Rank_SSPSPAddlSPCommandant]])</f>
        <v>3282</v>
      </c>
    </row>
    <row r="1773" spans="1:18" x14ac:dyDescent="0.3">
      <c r="A1773" t="s">
        <v>26</v>
      </c>
      <c r="B1773">
        <v>2001</v>
      </c>
      <c r="C1773" t="str">
        <f>_xlfn.CONCAT(Table13[[#This Row],[STATE]],"-",Table13[[#This Row],[Year]])</f>
        <v>Punjab-2001</v>
      </c>
      <c r="D1773" t="s">
        <v>75</v>
      </c>
      <c r="E1773" t="s">
        <v>76</v>
      </c>
      <c r="F1773">
        <v>52238</v>
      </c>
      <c r="G1773">
        <v>3874</v>
      </c>
      <c r="H1773">
        <v>246</v>
      </c>
      <c r="I1773">
        <v>0</v>
      </c>
      <c r="J1773">
        <v>37470</v>
      </c>
      <c r="K1773">
        <v>13</v>
      </c>
      <c r="L1773">
        <v>15</v>
      </c>
      <c r="M1773">
        <v>8287</v>
      </c>
      <c r="N1773">
        <v>13</v>
      </c>
      <c r="O1773">
        <v>608</v>
      </c>
      <c r="P1773">
        <v>1607</v>
      </c>
      <c r="Q1773">
        <v>105</v>
      </c>
      <c r="R1773">
        <f>SUM(Table13[[#This Row],[Rank_All_Ranks_Total]:[Rank_SSPSPAddlSPCommandant]])</f>
        <v>104476</v>
      </c>
    </row>
    <row r="1774" spans="1:18" x14ac:dyDescent="0.3">
      <c r="A1774" t="s">
        <v>27</v>
      </c>
      <c r="B1774">
        <v>2001</v>
      </c>
      <c r="C1774" t="str">
        <f>_xlfn.CONCAT(Table13[[#This Row],[STATE]],"-",Table13[[#This Row],[Year]])</f>
        <v>Rajasthan-2001</v>
      </c>
      <c r="D1774" t="s">
        <v>75</v>
      </c>
      <c r="E1774" t="s">
        <v>76</v>
      </c>
      <c r="F1774">
        <v>57775</v>
      </c>
      <c r="G1774">
        <v>3896</v>
      </c>
      <c r="H1774">
        <v>356</v>
      </c>
      <c r="I1774">
        <v>0</v>
      </c>
      <c r="J1774">
        <v>42746</v>
      </c>
      <c r="K1774">
        <v>8</v>
      </c>
      <c r="L1774">
        <v>21</v>
      </c>
      <c r="M1774">
        <v>6714</v>
      </c>
      <c r="N1774">
        <v>15</v>
      </c>
      <c r="O1774">
        <v>778</v>
      </c>
      <c r="P1774">
        <v>3002</v>
      </c>
      <c r="Q1774">
        <v>239</v>
      </c>
      <c r="R1774">
        <f>SUM(Table13[[#This Row],[Rank_All_Ranks_Total]:[Rank_SSPSPAddlSPCommandant]])</f>
        <v>115550</v>
      </c>
    </row>
    <row r="1775" spans="1:18" x14ac:dyDescent="0.3">
      <c r="A1775" t="s">
        <v>28</v>
      </c>
      <c r="B1775">
        <v>2001</v>
      </c>
      <c r="C1775" t="str">
        <f>_xlfn.CONCAT(Table13[[#This Row],[STATE]],"-",Table13[[#This Row],[Year]])</f>
        <v>Sikkim-2001</v>
      </c>
      <c r="D1775" t="s">
        <v>75</v>
      </c>
      <c r="E1775" t="s">
        <v>76</v>
      </c>
      <c r="F1775">
        <v>2191</v>
      </c>
      <c r="G1775">
        <v>0</v>
      </c>
      <c r="H1775">
        <v>28</v>
      </c>
      <c r="I1775">
        <v>0</v>
      </c>
      <c r="J1775">
        <v>0</v>
      </c>
      <c r="K1775">
        <v>1</v>
      </c>
      <c r="L1775">
        <v>6</v>
      </c>
      <c r="M1775">
        <v>1860</v>
      </c>
      <c r="N1775">
        <v>3</v>
      </c>
      <c r="O1775">
        <v>42</v>
      </c>
      <c r="P1775">
        <v>235</v>
      </c>
      <c r="Q1775">
        <v>16</v>
      </c>
      <c r="R1775">
        <f>SUM(Table13[[#This Row],[Rank_All_Ranks_Total]:[Rank_SSPSPAddlSPCommandant]])</f>
        <v>4382</v>
      </c>
    </row>
    <row r="1776" spans="1:18" x14ac:dyDescent="0.3">
      <c r="A1776" t="s">
        <v>42</v>
      </c>
      <c r="B1776">
        <v>2001</v>
      </c>
      <c r="C1776" t="str">
        <f>_xlfn.CONCAT(Table13[[#This Row],[STATE]],"-",Table13[[#This Row],[Year]])</f>
        <v>Tamil Nadu-2001</v>
      </c>
      <c r="D1776" t="s">
        <v>75</v>
      </c>
      <c r="E1776" t="s">
        <v>76</v>
      </c>
      <c r="F1776">
        <v>82596</v>
      </c>
      <c r="G1776">
        <v>0</v>
      </c>
      <c r="H1776">
        <v>539</v>
      </c>
      <c r="I1776">
        <v>28100</v>
      </c>
      <c r="J1776">
        <v>33455</v>
      </c>
      <c r="K1776">
        <v>25</v>
      </c>
      <c r="L1776">
        <v>34</v>
      </c>
      <c r="M1776">
        <v>11270</v>
      </c>
      <c r="N1776">
        <v>22</v>
      </c>
      <c r="O1776">
        <v>2476</v>
      </c>
      <c r="P1776">
        <v>6479</v>
      </c>
      <c r="Q1776">
        <v>196</v>
      </c>
      <c r="R1776">
        <f>SUM(Table13[[#This Row],[Rank_All_Ranks_Total]:[Rank_SSPSPAddlSPCommandant]])</f>
        <v>165192</v>
      </c>
    </row>
    <row r="1777" spans="1:18" x14ac:dyDescent="0.3">
      <c r="A1777" t="s">
        <v>30</v>
      </c>
      <c r="B1777">
        <v>2001</v>
      </c>
      <c r="C1777" t="str">
        <f>_xlfn.CONCAT(Table13[[#This Row],[STATE]],"-",Table13[[#This Row],[Year]])</f>
        <v>Tripura-2001</v>
      </c>
      <c r="D1777" t="s">
        <v>75</v>
      </c>
      <c r="E1777" t="s">
        <v>76</v>
      </c>
      <c r="F1777">
        <v>9768</v>
      </c>
      <c r="G1777">
        <v>495</v>
      </c>
      <c r="H1777">
        <v>180</v>
      </c>
      <c r="I1777">
        <v>318</v>
      </c>
      <c r="J1777">
        <v>6998</v>
      </c>
      <c r="K1777">
        <v>3</v>
      </c>
      <c r="L1777">
        <v>9</v>
      </c>
      <c r="M1777">
        <v>856</v>
      </c>
      <c r="N1777">
        <v>3</v>
      </c>
      <c r="O1777">
        <v>209</v>
      </c>
      <c r="P1777">
        <v>656</v>
      </c>
      <c r="Q1777">
        <v>41</v>
      </c>
      <c r="R1777">
        <f>SUM(Table13[[#This Row],[Rank_All_Ranks_Total]:[Rank_SSPSPAddlSPCommandant]])</f>
        <v>19536</v>
      </c>
    </row>
    <row r="1778" spans="1:18" x14ac:dyDescent="0.3">
      <c r="A1778" t="s">
        <v>31</v>
      </c>
      <c r="B1778">
        <v>2001</v>
      </c>
      <c r="C1778" t="str">
        <f>_xlfn.CONCAT(Table13[[#This Row],[STATE]],"-",Table13[[#This Row],[Year]])</f>
        <v>Uttar Pradesh-2001</v>
      </c>
      <c r="D1778" t="s">
        <v>75</v>
      </c>
      <c r="E1778" t="s">
        <v>76</v>
      </c>
      <c r="F1778">
        <v>133553</v>
      </c>
      <c r="G1778">
        <v>0</v>
      </c>
      <c r="H1778">
        <v>936</v>
      </c>
      <c r="I1778">
        <v>0</v>
      </c>
      <c r="J1778">
        <v>98282</v>
      </c>
      <c r="K1778">
        <v>24</v>
      </c>
      <c r="L1778">
        <v>47</v>
      </c>
      <c r="M1778">
        <v>20377</v>
      </c>
      <c r="N1778">
        <v>56</v>
      </c>
      <c r="O1778">
        <v>1280</v>
      </c>
      <c r="P1778">
        <v>12196</v>
      </c>
      <c r="Q1778">
        <v>355</v>
      </c>
      <c r="R1778">
        <f>SUM(Table13[[#This Row],[Rank_All_Ranks_Total]:[Rank_SSPSPAddlSPCommandant]])</f>
        <v>267106</v>
      </c>
    </row>
    <row r="1779" spans="1:18" x14ac:dyDescent="0.3">
      <c r="A1779" t="s">
        <v>65</v>
      </c>
      <c r="B1779">
        <v>2001</v>
      </c>
      <c r="C1779" t="str">
        <f>_xlfn.CONCAT(Table13[[#This Row],[STATE]],"-",Table13[[#This Row],[Year]])</f>
        <v>Uttarakhand-2001</v>
      </c>
      <c r="D1779" t="s">
        <v>75</v>
      </c>
      <c r="E1779" t="s">
        <v>76</v>
      </c>
      <c r="F1779">
        <v>9718</v>
      </c>
      <c r="G1779">
        <v>0</v>
      </c>
      <c r="H1779">
        <v>80</v>
      </c>
      <c r="I1779">
        <v>0</v>
      </c>
      <c r="J1779">
        <v>7551</v>
      </c>
      <c r="K1779">
        <v>2</v>
      </c>
      <c r="L1779">
        <v>5</v>
      </c>
      <c r="M1779">
        <v>1375</v>
      </c>
      <c r="N1779">
        <v>3</v>
      </c>
      <c r="O1779">
        <v>63</v>
      </c>
      <c r="P1779">
        <v>603</v>
      </c>
      <c r="Q1779">
        <v>36</v>
      </c>
      <c r="R1779">
        <f>SUM(Table13[[#This Row],[Rank_All_Ranks_Total]:[Rank_SSPSPAddlSPCommandant]])</f>
        <v>19436</v>
      </c>
    </row>
    <row r="1780" spans="1:18" x14ac:dyDescent="0.3">
      <c r="A1780" t="s">
        <v>33</v>
      </c>
      <c r="B1780">
        <v>2001</v>
      </c>
      <c r="C1780" t="str">
        <f>_xlfn.CONCAT(Table13[[#This Row],[STATE]],"-",Table13[[#This Row],[Year]])</f>
        <v>West Bengal-2001</v>
      </c>
      <c r="D1780" t="s">
        <v>75</v>
      </c>
      <c r="E1780" t="s">
        <v>76</v>
      </c>
      <c r="F1780">
        <v>66641</v>
      </c>
      <c r="G1780">
        <v>7677</v>
      </c>
      <c r="H1780">
        <v>321</v>
      </c>
      <c r="I1780">
        <v>1998</v>
      </c>
      <c r="J1780">
        <v>45426</v>
      </c>
      <c r="K1780">
        <v>21</v>
      </c>
      <c r="L1780">
        <v>30</v>
      </c>
      <c r="M1780">
        <v>3027</v>
      </c>
      <c r="N1780">
        <v>38</v>
      </c>
      <c r="O1780">
        <v>1083</v>
      </c>
      <c r="P1780">
        <v>6898</v>
      </c>
      <c r="Q1780">
        <v>122</v>
      </c>
      <c r="R1780">
        <f>SUM(Table13[[#This Row],[Rank_All_Ranks_Total]:[Rank_SSPSPAddlSPCommandant]])</f>
        <v>133282</v>
      </c>
    </row>
    <row r="1781" spans="1:18" x14ac:dyDescent="0.3">
      <c r="A1781" t="s">
        <v>59</v>
      </c>
      <c r="B1781">
        <v>2002</v>
      </c>
      <c r="C1781" t="str">
        <f>_xlfn.CONCAT(Table13[[#This Row],[STATE]],"-",Table13[[#This Row],[Year]])</f>
        <v>Andaman &amp; Nicobar Islands-2002</v>
      </c>
      <c r="D1781" t="s">
        <v>75</v>
      </c>
      <c r="E1781" t="s">
        <v>76</v>
      </c>
      <c r="F1781">
        <v>2285</v>
      </c>
      <c r="G1781">
        <v>228</v>
      </c>
      <c r="H1781">
        <v>10</v>
      </c>
      <c r="I1781">
        <v>0</v>
      </c>
      <c r="J1781">
        <v>1500</v>
      </c>
      <c r="K1781">
        <v>0</v>
      </c>
      <c r="L1781">
        <v>0</v>
      </c>
      <c r="M1781">
        <v>374</v>
      </c>
      <c r="N1781">
        <v>1</v>
      </c>
      <c r="O1781">
        <v>33</v>
      </c>
      <c r="P1781">
        <v>137</v>
      </c>
      <c r="Q1781">
        <v>2</v>
      </c>
      <c r="R1781">
        <f>SUM(Table13[[#This Row],[Rank_All_Ranks_Total]:[Rank_SSPSPAddlSPCommandant]])</f>
        <v>4570</v>
      </c>
    </row>
    <row r="1782" spans="1:18" x14ac:dyDescent="0.3">
      <c r="A1782" t="s">
        <v>6</v>
      </c>
      <c r="B1782">
        <v>2002</v>
      </c>
      <c r="C1782" t="str">
        <f>_xlfn.CONCAT(Table13[[#This Row],[STATE]],"-",Table13[[#This Row],[Year]])</f>
        <v>Andhra Pradesh-2002</v>
      </c>
      <c r="D1782" t="s">
        <v>75</v>
      </c>
      <c r="E1782" t="s">
        <v>76</v>
      </c>
      <c r="F1782">
        <v>51174</v>
      </c>
      <c r="G1782">
        <v>2167</v>
      </c>
      <c r="H1782">
        <v>266</v>
      </c>
      <c r="I1782">
        <v>0</v>
      </c>
      <c r="J1782">
        <v>37579</v>
      </c>
      <c r="K1782">
        <v>10</v>
      </c>
      <c r="L1782">
        <v>25</v>
      </c>
      <c r="M1782">
        <v>6882</v>
      </c>
      <c r="N1782">
        <v>26</v>
      </c>
      <c r="O1782">
        <v>903</v>
      </c>
      <c r="P1782">
        <v>3182</v>
      </c>
      <c r="Q1782">
        <v>134</v>
      </c>
      <c r="R1782">
        <f>SUM(Table13[[#This Row],[Rank_All_Ranks_Total]:[Rank_SSPSPAddlSPCommandant]])</f>
        <v>102348</v>
      </c>
    </row>
    <row r="1783" spans="1:18" x14ac:dyDescent="0.3">
      <c r="A1783" t="s">
        <v>7</v>
      </c>
      <c r="B1783">
        <v>2002</v>
      </c>
      <c r="C1783" t="str">
        <f>_xlfn.CONCAT(Table13[[#This Row],[STATE]],"-",Table13[[#This Row],[Year]])</f>
        <v>Arunachal Pradesh-2002</v>
      </c>
      <c r="D1783" t="s">
        <v>75</v>
      </c>
      <c r="E1783" t="s">
        <v>76</v>
      </c>
      <c r="F1783">
        <v>3235</v>
      </c>
      <c r="G1783">
        <v>143</v>
      </c>
      <c r="H1783">
        <v>42</v>
      </c>
      <c r="I1783">
        <v>0</v>
      </c>
      <c r="J1783">
        <v>2297</v>
      </c>
      <c r="K1783">
        <v>1</v>
      </c>
      <c r="L1783">
        <v>3</v>
      </c>
      <c r="M1783">
        <v>358</v>
      </c>
      <c r="N1783">
        <v>1</v>
      </c>
      <c r="O1783">
        <v>46</v>
      </c>
      <c r="P1783">
        <v>323</v>
      </c>
      <c r="Q1783">
        <v>21</v>
      </c>
      <c r="R1783">
        <f>SUM(Table13[[#This Row],[Rank_All_Ranks_Total]:[Rank_SSPSPAddlSPCommandant]])</f>
        <v>6470</v>
      </c>
    </row>
    <row r="1784" spans="1:18" x14ac:dyDescent="0.3">
      <c r="A1784" t="s">
        <v>8</v>
      </c>
      <c r="B1784">
        <v>2002</v>
      </c>
      <c r="C1784" t="str">
        <f>_xlfn.CONCAT(Table13[[#This Row],[STATE]],"-",Table13[[#This Row],[Year]])</f>
        <v>Assam-2002</v>
      </c>
      <c r="D1784" t="s">
        <v>75</v>
      </c>
      <c r="E1784" t="s">
        <v>76</v>
      </c>
      <c r="F1784">
        <v>30033</v>
      </c>
      <c r="G1784">
        <v>1789</v>
      </c>
      <c r="H1784">
        <v>161</v>
      </c>
      <c r="I1784">
        <v>901</v>
      </c>
      <c r="J1784">
        <v>21969</v>
      </c>
      <c r="K1784">
        <v>7</v>
      </c>
      <c r="L1784">
        <v>16</v>
      </c>
      <c r="M1784">
        <v>1826</v>
      </c>
      <c r="N1784">
        <v>11</v>
      </c>
      <c r="O1784">
        <v>487</v>
      </c>
      <c r="P1784">
        <v>2732</v>
      </c>
      <c r="Q1784">
        <v>134</v>
      </c>
      <c r="R1784">
        <f>SUM(Table13[[#This Row],[Rank_All_Ranks_Total]:[Rank_SSPSPAddlSPCommandant]])</f>
        <v>60066</v>
      </c>
    </row>
    <row r="1785" spans="1:18" x14ac:dyDescent="0.3">
      <c r="A1785" t="s">
        <v>9</v>
      </c>
      <c r="B1785">
        <v>2002</v>
      </c>
      <c r="C1785" t="str">
        <f>_xlfn.CONCAT(Table13[[#This Row],[STATE]],"-",Table13[[#This Row],[Year]])</f>
        <v>Bihar-2002</v>
      </c>
      <c r="D1785" t="s">
        <v>75</v>
      </c>
      <c r="E1785" t="s">
        <v>76</v>
      </c>
      <c r="F1785">
        <v>56237</v>
      </c>
      <c r="G1785">
        <v>4528</v>
      </c>
      <c r="H1785">
        <v>311</v>
      </c>
      <c r="I1785">
        <v>0</v>
      </c>
      <c r="J1785">
        <v>36974</v>
      </c>
      <c r="K1785">
        <v>18</v>
      </c>
      <c r="L1785">
        <v>45</v>
      </c>
      <c r="M1785">
        <v>7657</v>
      </c>
      <c r="N1785">
        <v>17</v>
      </c>
      <c r="O1785">
        <v>778</v>
      </c>
      <c r="P1785">
        <v>5762</v>
      </c>
      <c r="Q1785">
        <v>147</v>
      </c>
      <c r="R1785">
        <f>SUM(Table13[[#This Row],[Rank_All_Ranks_Total]:[Rank_SSPSPAddlSPCommandant]])</f>
        <v>112474</v>
      </c>
    </row>
    <row r="1786" spans="1:18" x14ac:dyDescent="0.3">
      <c r="A1786" t="s">
        <v>35</v>
      </c>
      <c r="B1786">
        <v>2002</v>
      </c>
      <c r="C1786" t="str">
        <f>_xlfn.CONCAT(Table13[[#This Row],[STATE]],"-",Table13[[#This Row],[Year]])</f>
        <v>Chandigarh-2002</v>
      </c>
      <c r="D1786" t="s">
        <v>75</v>
      </c>
      <c r="E1786" t="s">
        <v>76</v>
      </c>
      <c r="F1786">
        <v>3790</v>
      </c>
      <c r="G1786">
        <v>189</v>
      </c>
      <c r="H1786">
        <v>11</v>
      </c>
      <c r="I1786">
        <v>0</v>
      </c>
      <c r="J1786">
        <v>2517</v>
      </c>
      <c r="K1786">
        <v>0</v>
      </c>
      <c r="L1786">
        <v>0</v>
      </c>
      <c r="M1786">
        <v>784</v>
      </c>
      <c r="N1786">
        <v>1</v>
      </c>
      <c r="O1786">
        <v>46</v>
      </c>
      <c r="P1786">
        <v>238</v>
      </c>
      <c r="Q1786">
        <v>4</v>
      </c>
      <c r="R1786">
        <f>SUM(Table13[[#This Row],[Rank_All_Ranks_Total]:[Rank_SSPSPAddlSPCommandant]])</f>
        <v>7580</v>
      </c>
    </row>
    <row r="1787" spans="1:18" x14ac:dyDescent="0.3">
      <c r="A1787" t="s">
        <v>10</v>
      </c>
      <c r="B1787">
        <v>2002</v>
      </c>
      <c r="C1787" t="str">
        <f>_xlfn.CONCAT(Table13[[#This Row],[STATE]],"-",Table13[[#This Row],[Year]])</f>
        <v>Chhattisgarh-2002</v>
      </c>
      <c r="D1787" t="s">
        <v>75</v>
      </c>
      <c r="E1787" t="s">
        <v>76</v>
      </c>
      <c r="F1787">
        <v>11918</v>
      </c>
      <c r="G1787">
        <v>512</v>
      </c>
      <c r="H1787">
        <v>92</v>
      </c>
      <c r="I1787">
        <v>0</v>
      </c>
      <c r="J1787">
        <v>8133</v>
      </c>
      <c r="K1787">
        <v>0</v>
      </c>
      <c r="L1787">
        <v>1</v>
      </c>
      <c r="M1787">
        <v>2387</v>
      </c>
      <c r="N1787">
        <v>4</v>
      </c>
      <c r="O1787">
        <v>134</v>
      </c>
      <c r="P1787">
        <v>624</v>
      </c>
      <c r="Q1787">
        <v>31</v>
      </c>
      <c r="R1787">
        <f>SUM(Table13[[#This Row],[Rank_All_Ranks_Total]:[Rank_SSPSPAddlSPCommandant]])</f>
        <v>23836</v>
      </c>
    </row>
    <row r="1788" spans="1:18" x14ac:dyDescent="0.3">
      <c r="A1788" t="s">
        <v>62</v>
      </c>
      <c r="B1788">
        <v>2002</v>
      </c>
      <c r="C1788" t="str">
        <f>_xlfn.CONCAT(Table13[[#This Row],[STATE]],"-",Table13[[#This Row],[Year]])</f>
        <v>Dadra &amp; Nagar Haveli-2002</v>
      </c>
      <c r="D1788" t="s">
        <v>75</v>
      </c>
      <c r="E1788" t="s">
        <v>76</v>
      </c>
      <c r="F1788">
        <v>137</v>
      </c>
      <c r="G1788">
        <v>2</v>
      </c>
      <c r="H1788">
        <v>0</v>
      </c>
      <c r="I1788">
        <v>0</v>
      </c>
      <c r="J1788">
        <v>91</v>
      </c>
      <c r="K1788">
        <v>0</v>
      </c>
      <c r="L1788">
        <v>0</v>
      </c>
      <c r="M1788">
        <v>32</v>
      </c>
      <c r="N1788">
        <v>0</v>
      </c>
      <c r="O1788">
        <v>0</v>
      </c>
      <c r="P1788">
        <v>11</v>
      </c>
      <c r="Q1788">
        <v>1</v>
      </c>
      <c r="R1788">
        <f>SUM(Table13[[#This Row],[Rank_All_Ranks_Total]:[Rank_SSPSPAddlSPCommandant]])</f>
        <v>274</v>
      </c>
    </row>
    <row r="1789" spans="1:18" x14ac:dyDescent="0.3">
      <c r="A1789" t="s">
        <v>37</v>
      </c>
      <c r="B1789">
        <v>2002</v>
      </c>
      <c r="C1789" t="str">
        <f>_xlfn.CONCAT(Table13[[#This Row],[STATE]],"-",Table13[[#This Row],[Year]])</f>
        <v>Daman &amp; Diu-2002</v>
      </c>
      <c r="D1789" t="s">
        <v>75</v>
      </c>
      <c r="E1789" t="s">
        <v>76</v>
      </c>
      <c r="F1789">
        <v>248</v>
      </c>
      <c r="G1789">
        <v>11</v>
      </c>
      <c r="H1789">
        <v>2</v>
      </c>
      <c r="I1789">
        <v>0</v>
      </c>
      <c r="J1789">
        <v>180</v>
      </c>
      <c r="K1789">
        <v>0</v>
      </c>
      <c r="L1789">
        <v>0</v>
      </c>
      <c r="M1789">
        <v>41</v>
      </c>
      <c r="N1789">
        <v>0</v>
      </c>
      <c r="O1789">
        <v>4</v>
      </c>
      <c r="P1789">
        <v>9</v>
      </c>
      <c r="Q1789">
        <v>1</v>
      </c>
      <c r="R1789">
        <f>SUM(Table13[[#This Row],[Rank_All_Ranks_Total]:[Rank_SSPSPAddlSPCommandant]])</f>
        <v>496</v>
      </c>
    </row>
    <row r="1790" spans="1:18" x14ac:dyDescent="0.3">
      <c r="A1790" t="s">
        <v>38</v>
      </c>
      <c r="B1790">
        <v>2002</v>
      </c>
      <c r="C1790" t="str">
        <f>_xlfn.CONCAT(Table13[[#This Row],[STATE]],"-",Table13[[#This Row],[Year]])</f>
        <v>Delhi-2002</v>
      </c>
      <c r="D1790" t="s">
        <v>75</v>
      </c>
      <c r="E1790" t="s">
        <v>76</v>
      </c>
      <c r="F1790">
        <v>46775</v>
      </c>
      <c r="G1790">
        <v>5420</v>
      </c>
      <c r="H1790">
        <v>233</v>
      </c>
      <c r="I1790">
        <v>0</v>
      </c>
      <c r="J1790">
        <v>24331</v>
      </c>
      <c r="K1790">
        <v>4</v>
      </c>
      <c r="L1790">
        <v>5</v>
      </c>
      <c r="M1790">
        <v>11782</v>
      </c>
      <c r="N1790">
        <v>14</v>
      </c>
      <c r="O1790">
        <v>924</v>
      </c>
      <c r="P1790">
        <v>4003</v>
      </c>
      <c r="Q1790">
        <v>59</v>
      </c>
      <c r="R1790">
        <f>SUM(Table13[[#This Row],[Rank_All_Ranks_Total]:[Rank_SSPSPAddlSPCommandant]])</f>
        <v>93550</v>
      </c>
    </row>
    <row r="1791" spans="1:18" x14ac:dyDescent="0.3">
      <c r="A1791" t="s">
        <v>11</v>
      </c>
      <c r="B1791">
        <v>2002</v>
      </c>
      <c r="C1791" t="str">
        <f>_xlfn.CONCAT(Table13[[#This Row],[STATE]],"-",Table13[[#This Row],[Year]])</f>
        <v>Goa-2002</v>
      </c>
      <c r="D1791" t="s">
        <v>75</v>
      </c>
      <c r="E1791" t="s">
        <v>76</v>
      </c>
      <c r="F1791">
        <v>2880</v>
      </c>
      <c r="G1791">
        <v>125</v>
      </c>
      <c r="H1791">
        <v>20</v>
      </c>
      <c r="I1791">
        <v>0</v>
      </c>
      <c r="J1791">
        <v>2012</v>
      </c>
      <c r="K1791">
        <v>1</v>
      </c>
      <c r="L1791">
        <v>1</v>
      </c>
      <c r="M1791">
        <v>539</v>
      </c>
      <c r="N1791">
        <v>0</v>
      </c>
      <c r="O1791">
        <v>45</v>
      </c>
      <c r="P1791">
        <v>130</v>
      </c>
      <c r="Q1791">
        <v>7</v>
      </c>
      <c r="R1791">
        <f>SUM(Table13[[#This Row],[Rank_All_Ranks_Total]:[Rank_SSPSPAddlSPCommandant]])</f>
        <v>5760</v>
      </c>
    </row>
    <row r="1792" spans="1:18" x14ac:dyDescent="0.3">
      <c r="A1792" t="s">
        <v>12</v>
      </c>
      <c r="B1792">
        <v>2002</v>
      </c>
      <c r="C1792" t="str">
        <f>_xlfn.CONCAT(Table13[[#This Row],[STATE]],"-",Table13[[#This Row],[Year]])</f>
        <v>Gujarat-2002</v>
      </c>
      <c r="D1792" t="s">
        <v>75</v>
      </c>
      <c r="E1792" t="s">
        <v>76</v>
      </c>
      <c r="F1792">
        <v>53211</v>
      </c>
      <c r="G1792">
        <v>7073</v>
      </c>
      <c r="H1792">
        <v>197</v>
      </c>
      <c r="I1792">
        <v>0</v>
      </c>
      <c r="J1792">
        <v>33266</v>
      </c>
      <c r="K1792">
        <v>19</v>
      </c>
      <c r="L1792">
        <v>18</v>
      </c>
      <c r="M1792">
        <v>9465</v>
      </c>
      <c r="N1792">
        <v>26</v>
      </c>
      <c r="O1792">
        <v>706</v>
      </c>
      <c r="P1792">
        <v>2367</v>
      </c>
      <c r="Q1792">
        <v>74</v>
      </c>
      <c r="R1792">
        <f>SUM(Table13[[#This Row],[Rank_All_Ranks_Total]:[Rank_SSPSPAddlSPCommandant]])</f>
        <v>106422</v>
      </c>
    </row>
    <row r="1793" spans="1:18" x14ac:dyDescent="0.3">
      <c r="A1793" t="s">
        <v>13</v>
      </c>
      <c r="B1793">
        <v>2002</v>
      </c>
      <c r="C1793" t="str">
        <f>_xlfn.CONCAT(Table13[[#This Row],[STATE]],"-",Table13[[#This Row],[Year]])</f>
        <v>Haryana-2002</v>
      </c>
      <c r="D1793" t="s">
        <v>75</v>
      </c>
      <c r="E1793" t="s">
        <v>76</v>
      </c>
      <c r="F1793">
        <v>34707</v>
      </c>
      <c r="G1793">
        <v>3229</v>
      </c>
      <c r="H1793">
        <v>140</v>
      </c>
      <c r="I1793">
        <v>0</v>
      </c>
      <c r="J1793">
        <v>21897</v>
      </c>
      <c r="K1793">
        <v>6</v>
      </c>
      <c r="L1793">
        <v>9</v>
      </c>
      <c r="M1793">
        <v>7834</v>
      </c>
      <c r="N1793">
        <v>12</v>
      </c>
      <c r="O1793">
        <v>334</v>
      </c>
      <c r="P1793">
        <v>1194</v>
      </c>
      <c r="Q1793">
        <v>52</v>
      </c>
      <c r="R1793">
        <f>SUM(Table13[[#This Row],[Rank_All_Ranks_Total]:[Rank_SSPSPAddlSPCommandant]])</f>
        <v>69414</v>
      </c>
    </row>
    <row r="1794" spans="1:18" x14ac:dyDescent="0.3">
      <c r="A1794" t="s">
        <v>14</v>
      </c>
      <c r="B1794">
        <v>2002</v>
      </c>
      <c r="C1794" t="str">
        <f>_xlfn.CONCAT(Table13[[#This Row],[STATE]],"-",Table13[[#This Row],[Year]])</f>
        <v>Himachal Pradesh-2002</v>
      </c>
      <c r="D1794" t="s">
        <v>75</v>
      </c>
      <c r="E1794" t="s">
        <v>76</v>
      </c>
      <c r="F1794">
        <v>8791</v>
      </c>
      <c r="G1794">
        <v>730</v>
      </c>
      <c r="H1794">
        <v>79</v>
      </c>
      <c r="I1794">
        <v>1300</v>
      </c>
      <c r="J1794">
        <v>4689</v>
      </c>
      <c r="K1794">
        <v>8</v>
      </c>
      <c r="L1794">
        <v>10</v>
      </c>
      <c r="M1794">
        <v>1395</v>
      </c>
      <c r="N1794">
        <v>16</v>
      </c>
      <c r="O1794">
        <v>156</v>
      </c>
      <c r="P1794">
        <v>367</v>
      </c>
      <c r="Q1794">
        <v>41</v>
      </c>
      <c r="R1794">
        <f>SUM(Table13[[#This Row],[Rank_All_Ranks_Total]:[Rank_SSPSPAddlSPCommandant]])</f>
        <v>17582</v>
      </c>
    </row>
    <row r="1795" spans="1:18" x14ac:dyDescent="0.3">
      <c r="A1795" t="s">
        <v>15</v>
      </c>
      <c r="B1795">
        <v>2002</v>
      </c>
      <c r="C1795" t="str">
        <f>_xlfn.CONCAT(Table13[[#This Row],[STATE]],"-",Table13[[#This Row],[Year]])</f>
        <v>Jammu &amp; Kashmir-2002</v>
      </c>
      <c r="D1795" t="s">
        <v>75</v>
      </c>
      <c r="E1795" t="s">
        <v>76</v>
      </c>
      <c r="F1795">
        <v>40278</v>
      </c>
      <c r="G1795">
        <v>2617</v>
      </c>
      <c r="H1795">
        <v>223</v>
      </c>
      <c r="I1795">
        <v>0</v>
      </c>
      <c r="J1795">
        <v>28212</v>
      </c>
      <c r="K1795">
        <v>3</v>
      </c>
      <c r="L1795">
        <v>19</v>
      </c>
      <c r="M1795">
        <v>6892</v>
      </c>
      <c r="N1795">
        <v>13</v>
      </c>
      <c r="O1795">
        <v>554</v>
      </c>
      <c r="P1795">
        <v>1639</v>
      </c>
      <c r="Q1795">
        <v>106</v>
      </c>
      <c r="R1795">
        <f>SUM(Table13[[#This Row],[Rank_All_Ranks_Total]:[Rank_SSPSPAddlSPCommandant]])</f>
        <v>80556</v>
      </c>
    </row>
    <row r="1796" spans="1:18" x14ac:dyDescent="0.3">
      <c r="A1796" t="s">
        <v>16</v>
      </c>
      <c r="B1796">
        <v>2002</v>
      </c>
      <c r="C1796" t="str">
        <f>_xlfn.CONCAT(Table13[[#This Row],[STATE]],"-",Table13[[#This Row],[Year]])</f>
        <v>Jharkhand-2002</v>
      </c>
      <c r="D1796" t="s">
        <v>75</v>
      </c>
      <c r="E1796" t="s">
        <v>76</v>
      </c>
      <c r="F1796">
        <v>9256</v>
      </c>
      <c r="G1796">
        <v>1613</v>
      </c>
      <c r="H1796">
        <v>189</v>
      </c>
      <c r="I1796">
        <v>0</v>
      </c>
      <c r="J1796">
        <v>0</v>
      </c>
      <c r="K1796">
        <v>5</v>
      </c>
      <c r="L1796">
        <v>16</v>
      </c>
      <c r="M1796">
        <v>5227</v>
      </c>
      <c r="N1796">
        <v>5</v>
      </c>
      <c r="O1796">
        <v>314</v>
      </c>
      <c r="P1796">
        <v>1846</v>
      </c>
      <c r="Q1796">
        <v>41</v>
      </c>
      <c r="R1796">
        <f>SUM(Table13[[#This Row],[Rank_All_Ranks_Total]:[Rank_SSPSPAddlSPCommandant]])</f>
        <v>18512</v>
      </c>
    </row>
    <row r="1797" spans="1:18" x14ac:dyDescent="0.3">
      <c r="A1797" t="s">
        <v>17</v>
      </c>
      <c r="B1797">
        <v>2002</v>
      </c>
      <c r="C1797" t="str">
        <f>_xlfn.CONCAT(Table13[[#This Row],[STATE]],"-",Table13[[#This Row],[Year]])</f>
        <v>Karnataka-2002</v>
      </c>
      <c r="D1797" t="s">
        <v>75</v>
      </c>
      <c r="E1797" t="s">
        <v>76</v>
      </c>
      <c r="F1797">
        <v>57730</v>
      </c>
      <c r="G1797">
        <v>2817</v>
      </c>
      <c r="H1797">
        <v>187</v>
      </c>
      <c r="I1797">
        <v>0</v>
      </c>
      <c r="J1797">
        <v>39908</v>
      </c>
      <c r="K1797">
        <v>2</v>
      </c>
      <c r="L1797">
        <v>4</v>
      </c>
      <c r="M1797">
        <v>11881</v>
      </c>
      <c r="N1797">
        <v>6</v>
      </c>
      <c r="O1797">
        <v>704</v>
      </c>
      <c r="P1797">
        <v>2151</v>
      </c>
      <c r="Q1797">
        <v>70</v>
      </c>
      <c r="R1797">
        <f>SUM(Table13[[#This Row],[Rank_All_Ranks_Total]:[Rank_SSPSPAddlSPCommandant]])</f>
        <v>115460</v>
      </c>
    </row>
    <row r="1798" spans="1:18" x14ac:dyDescent="0.3">
      <c r="A1798" t="s">
        <v>18</v>
      </c>
      <c r="B1798">
        <v>2002</v>
      </c>
      <c r="C1798" t="str">
        <f>_xlfn.CONCAT(Table13[[#This Row],[STATE]],"-",Table13[[#This Row],[Year]])</f>
        <v>Kerala-2002</v>
      </c>
      <c r="D1798" t="s">
        <v>75</v>
      </c>
      <c r="E1798" t="s">
        <v>76</v>
      </c>
      <c r="F1798">
        <v>36040</v>
      </c>
      <c r="G1798">
        <v>1613</v>
      </c>
      <c r="H1798">
        <v>277</v>
      </c>
      <c r="I1798">
        <v>0</v>
      </c>
      <c r="J1798">
        <v>24712</v>
      </c>
      <c r="K1798">
        <v>6</v>
      </c>
      <c r="L1798">
        <v>11</v>
      </c>
      <c r="M1798">
        <v>7458</v>
      </c>
      <c r="N1798">
        <v>6</v>
      </c>
      <c r="O1798">
        <v>398</v>
      </c>
      <c r="P1798">
        <v>1494</v>
      </c>
      <c r="Q1798">
        <v>65</v>
      </c>
      <c r="R1798">
        <f>SUM(Table13[[#This Row],[Rank_All_Ranks_Total]:[Rank_SSPSPAddlSPCommandant]])</f>
        <v>72080</v>
      </c>
    </row>
    <row r="1799" spans="1:18" x14ac:dyDescent="0.3">
      <c r="A1799" t="s">
        <v>39</v>
      </c>
      <c r="B1799">
        <v>2002</v>
      </c>
      <c r="C1799" t="str">
        <f>_xlfn.CONCAT(Table13[[#This Row],[STATE]],"-",Table13[[#This Row],[Year]])</f>
        <v>Lakshadweep-2002</v>
      </c>
      <c r="D1799" t="s">
        <v>75</v>
      </c>
      <c r="E1799" t="s">
        <v>76</v>
      </c>
      <c r="F1799">
        <v>348</v>
      </c>
      <c r="G1799">
        <v>28</v>
      </c>
      <c r="H1799">
        <v>1</v>
      </c>
      <c r="I1799">
        <v>0</v>
      </c>
      <c r="J1799">
        <v>230</v>
      </c>
      <c r="K1799">
        <v>0</v>
      </c>
      <c r="L1799">
        <v>0</v>
      </c>
      <c r="M1799">
        <v>63</v>
      </c>
      <c r="N1799">
        <v>0</v>
      </c>
      <c r="O1799">
        <v>5</v>
      </c>
      <c r="P1799">
        <v>20</v>
      </c>
      <c r="Q1799">
        <v>1</v>
      </c>
      <c r="R1799">
        <f>SUM(Table13[[#This Row],[Rank_All_Ranks_Total]:[Rank_SSPSPAddlSPCommandant]])</f>
        <v>696</v>
      </c>
    </row>
    <row r="1800" spans="1:18" x14ac:dyDescent="0.3">
      <c r="A1800" t="s">
        <v>19</v>
      </c>
      <c r="B1800">
        <v>2002</v>
      </c>
      <c r="C1800" t="str">
        <f>_xlfn.CONCAT(Table13[[#This Row],[STATE]],"-",Table13[[#This Row],[Year]])</f>
        <v>Madhya Pradesh-2002</v>
      </c>
      <c r="D1800" t="s">
        <v>75</v>
      </c>
      <c r="E1800" t="s">
        <v>76</v>
      </c>
      <c r="F1800">
        <v>51823</v>
      </c>
      <c r="G1800">
        <v>3054</v>
      </c>
      <c r="H1800">
        <v>464</v>
      </c>
      <c r="I1800">
        <v>0</v>
      </c>
      <c r="J1800">
        <v>34735</v>
      </c>
      <c r="K1800">
        <v>26</v>
      </c>
      <c r="L1800">
        <v>42</v>
      </c>
      <c r="M1800">
        <v>9891</v>
      </c>
      <c r="N1800">
        <v>35</v>
      </c>
      <c r="O1800">
        <v>869</v>
      </c>
      <c r="P1800">
        <v>2538</v>
      </c>
      <c r="Q1800">
        <v>169</v>
      </c>
      <c r="R1800">
        <f>SUM(Table13[[#This Row],[Rank_All_Ranks_Total]:[Rank_SSPSPAddlSPCommandant]])</f>
        <v>103646</v>
      </c>
    </row>
    <row r="1801" spans="1:18" x14ac:dyDescent="0.3">
      <c r="A1801" t="s">
        <v>20</v>
      </c>
      <c r="B1801">
        <v>2002</v>
      </c>
      <c r="C1801" t="str">
        <f>_xlfn.CONCAT(Table13[[#This Row],[STATE]],"-",Table13[[#This Row],[Year]])</f>
        <v>Maharashtra-2002</v>
      </c>
      <c r="D1801" t="s">
        <v>75</v>
      </c>
      <c r="E1801" t="s">
        <v>76</v>
      </c>
      <c r="F1801">
        <v>134186</v>
      </c>
      <c r="G1801">
        <v>12247</v>
      </c>
      <c r="H1801">
        <v>606</v>
      </c>
      <c r="I1801">
        <v>19753</v>
      </c>
      <c r="J1801">
        <v>61360</v>
      </c>
      <c r="K1801">
        <v>17</v>
      </c>
      <c r="L1801">
        <v>28</v>
      </c>
      <c r="M1801">
        <v>29251</v>
      </c>
      <c r="N1801">
        <v>23</v>
      </c>
      <c r="O1801">
        <v>2530</v>
      </c>
      <c r="P1801">
        <v>8176</v>
      </c>
      <c r="Q1801">
        <v>195</v>
      </c>
      <c r="R1801">
        <f>SUM(Table13[[#This Row],[Rank_All_Ranks_Total]:[Rank_SSPSPAddlSPCommandant]])</f>
        <v>268372</v>
      </c>
    </row>
    <row r="1802" spans="1:18" x14ac:dyDescent="0.3">
      <c r="A1802" t="s">
        <v>21</v>
      </c>
      <c r="B1802">
        <v>2002</v>
      </c>
      <c r="C1802" t="str">
        <f>_xlfn.CONCAT(Table13[[#This Row],[STATE]],"-",Table13[[#This Row],[Year]])</f>
        <v>Manipur-2002</v>
      </c>
      <c r="D1802" t="s">
        <v>75</v>
      </c>
      <c r="E1802" t="s">
        <v>76</v>
      </c>
      <c r="F1802">
        <v>5251</v>
      </c>
      <c r="G1802">
        <v>454</v>
      </c>
      <c r="H1802">
        <v>56</v>
      </c>
      <c r="I1802">
        <v>107</v>
      </c>
      <c r="J1802">
        <v>3688</v>
      </c>
      <c r="K1802">
        <v>2</v>
      </c>
      <c r="L1802">
        <v>5</v>
      </c>
      <c r="M1802">
        <v>331</v>
      </c>
      <c r="N1802">
        <v>3</v>
      </c>
      <c r="O1802">
        <v>113</v>
      </c>
      <c r="P1802">
        <v>450</v>
      </c>
      <c r="Q1802">
        <v>42</v>
      </c>
      <c r="R1802">
        <f>SUM(Table13[[#This Row],[Rank_All_Ranks_Total]:[Rank_SSPSPAddlSPCommandant]])</f>
        <v>10502</v>
      </c>
    </row>
    <row r="1803" spans="1:18" x14ac:dyDescent="0.3">
      <c r="A1803" t="s">
        <v>22</v>
      </c>
      <c r="B1803">
        <v>2002</v>
      </c>
      <c r="C1803" t="str">
        <f>_xlfn.CONCAT(Table13[[#This Row],[STATE]],"-",Table13[[#This Row],[Year]])</f>
        <v>Meghalaya-2002</v>
      </c>
      <c r="D1803" t="s">
        <v>75</v>
      </c>
      <c r="E1803" t="s">
        <v>76</v>
      </c>
      <c r="F1803">
        <v>9392</v>
      </c>
      <c r="G1803">
        <v>561</v>
      </c>
      <c r="H1803">
        <v>50</v>
      </c>
      <c r="I1803">
        <v>1698</v>
      </c>
      <c r="J1803">
        <v>5615</v>
      </c>
      <c r="K1803">
        <v>2</v>
      </c>
      <c r="L1803">
        <v>6</v>
      </c>
      <c r="M1803">
        <v>809</v>
      </c>
      <c r="N1803">
        <v>5</v>
      </c>
      <c r="O1803">
        <v>133</v>
      </c>
      <c r="P1803">
        <v>488</v>
      </c>
      <c r="Q1803">
        <v>25</v>
      </c>
      <c r="R1803">
        <f>SUM(Table13[[#This Row],[Rank_All_Ranks_Total]:[Rank_SSPSPAddlSPCommandant]])</f>
        <v>18784</v>
      </c>
    </row>
    <row r="1804" spans="1:18" x14ac:dyDescent="0.3">
      <c r="A1804" t="s">
        <v>23</v>
      </c>
      <c r="B1804">
        <v>2002</v>
      </c>
      <c r="C1804" t="str">
        <f>_xlfn.CONCAT(Table13[[#This Row],[STATE]],"-",Table13[[#This Row],[Year]])</f>
        <v>Mizoram-2002</v>
      </c>
      <c r="D1804" t="s">
        <v>75</v>
      </c>
      <c r="E1804" t="s">
        <v>76</v>
      </c>
      <c r="F1804">
        <v>2009</v>
      </c>
      <c r="G1804">
        <v>232</v>
      </c>
      <c r="H1804">
        <v>20</v>
      </c>
      <c r="I1804">
        <v>131</v>
      </c>
      <c r="J1804">
        <v>1147</v>
      </c>
      <c r="K1804">
        <v>0</v>
      </c>
      <c r="L1804">
        <v>0</v>
      </c>
      <c r="M1804">
        <v>213</v>
      </c>
      <c r="N1804">
        <v>0</v>
      </c>
      <c r="O1804">
        <v>51</v>
      </c>
      <c r="P1804">
        <v>201</v>
      </c>
      <c r="Q1804">
        <v>14</v>
      </c>
      <c r="R1804">
        <f>SUM(Table13[[#This Row],[Rank_All_Ranks_Total]:[Rank_SSPSPAddlSPCommandant]])</f>
        <v>4018</v>
      </c>
    </row>
    <row r="1805" spans="1:18" x14ac:dyDescent="0.3">
      <c r="A1805" t="s">
        <v>24</v>
      </c>
      <c r="B1805">
        <v>2002</v>
      </c>
      <c r="C1805" t="str">
        <f>_xlfn.CONCAT(Table13[[#This Row],[STATE]],"-",Table13[[#This Row],[Year]])</f>
        <v>Nagaland-2002</v>
      </c>
      <c r="D1805" t="s">
        <v>75</v>
      </c>
      <c r="E1805" t="s">
        <v>76</v>
      </c>
      <c r="F1805">
        <v>5890</v>
      </c>
      <c r="G1805">
        <v>201</v>
      </c>
      <c r="H1805">
        <v>32</v>
      </c>
      <c r="I1805">
        <v>572</v>
      </c>
      <c r="J1805">
        <v>4315</v>
      </c>
      <c r="K1805">
        <v>3</v>
      </c>
      <c r="L1805">
        <v>11</v>
      </c>
      <c r="M1805">
        <v>441</v>
      </c>
      <c r="N1805">
        <v>7</v>
      </c>
      <c r="O1805">
        <v>50</v>
      </c>
      <c r="P1805">
        <v>220</v>
      </c>
      <c r="Q1805">
        <v>38</v>
      </c>
      <c r="R1805">
        <f>SUM(Table13[[#This Row],[Rank_All_Ranks_Total]:[Rank_SSPSPAddlSPCommandant]])</f>
        <v>11780</v>
      </c>
    </row>
    <row r="1806" spans="1:18" x14ac:dyDescent="0.3">
      <c r="A1806" t="s">
        <v>63</v>
      </c>
      <c r="B1806">
        <v>2002</v>
      </c>
      <c r="C1806" t="str">
        <f>_xlfn.CONCAT(Table13[[#This Row],[STATE]],"-",Table13[[#This Row],[Year]])</f>
        <v>Odisha-2002</v>
      </c>
      <c r="D1806" t="s">
        <v>75</v>
      </c>
      <c r="E1806" t="s">
        <v>76</v>
      </c>
      <c r="F1806">
        <v>29017</v>
      </c>
      <c r="G1806">
        <v>2640</v>
      </c>
      <c r="H1806">
        <v>168</v>
      </c>
      <c r="I1806">
        <v>318</v>
      </c>
      <c r="J1806">
        <v>20248</v>
      </c>
      <c r="K1806">
        <v>7</v>
      </c>
      <c r="L1806">
        <v>18</v>
      </c>
      <c r="M1806">
        <v>2644</v>
      </c>
      <c r="N1806">
        <v>10</v>
      </c>
      <c r="O1806">
        <v>565</v>
      </c>
      <c r="P1806">
        <v>2281</v>
      </c>
      <c r="Q1806">
        <v>118</v>
      </c>
      <c r="R1806">
        <f>SUM(Table13[[#This Row],[Rank_All_Ranks_Total]:[Rank_SSPSPAddlSPCommandant]])</f>
        <v>58034</v>
      </c>
    </row>
    <row r="1807" spans="1:18" x14ac:dyDescent="0.3">
      <c r="A1807" t="s">
        <v>64</v>
      </c>
      <c r="B1807">
        <v>2002</v>
      </c>
      <c r="C1807" t="str">
        <f>_xlfn.CONCAT(Table13[[#This Row],[STATE]],"-",Table13[[#This Row],[Year]])</f>
        <v>Puducherry-2002</v>
      </c>
      <c r="D1807" t="s">
        <v>75</v>
      </c>
      <c r="E1807" t="s">
        <v>76</v>
      </c>
      <c r="F1807">
        <v>1641</v>
      </c>
      <c r="G1807">
        <v>107</v>
      </c>
      <c r="H1807">
        <v>16</v>
      </c>
      <c r="I1807">
        <v>0</v>
      </c>
      <c r="J1807">
        <v>1055</v>
      </c>
      <c r="K1807">
        <v>0</v>
      </c>
      <c r="L1807">
        <v>0</v>
      </c>
      <c r="M1807">
        <v>288</v>
      </c>
      <c r="N1807">
        <v>1</v>
      </c>
      <c r="O1807">
        <v>37</v>
      </c>
      <c r="P1807">
        <v>135</v>
      </c>
      <c r="Q1807">
        <v>2</v>
      </c>
      <c r="R1807">
        <f>SUM(Table13[[#This Row],[Rank_All_Ranks_Total]:[Rank_SSPSPAddlSPCommandant]])</f>
        <v>3282</v>
      </c>
    </row>
    <row r="1808" spans="1:18" x14ac:dyDescent="0.3">
      <c r="A1808" t="s">
        <v>26</v>
      </c>
      <c r="B1808">
        <v>2002</v>
      </c>
      <c r="C1808" t="str">
        <f>_xlfn.CONCAT(Table13[[#This Row],[STATE]],"-",Table13[[#This Row],[Year]])</f>
        <v>Punjab-2002</v>
      </c>
      <c r="D1808" t="s">
        <v>75</v>
      </c>
      <c r="E1808" t="s">
        <v>76</v>
      </c>
      <c r="F1808">
        <v>52238</v>
      </c>
      <c r="G1808">
        <v>3874</v>
      </c>
      <c r="H1808">
        <v>246</v>
      </c>
      <c r="I1808">
        <v>0</v>
      </c>
      <c r="J1808">
        <v>37470</v>
      </c>
      <c r="K1808">
        <v>13</v>
      </c>
      <c r="L1808">
        <v>15</v>
      </c>
      <c r="M1808">
        <v>8287</v>
      </c>
      <c r="N1808">
        <v>13</v>
      </c>
      <c r="O1808">
        <v>608</v>
      </c>
      <c r="P1808">
        <v>1607</v>
      </c>
      <c r="Q1808">
        <v>105</v>
      </c>
      <c r="R1808">
        <f>SUM(Table13[[#This Row],[Rank_All_Ranks_Total]:[Rank_SSPSPAddlSPCommandant]])</f>
        <v>104476</v>
      </c>
    </row>
    <row r="1809" spans="1:18" x14ac:dyDescent="0.3">
      <c r="A1809" t="s">
        <v>27</v>
      </c>
      <c r="B1809">
        <v>2002</v>
      </c>
      <c r="C1809" t="str">
        <f>_xlfn.CONCAT(Table13[[#This Row],[STATE]],"-",Table13[[#This Row],[Year]])</f>
        <v>Rajasthan-2002</v>
      </c>
      <c r="D1809" t="s">
        <v>75</v>
      </c>
      <c r="E1809" t="s">
        <v>76</v>
      </c>
      <c r="F1809">
        <v>57802</v>
      </c>
      <c r="G1809">
        <v>3896</v>
      </c>
      <c r="H1809">
        <v>373</v>
      </c>
      <c r="I1809">
        <v>0</v>
      </c>
      <c r="J1809">
        <v>42749</v>
      </c>
      <c r="K1809">
        <v>8</v>
      </c>
      <c r="L1809">
        <v>21</v>
      </c>
      <c r="M1809">
        <v>6715</v>
      </c>
      <c r="N1809">
        <v>15</v>
      </c>
      <c r="O1809">
        <v>787</v>
      </c>
      <c r="P1809">
        <v>3010</v>
      </c>
      <c r="Q1809">
        <v>228</v>
      </c>
      <c r="R1809">
        <f>SUM(Table13[[#This Row],[Rank_All_Ranks_Total]:[Rank_SSPSPAddlSPCommandant]])</f>
        <v>115604</v>
      </c>
    </row>
    <row r="1810" spans="1:18" x14ac:dyDescent="0.3">
      <c r="A1810" t="s">
        <v>28</v>
      </c>
      <c r="B1810">
        <v>2002</v>
      </c>
      <c r="C1810" t="str">
        <f>_xlfn.CONCAT(Table13[[#This Row],[STATE]],"-",Table13[[#This Row],[Year]])</f>
        <v>Sikkim-2002</v>
      </c>
      <c r="D1810" t="s">
        <v>75</v>
      </c>
      <c r="E1810" t="s">
        <v>76</v>
      </c>
      <c r="F1810">
        <v>1949</v>
      </c>
      <c r="G1810">
        <v>86</v>
      </c>
      <c r="H1810">
        <v>23</v>
      </c>
      <c r="I1810">
        <v>93</v>
      </c>
      <c r="J1810">
        <v>1283</v>
      </c>
      <c r="K1810">
        <v>2</v>
      </c>
      <c r="L1810">
        <v>7</v>
      </c>
      <c r="M1810">
        <v>255</v>
      </c>
      <c r="N1810">
        <v>7</v>
      </c>
      <c r="O1810">
        <v>40</v>
      </c>
      <c r="P1810">
        <v>139</v>
      </c>
      <c r="Q1810">
        <v>14</v>
      </c>
      <c r="R1810">
        <f>SUM(Table13[[#This Row],[Rank_All_Ranks_Total]:[Rank_SSPSPAddlSPCommandant]])</f>
        <v>3898</v>
      </c>
    </row>
    <row r="1811" spans="1:18" x14ac:dyDescent="0.3">
      <c r="A1811" t="s">
        <v>42</v>
      </c>
      <c r="B1811">
        <v>2002</v>
      </c>
      <c r="C1811" t="str">
        <f>_xlfn.CONCAT(Table13[[#This Row],[STATE]],"-",Table13[[#This Row],[Year]])</f>
        <v>Tamil Nadu-2002</v>
      </c>
      <c r="D1811" t="s">
        <v>75</v>
      </c>
      <c r="E1811" t="s">
        <v>76</v>
      </c>
      <c r="F1811">
        <v>81901</v>
      </c>
      <c r="G1811">
        <v>0</v>
      </c>
      <c r="H1811">
        <v>541</v>
      </c>
      <c r="I1811">
        <v>7634</v>
      </c>
      <c r="J1811">
        <v>53284</v>
      </c>
      <c r="K1811">
        <v>26</v>
      </c>
      <c r="L1811">
        <v>35</v>
      </c>
      <c r="M1811">
        <v>11224</v>
      </c>
      <c r="N1811">
        <v>21</v>
      </c>
      <c r="O1811">
        <v>2485</v>
      </c>
      <c r="P1811">
        <v>6455</v>
      </c>
      <c r="Q1811">
        <v>196</v>
      </c>
      <c r="R1811">
        <f>SUM(Table13[[#This Row],[Rank_All_Ranks_Total]:[Rank_SSPSPAddlSPCommandant]])</f>
        <v>163802</v>
      </c>
    </row>
    <row r="1812" spans="1:18" x14ac:dyDescent="0.3">
      <c r="A1812" t="s">
        <v>30</v>
      </c>
      <c r="B1812">
        <v>2002</v>
      </c>
      <c r="C1812" t="str">
        <f>_xlfn.CONCAT(Table13[[#This Row],[STATE]],"-",Table13[[#This Row],[Year]])</f>
        <v>Tripura-2002</v>
      </c>
      <c r="D1812" t="s">
        <v>75</v>
      </c>
      <c r="E1812" t="s">
        <v>76</v>
      </c>
      <c r="F1812">
        <v>10151</v>
      </c>
      <c r="G1812">
        <v>497</v>
      </c>
      <c r="H1812">
        <v>180</v>
      </c>
      <c r="I1812">
        <v>318</v>
      </c>
      <c r="J1812">
        <v>7373</v>
      </c>
      <c r="K1812">
        <v>3</v>
      </c>
      <c r="L1812">
        <v>10</v>
      </c>
      <c r="M1812">
        <v>857</v>
      </c>
      <c r="N1812">
        <v>5</v>
      </c>
      <c r="O1812">
        <v>209</v>
      </c>
      <c r="P1812">
        <v>658</v>
      </c>
      <c r="Q1812">
        <v>41</v>
      </c>
      <c r="R1812">
        <f>SUM(Table13[[#This Row],[Rank_All_Ranks_Total]:[Rank_SSPSPAddlSPCommandant]])</f>
        <v>20302</v>
      </c>
    </row>
    <row r="1813" spans="1:18" x14ac:dyDescent="0.3">
      <c r="A1813" t="s">
        <v>31</v>
      </c>
      <c r="B1813">
        <v>2002</v>
      </c>
      <c r="C1813" t="str">
        <f>_xlfn.CONCAT(Table13[[#This Row],[STATE]],"-",Table13[[#This Row],[Year]])</f>
        <v>Uttar Pradesh-2002</v>
      </c>
      <c r="D1813" t="s">
        <v>75</v>
      </c>
      <c r="E1813" t="s">
        <v>76</v>
      </c>
      <c r="F1813">
        <v>133553</v>
      </c>
      <c r="G1813">
        <v>0</v>
      </c>
      <c r="H1813">
        <v>936</v>
      </c>
      <c r="I1813">
        <v>0</v>
      </c>
      <c r="J1813">
        <v>98282</v>
      </c>
      <c r="K1813">
        <v>24</v>
      </c>
      <c r="L1813">
        <v>47</v>
      </c>
      <c r="M1813">
        <v>20377</v>
      </c>
      <c r="N1813">
        <v>56</v>
      </c>
      <c r="O1813">
        <v>1280</v>
      </c>
      <c r="P1813">
        <v>12196</v>
      </c>
      <c r="Q1813">
        <v>355</v>
      </c>
      <c r="R1813">
        <f>SUM(Table13[[#This Row],[Rank_All_Ranks_Total]:[Rank_SSPSPAddlSPCommandant]])</f>
        <v>267106</v>
      </c>
    </row>
    <row r="1814" spans="1:18" x14ac:dyDescent="0.3">
      <c r="A1814" t="s">
        <v>65</v>
      </c>
      <c r="B1814">
        <v>2002</v>
      </c>
      <c r="C1814" t="str">
        <f>_xlfn.CONCAT(Table13[[#This Row],[STATE]],"-",Table13[[#This Row],[Year]])</f>
        <v>Uttarakhand-2002</v>
      </c>
      <c r="D1814" t="s">
        <v>75</v>
      </c>
      <c r="E1814" t="s">
        <v>76</v>
      </c>
      <c r="F1814">
        <v>9718</v>
      </c>
      <c r="G1814">
        <v>0</v>
      </c>
      <c r="H1814">
        <v>80</v>
      </c>
      <c r="I1814">
        <v>0</v>
      </c>
      <c r="J1814">
        <v>7551</v>
      </c>
      <c r="K1814">
        <v>2</v>
      </c>
      <c r="L1814">
        <v>5</v>
      </c>
      <c r="M1814">
        <v>1375</v>
      </c>
      <c r="N1814">
        <v>3</v>
      </c>
      <c r="O1814">
        <v>63</v>
      </c>
      <c r="P1814">
        <v>603</v>
      </c>
      <c r="Q1814">
        <v>36</v>
      </c>
      <c r="R1814">
        <f>SUM(Table13[[#This Row],[Rank_All_Ranks_Total]:[Rank_SSPSPAddlSPCommandant]])</f>
        <v>19436</v>
      </c>
    </row>
    <row r="1815" spans="1:18" x14ac:dyDescent="0.3">
      <c r="A1815" t="s">
        <v>33</v>
      </c>
      <c r="B1815">
        <v>2002</v>
      </c>
      <c r="C1815" t="str">
        <f>_xlfn.CONCAT(Table13[[#This Row],[STATE]],"-",Table13[[#This Row],[Year]])</f>
        <v>West Bengal-2002</v>
      </c>
      <c r="D1815" t="s">
        <v>75</v>
      </c>
      <c r="E1815" t="s">
        <v>76</v>
      </c>
      <c r="F1815">
        <v>67314</v>
      </c>
      <c r="G1815">
        <v>7757</v>
      </c>
      <c r="H1815">
        <v>308</v>
      </c>
      <c r="I1815">
        <v>2050</v>
      </c>
      <c r="J1815">
        <v>46098</v>
      </c>
      <c r="K1815">
        <v>19</v>
      </c>
      <c r="L1815">
        <v>23</v>
      </c>
      <c r="M1815">
        <v>2921</v>
      </c>
      <c r="N1815">
        <v>36</v>
      </c>
      <c r="O1815">
        <v>1046</v>
      </c>
      <c r="P1815">
        <v>6952</v>
      </c>
      <c r="Q1815">
        <v>104</v>
      </c>
      <c r="R1815">
        <f>SUM(Table13[[#This Row],[Rank_All_Ranks_Total]:[Rank_SSPSPAddlSPCommandant]])</f>
        <v>134628</v>
      </c>
    </row>
    <row r="1816" spans="1:18" x14ac:dyDescent="0.3">
      <c r="A1816" t="s">
        <v>59</v>
      </c>
      <c r="B1816">
        <v>2003</v>
      </c>
      <c r="C1816" t="str">
        <f>_xlfn.CONCAT(Table13[[#This Row],[STATE]],"-",Table13[[#This Row],[Year]])</f>
        <v>Andaman &amp; Nicobar Islands-2003</v>
      </c>
      <c r="D1816" t="s">
        <v>75</v>
      </c>
      <c r="E1816" t="s">
        <v>76</v>
      </c>
      <c r="F1816">
        <v>2285</v>
      </c>
      <c r="G1816">
        <v>228</v>
      </c>
      <c r="H1816">
        <v>10</v>
      </c>
      <c r="I1816">
        <v>0</v>
      </c>
      <c r="J1816">
        <v>1500</v>
      </c>
      <c r="K1816">
        <v>0</v>
      </c>
      <c r="L1816">
        <v>0</v>
      </c>
      <c r="M1816">
        <v>374</v>
      </c>
      <c r="N1816">
        <v>1</v>
      </c>
      <c r="O1816">
        <v>33</v>
      </c>
      <c r="P1816">
        <v>137</v>
      </c>
      <c r="Q1816">
        <v>2</v>
      </c>
      <c r="R1816">
        <f>SUM(Table13[[#This Row],[Rank_All_Ranks_Total]:[Rank_SSPSPAddlSPCommandant]])</f>
        <v>4570</v>
      </c>
    </row>
    <row r="1817" spans="1:18" x14ac:dyDescent="0.3">
      <c r="A1817" t="s">
        <v>6</v>
      </c>
      <c r="B1817">
        <v>2003</v>
      </c>
      <c r="C1817" t="str">
        <f>_xlfn.CONCAT(Table13[[#This Row],[STATE]],"-",Table13[[#This Row],[Year]])</f>
        <v>Andhra Pradesh-2003</v>
      </c>
      <c r="D1817" t="s">
        <v>75</v>
      </c>
      <c r="E1817" t="s">
        <v>76</v>
      </c>
      <c r="F1817">
        <v>65035</v>
      </c>
      <c r="G1817">
        <v>2460</v>
      </c>
      <c r="H1817">
        <v>217</v>
      </c>
      <c r="I1817">
        <v>0</v>
      </c>
      <c r="J1817">
        <v>48964</v>
      </c>
      <c r="K1817">
        <v>13</v>
      </c>
      <c r="L1817">
        <v>26</v>
      </c>
      <c r="M1817">
        <v>9377</v>
      </c>
      <c r="N1817">
        <v>24</v>
      </c>
      <c r="O1817">
        <v>788</v>
      </c>
      <c r="P1817">
        <v>3045</v>
      </c>
      <c r="Q1817">
        <v>121</v>
      </c>
      <c r="R1817">
        <f>SUM(Table13[[#This Row],[Rank_All_Ranks_Total]:[Rank_SSPSPAddlSPCommandant]])</f>
        <v>130070</v>
      </c>
    </row>
    <row r="1818" spans="1:18" x14ac:dyDescent="0.3">
      <c r="A1818" t="s">
        <v>7</v>
      </c>
      <c r="B1818">
        <v>2003</v>
      </c>
      <c r="C1818" t="str">
        <f>_xlfn.CONCAT(Table13[[#This Row],[STATE]],"-",Table13[[#This Row],[Year]])</f>
        <v>Arunachal Pradesh-2003</v>
      </c>
      <c r="D1818" t="s">
        <v>75</v>
      </c>
      <c r="E1818" t="s">
        <v>76</v>
      </c>
      <c r="F1818">
        <v>3235</v>
      </c>
      <c r="G1818">
        <v>143</v>
      </c>
      <c r="H1818">
        <v>42</v>
      </c>
      <c r="I1818">
        <v>0</v>
      </c>
      <c r="J1818">
        <v>2297</v>
      </c>
      <c r="K1818">
        <v>1</v>
      </c>
      <c r="L1818">
        <v>3</v>
      </c>
      <c r="M1818">
        <v>358</v>
      </c>
      <c r="N1818">
        <v>1</v>
      </c>
      <c r="O1818">
        <v>46</v>
      </c>
      <c r="P1818">
        <v>323</v>
      </c>
      <c r="Q1818">
        <v>21</v>
      </c>
      <c r="R1818">
        <f>SUM(Table13[[#This Row],[Rank_All_Ranks_Total]:[Rank_SSPSPAddlSPCommandant]])</f>
        <v>6470</v>
      </c>
    </row>
    <row r="1819" spans="1:18" x14ac:dyDescent="0.3">
      <c r="A1819" t="s">
        <v>8</v>
      </c>
      <c r="B1819">
        <v>2003</v>
      </c>
      <c r="C1819" t="str">
        <f>_xlfn.CONCAT(Table13[[#This Row],[STATE]],"-",Table13[[#This Row],[Year]])</f>
        <v>Assam-2003</v>
      </c>
      <c r="D1819" t="s">
        <v>75</v>
      </c>
      <c r="E1819" t="s">
        <v>76</v>
      </c>
      <c r="F1819">
        <v>30033</v>
      </c>
      <c r="G1819">
        <v>1789</v>
      </c>
      <c r="H1819">
        <v>161</v>
      </c>
      <c r="I1819">
        <v>901</v>
      </c>
      <c r="J1819">
        <v>21969</v>
      </c>
      <c r="K1819">
        <v>7</v>
      </c>
      <c r="L1819">
        <v>16</v>
      </c>
      <c r="M1819">
        <v>1826</v>
      </c>
      <c r="N1819">
        <v>11</v>
      </c>
      <c r="O1819">
        <v>487</v>
      </c>
      <c r="P1819">
        <v>2732</v>
      </c>
      <c r="Q1819">
        <v>134</v>
      </c>
      <c r="R1819">
        <f>SUM(Table13[[#This Row],[Rank_All_Ranks_Total]:[Rank_SSPSPAddlSPCommandant]])</f>
        <v>60066</v>
      </c>
    </row>
    <row r="1820" spans="1:18" x14ac:dyDescent="0.3">
      <c r="A1820" t="s">
        <v>9</v>
      </c>
      <c r="B1820">
        <v>2003</v>
      </c>
      <c r="C1820" t="str">
        <f>_xlfn.CONCAT(Table13[[#This Row],[STATE]],"-",Table13[[#This Row],[Year]])</f>
        <v>Bihar-2003</v>
      </c>
      <c r="D1820" t="s">
        <v>75</v>
      </c>
      <c r="E1820" t="s">
        <v>76</v>
      </c>
      <c r="F1820">
        <v>55967</v>
      </c>
      <c r="G1820">
        <v>4545</v>
      </c>
      <c r="H1820">
        <v>259</v>
      </c>
      <c r="I1820">
        <v>0</v>
      </c>
      <c r="J1820">
        <v>36974</v>
      </c>
      <c r="K1820">
        <v>8</v>
      </c>
      <c r="L1820">
        <v>27</v>
      </c>
      <c r="M1820">
        <v>7656</v>
      </c>
      <c r="N1820">
        <v>20</v>
      </c>
      <c r="O1820">
        <v>645</v>
      </c>
      <c r="P1820">
        <v>5763</v>
      </c>
      <c r="Q1820">
        <v>70</v>
      </c>
      <c r="R1820">
        <f>SUM(Table13[[#This Row],[Rank_All_Ranks_Total]:[Rank_SSPSPAddlSPCommandant]])</f>
        <v>111934</v>
      </c>
    </row>
    <row r="1821" spans="1:18" x14ac:dyDescent="0.3">
      <c r="A1821" t="s">
        <v>35</v>
      </c>
      <c r="B1821">
        <v>2003</v>
      </c>
      <c r="C1821" t="str">
        <f>_xlfn.CONCAT(Table13[[#This Row],[STATE]],"-",Table13[[#This Row],[Year]])</f>
        <v>Chandigarh-2003</v>
      </c>
      <c r="D1821" t="s">
        <v>75</v>
      </c>
      <c r="E1821" t="s">
        <v>76</v>
      </c>
      <c r="F1821">
        <v>3790</v>
      </c>
      <c r="G1821">
        <v>189</v>
      </c>
      <c r="H1821">
        <v>11</v>
      </c>
      <c r="I1821">
        <v>0</v>
      </c>
      <c r="J1821">
        <v>2517</v>
      </c>
      <c r="K1821">
        <v>0</v>
      </c>
      <c r="L1821">
        <v>0</v>
      </c>
      <c r="M1821">
        <v>784</v>
      </c>
      <c r="N1821">
        <v>1</v>
      </c>
      <c r="O1821">
        <v>46</v>
      </c>
      <c r="P1821">
        <v>238</v>
      </c>
      <c r="Q1821">
        <v>4</v>
      </c>
      <c r="R1821">
        <f>SUM(Table13[[#This Row],[Rank_All_Ranks_Total]:[Rank_SSPSPAddlSPCommandant]])</f>
        <v>7580</v>
      </c>
    </row>
    <row r="1822" spans="1:18" x14ac:dyDescent="0.3">
      <c r="A1822" t="s">
        <v>10</v>
      </c>
      <c r="B1822">
        <v>2003</v>
      </c>
      <c r="C1822" t="str">
        <f>_xlfn.CONCAT(Table13[[#This Row],[STATE]],"-",Table13[[#This Row],[Year]])</f>
        <v>Chhattisgarh-2003</v>
      </c>
      <c r="D1822" t="s">
        <v>75</v>
      </c>
      <c r="E1822" t="s">
        <v>76</v>
      </c>
      <c r="F1822">
        <v>13889</v>
      </c>
      <c r="G1822">
        <v>667</v>
      </c>
      <c r="H1822">
        <v>192</v>
      </c>
      <c r="I1822">
        <v>0</v>
      </c>
      <c r="J1822">
        <v>9516</v>
      </c>
      <c r="K1822">
        <v>9</v>
      </c>
      <c r="L1822">
        <v>14</v>
      </c>
      <c r="M1822">
        <v>2402</v>
      </c>
      <c r="N1822">
        <v>8</v>
      </c>
      <c r="O1822">
        <v>248</v>
      </c>
      <c r="P1822">
        <v>753</v>
      </c>
      <c r="Q1822">
        <v>80</v>
      </c>
      <c r="R1822">
        <f>SUM(Table13[[#This Row],[Rank_All_Ranks_Total]:[Rank_SSPSPAddlSPCommandant]])</f>
        <v>27778</v>
      </c>
    </row>
    <row r="1823" spans="1:18" x14ac:dyDescent="0.3">
      <c r="A1823" t="s">
        <v>62</v>
      </c>
      <c r="B1823">
        <v>2003</v>
      </c>
      <c r="C1823" t="str">
        <f>_xlfn.CONCAT(Table13[[#This Row],[STATE]],"-",Table13[[#This Row],[Year]])</f>
        <v>Dadra &amp; Nagar Haveli-2003</v>
      </c>
      <c r="D1823" t="s">
        <v>75</v>
      </c>
      <c r="E1823" t="s">
        <v>76</v>
      </c>
      <c r="F1823">
        <v>215</v>
      </c>
      <c r="G1823">
        <v>3</v>
      </c>
      <c r="H1823">
        <v>1</v>
      </c>
      <c r="I1823">
        <v>0</v>
      </c>
      <c r="J1823">
        <v>151</v>
      </c>
      <c r="K1823">
        <v>0</v>
      </c>
      <c r="L1823">
        <v>0</v>
      </c>
      <c r="M1823">
        <v>48</v>
      </c>
      <c r="N1823">
        <v>0</v>
      </c>
      <c r="O1823">
        <v>1</v>
      </c>
      <c r="P1823">
        <v>10</v>
      </c>
      <c r="Q1823">
        <v>1</v>
      </c>
      <c r="R1823">
        <f>SUM(Table13[[#This Row],[Rank_All_Ranks_Total]:[Rank_SSPSPAddlSPCommandant]])</f>
        <v>430</v>
      </c>
    </row>
    <row r="1824" spans="1:18" x14ac:dyDescent="0.3">
      <c r="A1824" t="s">
        <v>37</v>
      </c>
      <c r="B1824">
        <v>2003</v>
      </c>
      <c r="C1824" t="str">
        <f>_xlfn.CONCAT(Table13[[#This Row],[STATE]],"-",Table13[[#This Row],[Year]])</f>
        <v>Daman &amp; Diu-2003</v>
      </c>
      <c r="D1824" t="s">
        <v>75</v>
      </c>
      <c r="E1824" t="s">
        <v>76</v>
      </c>
      <c r="F1824">
        <v>248</v>
      </c>
      <c r="G1824">
        <v>11</v>
      </c>
      <c r="H1824">
        <v>2</v>
      </c>
      <c r="I1824">
        <v>0</v>
      </c>
      <c r="J1824">
        <v>180</v>
      </c>
      <c r="K1824">
        <v>0</v>
      </c>
      <c r="L1824">
        <v>0</v>
      </c>
      <c r="M1824">
        <v>41</v>
      </c>
      <c r="N1824">
        <v>0</v>
      </c>
      <c r="O1824">
        <v>4</v>
      </c>
      <c r="P1824">
        <v>9</v>
      </c>
      <c r="Q1824">
        <v>1</v>
      </c>
      <c r="R1824">
        <f>SUM(Table13[[#This Row],[Rank_All_Ranks_Total]:[Rank_SSPSPAddlSPCommandant]])</f>
        <v>496</v>
      </c>
    </row>
    <row r="1825" spans="1:18" x14ac:dyDescent="0.3">
      <c r="A1825" t="s">
        <v>38</v>
      </c>
      <c r="B1825">
        <v>2003</v>
      </c>
      <c r="C1825" t="str">
        <f>_xlfn.CONCAT(Table13[[#This Row],[STATE]],"-",Table13[[#This Row],[Year]])</f>
        <v>Delhi-2003</v>
      </c>
      <c r="D1825" t="s">
        <v>75</v>
      </c>
      <c r="E1825" t="s">
        <v>76</v>
      </c>
      <c r="F1825">
        <v>46769</v>
      </c>
      <c r="G1825">
        <v>5420</v>
      </c>
      <c r="H1825">
        <v>233</v>
      </c>
      <c r="I1825">
        <v>0</v>
      </c>
      <c r="J1825">
        <v>24331</v>
      </c>
      <c r="K1825">
        <v>4</v>
      </c>
      <c r="L1825">
        <v>5</v>
      </c>
      <c r="M1825">
        <v>11782</v>
      </c>
      <c r="N1825">
        <v>14</v>
      </c>
      <c r="O1825">
        <v>918</v>
      </c>
      <c r="P1825">
        <v>4003</v>
      </c>
      <c r="Q1825">
        <v>59</v>
      </c>
      <c r="R1825">
        <f>SUM(Table13[[#This Row],[Rank_All_Ranks_Total]:[Rank_SSPSPAddlSPCommandant]])</f>
        <v>93538</v>
      </c>
    </row>
    <row r="1826" spans="1:18" x14ac:dyDescent="0.3">
      <c r="A1826" t="s">
        <v>11</v>
      </c>
      <c r="B1826">
        <v>2003</v>
      </c>
      <c r="C1826" t="str">
        <f>_xlfn.CONCAT(Table13[[#This Row],[STATE]],"-",Table13[[#This Row],[Year]])</f>
        <v>Goa-2003</v>
      </c>
      <c r="D1826" t="s">
        <v>75</v>
      </c>
      <c r="E1826" t="s">
        <v>76</v>
      </c>
      <c r="F1826">
        <v>2870</v>
      </c>
      <c r="G1826">
        <v>125</v>
      </c>
      <c r="H1826">
        <v>19</v>
      </c>
      <c r="I1826">
        <v>0</v>
      </c>
      <c r="J1826">
        <v>2008</v>
      </c>
      <c r="K1826">
        <v>1</v>
      </c>
      <c r="L1826">
        <v>2</v>
      </c>
      <c r="M1826">
        <v>537</v>
      </c>
      <c r="N1826">
        <v>0</v>
      </c>
      <c r="O1826">
        <v>43</v>
      </c>
      <c r="P1826">
        <v>128</v>
      </c>
      <c r="Q1826">
        <v>7</v>
      </c>
      <c r="R1826">
        <f>SUM(Table13[[#This Row],[Rank_All_Ranks_Total]:[Rank_SSPSPAddlSPCommandant]])</f>
        <v>5740</v>
      </c>
    </row>
    <row r="1827" spans="1:18" x14ac:dyDescent="0.3">
      <c r="A1827" t="s">
        <v>12</v>
      </c>
      <c r="B1827">
        <v>2003</v>
      </c>
      <c r="C1827" t="str">
        <f>_xlfn.CONCAT(Table13[[#This Row],[STATE]],"-",Table13[[#This Row],[Year]])</f>
        <v>Gujarat-2003</v>
      </c>
      <c r="D1827" t="s">
        <v>75</v>
      </c>
      <c r="E1827" t="s">
        <v>76</v>
      </c>
      <c r="F1827">
        <v>53247</v>
      </c>
      <c r="G1827">
        <v>7073</v>
      </c>
      <c r="H1827">
        <v>197</v>
      </c>
      <c r="I1827">
        <v>0</v>
      </c>
      <c r="J1827">
        <v>33282</v>
      </c>
      <c r="K1827">
        <v>19</v>
      </c>
      <c r="L1827">
        <v>18</v>
      </c>
      <c r="M1827">
        <v>9485</v>
      </c>
      <c r="N1827">
        <v>26</v>
      </c>
      <c r="O1827">
        <v>706</v>
      </c>
      <c r="P1827">
        <v>2367</v>
      </c>
      <c r="Q1827">
        <v>74</v>
      </c>
      <c r="R1827">
        <f>SUM(Table13[[#This Row],[Rank_All_Ranks_Total]:[Rank_SSPSPAddlSPCommandant]])</f>
        <v>106494</v>
      </c>
    </row>
    <row r="1828" spans="1:18" x14ac:dyDescent="0.3">
      <c r="A1828" t="s">
        <v>13</v>
      </c>
      <c r="B1828">
        <v>2003</v>
      </c>
      <c r="C1828" t="str">
        <f>_xlfn.CONCAT(Table13[[#This Row],[STATE]],"-",Table13[[#This Row],[Year]])</f>
        <v>Haryana-2003</v>
      </c>
      <c r="D1828" t="s">
        <v>75</v>
      </c>
      <c r="E1828" t="s">
        <v>76</v>
      </c>
      <c r="F1828">
        <v>34974</v>
      </c>
      <c r="G1828">
        <v>3125</v>
      </c>
      <c r="H1828">
        <v>153</v>
      </c>
      <c r="I1828">
        <v>0</v>
      </c>
      <c r="J1828">
        <v>19029</v>
      </c>
      <c r="K1828">
        <v>11</v>
      </c>
      <c r="L1828">
        <v>11</v>
      </c>
      <c r="M1828">
        <v>11021</v>
      </c>
      <c r="N1828">
        <v>27</v>
      </c>
      <c r="O1828">
        <v>334</v>
      </c>
      <c r="P1828">
        <v>1208</v>
      </c>
      <c r="Q1828">
        <v>55</v>
      </c>
      <c r="R1828">
        <f>SUM(Table13[[#This Row],[Rank_All_Ranks_Total]:[Rank_SSPSPAddlSPCommandant]])</f>
        <v>69948</v>
      </c>
    </row>
    <row r="1829" spans="1:18" x14ac:dyDescent="0.3">
      <c r="A1829" t="s">
        <v>14</v>
      </c>
      <c r="B1829">
        <v>2003</v>
      </c>
      <c r="C1829" t="str">
        <f>_xlfn.CONCAT(Table13[[#This Row],[STATE]],"-",Table13[[#This Row],[Year]])</f>
        <v>Himachal Pradesh-2003</v>
      </c>
      <c r="D1829" t="s">
        <v>75</v>
      </c>
      <c r="E1829" t="s">
        <v>76</v>
      </c>
      <c r="F1829">
        <v>8791</v>
      </c>
      <c r="G1829">
        <v>730</v>
      </c>
      <c r="H1829">
        <v>89</v>
      </c>
      <c r="I1829">
        <v>1300</v>
      </c>
      <c r="J1829">
        <v>4689</v>
      </c>
      <c r="K1829">
        <v>14</v>
      </c>
      <c r="L1829">
        <v>13</v>
      </c>
      <c r="M1829">
        <v>1395</v>
      </c>
      <c r="N1829">
        <v>6</v>
      </c>
      <c r="O1829">
        <v>156</v>
      </c>
      <c r="P1829">
        <v>367</v>
      </c>
      <c r="Q1829">
        <v>32</v>
      </c>
      <c r="R1829">
        <f>SUM(Table13[[#This Row],[Rank_All_Ranks_Total]:[Rank_SSPSPAddlSPCommandant]])</f>
        <v>17582</v>
      </c>
    </row>
    <row r="1830" spans="1:18" x14ac:dyDescent="0.3">
      <c r="A1830" t="s">
        <v>15</v>
      </c>
      <c r="B1830">
        <v>2003</v>
      </c>
      <c r="C1830" t="str">
        <f>_xlfn.CONCAT(Table13[[#This Row],[STATE]],"-",Table13[[#This Row],[Year]])</f>
        <v>Jammu &amp; Kashmir-2003</v>
      </c>
      <c r="D1830" t="s">
        <v>75</v>
      </c>
      <c r="E1830" t="s">
        <v>76</v>
      </c>
      <c r="F1830">
        <v>40278</v>
      </c>
      <c r="G1830">
        <v>2617</v>
      </c>
      <c r="H1830">
        <v>223</v>
      </c>
      <c r="I1830">
        <v>0</v>
      </c>
      <c r="J1830">
        <v>28212</v>
      </c>
      <c r="K1830">
        <v>3</v>
      </c>
      <c r="L1830">
        <v>19</v>
      </c>
      <c r="M1830">
        <v>6892</v>
      </c>
      <c r="N1830">
        <v>13</v>
      </c>
      <c r="O1830">
        <v>554</v>
      </c>
      <c r="P1830">
        <v>1639</v>
      </c>
      <c r="Q1830">
        <v>106</v>
      </c>
      <c r="R1830">
        <f>SUM(Table13[[#This Row],[Rank_All_Ranks_Total]:[Rank_SSPSPAddlSPCommandant]])</f>
        <v>80556</v>
      </c>
    </row>
    <row r="1831" spans="1:18" x14ac:dyDescent="0.3">
      <c r="A1831" t="s">
        <v>16</v>
      </c>
      <c r="B1831">
        <v>2003</v>
      </c>
      <c r="C1831" t="str">
        <f>_xlfn.CONCAT(Table13[[#This Row],[STATE]],"-",Table13[[#This Row],[Year]])</f>
        <v>Jharkhand-2003</v>
      </c>
      <c r="D1831" t="s">
        <v>75</v>
      </c>
      <c r="E1831" t="s">
        <v>76</v>
      </c>
      <c r="F1831">
        <v>12588</v>
      </c>
      <c r="G1831">
        <v>802</v>
      </c>
      <c r="H1831">
        <v>40</v>
      </c>
      <c r="I1831">
        <v>0</v>
      </c>
      <c r="J1831">
        <v>8621</v>
      </c>
      <c r="K1831">
        <v>0</v>
      </c>
      <c r="L1831">
        <v>0</v>
      </c>
      <c r="M1831">
        <v>1800</v>
      </c>
      <c r="N1831">
        <v>0</v>
      </c>
      <c r="O1831">
        <v>101</v>
      </c>
      <c r="P1831">
        <v>1210</v>
      </c>
      <c r="Q1831">
        <v>14</v>
      </c>
      <c r="R1831">
        <f>SUM(Table13[[#This Row],[Rank_All_Ranks_Total]:[Rank_SSPSPAddlSPCommandant]])</f>
        <v>25176</v>
      </c>
    </row>
    <row r="1832" spans="1:18" x14ac:dyDescent="0.3">
      <c r="A1832" t="s">
        <v>17</v>
      </c>
      <c r="B1832">
        <v>2003</v>
      </c>
      <c r="C1832" t="str">
        <f>_xlfn.CONCAT(Table13[[#This Row],[STATE]],"-",Table13[[#This Row],[Year]])</f>
        <v>Karnataka-2003</v>
      </c>
      <c r="D1832" t="s">
        <v>75</v>
      </c>
      <c r="E1832" t="s">
        <v>76</v>
      </c>
      <c r="F1832">
        <v>57357</v>
      </c>
      <c r="G1832">
        <v>2837</v>
      </c>
      <c r="H1832">
        <v>184</v>
      </c>
      <c r="I1832">
        <v>0</v>
      </c>
      <c r="J1832">
        <v>39548</v>
      </c>
      <c r="K1832">
        <v>2</v>
      </c>
      <c r="L1832">
        <v>5</v>
      </c>
      <c r="M1832">
        <v>11842</v>
      </c>
      <c r="N1832">
        <v>6</v>
      </c>
      <c r="O1832">
        <v>703</v>
      </c>
      <c r="P1832">
        <v>2160</v>
      </c>
      <c r="Q1832">
        <v>70</v>
      </c>
      <c r="R1832">
        <f>SUM(Table13[[#This Row],[Rank_All_Ranks_Total]:[Rank_SSPSPAddlSPCommandant]])</f>
        <v>114714</v>
      </c>
    </row>
    <row r="1833" spans="1:18" x14ac:dyDescent="0.3">
      <c r="A1833" t="s">
        <v>18</v>
      </c>
      <c r="B1833">
        <v>2003</v>
      </c>
      <c r="C1833" t="str">
        <f>_xlfn.CONCAT(Table13[[#This Row],[STATE]],"-",Table13[[#This Row],[Year]])</f>
        <v>Kerala-2003</v>
      </c>
      <c r="D1833" t="s">
        <v>75</v>
      </c>
      <c r="E1833" t="s">
        <v>76</v>
      </c>
      <c r="F1833">
        <v>36245</v>
      </c>
      <c r="G1833">
        <v>1613</v>
      </c>
      <c r="H1833">
        <v>281</v>
      </c>
      <c r="I1833">
        <v>0</v>
      </c>
      <c r="J1833">
        <v>24902</v>
      </c>
      <c r="K1833">
        <v>5</v>
      </c>
      <c r="L1833">
        <v>13</v>
      </c>
      <c r="M1833">
        <v>7458</v>
      </c>
      <c r="N1833">
        <v>6</v>
      </c>
      <c r="O1833">
        <v>399</v>
      </c>
      <c r="P1833">
        <v>1501</v>
      </c>
      <c r="Q1833">
        <v>67</v>
      </c>
      <c r="R1833">
        <f>SUM(Table13[[#This Row],[Rank_All_Ranks_Total]:[Rank_SSPSPAddlSPCommandant]])</f>
        <v>72490</v>
      </c>
    </row>
    <row r="1834" spans="1:18" x14ac:dyDescent="0.3">
      <c r="A1834" t="s">
        <v>39</v>
      </c>
      <c r="B1834">
        <v>2003</v>
      </c>
      <c r="C1834" t="str">
        <f>_xlfn.CONCAT(Table13[[#This Row],[STATE]],"-",Table13[[#This Row],[Year]])</f>
        <v>Lakshadweep-2003</v>
      </c>
      <c r="D1834" t="s">
        <v>75</v>
      </c>
      <c r="E1834" t="s">
        <v>76</v>
      </c>
      <c r="F1834">
        <v>348</v>
      </c>
      <c r="G1834">
        <v>28</v>
      </c>
      <c r="H1834">
        <v>1</v>
      </c>
      <c r="I1834">
        <v>0</v>
      </c>
      <c r="J1834">
        <v>230</v>
      </c>
      <c r="K1834">
        <v>0</v>
      </c>
      <c r="L1834">
        <v>0</v>
      </c>
      <c r="M1834">
        <v>64</v>
      </c>
      <c r="N1834">
        <v>0</v>
      </c>
      <c r="O1834">
        <v>5</v>
      </c>
      <c r="P1834">
        <v>19</v>
      </c>
      <c r="Q1834">
        <v>1</v>
      </c>
      <c r="R1834">
        <f>SUM(Table13[[#This Row],[Rank_All_Ranks_Total]:[Rank_SSPSPAddlSPCommandant]])</f>
        <v>696</v>
      </c>
    </row>
    <row r="1835" spans="1:18" x14ac:dyDescent="0.3">
      <c r="A1835" t="s">
        <v>19</v>
      </c>
      <c r="B1835">
        <v>2003</v>
      </c>
      <c r="C1835" t="str">
        <f>_xlfn.CONCAT(Table13[[#This Row],[STATE]],"-",Table13[[#This Row],[Year]])</f>
        <v>Madhya Pradesh-2003</v>
      </c>
      <c r="D1835" t="s">
        <v>75</v>
      </c>
      <c r="E1835" t="s">
        <v>76</v>
      </c>
      <c r="F1835">
        <v>51823</v>
      </c>
      <c r="G1835">
        <v>3054</v>
      </c>
      <c r="H1835">
        <v>547</v>
      </c>
      <c r="I1835">
        <v>0</v>
      </c>
      <c r="J1835">
        <v>34735</v>
      </c>
      <c r="K1835">
        <v>26</v>
      </c>
      <c r="L1835">
        <v>42</v>
      </c>
      <c r="M1835">
        <v>9891</v>
      </c>
      <c r="N1835">
        <v>35</v>
      </c>
      <c r="O1835">
        <v>869</v>
      </c>
      <c r="P1835">
        <v>2538</v>
      </c>
      <c r="Q1835">
        <v>86</v>
      </c>
      <c r="R1835">
        <f>SUM(Table13[[#This Row],[Rank_All_Ranks_Total]:[Rank_SSPSPAddlSPCommandant]])</f>
        <v>103646</v>
      </c>
    </row>
    <row r="1836" spans="1:18" x14ac:dyDescent="0.3">
      <c r="A1836" t="s">
        <v>20</v>
      </c>
      <c r="B1836">
        <v>2003</v>
      </c>
      <c r="C1836" t="str">
        <f>_xlfn.CONCAT(Table13[[#This Row],[STATE]],"-",Table13[[#This Row],[Year]])</f>
        <v>Maharashtra-2003</v>
      </c>
      <c r="D1836" t="s">
        <v>75</v>
      </c>
      <c r="E1836" t="s">
        <v>76</v>
      </c>
      <c r="F1836">
        <v>134186</v>
      </c>
      <c r="G1836">
        <v>12247</v>
      </c>
      <c r="H1836">
        <v>606</v>
      </c>
      <c r="I1836">
        <v>19753</v>
      </c>
      <c r="J1836">
        <v>61360</v>
      </c>
      <c r="K1836">
        <v>17</v>
      </c>
      <c r="L1836">
        <v>28</v>
      </c>
      <c r="M1836">
        <v>29251</v>
      </c>
      <c r="N1836">
        <v>23</v>
      </c>
      <c r="O1836">
        <v>2530</v>
      </c>
      <c r="P1836">
        <v>8176</v>
      </c>
      <c r="Q1836">
        <v>195</v>
      </c>
      <c r="R1836">
        <f>SUM(Table13[[#This Row],[Rank_All_Ranks_Total]:[Rank_SSPSPAddlSPCommandant]])</f>
        <v>268372</v>
      </c>
    </row>
    <row r="1837" spans="1:18" x14ac:dyDescent="0.3">
      <c r="A1837" t="s">
        <v>21</v>
      </c>
      <c r="B1837">
        <v>2003</v>
      </c>
      <c r="C1837" t="str">
        <f>_xlfn.CONCAT(Table13[[#This Row],[STATE]],"-",Table13[[#This Row],[Year]])</f>
        <v>Manipur-2003</v>
      </c>
      <c r="D1837" t="s">
        <v>75</v>
      </c>
      <c r="E1837" t="s">
        <v>76</v>
      </c>
      <c r="F1837">
        <v>5667</v>
      </c>
      <c r="G1837">
        <v>554</v>
      </c>
      <c r="H1837">
        <v>47</v>
      </c>
      <c r="I1837">
        <v>117</v>
      </c>
      <c r="J1837">
        <v>3875</v>
      </c>
      <c r="K1837">
        <v>2</v>
      </c>
      <c r="L1837">
        <v>7</v>
      </c>
      <c r="M1837">
        <v>436</v>
      </c>
      <c r="N1837">
        <v>4</v>
      </c>
      <c r="O1837">
        <v>139</v>
      </c>
      <c r="P1837">
        <v>453</v>
      </c>
      <c r="Q1837">
        <v>33</v>
      </c>
      <c r="R1837">
        <f>SUM(Table13[[#This Row],[Rank_All_Ranks_Total]:[Rank_SSPSPAddlSPCommandant]])</f>
        <v>11334</v>
      </c>
    </row>
    <row r="1838" spans="1:18" x14ac:dyDescent="0.3">
      <c r="A1838" t="s">
        <v>22</v>
      </c>
      <c r="B1838">
        <v>2003</v>
      </c>
      <c r="C1838" t="str">
        <f>_xlfn.CONCAT(Table13[[#This Row],[STATE]],"-",Table13[[#This Row],[Year]])</f>
        <v>Meghalaya-2003</v>
      </c>
      <c r="D1838" t="s">
        <v>75</v>
      </c>
      <c r="E1838" t="s">
        <v>76</v>
      </c>
      <c r="F1838">
        <v>6459</v>
      </c>
      <c r="G1838">
        <v>561</v>
      </c>
      <c r="H1838">
        <v>30</v>
      </c>
      <c r="I1838">
        <v>137</v>
      </c>
      <c r="J1838">
        <v>4666</v>
      </c>
      <c r="K1838">
        <v>5</v>
      </c>
      <c r="L1838">
        <v>6</v>
      </c>
      <c r="M1838">
        <v>502</v>
      </c>
      <c r="N1838">
        <v>5</v>
      </c>
      <c r="O1838">
        <v>107</v>
      </c>
      <c r="P1838">
        <v>416</v>
      </c>
      <c r="Q1838">
        <v>24</v>
      </c>
      <c r="R1838">
        <f>SUM(Table13[[#This Row],[Rank_All_Ranks_Total]:[Rank_SSPSPAddlSPCommandant]])</f>
        <v>12918</v>
      </c>
    </row>
    <row r="1839" spans="1:18" x14ac:dyDescent="0.3">
      <c r="A1839" t="s">
        <v>23</v>
      </c>
      <c r="B1839">
        <v>2003</v>
      </c>
      <c r="C1839" t="str">
        <f>_xlfn.CONCAT(Table13[[#This Row],[STATE]],"-",Table13[[#This Row],[Year]])</f>
        <v>Mizoram-2003</v>
      </c>
      <c r="D1839" t="s">
        <v>75</v>
      </c>
      <c r="E1839" t="s">
        <v>76</v>
      </c>
      <c r="F1839">
        <v>2809</v>
      </c>
      <c r="G1839">
        <v>313</v>
      </c>
      <c r="H1839">
        <v>31</v>
      </c>
      <c r="I1839">
        <v>286</v>
      </c>
      <c r="J1839">
        <v>1242</v>
      </c>
      <c r="K1839">
        <v>1</v>
      </c>
      <c r="L1839">
        <v>4</v>
      </c>
      <c r="M1839">
        <v>525</v>
      </c>
      <c r="N1839">
        <v>1</v>
      </c>
      <c r="O1839">
        <v>100</v>
      </c>
      <c r="P1839">
        <v>272</v>
      </c>
      <c r="Q1839">
        <v>34</v>
      </c>
      <c r="R1839">
        <f>SUM(Table13[[#This Row],[Rank_All_Ranks_Total]:[Rank_SSPSPAddlSPCommandant]])</f>
        <v>5618</v>
      </c>
    </row>
    <row r="1840" spans="1:18" x14ac:dyDescent="0.3">
      <c r="A1840" t="s">
        <v>24</v>
      </c>
      <c r="B1840">
        <v>2003</v>
      </c>
      <c r="C1840" t="str">
        <f>_xlfn.CONCAT(Table13[[#This Row],[STATE]],"-",Table13[[#This Row],[Year]])</f>
        <v>Nagaland-2003</v>
      </c>
      <c r="D1840" t="s">
        <v>75</v>
      </c>
      <c r="E1840" t="s">
        <v>76</v>
      </c>
      <c r="F1840">
        <v>5913</v>
      </c>
      <c r="G1840">
        <v>203</v>
      </c>
      <c r="H1840">
        <v>32</v>
      </c>
      <c r="I1840">
        <v>572</v>
      </c>
      <c r="J1840">
        <v>4330</v>
      </c>
      <c r="K1840">
        <v>4</v>
      </c>
      <c r="L1840">
        <v>11</v>
      </c>
      <c r="M1840">
        <v>443</v>
      </c>
      <c r="N1840">
        <v>7</v>
      </c>
      <c r="O1840">
        <v>50</v>
      </c>
      <c r="P1840">
        <v>223</v>
      </c>
      <c r="Q1840">
        <v>38</v>
      </c>
      <c r="R1840">
        <f>SUM(Table13[[#This Row],[Rank_All_Ranks_Total]:[Rank_SSPSPAddlSPCommandant]])</f>
        <v>11826</v>
      </c>
    </row>
    <row r="1841" spans="1:18" x14ac:dyDescent="0.3">
      <c r="A1841" t="s">
        <v>63</v>
      </c>
      <c r="B1841">
        <v>2003</v>
      </c>
      <c r="C1841" t="str">
        <f>_xlfn.CONCAT(Table13[[#This Row],[STATE]],"-",Table13[[#This Row],[Year]])</f>
        <v>Odisha-2003</v>
      </c>
      <c r="D1841" t="s">
        <v>75</v>
      </c>
      <c r="E1841" t="s">
        <v>76</v>
      </c>
      <c r="F1841">
        <v>29112</v>
      </c>
      <c r="G1841">
        <v>2650</v>
      </c>
      <c r="H1841">
        <v>168</v>
      </c>
      <c r="I1841">
        <v>318</v>
      </c>
      <c r="J1841">
        <v>20313</v>
      </c>
      <c r="K1841">
        <v>7</v>
      </c>
      <c r="L1841">
        <v>18</v>
      </c>
      <c r="M1841">
        <v>2649</v>
      </c>
      <c r="N1841">
        <v>10</v>
      </c>
      <c r="O1841">
        <v>571</v>
      </c>
      <c r="P1841">
        <v>2290</v>
      </c>
      <c r="Q1841">
        <v>118</v>
      </c>
      <c r="R1841">
        <f>SUM(Table13[[#This Row],[Rank_All_Ranks_Total]:[Rank_SSPSPAddlSPCommandant]])</f>
        <v>58224</v>
      </c>
    </row>
    <row r="1842" spans="1:18" x14ac:dyDescent="0.3">
      <c r="A1842" t="s">
        <v>64</v>
      </c>
      <c r="B1842">
        <v>2003</v>
      </c>
      <c r="C1842" t="str">
        <f>_xlfn.CONCAT(Table13[[#This Row],[STATE]],"-",Table13[[#This Row],[Year]])</f>
        <v>Puducherry-2003</v>
      </c>
      <c r="D1842" t="s">
        <v>75</v>
      </c>
      <c r="E1842" t="s">
        <v>76</v>
      </c>
      <c r="F1842">
        <v>1676</v>
      </c>
      <c r="G1842">
        <v>107</v>
      </c>
      <c r="H1842">
        <v>18</v>
      </c>
      <c r="I1842">
        <v>0</v>
      </c>
      <c r="J1842">
        <v>1055</v>
      </c>
      <c r="K1842">
        <v>0</v>
      </c>
      <c r="L1842">
        <v>0</v>
      </c>
      <c r="M1842">
        <v>292</v>
      </c>
      <c r="N1842">
        <v>1</v>
      </c>
      <c r="O1842">
        <v>47</v>
      </c>
      <c r="P1842">
        <v>154</v>
      </c>
      <c r="Q1842">
        <v>2</v>
      </c>
      <c r="R1842">
        <f>SUM(Table13[[#This Row],[Rank_All_Ranks_Total]:[Rank_SSPSPAddlSPCommandant]])</f>
        <v>3352</v>
      </c>
    </row>
    <row r="1843" spans="1:18" x14ac:dyDescent="0.3">
      <c r="A1843" t="s">
        <v>26</v>
      </c>
      <c r="B1843">
        <v>2003</v>
      </c>
      <c r="C1843" t="str">
        <f>_xlfn.CONCAT(Table13[[#This Row],[STATE]],"-",Table13[[#This Row],[Year]])</f>
        <v>Punjab-2003</v>
      </c>
      <c r="D1843" t="s">
        <v>75</v>
      </c>
      <c r="E1843" t="s">
        <v>76</v>
      </c>
      <c r="F1843">
        <v>52238</v>
      </c>
      <c r="G1843">
        <v>3874</v>
      </c>
      <c r="H1843">
        <v>246</v>
      </c>
      <c r="I1843">
        <v>0</v>
      </c>
      <c r="J1843">
        <v>37470</v>
      </c>
      <c r="K1843">
        <v>13</v>
      </c>
      <c r="L1843">
        <v>15</v>
      </c>
      <c r="M1843">
        <v>8287</v>
      </c>
      <c r="N1843">
        <v>13</v>
      </c>
      <c r="O1843">
        <v>608</v>
      </c>
      <c r="P1843">
        <v>1607</v>
      </c>
      <c r="Q1843">
        <v>105</v>
      </c>
      <c r="R1843">
        <f>SUM(Table13[[#This Row],[Rank_All_Ranks_Total]:[Rank_SSPSPAddlSPCommandant]])</f>
        <v>104476</v>
      </c>
    </row>
    <row r="1844" spans="1:18" x14ac:dyDescent="0.3">
      <c r="A1844" t="s">
        <v>27</v>
      </c>
      <c r="B1844">
        <v>2003</v>
      </c>
      <c r="C1844" t="str">
        <f>_xlfn.CONCAT(Table13[[#This Row],[STATE]],"-",Table13[[#This Row],[Year]])</f>
        <v>Rajasthan-2003</v>
      </c>
      <c r="D1844" t="s">
        <v>75</v>
      </c>
      <c r="E1844" t="s">
        <v>76</v>
      </c>
      <c r="F1844">
        <v>57873</v>
      </c>
      <c r="G1844">
        <v>3896</v>
      </c>
      <c r="H1844">
        <v>377</v>
      </c>
      <c r="I1844">
        <v>0</v>
      </c>
      <c r="J1844">
        <v>42781</v>
      </c>
      <c r="K1844">
        <v>13</v>
      </c>
      <c r="L1844">
        <v>19</v>
      </c>
      <c r="M1844">
        <v>6723</v>
      </c>
      <c r="N1844">
        <v>15</v>
      </c>
      <c r="O1844">
        <v>787</v>
      </c>
      <c r="P1844">
        <v>3010</v>
      </c>
      <c r="Q1844">
        <v>252</v>
      </c>
      <c r="R1844">
        <f>SUM(Table13[[#This Row],[Rank_All_Ranks_Total]:[Rank_SSPSPAddlSPCommandant]])</f>
        <v>115746</v>
      </c>
    </row>
    <row r="1845" spans="1:18" x14ac:dyDescent="0.3">
      <c r="A1845" t="s">
        <v>28</v>
      </c>
      <c r="B1845">
        <v>2003</v>
      </c>
      <c r="C1845" t="str">
        <f>_xlfn.CONCAT(Table13[[#This Row],[STATE]],"-",Table13[[#This Row],[Year]])</f>
        <v>Sikkim-2003</v>
      </c>
      <c r="D1845" t="s">
        <v>75</v>
      </c>
      <c r="E1845" t="s">
        <v>76</v>
      </c>
      <c r="F1845">
        <v>1949</v>
      </c>
      <c r="G1845">
        <v>86</v>
      </c>
      <c r="H1845">
        <v>23</v>
      </c>
      <c r="I1845">
        <v>93</v>
      </c>
      <c r="J1845">
        <v>1283</v>
      </c>
      <c r="K1845">
        <v>2</v>
      </c>
      <c r="L1845">
        <v>7</v>
      </c>
      <c r="M1845">
        <v>255</v>
      </c>
      <c r="N1845">
        <v>7</v>
      </c>
      <c r="O1845">
        <v>40</v>
      </c>
      <c r="P1845">
        <v>139</v>
      </c>
      <c r="Q1845">
        <v>14</v>
      </c>
      <c r="R1845">
        <f>SUM(Table13[[#This Row],[Rank_All_Ranks_Total]:[Rank_SSPSPAddlSPCommandant]])</f>
        <v>3898</v>
      </c>
    </row>
    <row r="1846" spans="1:18" x14ac:dyDescent="0.3">
      <c r="A1846" t="s">
        <v>42</v>
      </c>
      <c r="B1846">
        <v>2003</v>
      </c>
      <c r="C1846" t="str">
        <f>_xlfn.CONCAT(Table13[[#This Row],[STATE]],"-",Table13[[#This Row],[Year]])</f>
        <v>Tamil Nadu-2003</v>
      </c>
      <c r="D1846" t="s">
        <v>75</v>
      </c>
      <c r="E1846" t="s">
        <v>76</v>
      </c>
      <c r="F1846">
        <v>82724</v>
      </c>
      <c r="G1846">
        <v>0</v>
      </c>
      <c r="H1846">
        <v>540</v>
      </c>
      <c r="I1846">
        <v>8474</v>
      </c>
      <c r="J1846">
        <v>52052</v>
      </c>
      <c r="K1846">
        <v>25</v>
      </c>
      <c r="L1846">
        <v>32</v>
      </c>
      <c r="M1846">
        <v>11927</v>
      </c>
      <c r="N1846">
        <v>23</v>
      </c>
      <c r="O1846">
        <v>2504</v>
      </c>
      <c r="P1846">
        <v>6956</v>
      </c>
      <c r="Q1846">
        <v>191</v>
      </c>
      <c r="R1846">
        <f>SUM(Table13[[#This Row],[Rank_All_Ranks_Total]:[Rank_SSPSPAddlSPCommandant]])</f>
        <v>165448</v>
      </c>
    </row>
    <row r="1847" spans="1:18" x14ac:dyDescent="0.3">
      <c r="A1847" t="s">
        <v>30</v>
      </c>
      <c r="B1847">
        <v>2003</v>
      </c>
      <c r="C1847" t="str">
        <f>_xlfn.CONCAT(Table13[[#This Row],[STATE]],"-",Table13[[#This Row],[Year]])</f>
        <v>Tripura-2003</v>
      </c>
      <c r="D1847" t="s">
        <v>75</v>
      </c>
      <c r="E1847" t="s">
        <v>76</v>
      </c>
      <c r="F1847">
        <v>10151</v>
      </c>
      <c r="G1847">
        <v>497</v>
      </c>
      <c r="H1847">
        <v>180</v>
      </c>
      <c r="I1847">
        <v>318</v>
      </c>
      <c r="J1847">
        <v>7373</v>
      </c>
      <c r="K1847">
        <v>3</v>
      </c>
      <c r="L1847">
        <v>10</v>
      </c>
      <c r="M1847">
        <v>857</v>
      </c>
      <c r="N1847">
        <v>5</v>
      </c>
      <c r="O1847">
        <v>209</v>
      </c>
      <c r="P1847">
        <v>658</v>
      </c>
      <c r="Q1847">
        <v>41</v>
      </c>
      <c r="R1847">
        <f>SUM(Table13[[#This Row],[Rank_All_Ranks_Total]:[Rank_SSPSPAddlSPCommandant]])</f>
        <v>20302</v>
      </c>
    </row>
    <row r="1848" spans="1:18" x14ac:dyDescent="0.3">
      <c r="A1848" t="s">
        <v>31</v>
      </c>
      <c r="B1848">
        <v>2003</v>
      </c>
      <c r="C1848" t="str">
        <f>_xlfn.CONCAT(Table13[[#This Row],[STATE]],"-",Table13[[#This Row],[Year]])</f>
        <v>Uttar Pradesh-2003</v>
      </c>
      <c r="D1848" t="s">
        <v>75</v>
      </c>
      <c r="E1848" t="s">
        <v>76</v>
      </c>
      <c r="F1848">
        <v>133553</v>
      </c>
      <c r="G1848">
        <v>0</v>
      </c>
      <c r="H1848">
        <v>936</v>
      </c>
      <c r="I1848">
        <v>0</v>
      </c>
      <c r="J1848">
        <v>98282</v>
      </c>
      <c r="K1848">
        <v>24</v>
      </c>
      <c r="L1848">
        <v>47</v>
      </c>
      <c r="M1848">
        <v>20377</v>
      </c>
      <c r="N1848">
        <v>56</v>
      </c>
      <c r="O1848">
        <v>1280</v>
      </c>
      <c r="P1848">
        <v>12196</v>
      </c>
      <c r="Q1848">
        <v>355</v>
      </c>
      <c r="R1848">
        <f>SUM(Table13[[#This Row],[Rank_All_Ranks_Total]:[Rank_SSPSPAddlSPCommandant]])</f>
        <v>267106</v>
      </c>
    </row>
    <row r="1849" spans="1:18" x14ac:dyDescent="0.3">
      <c r="A1849" t="s">
        <v>65</v>
      </c>
      <c r="B1849">
        <v>2003</v>
      </c>
      <c r="C1849" t="str">
        <f>_xlfn.CONCAT(Table13[[#This Row],[STATE]],"-",Table13[[#This Row],[Year]])</f>
        <v>Uttarakhand-2003</v>
      </c>
      <c r="D1849" t="s">
        <v>75</v>
      </c>
      <c r="E1849" t="s">
        <v>76</v>
      </c>
      <c r="F1849">
        <v>9718</v>
      </c>
      <c r="G1849">
        <v>0</v>
      </c>
      <c r="H1849">
        <v>80</v>
      </c>
      <c r="I1849">
        <v>0</v>
      </c>
      <c r="J1849">
        <v>7551</v>
      </c>
      <c r="K1849">
        <v>2</v>
      </c>
      <c r="L1849">
        <v>5</v>
      </c>
      <c r="M1849">
        <v>1375</v>
      </c>
      <c r="N1849">
        <v>3</v>
      </c>
      <c r="O1849">
        <v>63</v>
      </c>
      <c r="P1849">
        <v>603</v>
      </c>
      <c r="Q1849">
        <v>36</v>
      </c>
      <c r="R1849">
        <f>SUM(Table13[[#This Row],[Rank_All_Ranks_Total]:[Rank_SSPSPAddlSPCommandant]])</f>
        <v>19436</v>
      </c>
    </row>
    <row r="1850" spans="1:18" x14ac:dyDescent="0.3">
      <c r="A1850" t="s">
        <v>33</v>
      </c>
      <c r="B1850">
        <v>2003</v>
      </c>
      <c r="C1850" t="str">
        <f>_xlfn.CONCAT(Table13[[#This Row],[STATE]],"-",Table13[[#This Row],[Year]])</f>
        <v>West Bengal-2003</v>
      </c>
      <c r="D1850" t="s">
        <v>75</v>
      </c>
      <c r="E1850" t="s">
        <v>76</v>
      </c>
      <c r="F1850">
        <v>67709</v>
      </c>
      <c r="G1850">
        <v>7771</v>
      </c>
      <c r="H1850">
        <v>294</v>
      </c>
      <c r="I1850">
        <v>2070</v>
      </c>
      <c r="J1850">
        <v>46438</v>
      </c>
      <c r="K1850">
        <v>18</v>
      </c>
      <c r="L1850">
        <v>23</v>
      </c>
      <c r="M1850">
        <v>2955</v>
      </c>
      <c r="N1850">
        <v>38</v>
      </c>
      <c r="O1850">
        <v>1021</v>
      </c>
      <c r="P1850">
        <v>6976</v>
      </c>
      <c r="Q1850">
        <v>105</v>
      </c>
      <c r="R1850">
        <f>SUM(Table13[[#This Row],[Rank_All_Ranks_Total]:[Rank_SSPSPAddlSPCommandant]])</f>
        <v>135418</v>
      </c>
    </row>
    <row r="1851" spans="1:18" x14ac:dyDescent="0.3">
      <c r="A1851" t="s">
        <v>59</v>
      </c>
      <c r="B1851">
        <v>2004</v>
      </c>
      <c r="C1851" t="str">
        <f>_xlfn.CONCAT(Table13[[#This Row],[STATE]],"-",Table13[[#This Row],[Year]])</f>
        <v>Andaman &amp; Nicobar Islands-2004</v>
      </c>
      <c r="D1851" t="s">
        <v>75</v>
      </c>
      <c r="E1851" t="s">
        <v>76</v>
      </c>
      <c r="F1851">
        <v>2285</v>
      </c>
      <c r="G1851">
        <v>228</v>
      </c>
      <c r="H1851">
        <v>10</v>
      </c>
      <c r="I1851">
        <v>0</v>
      </c>
      <c r="J1851">
        <v>1500</v>
      </c>
      <c r="K1851">
        <v>0</v>
      </c>
      <c r="L1851">
        <v>0</v>
      </c>
      <c r="M1851">
        <v>374</v>
      </c>
      <c r="N1851">
        <v>1</v>
      </c>
      <c r="O1851">
        <v>33</v>
      </c>
      <c r="P1851">
        <v>137</v>
      </c>
      <c r="Q1851">
        <v>2</v>
      </c>
      <c r="R1851">
        <f>SUM(Table13[[#This Row],[Rank_All_Ranks_Total]:[Rank_SSPSPAddlSPCommandant]])</f>
        <v>4570</v>
      </c>
    </row>
    <row r="1852" spans="1:18" x14ac:dyDescent="0.3">
      <c r="A1852" t="s">
        <v>6</v>
      </c>
      <c r="B1852">
        <v>2004</v>
      </c>
      <c r="C1852" t="str">
        <f>_xlfn.CONCAT(Table13[[#This Row],[STATE]],"-",Table13[[#This Row],[Year]])</f>
        <v>Andhra Pradesh-2004</v>
      </c>
      <c r="D1852" t="s">
        <v>75</v>
      </c>
      <c r="E1852" t="s">
        <v>76</v>
      </c>
      <c r="F1852">
        <v>70831</v>
      </c>
      <c r="G1852">
        <v>2612</v>
      </c>
      <c r="H1852">
        <v>314</v>
      </c>
      <c r="I1852">
        <v>0</v>
      </c>
      <c r="J1852">
        <v>52079</v>
      </c>
      <c r="K1852">
        <v>21</v>
      </c>
      <c r="L1852">
        <v>30</v>
      </c>
      <c r="M1852">
        <v>10829</v>
      </c>
      <c r="N1852">
        <v>20</v>
      </c>
      <c r="O1852">
        <v>1075</v>
      </c>
      <c r="P1852">
        <v>3703</v>
      </c>
      <c r="Q1852">
        <v>148</v>
      </c>
      <c r="R1852">
        <f>SUM(Table13[[#This Row],[Rank_All_Ranks_Total]:[Rank_SSPSPAddlSPCommandant]])</f>
        <v>141662</v>
      </c>
    </row>
    <row r="1853" spans="1:18" x14ac:dyDescent="0.3">
      <c r="A1853" t="s">
        <v>7</v>
      </c>
      <c r="B1853">
        <v>2004</v>
      </c>
      <c r="C1853" t="str">
        <f>_xlfn.CONCAT(Table13[[#This Row],[STATE]],"-",Table13[[#This Row],[Year]])</f>
        <v>Arunachal Pradesh-2004</v>
      </c>
      <c r="D1853" t="s">
        <v>75</v>
      </c>
      <c r="E1853" t="s">
        <v>76</v>
      </c>
      <c r="F1853">
        <v>3235</v>
      </c>
      <c r="G1853">
        <v>143</v>
      </c>
      <c r="H1853">
        <v>42</v>
      </c>
      <c r="I1853">
        <v>0</v>
      </c>
      <c r="J1853">
        <v>2297</v>
      </c>
      <c r="K1853">
        <v>1</v>
      </c>
      <c r="L1853">
        <v>3</v>
      </c>
      <c r="M1853">
        <v>358</v>
      </c>
      <c r="N1853">
        <v>1</v>
      </c>
      <c r="O1853">
        <v>46</v>
      </c>
      <c r="P1853">
        <v>323</v>
      </c>
      <c r="Q1853">
        <v>21</v>
      </c>
      <c r="R1853">
        <f>SUM(Table13[[#This Row],[Rank_All_Ranks_Total]:[Rank_SSPSPAddlSPCommandant]])</f>
        <v>6470</v>
      </c>
    </row>
    <row r="1854" spans="1:18" x14ac:dyDescent="0.3">
      <c r="A1854" t="s">
        <v>8</v>
      </c>
      <c r="B1854">
        <v>2004</v>
      </c>
      <c r="C1854" t="str">
        <f>_xlfn.CONCAT(Table13[[#This Row],[STATE]],"-",Table13[[#This Row],[Year]])</f>
        <v>Assam-2004</v>
      </c>
      <c r="D1854" t="s">
        <v>75</v>
      </c>
      <c r="E1854" t="s">
        <v>76</v>
      </c>
      <c r="F1854">
        <v>30033</v>
      </c>
      <c r="G1854">
        <v>1789</v>
      </c>
      <c r="H1854">
        <v>161</v>
      </c>
      <c r="I1854">
        <v>901</v>
      </c>
      <c r="J1854">
        <v>21969</v>
      </c>
      <c r="K1854">
        <v>7</v>
      </c>
      <c r="L1854">
        <v>16</v>
      </c>
      <c r="M1854">
        <v>1826</v>
      </c>
      <c r="N1854">
        <v>11</v>
      </c>
      <c r="O1854">
        <v>487</v>
      </c>
      <c r="P1854">
        <v>2732</v>
      </c>
      <c r="Q1854">
        <v>134</v>
      </c>
      <c r="R1854">
        <f>SUM(Table13[[#This Row],[Rank_All_Ranks_Total]:[Rank_SSPSPAddlSPCommandant]])</f>
        <v>60066</v>
      </c>
    </row>
    <row r="1855" spans="1:18" x14ac:dyDescent="0.3">
      <c r="A1855" t="s">
        <v>9</v>
      </c>
      <c r="B1855">
        <v>2004</v>
      </c>
      <c r="C1855" t="str">
        <f>_xlfn.CONCAT(Table13[[#This Row],[STATE]],"-",Table13[[#This Row],[Year]])</f>
        <v>Bihar-2004</v>
      </c>
      <c r="D1855" t="s">
        <v>75</v>
      </c>
      <c r="E1855" t="s">
        <v>76</v>
      </c>
      <c r="F1855">
        <v>55823</v>
      </c>
      <c r="G1855">
        <v>4604</v>
      </c>
      <c r="H1855">
        <v>243</v>
      </c>
      <c r="I1855">
        <v>0</v>
      </c>
      <c r="J1855">
        <v>36693</v>
      </c>
      <c r="K1855">
        <v>9</v>
      </c>
      <c r="L1855">
        <v>24</v>
      </c>
      <c r="M1855">
        <v>7696</v>
      </c>
      <c r="N1855">
        <v>16</v>
      </c>
      <c r="O1855">
        <v>656</v>
      </c>
      <c r="P1855">
        <v>5812</v>
      </c>
      <c r="Q1855">
        <v>70</v>
      </c>
      <c r="R1855">
        <f>SUM(Table13[[#This Row],[Rank_All_Ranks_Total]:[Rank_SSPSPAddlSPCommandant]])</f>
        <v>111646</v>
      </c>
    </row>
    <row r="1856" spans="1:18" x14ac:dyDescent="0.3">
      <c r="A1856" t="s">
        <v>35</v>
      </c>
      <c r="B1856">
        <v>2004</v>
      </c>
      <c r="C1856" t="str">
        <f>_xlfn.CONCAT(Table13[[#This Row],[STATE]],"-",Table13[[#This Row],[Year]])</f>
        <v>Chandigarh-2004</v>
      </c>
      <c r="D1856" t="s">
        <v>75</v>
      </c>
      <c r="E1856" t="s">
        <v>76</v>
      </c>
      <c r="F1856">
        <v>3790</v>
      </c>
      <c r="G1856">
        <v>189</v>
      </c>
      <c r="H1856">
        <v>11</v>
      </c>
      <c r="I1856">
        <v>0</v>
      </c>
      <c r="J1856">
        <v>2517</v>
      </c>
      <c r="K1856">
        <v>0</v>
      </c>
      <c r="L1856">
        <v>0</v>
      </c>
      <c r="M1856">
        <v>784</v>
      </c>
      <c r="N1856">
        <v>1</v>
      </c>
      <c r="O1856">
        <v>46</v>
      </c>
      <c r="P1856">
        <v>238</v>
      </c>
      <c r="Q1856">
        <v>4</v>
      </c>
      <c r="R1856">
        <f>SUM(Table13[[#This Row],[Rank_All_Ranks_Total]:[Rank_SSPSPAddlSPCommandant]])</f>
        <v>7580</v>
      </c>
    </row>
    <row r="1857" spans="1:18" x14ac:dyDescent="0.3">
      <c r="A1857" t="s">
        <v>10</v>
      </c>
      <c r="B1857">
        <v>2004</v>
      </c>
      <c r="C1857" t="str">
        <f>_xlfn.CONCAT(Table13[[#This Row],[STATE]],"-",Table13[[#This Row],[Year]])</f>
        <v>Chhattisgarh-2004</v>
      </c>
      <c r="D1857" t="s">
        <v>75</v>
      </c>
      <c r="E1857" t="s">
        <v>76</v>
      </c>
      <c r="F1857">
        <v>12719</v>
      </c>
      <c r="G1857">
        <v>667</v>
      </c>
      <c r="H1857">
        <v>0</v>
      </c>
      <c r="I1857">
        <v>0</v>
      </c>
      <c r="J1857">
        <v>8943</v>
      </c>
      <c r="K1857">
        <v>0</v>
      </c>
      <c r="L1857">
        <v>0</v>
      </c>
      <c r="M1857">
        <v>2251</v>
      </c>
      <c r="N1857">
        <v>0</v>
      </c>
      <c r="O1857">
        <v>204</v>
      </c>
      <c r="P1857">
        <v>654</v>
      </c>
      <c r="Q1857">
        <v>0</v>
      </c>
      <c r="R1857">
        <f>SUM(Table13[[#This Row],[Rank_All_Ranks_Total]:[Rank_SSPSPAddlSPCommandant]])</f>
        <v>25438</v>
      </c>
    </row>
    <row r="1858" spans="1:18" x14ac:dyDescent="0.3">
      <c r="A1858" t="s">
        <v>62</v>
      </c>
      <c r="B1858">
        <v>2004</v>
      </c>
      <c r="C1858" t="str">
        <f>_xlfn.CONCAT(Table13[[#This Row],[STATE]],"-",Table13[[#This Row],[Year]])</f>
        <v>Dadra &amp; Nagar Haveli-2004</v>
      </c>
      <c r="D1858" t="s">
        <v>75</v>
      </c>
      <c r="E1858" t="s">
        <v>76</v>
      </c>
      <c r="F1858">
        <v>241</v>
      </c>
      <c r="G1858">
        <v>3</v>
      </c>
      <c r="H1858">
        <v>1</v>
      </c>
      <c r="I1858">
        <v>0</v>
      </c>
      <c r="J1858">
        <v>169</v>
      </c>
      <c r="K1858">
        <v>0</v>
      </c>
      <c r="L1858">
        <v>0</v>
      </c>
      <c r="M1858">
        <v>53</v>
      </c>
      <c r="N1858">
        <v>0</v>
      </c>
      <c r="O1858">
        <v>1</v>
      </c>
      <c r="P1858">
        <v>13</v>
      </c>
      <c r="Q1858">
        <v>1</v>
      </c>
      <c r="R1858">
        <f>SUM(Table13[[#This Row],[Rank_All_Ranks_Total]:[Rank_SSPSPAddlSPCommandant]])</f>
        <v>482</v>
      </c>
    </row>
    <row r="1859" spans="1:18" x14ac:dyDescent="0.3">
      <c r="A1859" t="s">
        <v>37</v>
      </c>
      <c r="B1859">
        <v>2004</v>
      </c>
      <c r="C1859" t="str">
        <f>_xlfn.CONCAT(Table13[[#This Row],[STATE]],"-",Table13[[#This Row],[Year]])</f>
        <v>Daman &amp; Diu-2004</v>
      </c>
      <c r="D1859" t="s">
        <v>75</v>
      </c>
      <c r="E1859" t="s">
        <v>76</v>
      </c>
      <c r="F1859">
        <v>242</v>
      </c>
      <c r="G1859">
        <v>8</v>
      </c>
      <c r="H1859">
        <v>3</v>
      </c>
      <c r="I1859">
        <v>0</v>
      </c>
      <c r="J1859">
        <v>177</v>
      </c>
      <c r="K1859">
        <v>0</v>
      </c>
      <c r="L1859">
        <v>0</v>
      </c>
      <c r="M1859">
        <v>40</v>
      </c>
      <c r="N1859">
        <v>0</v>
      </c>
      <c r="O1859">
        <v>3</v>
      </c>
      <c r="P1859">
        <v>10</v>
      </c>
      <c r="Q1859">
        <v>1</v>
      </c>
      <c r="R1859">
        <f>SUM(Table13[[#This Row],[Rank_All_Ranks_Total]:[Rank_SSPSPAddlSPCommandant]])</f>
        <v>484</v>
      </c>
    </row>
    <row r="1860" spans="1:18" x14ac:dyDescent="0.3">
      <c r="A1860" t="s">
        <v>38</v>
      </c>
      <c r="B1860">
        <v>2004</v>
      </c>
      <c r="C1860" t="str">
        <f>_xlfn.CONCAT(Table13[[#This Row],[STATE]],"-",Table13[[#This Row],[Year]])</f>
        <v>Delhi-2004</v>
      </c>
      <c r="D1860" t="s">
        <v>75</v>
      </c>
      <c r="E1860" t="s">
        <v>76</v>
      </c>
      <c r="F1860">
        <v>46316</v>
      </c>
      <c r="G1860">
        <v>5420</v>
      </c>
      <c r="H1860">
        <v>233</v>
      </c>
      <c r="I1860">
        <v>0</v>
      </c>
      <c r="J1860">
        <v>24007</v>
      </c>
      <c r="K1860">
        <v>4</v>
      </c>
      <c r="L1860">
        <v>5</v>
      </c>
      <c r="M1860">
        <v>11719</v>
      </c>
      <c r="N1860">
        <v>14</v>
      </c>
      <c r="O1860">
        <v>911</v>
      </c>
      <c r="P1860">
        <v>3944</v>
      </c>
      <c r="Q1860">
        <v>59</v>
      </c>
      <c r="R1860">
        <f>SUM(Table13[[#This Row],[Rank_All_Ranks_Total]:[Rank_SSPSPAddlSPCommandant]])</f>
        <v>92632</v>
      </c>
    </row>
    <row r="1861" spans="1:18" x14ac:dyDescent="0.3">
      <c r="A1861" t="s">
        <v>11</v>
      </c>
      <c r="B1861">
        <v>2004</v>
      </c>
      <c r="C1861" t="str">
        <f>_xlfn.CONCAT(Table13[[#This Row],[STATE]],"-",Table13[[#This Row],[Year]])</f>
        <v>Goa-2004</v>
      </c>
      <c r="D1861" t="s">
        <v>75</v>
      </c>
      <c r="E1861" t="s">
        <v>76</v>
      </c>
      <c r="F1861">
        <v>2971</v>
      </c>
      <c r="G1861">
        <v>129</v>
      </c>
      <c r="H1861">
        <v>19</v>
      </c>
      <c r="I1861">
        <v>0</v>
      </c>
      <c r="J1861">
        <v>2087</v>
      </c>
      <c r="K1861">
        <v>1</v>
      </c>
      <c r="L1861">
        <v>1</v>
      </c>
      <c r="M1861">
        <v>552</v>
      </c>
      <c r="N1861">
        <v>0</v>
      </c>
      <c r="O1861">
        <v>44</v>
      </c>
      <c r="P1861">
        <v>129</v>
      </c>
      <c r="Q1861">
        <v>9</v>
      </c>
      <c r="R1861">
        <f>SUM(Table13[[#This Row],[Rank_All_Ranks_Total]:[Rank_SSPSPAddlSPCommandant]])</f>
        <v>5942</v>
      </c>
    </row>
    <row r="1862" spans="1:18" x14ac:dyDescent="0.3">
      <c r="A1862" t="s">
        <v>12</v>
      </c>
      <c r="B1862">
        <v>2004</v>
      </c>
      <c r="C1862" t="str">
        <f>_xlfn.CONCAT(Table13[[#This Row],[STATE]],"-",Table13[[#This Row],[Year]])</f>
        <v>Gujarat-2004</v>
      </c>
      <c r="D1862" t="s">
        <v>75</v>
      </c>
      <c r="E1862" t="s">
        <v>76</v>
      </c>
      <c r="F1862">
        <v>53247</v>
      </c>
      <c r="G1862">
        <v>7073</v>
      </c>
      <c r="H1862">
        <v>197</v>
      </c>
      <c r="I1862">
        <v>0</v>
      </c>
      <c r="J1862">
        <v>33282</v>
      </c>
      <c r="K1862">
        <v>19</v>
      </c>
      <c r="L1862">
        <v>18</v>
      </c>
      <c r="M1862">
        <v>9485</v>
      </c>
      <c r="N1862">
        <v>26</v>
      </c>
      <c r="O1862">
        <v>706</v>
      </c>
      <c r="P1862">
        <v>2367</v>
      </c>
      <c r="Q1862">
        <v>74</v>
      </c>
      <c r="R1862">
        <f>SUM(Table13[[#This Row],[Rank_All_Ranks_Total]:[Rank_SSPSPAddlSPCommandant]])</f>
        <v>106494</v>
      </c>
    </row>
    <row r="1863" spans="1:18" x14ac:dyDescent="0.3">
      <c r="A1863" t="s">
        <v>13</v>
      </c>
      <c r="B1863">
        <v>2004</v>
      </c>
      <c r="C1863" t="str">
        <f>_xlfn.CONCAT(Table13[[#This Row],[STATE]],"-",Table13[[#This Row],[Year]])</f>
        <v>Haryana-2004</v>
      </c>
      <c r="D1863" t="s">
        <v>75</v>
      </c>
      <c r="E1863" t="s">
        <v>76</v>
      </c>
      <c r="F1863">
        <v>42609</v>
      </c>
      <c r="G1863">
        <v>3462</v>
      </c>
      <c r="H1863">
        <v>163</v>
      </c>
      <c r="I1863">
        <v>0</v>
      </c>
      <c r="J1863">
        <v>30453</v>
      </c>
      <c r="K1863">
        <v>4</v>
      </c>
      <c r="L1863">
        <v>13</v>
      </c>
      <c r="M1863">
        <v>6640</v>
      </c>
      <c r="N1863">
        <v>12</v>
      </c>
      <c r="O1863">
        <v>395</v>
      </c>
      <c r="P1863">
        <v>1401</v>
      </c>
      <c r="Q1863">
        <v>66</v>
      </c>
      <c r="R1863">
        <f>SUM(Table13[[#This Row],[Rank_All_Ranks_Total]:[Rank_SSPSPAddlSPCommandant]])</f>
        <v>85218</v>
      </c>
    </row>
    <row r="1864" spans="1:18" x14ac:dyDescent="0.3">
      <c r="A1864" t="s">
        <v>14</v>
      </c>
      <c r="B1864">
        <v>2004</v>
      </c>
      <c r="C1864" t="str">
        <f>_xlfn.CONCAT(Table13[[#This Row],[STATE]],"-",Table13[[#This Row],[Year]])</f>
        <v>Himachal Pradesh-2004</v>
      </c>
      <c r="D1864" t="s">
        <v>75</v>
      </c>
      <c r="E1864" t="s">
        <v>76</v>
      </c>
      <c r="F1864">
        <v>8790</v>
      </c>
      <c r="G1864">
        <v>730</v>
      </c>
      <c r="H1864">
        <v>73</v>
      </c>
      <c r="I1864">
        <v>1300</v>
      </c>
      <c r="J1864">
        <v>4689</v>
      </c>
      <c r="K1864">
        <v>13</v>
      </c>
      <c r="L1864">
        <v>13</v>
      </c>
      <c r="M1864">
        <v>1395</v>
      </c>
      <c r="N1864">
        <v>8</v>
      </c>
      <c r="O1864">
        <v>156</v>
      </c>
      <c r="P1864">
        <v>367</v>
      </c>
      <c r="Q1864">
        <v>46</v>
      </c>
      <c r="R1864">
        <f>SUM(Table13[[#This Row],[Rank_All_Ranks_Total]:[Rank_SSPSPAddlSPCommandant]])</f>
        <v>17580</v>
      </c>
    </row>
    <row r="1865" spans="1:18" x14ac:dyDescent="0.3">
      <c r="A1865" t="s">
        <v>15</v>
      </c>
      <c r="B1865">
        <v>2004</v>
      </c>
      <c r="C1865" t="str">
        <f>_xlfn.CONCAT(Table13[[#This Row],[STATE]],"-",Table13[[#This Row],[Year]])</f>
        <v>Jammu &amp; Kashmir-2004</v>
      </c>
      <c r="D1865" t="s">
        <v>75</v>
      </c>
      <c r="E1865" t="s">
        <v>76</v>
      </c>
      <c r="F1865">
        <v>40278</v>
      </c>
      <c r="G1865">
        <v>2617</v>
      </c>
      <c r="H1865">
        <v>223</v>
      </c>
      <c r="I1865">
        <v>0</v>
      </c>
      <c r="J1865">
        <v>28212</v>
      </c>
      <c r="K1865">
        <v>3</v>
      </c>
      <c r="L1865">
        <v>19</v>
      </c>
      <c r="M1865">
        <v>6892</v>
      </c>
      <c r="N1865">
        <v>13</v>
      </c>
      <c r="O1865">
        <v>554</v>
      </c>
      <c r="P1865">
        <v>1639</v>
      </c>
      <c r="Q1865">
        <v>106</v>
      </c>
      <c r="R1865">
        <f>SUM(Table13[[#This Row],[Rank_All_Ranks_Total]:[Rank_SSPSPAddlSPCommandant]])</f>
        <v>80556</v>
      </c>
    </row>
    <row r="1866" spans="1:18" x14ac:dyDescent="0.3">
      <c r="A1866" t="s">
        <v>16</v>
      </c>
      <c r="B1866">
        <v>2004</v>
      </c>
      <c r="C1866" t="str">
        <f>_xlfn.CONCAT(Table13[[#This Row],[STATE]],"-",Table13[[#This Row],[Year]])</f>
        <v>Jharkhand-2004</v>
      </c>
      <c r="D1866" t="s">
        <v>75</v>
      </c>
      <c r="E1866" t="s">
        <v>76</v>
      </c>
      <c r="F1866">
        <v>12588</v>
      </c>
      <c r="G1866">
        <v>802</v>
      </c>
      <c r="H1866">
        <v>40</v>
      </c>
      <c r="I1866">
        <v>0</v>
      </c>
      <c r="J1866">
        <v>8621</v>
      </c>
      <c r="K1866">
        <v>0</v>
      </c>
      <c r="L1866">
        <v>0</v>
      </c>
      <c r="M1866">
        <v>1800</v>
      </c>
      <c r="N1866">
        <v>0</v>
      </c>
      <c r="O1866">
        <v>101</v>
      </c>
      <c r="P1866">
        <v>1210</v>
      </c>
      <c r="Q1866">
        <v>14</v>
      </c>
      <c r="R1866">
        <f>SUM(Table13[[#This Row],[Rank_All_Ranks_Total]:[Rank_SSPSPAddlSPCommandant]])</f>
        <v>25176</v>
      </c>
    </row>
    <row r="1867" spans="1:18" x14ac:dyDescent="0.3">
      <c r="A1867" t="s">
        <v>17</v>
      </c>
      <c r="B1867">
        <v>2004</v>
      </c>
      <c r="C1867" t="str">
        <f>_xlfn.CONCAT(Table13[[#This Row],[STATE]],"-",Table13[[#This Row],[Year]])</f>
        <v>Karnataka-2004</v>
      </c>
      <c r="D1867" t="s">
        <v>75</v>
      </c>
      <c r="E1867" t="s">
        <v>76</v>
      </c>
      <c r="F1867">
        <v>58038</v>
      </c>
      <c r="G1867">
        <v>2880</v>
      </c>
      <c r="H1867">
        <v>184</v>
      </c>
      <c r="I1867">
        <v>0</v>
      </c>
      <c r="J1867">
        <v>40010</v>
      </c>
      <c r="K1867">
        <v>2</v>
      </c>
      <c r="L1867">
        <v>5</v>
      </c>
      <c r="M1867">
        <v>11994</v>
      </c>
      <c r="N1867">
        <v>7</v>
      </c>
      <c r="O1867">
        <v>706</v>
      </c>
      <c r="P1867">
        <v>2180</v>
      </c>
      <c r="Q1867">
        <v>70</v>
      </c>
      <c r="R1867">
        <f>SUM(Table13[[#This Row],[Rank_All_Ranks_Total]:[Rank_SSPSPAddlSPCommandant]])</f>
        <v>116076</v>
      </c>
    </row>
    <row r="1868" spans="1:18" x14ac:dyDescent="0.3">
      <c r="A1868" t="s">
        <v>18</v>
      </c>
      <c r="B1868">
        <v>2004</v>
      </c>
      <c r="C1868" t="str">
        <f>_xlfn.CONCAT(Table13[[#This Row],[STATE]],"-",Table13[[#This Row],[Year]])</f>
        <v>Kerala-2004</v>
      </c>
      <c r="D1868" t="s">
        <v>75</v>
      </c>
      <c r="E1868" t="s">
        <v>76</v>
      </c>
      <c r="F1868">
        <v>36238</v>
      </c>
      <c r="G1868">
        <v>1613</v>
      </c>
      <c r="H1868">
        <v>281</v>
      </c>
      <c r="I1868">
        <v>0</v>
      </c>
      <c r="J1868">
        <v>24902</v>
      </c>
      <c r="K1868">
        <v>8</v>
      </c>
      <c r="L1868">
        <v>12</v>
      </c>
      <c r="M1868">
        <v>7458</v>
      </c>
      <c r="N1868">
        <v>7</v>
      </c>
      <c r="O1868">
        <v>399</v>
      </c>
      <c r="P1868">
        <v>1501</v>
      </c>
      <c r="Q1868">
        <v>57</v>
      </c>
      <c r="R1868">
        <f>SUM(Table13[[#This Row],[Rank_All_Ranks_Total]:[Rank_SSPSPAddlSPCommandant]])</f>
        <v>72476</v>
      </c>
    </row>
    <row r="1869" spans="1:18" x14ac:dyDescent="0.3">
      <c r="A1869" t="s">
        <v>39</v>
      </c>
      <c r="B1869">
        <v>2004</v>
      </c>
      <c r="C1869" t="str">
        <f>_xlfn.CONCAT(Table13[[#This Row],[STATE]],"-",Table13[[#This Row],[Year]])</f>
        <v>Lakshadweep-2004</v>
      </c>
      <c r="D1869" t="s">
        <v>75</v>
      </c>
      <c r="E1869" t="s">
        <v>76</v>
      </c>
      <c r="F1869">
        <v>348</v>
      </c>
      <c r="G1869">
        <v>28</v>
      </c>
      <c r="H1869">
        <v>1</v>
      </c>
      <c r="I1869">
        <v>0</v>
      </c>
      <c r="J1869">
        <v>230</v>
      </c>
      <c r="K1869">
        <v>0</v>
      </c>
      <c r="L1869">
        <v>0</v>
      </c>
      <c r="M1869">
        <v>64</v>
      </c>
      <c r="N1869">
        <v>0</v>
      </c>
      <c r="O1869">
        <v>5</v>
      </c>
      <c r="P1869">
        <v>19</v>
      </c>
      <c r="Q1869">
        <v>1</v>
      </c>
      <c r="R1869">
        <f>SUM(Table13[[#This Row],[Rank_All_Ranks_Total]:[Rank_SSPSPAddlSPCommandant]])</f>
        <v>696</v>
      </c>
    </row>
    <row r="1870" spans="1:18" x14ac:dyDescent="0.3">
      <c r="A1870" t="s">
        <v>19</v>
      </c>
      <c r="B1870">
        <v>2004</v>
      </c>
      <c r="C1870" t="str">
        <f>_xlfn.CONCAT(Table13[[#This Row],[STATE]],"-",Table13[[#This Row],[Year]])</f>
        <v>Madhya Pradesh-2004</v>
      </c>
      <c r="D1870" t="s">
        <v>75</v>
      </c>
      <c r="E1870" t="s">
        <v>76</v>
      </c>
      <c r="F1870">
        <v>53003</v>
      </c>
      <c r="G1870">
        <v>3062</v>
      </c>
      <c r="H1870">
        <v>672</v>
      </c>
      <c r="I1870">
        <v>0</v>
      </c>
      <c r="J1870">
        <v>35688</v>
      </c>
      <c r="K1870">
        <v>26</v>
      </c>
      <c r="L1870">
        <v>42</v>
      </c>
      <c r="M1870">
        <v>9919</v>
      </c>
      <c r="N1870">
        <v>35</v>
      </c>
      <c r="O1870">
        <v>869</v>
      </c>
      <c r="P1870">
        <v>2604</v>
      </c>
      <c r="Q1870">
        <v>86</v>
      </c>
      <c r="R1870">
        <f>SUM(Table13[[#This Row],[Rank_All_Ranks_Total]:[Rank_SSPSPAddlSPCommandant]])</f>
        <v>106006</v>
      </c>
    </row>
    <row r="1871" spans="1:18" x14ac:dyDescent="0.3">
      <c r="A1871" t="s">
        <v>20</v>
      </c>
      <c r="B1871">
        <v>2004</v>
      </c>
      <c r="C1871" t="str">
        <f>_xlfn.CONCAT(Table13[[#This Row],[STATE]],"-",Table13[[#This Row],[Year]])</f>
        <v>Maharashtra-2004</v>
      </c>
      <c r="D1871" t="s">
        <v>75</v>
      </c>
      <c r="E1871" t="s">
        <v>76</v>
      </c>
      <c r="F1871">
        <v>136070</v>
      </c>
      <c r="G1871">
        <v>12303</v>
      </c>
      <c r="H1871">
        <v>613</v>
      </c>
      <c r="I1871">
        <v>19753</v>
      </c>
      <c r="J1871">
        <v>62542</v>
      </c>
      <c r="K1871">
        <v>15</v>
      </c>
      <c r="L1871">
        <v>30</v>
      </c>
      <c r="M1871">
        <v>29645</v>
      </c>
      <c r="N1871">
        <v>25</v>
      </c>
      <c r="O1871">
        <v>2587</v>
      </c>
      <c r="P1871">
        <v>8360</v>
      </c>
      <c r="Q1871">
        <v>197</v>
      </c>
      <c r="R1871">
        <f>SUM(Table13[[#This Row],[Rank_All_Ranks_Total]:[Rank_SSPSPAddlSPCommandant]])</f>
        <v>272140</v>
      </c>
    </row>
    <row r="1872" spans="1:18" x14ac:dyDescent="0.3">
      <c r="A1872" t="s">
        <v>21</v>
      </c>
      <c r="B1872">
        <v>2004</v>
      </c>
      <c r="C1872" t="str">
        <f>_xlfn.CONCAT(Table13[[#This Row],[STATE]],"-",Table13[[#This Row],[Year]])</f>
        <v>Manipur-2004</v>
      </c>
      <c r="D1872" t="s">
        <v>75</v>
      </c>
      <c r="E1872" t="s">
        <v>76</v>
      </c>
      <c r="F1872">
        <v>5642</v>
      </c>
      <c r="G1872">
        <v>554</v>
      </c>
      <c r="H1872">
        <v>47</v>
      </c>
      <c r="I1872">
        <v>0</v>
      </c>
      <c r="J1872">
        <v>3875</v>
      </c>
      <c r="K1872">
        <v>2</v>
      </c>
      <c r="L1872">
        <v>6</v>
      </c>
      <c r="M1872">
        <v>529</v>
      </c>
      <c r="N1872">
        <v>5</v>
      </c>
      <c r="O1872">
        <v>139</v>
      </c>
      <c r="P1872">
        <v>453</v>
      </c>
      <c r="Q1872">
        <v>32</v>
      </c>
      <c r="R1872">
        <f>SUM(Table13[[#This Row],[Rank_All_Ranks_Total]:[Rank_SSPSPAddlSPCommandant]])</f>
        <v>11284</v>
      </c>
    </row>
    <row r="1873" spans="1:18" x14ac:dyDescent="0.3">
      <c r="A1873" t="s">
        <v>22</v>
      </c>
      <c r="B1873">
        <v>2004</v>
      </c>
      <c r="C1873" t="str">
        <f>_xlfn.CONCAT(Table13[[#This Row],[STATE]],"-",Table13[[#This Row],[Year]])</f>
        <v>Meghalaya-2004</v>
      </c>
      <c r="D1873" t="s">
        <v>75</v>
      </c>
      <c r="E1873" t="s">
        <v>76</v>
      </c>
      <c r="F1873">
        <v>6456</v>
      </c>
      <c r="G1873">
        <v>216</v>
      </c>
      <c r="H1873">
        <v>30</v>
      </c>
      <c r="I1873">
        <v>137</v>
      </c>
      <c r="J1873">
        <v>4767</v>
      </c>
      <c r="K1873">
        <v>5</v>
      </c>
      <c r="L1873">
        <v>6</v>
      </c>
      <c r="M1873">
        <v>503</v>
      </c>
      <c r="N1873">
        <v>5</v>
      </c>
      <c r="O1873">
        <v>123</v>
      </c>
      <c r="P1873">
        <v>640</v>
      </c>
      <c r="Q1873">
        <v>24</v>
      </c>
      <c r="R1873">
        <f>SUM(Table13[[#This Row],[Rank_All_Ranks_Total]:[Rank_SSPSPAddlSPCommandant]])</f>
        <v>12912</v>
      </c>
    </row>
    <row r="1874" spans="1:18" x14ac:dyDescent="0.3">
      <c r="A1874" t="s">
        <v>23</v>
      </c>
      <c r="B1874">
        <v>2004</v>
      </c>
      <c r="C1874" t="str">
        <f>_xlfn.CONCAT(Table13[[#This Row],[STATE]],"-",Table13[[#This Row],[Year]])</f>
        <v>Mizoram-2004</v>
      </c>
      <c r="D1874" t="s">
        <v>75</v>
      </c>
      <c r="E1874" t="s">
        <v>76</v>
      </c>
      <c r="F1874">
        <v>2809</v>
      </c>
      <c r="G1874">
        <v>313</v>
      </c>
      <c r="H1874">
        <v>31</v>
      </c>
      <c r="I1874">
        <v>286</v>
      </c>
      <c r="J1874">
        <v>1242</v>
      </c>
      <c r="K1874">
        <v>1</v>
      </c>
      <c r="L1874">
        <v>4</v>
      </c>
      <c r="M1874">
        <v>525</v>
      </c>
      <c r="N1874">
        <v>1</v>
      </c>
      <c r="O1874">
        <v>100</v>
      </c>
      <c r="P1874">
        <v>272</v>
      </c>
      <c r="Q1874">
        <v>34</v>
      </c>
      <c r="R1874">
        <f>SUM(Table13[[#This Row],[Rank_All_Ranks_Total]:[Rank_SSPSPAddlSPCommandant]])</f>
        <v>5618</v>
      </c>
    </row>
    <row r="1875" spans="1:18" x14ac:dyDescent="0.3">
      <c r="A1875" t="s">
        <v>24</v>
      </c>
      <c r="B1875">
        <v>2004</v>
      </c>
      <c r="C1875" t="str">
        <f>_xlfn.CONCAT(Table13[[#This Row],[STATE]],"-",Table13[[#This Row],[Year]])</f>
        <v>Nagaland-2004</v>
      </c>
      <c r="D1875" t="s">
        <v>75</v>
      </c>
      <c r="E1875" t="s">
        <v>76</v>
      </c>
      <c r="F1875">
        <v>5540</v>
      </c>
      <c r="G1875">
        <v>203</v>
      </c>
      <c r="H1875">
        <v>33</v>
      </c>
      <c r="I1875">
        <v>520</v>
      </c>
      <c r="J1875">
        <v>4057</v>
      </c>
      <c r="K1875">
        <v>4</v>
      </c>
      <c r="L1875">
        <v>11</v>
      </c>
      <c r="M1875">
        <v>410</v>
      </c>
      <c r="N1875">
        <v>7</v>
      </c>
      <c r="O1875">
        <v>48</v>
      </c>
      <c r="P1875">
        <v>209</v>
      </c>
      <c r="Q1875">
        <v>38</v>
      </c>
      <c r="R1875">
        <f>SUM(Table13[[#This Row],[Rank_All_Ranks_Total]:[Rank_SSPSPAddlSPCommandant]])</f>
        <v>11080</v>
      </c>
    </row>
    <row r="1876" spans="1:18" x14ac:dyDescent="0.3">
      <c r="A1876" t="s">
        <v>63</v>
      </c>
      <c r="B1876">
        <v>2004</v>
      </c>
      <c r="C1876" t="str">
        <f>_xlfn.CONCAT(Table13[[#This Row],[STATE]],"-",Table13[[#This Row],[Year]])</f>
        <v>Odisha-2004</v>
      </c>
      <c r="D1876" t="s">
        <v>75</v>
      </c>
      <c r="E1876" t="s">
        <v>76</v>
      </c>
      <c r="F1876">
        <v>29341</v>
      </c>
      <c r="G1876">
        <v>2676</v>
      </c>
      <c r="H1876">
        <v>172</v>
      </c>
      <c r="I1876">
        <v>324</v>
      </c>
      <c r="J1876">
        <v>20451</v>
      </c>
      <c r="K1876">
        <v>8</v>
      </c>
      <c r="L1876">
        <v>17</v>
      </c>
      <c r="M1876">
        <v>2663</v>
      </c>
      <c r="N1876">
        <v>10</v>
      </c>
      <c r="O1876">
        <v>583</v>
      </c>
      <c r="P1876">
        <v>2315</v>
      </c>
      <c r="Q1876">
        <v>122</v>
      </c>
      <c r="R1876">
        <f>SUM(Table13[[#This Row],[Rank_All_Ranks_Total]:[Rank_SSPSPAddlSPCommandant]])</f>
        <v>58682</v>
      </c>
    </row>
    <row r="1877" spans="1:18" x14ac:dyDescent="0.3">
      <c r="A1877" t="s">
        <v>64</v>
      </c>
      <c r="B1877">
        <v>2004</v>
      </c>
      <c r="C1877" t="str">
        <f>_xlfn.CONCAT(Table13[[#This Row],[STATE]],"-",Table13[[#This Row],[Year]])</f>
        <v>Puducherry-2004</v>
      </c>
      <c r="D1877" t="s">
        <v>75</v>
      </c>
      <c r="E1877" t="s">
        <v>76</v>
      </c>
      <c r="F1877">
        <v>1719</v>
      </c>
      <c r="G1877">
        <v>109</v>
      </c>
      <c r="H1877">
        <v>16</v>
      </c>
      <c r="I1877">
        <v>0</v>
      </c>
      <c r="J1877">
        <v>1082</v>
      </c>
      <c r="K1877">
        <v>0</v>
      </c>
      <c r="L1877">
        <v>0</v>
      </c>
      <c r="M1877">
        <v>305</v>
      </c>
      <c r="N1877">
        <v>1</v>
      </c>
      <c r="O1877">
        <v>48</v>
      </c>
      <c r="P1877">
        <v>156</v>
      </c>
      <c r="Q1877">
        <v>2</v>
      </c>
      <c r="R1877">
        <f>SUM(Table13[[#This Row],[Rank_All_Ranks_Total]:[Rank_SSPSPAddlSPCommandant]])</f>
        <v>3438</v>
      </c>
    </row>
    <row r="1878" spans="1:18" x14ac:dyDescent="0.3">
      <c r="A1878" t="s">
        <v>26</v>
      </c>
      <c r="B1878">
        <v>2004</v>
      </c>
      <c r="C1878" t="str">
        <f>_xlfn.CONCAT(Table13[[#This Row],[STATE]],"-",Table13[[#This Row],[Year]])</f>
        <v>Punjab-2004</v>
      </c>
      <c r="D1878" t="s">
        <v>75</v>
      </c>
      <c r="E1878" t="s">
        <v>76</v>
      </c>
      <c r="F1878">
        <v>52142</v>
      </c>
      <c r="G1878">
        <v>3914</v>
      </c>
      <c r="H1878">
        <v>262</v>
      </c>
      <c r="I1878">
        <v>0</v>
      </c>
      <c r="J1878">
        <v>37339</v>
      </c>
      <c r="K1878">
        <v>11</v>
      </c>
      <c r="L1878">
        <v>17</v>
      </c>
      <c r="M1878">
        <v>8259</v>
      </c>
      <c r="N1878">
        <v>11</v>
      </c>
      <c r="O1878">
        <v>611</v>
      </c>
      <c r="P1878">
        <v>1602</v>
      </c>
      <c r="Q1878">
        <v>116</v>
      </c>
      <c r="R1878">
        <f>SUM(Table13[[#This Row],[Rank_All_Ranks_Total]:[Rank_SSPSPAddlSPCommandant]])</f>
        <v>104284</v>
      </c>
    </row>
    <row r="1879" spans="1:18" x14ac:dyDescent="0.3">
      <c r="A1879" t="s">
        <v>27</v>
      </c>
      <c r="B1879">
        <v>2004</v>
      </c>
      <c r="C1879" t="str">
        <f>_xlfn.CONCAT(Table13[[#This Row],[STATE]],"-",Table13[[#This Row],[Year]])</f>
        <v>Rajasthan-2004</v>
      </c>
      <c r="D1879" t="s">
        <v>75</v>
      </c>
      <c r="E1879" t="s">
        <v>76</v>
      </c>
      <c r="F1879">
        <v>57934</v>
      </c>
      <c r="G1879">
        <v>3902</v>
      </c>
      <c r="H1879">
        <v>377</v>
      </c>
      <c r="I1879">
        <v>0</v>
      </c>
      <c r="J1879">
        <v>42826</v>
      </c>
      <c r="K1879">
        <v>10</v>
      </c>
      <c r="L1879">
        <v>20</v>
      </c>
      <c r="M1879">
        <v>6736</v>
      </c>
      <c r="N1879">
        <v>22</v>
      </c>
      <c r="O1879">
        <v>787</v>
      </c>
      <c r="P1879">
        <v>3011</v>
      </c>
      <c r="Q1879">
        <v>243</v>
      </c>
      <c r="R1879">
        <f>SUM(Table13[[#This Row],[Rank_All_Ranks_Total]:[Rank_SSPSPAddlSPCommandant]])</f>
        <v>115868</v>
      </c>
    </row>
    <row r="1880" spans="1:18" x14ac:dyDescent="0.3">
      <c r="A1880" t="s">
        <v>28</v>
      </c>
      <c r="B1880">
        <v>2004</v>
      </c>
      <c r="C1880" t="str">
        <f>_xlfn.CONCAT(Table13[[#This Row],[STATE]],"-",Table13[[#This Row],[Year]])</f>
        <v>Sikkim-2004</v>
      </c>
      <c r="D1880" t="s">
        <v>75</v>
      </c>
      <c r="E1880" t="s">
        <v>76</v>
      </c>
      <c r="F1880">
        <v>1823</v>
      </c>
      <c r="G1880">
        <v>118</v>
      </c>
      <c r="H1880">
        <v>43</v>
      </c>
      <c r="I1880">
        <v>0</v>
      </c>
      <c r="J1880">
        <v>1135</v>
      </c>
      <c r="K1880">
        <v>3</v>
      </c>
      <c r="L1880">
        <v>7</v>
      </c>
      <c r="M1880">
        <v>246</v>
      </c>
      <c r="N1880">
        <v>8</v>
      </c>
      <c r="O1880">
        <v>76</v>
      </c>
      <c r="P1880">
        <v>168</v>
      </c>
      <c r="Q1880">
        <v>19</v>
      </c>
      <c r="R1880">
        <f>SUM(Table13[[#This Row],[Rank_All_Ranks_Total]:[Rank_SSPSPAddlSPCommandant]])</f>
        <v>3646</v>
      </c>
    </row>
    <row r="1881" spans="1:18" x14ac:dyDescent="0.3">
      <c r="A1881" t="s">
        <v>42</v>
      </c>
      <c r="B1881">
        <v>2004</v>
      </c>
      <c r="C1881" t="str">
        <f>_xlfn.CONCAT(Table13[[#This Row],[STATE]],"-",Table13[[#This Row],[Year]])</f>
        <v>Tamil Nadu-2004</v>
      </c>
      <c r="D1881" t="s">
        <v>75</v>
      </c>
      <c r="E1881" t="s">
        <v>76</v>
      </c>
      <c r="F1881">
        <v>82991</v>
      </c>
      <c r="G1881">
        <v>0</v>
      </c>
      <c r="H1881">
        <v>543</v>
      </c>
      <c r="I1881">
        <v>11885</v>
      </c>
      <c r="J1881">
        <v>48856</v>
      </c>
      <c r="K1881">
        <v>26</v>
      </c>
      <c r="L1881">
        <v>36</v>
      </c>
      <c r="M1881">
        <v>11927</v>
      </c>
      <c r="N1881">
        <v>21</v>
      </c>
      <c r="O1881">
        <v>2531</v>
      </c>
      <c r="P1881">
        <v>6956</v>
      </c>
      <c r="Q1881">
        <v>210</v>
      </c>
      <c r="R1881">
        <f>SUM(Table13[[#This Row],[Rank_All_Ranks_Total]:[Rank_SSPSPAddlSPCommandant]])</f>
        <v>165982</v>
      </c>
    </row>
    <row r="1882" spans="1:18" x14ac:dyDescent="0.3">
      <c r="A1882" t="s">
        <v>30</v>
      </c>
      <c r="B1882">
        <v>2004</v>
      </c>
      <c r="C1882" t="str">
        <f>_xlfn.CONCAT(Table13[[#This Row],[STATE]],"-",Table13[[#This Row],[Year]])</f>
        <v>Tripura-2004</v>
      </c>
      <c r="D1882" t="s">
        <v>75</v>
      </c>
      <c r="E1882" t="s">
        <v>76</v>
      </c>
      <c r="F1882">
        <v>11299</v>
      </c>
      <c r="G1882">
        <v>808</v>
      </c>
      <c r="H1882">
        <v>180</v>
      </c>
      <c r="I1882">
        <v>375</v>
      </c>
      <c r="J1882">
        <v>8089</v>
      </c>
      <c r="K1882">
        <v>3</v>
      </c>
      <c r="L1882">
        <v>10</v>
      </c>
      <c r="M1882">
        <v>902</v>
      </c>
      <c r="N1882">
        <v>6</v>
      </c>
      <c r="O1882">
        <v>209</v>
      </c>
      <c r="P1882">
        <v>676</v>
      </c>
      <c r="Q1882">
        <v>41</v>
      </c>
      <c r="R1882">
        <f>SUM(Table13[[#This Row],[Rank_All_Ranks_Total]:[Rank_SSPSPAddlSPCommandant]])</f>
        <v>22598</v>
      </c>
    </row>
    <row r="1883" spans="1:18" x14ac:dyDescent="0.3">
      <c r="A1883" t="s">
        <v>31</v>
      </c>
      <c r="B1883">
        <v>2004</v>
      </c>
      <c r="C1883" t="str">
        <f>_xlfn.CONCAT(Table13[[#This Row],[STATE]],"-",Table13[[#This Row],[Year]])</f>
        <v>Uttar Pradesh-2004</v>
      </c>
      <c r="D1883" t="s">
        <v>75</v>
      </c>
      <c r="E1883" t="s">
        <v>76</v>
      </c>
      <c r="F1883">
        <v>133569</v>
      </c>
      <c r="G1883">
        <v>0</v>
      </c>
      <c r="H1883">
        <v>918</v>
      </c>
      <c r="I1883">
        <v>0</v>
      </c>
      <c r="J1883">
        <v>98282</v>
      </c>
      <c r="K1883">
        <v>29</v>
      </c>
      <c r="L1883">
        <v>59</v>
      </c>
      <c r="M1883">
        <v>20377</v>
      </c>
      <c r="N1883">
        <v>54</v>
      </c>
      <c r="O1883">
        <v>1280</v>
      </c>
      <c r="P1883">
        <v>12196</v>
      </c>
      <c r="Q1883">
        <v>374</v>
      </c>
      <c r="R1883">
        <f>SUM(Table13[[#This Row],[Rank_All_Ranks_Total]:[Rank_SSPSPAddlSPCommandant]])</f>
        <v>267138</v>
      </c>
    </row>
    <row r="1884" spans="1:18" x14ac:dyDescent="0.3">
      <c r="A1884" t="s">
        <v>65</v>
      </c>
      <c r="B1884">
        <v>2004</v>
      </c>
      <c r="C1884" t="str">
        <f>_xlfn.CONCAT(Table13[[#This Row],[STATE]],"-",Table13[[#This Row],[Year]])</f>
        <v>Uttarakhand-2004</v>
      </c>
      <c r="D1884" t="s">
        <v>75</v>
      </c>
      <c r="E1884" t="s">
        <v>76</v>
      </c>
      <c r="F1884">
        <v>9718</v>
      </c>
      <c r="G1884">
        <v>0</v>
      </c>
      <c r="H1884">
        <v>80</v>
      </c>
      <c r="I1884">
        <v>0</v>
      </c>
      <c r="J1884">
        <v>7551</v>
      </c>
      <c r="K1884">
        <v>2</v>
      </c>
      <c r="L1884">
        <v>5</v>
      </c>
      <c r="M1884">
        <v>1375</v>
      </c>
      <c r="N1884">
        <v>3</v>
      </c>
      <c r="O1884">
        <v>63</v>
      </c>
      <c r="P1884">
        <v>603</v>
      </c>
      <c r="Q1884">
        <v>36</v>
      </c>
      <c r="R1884">
        <f>SUM(Table13[[#This Row],[Rank_All_Ranks_Total]:[Rank_SSPSPAddlSPCommandant]])</f>
        <v>19436</v>
      </c>
    </row>
    <row r="1885" spans="1:18" x14ac:dyDescent="0.3">
      <c r="A1885" t="s">
        <v>33</v>
      </c>
      <c r="B1885">
        <v>2004</v>
      </c>
      <c r="C1885" t="str">
        <f>_xlfn.CONCAT(Table13[[#This Row],[STATE]],"-",Table13[[#This Row],[Year]])</f>
        <v>West Bengal-2004</v>
      </c>
      <c r="D1885" t="s">
        <v>75</v>
      </c>
      <c r="E1885" t="s">
        <v>76</v>
      </c>
      <c r="F1885">
        <v>68200</v>
      </c>
      <c r="G1885">
        <v>8271</v>
      </c>
      <c r="H1885">
        <v>340</v>
      </c>
      <c r="I1885">
        <v>2081</v>
      </c>
      <c r="J1885">
        <v>46063</v>
      </c>
      <c r="K1885">
        <v>24</v>
      </c>
      <c r="L1885">
        <v>33</v>
      </c>
      <c r="M1885">
        <v>2959</v>
      </c>
      <c r="N1885">
        <v>37</v>
      </c>
      <c r="O1885">
        <v>1109</v>
      </c>
      <c r="P1885">
        <v>7145</v>
      </c>
      <c r="Q1885">
        <v>138</v>
      </c>
      <c r="R1885">
        <f>SUM(Table13[[#This Row],[Rank_All_Ranks_Total]:[Rank_SSPSPAddlSPCommandant]])</f>
        <v>136400</v>
      </c>
    </row>
    <row r="1886" spans="1:18" x14ac:dyDescent="0.3">
      <c r="A1886" t="s">
        <v>59</v>
      </c>
      <c r="B1886">
        <v>2005</v>
      </c>
      <c r="C1886" t="str">
        <f>_xlfn.CONCAT(Table13[[#This Row],[STATE]],"-",Table13[[#This Row],[Year]])</f>
        <v>Andaman &amp; Nicobar Islands-2005</v>
      </c>
      <c r="D1886" t="s">
        <v>75</v>
      </c>
      <c r="E1886" t="s">
        <v>76</v>
      </c>
      <c r="F1886">
        <v>2284</v>
      </c>
      <c r="G1886">
        <v>228</v>
      </c>
      <c r="H1886">
        <v>8</v>
      </c>
      <c r="I1886">
        <v>0</v>
      </c>
      <c r="J1886">
        <v>1500</v>
      </c>
      <c r="K1886">
        <v>0</v>
      </c>
      <c r="L1886">
        <v>1</v>
      </c>
      <c r="M1886">
        <v>374</v>
      </c>
      <c r="N1886">
        <v>1</v>
      </c>
      <c r="O1886">
        <v>33</v>
      </c>
      <c r="P1886">
        <v>137</v>
      </c>
      <c r="Q1886">
        <v>2</v>
      </c>
      <c r="R1886">
        <f>SUM(Table13[[#This Row],[Rank_All_Ranks_Total]:[Rank_SSPSPAddlSPCommandant]])</f>
        <v>4568</v>
      </c>
    </row>
    <row r="1887" spans="1:18" x14ac:dyDescent="0.3">
      <c r="A1887" t="s">
        <v>6</v>
      </c>
      <c r="B1887">
        <v>2005</v>
      </c>
      <c r="C1887" t="str">
        <f>_xlfn.CONCAT(Table13[[#This Row],[STATE]],"-",Table13[[#This Row],[Year]])</f>
        <v>Andhra Pradesh-2005</v>
      </c>
      <c r="D1887" t="s">
        <v>75</v>
      </c>
      <c r="E1887" t="s">
        <v>76</v>
      </c>
      <c r="F1887">
        <v>70901</v>
      </c>
      <c r="G1887">
        <v>2615</v>
      </c>
      <c r="H1887">
        <v>321</v>
      </c>
      <c r="I1887">
        <v>0</v>
      </c>
      <c r="J1887">
        <v>52079</v>
      </c>
      <c r="K1887">
        <v>21</v>
      </c>
      <c r="L1887">
        <v>30</v>
      </c>
      <c r="M1887">
        <v>10885</v>
      </c>
      <c r="N1887">
        <v>21</v>
      </c>
      <c r="O1887">
        <v>1077</v>
      </c>
      <c r="P1887">
        <v>3706</v>
      </c>
      <c r="Q1887">
        <v>146</v>
      </c>
      <c r="R1887">
        <f>SUM(Table13[[#This Row],[Rank_All_Ranks_Total]:[Rank_SSPSPAddlSPCommandant]])</f>
        <v>141802</v>
      </c>
    </row>
    <row r="1888" spans="1:18" x14ac:dyDescent="0.3">
      <c r="A1888" t="s">
        <v>7</v>
      </c>
      <c r="B1888">
        <v>2005</v>
      </c>
      <c r="C1888" t="str">
        <f>_xlfn.CONCAT(Table13[[#This Row],[STATE]],"-",Table13[[#This Row],[Year]])</f>
        <v>Arunachal Pradesh-2005</v>
      </c>
      <c r="D1888" t="s">
        <v>75</v>
      </c>
      <c r="E1888" t="s">
        <v>76</v>
      </c>
      <c r="F1888">
        <v>3235</v>
      </c>
      <c r="G1888">
        <v>143</v>
      </c>
      <c r="H1888">
        <v>42</v>
      </c>
      <c r="I1888">
        <v>0</v>
      </c>
      <c r="J1888">
        <v>2297</v>
      </c>
      <c r="K1888">
        <v>1</v>
      </c>
      <c r="L1888">
        <v>3</v>
      </c>
      <c r="M1888">
        <v>358</v>
      </c>
      <c r="N1888">
        <v>1</v>
      </c>
      <c r="O1888">
        <v>46</v>
      </c>
      <c r="P1888">
        <v>323</v>
      </c>
      <c r="Q1888">
        <v>21</v>
      </c>
      <c r="R1888">
        <f>SUM(Table13[[#This Row],[Rank_All_Ranks_Total]:[Rank_SSPSPAddlSPCommandant]])</f>
        <v>6470</v>
      </c>
    </row>
    <row r="1889" spans="1:18" x14ac:dyDescent="0.3">
      <c r="A1889" t="s">
        <v>8</v>
      </c>
      <c r="B1889">
        <v>2005</v>
      </c>
      <c r="C1889" t="str">
        <f>_xlfn.CONCAT(Table13[[#This Row],[STATE]],"-",Table13[[#This Row],[Year]])</f>
        <v>Assam-2005</v>
      </c>
      <c r="D1889" t="s">
        <v>75</v>
      </c>
      <c r="E1889" t="s">
        <v>76</v>
      </c>
      <c r="F1889">
        <v>30033</v>
      </c>
      <c r="G1889">
        <v>1789</v>
      </c>
      <c r="H1889">
        <v>161</v>
      </c>
      <c r="I1889">
        <v>901</v>
      </c>
      <c r="J1889">
        <v>21969</v>
      </c>
      <c r="K1889">
        <v>7</v>
      </c>
      <c r="L1889">
        <v>16</v>
      </c>
      <c r="M1889">
        <v>1826</v>
      </c>
      <c r="N1889">
        <v>11</v>
      </c>
      <c r="O1889">
        <v>487</v>
      </c>
      <c r="P1889">
        <v>2732</v>
      </c>
      <c r="Q1889">
        <v>134</v>
      </c>
      <c r="R1889">
        <f>SUM(Table13[[#This Row],[Rank_All_Ranks_Total]:[Rank_SSPSPAddlSPCommandant]])</f>
        <v>60066</v>
      </c>
    </row>
    <row r="1890" spans="1:18" x14ac:dyDescent="0.3">
      <c r="A1890" t="s">
        <v>9</v>
      </c>
      <c r="B1890">
        <v>2005</v>
      </c>
      <c r="C1890" t="str">
        <f>_xlfn.CONCAT(Table13[[#This Row],[STATE]],"-",Table13[[#This Row],[Year]])</f>
        <v>Bihar-2005</v>
      </c>
      <c r="D1890" t="s">
        <v>75</v>
      </c>
      <c r="E1890" t="s">
        <v>76</v>
      </c>
      <c r="F1890">
        <v>56016</v>
      </c>
      <c r="G1890">
        <v>4613</v>
      </c>
      <c r="H1890">
        <v>260</v>
      </c>
      <c r="I1890">
        <v>0</v>
      </c>
      <c r="J1890">
        <v>36819</v>
      </c>
      <c r="K1890">
        <v>9</v>
      </c>
      <c r="L1890">
        <v>25</v>
      </c>
      <c r="M1890">
        <v>7721</v>
      </c>
      <c r="N1890">
        <v>16</v>
      </c>
      <c r="O1890">
        <v>656</v>
      </c>
      <c r="P1890">
        <v>5827</v>
      </c>
      <c r="Q1890">
        <v>70</v>
      </c>
      <c r="R1890">
        <f>SUM(Table13[[#This Row],[Rank_All_Ranks_Total]:[Rank_SSPSPAddlSPCommandant]])</f>
        <v>112032</v>
      </c>
    </row>
    <row r="1891" spans="1:18" x14ac:dyDescent="0.3">
      <c r="A1891" t="s">
        <v>35</v>
      </c>
      <c r="B1891">
        <v>2005</v>
      </c>
      <c r="C1891" t="str">
        <f>_xlfn.CONCAT(Table13[[#This Row],[STATE]],"-",Table13[[#This Row],[Year]])</f>
        <v>Chandigarh-2005</v>
      </c>
      <c r="D1891" t="s">
        <v>75</v>
      </c>
      <c r="E1891" t="s">
        <v>76</v>
      </c>
      <c r="F1891">
        <v>3790</v>
      </c>
      <c r="G1891">
        <v>189</v>
      </c>
      <c r="H1891">
        <v>11</v>
      </c>
      <c r="I1891">
        <v>0</v>
      </c>
      <c r="J1891">
        <v>2517</v>
      </c>
      <c r="K1891">
        <v>0</v>
      </c>
      <c r="L1891">
        <v>0</v>
      </c>
      <c r="M1891">
        <v>784</v>
      </c>
      <c r="N1891">
        <v>1</v>
      </c>
      <c r="O1891">
        <v>46</v>
      </c>
      <c r="P1891">
        <v>238</v>
      </c>
      <c r="Q1891">
        <v>4</v>
      </c>
      <c r="R1891">
        <f>SUM(Table13[[#This Row],[Rank_All_Ranks_Total]:[Rank_SSPSPAddlSPCommandant]])</f>
        <v>7580</v>
      </c>
    </row>
    <row r="1892" spans="1:18" x14ac:dyDescent="0.3">
      <c r="A1892" t="s">
        <v>10</v>
      </c>
      <c r="B1892">
        <v>2005</v>
      </c>
      <c r="C1892" t="str">
        <f>_xlfn.CONCAT(Table13[[#This Row],[STATE]],"-",Table13[[#This Row],[Year]])</f>
        <v>Chhattisgarh-2005</v>
      </c>
      <c r="D1892" t="s">
        <v>75</v>
      </c>
      <c r="E1892" t="s">
        <v>76</v>
      </c>
      <c r="F1892">
        <v>18323</v>
      </c>
      <c r="G1892">
        <v>953</v>
      </c>
      <c r="H1892">
        <v>230</v>
      </c>
      <c r="I1892">
        <v>0</v>
      </c>
      <c r="J1892">
        <v>12656</v>
      </c>
      <c r="K1892">
        <v>8</v>
      </c>
      <c r="L1892">
        <v>11</v>
      </c>
      <c r="M1892">
        <v>3123</v>
      </c>
      <c r="N1892">
        <v>13</v>
      </c>
      <c r="O1892">
        <v>322</v>
      </c>
      <c r="P1892">
        <v>919</v>
      </c>
      <c r="Q1892">
        <v>88</v>
      </c>
      <c r="R1892">
        <f>SUM(Table13[[#This Row],[Rank_All_Ranks_Total]:[Rank_SSPSPAddlSPCommandant]])</f>
        <v>36646</v>
      </c>
    </row>
    <row r="1893" spans="1:18" x14ac:dyDescent="0.3">
      <c r="A1893" t="s">
        <v>62</v>
      </c>
      <c r="B1893">
        <v>2005</v>
      </c>
      <c r="C1893" t="str">
        <f>_xlfn.CONCAT(Table13[[#This Row],[STATE]],"-",Table13[[#This Row],[Year]])</f>
        <v>Dadra &amp; Nagar Haveli-2005</v>
      </c>
      <c r="D1893" t="s">
        <v>75</v>
      </c>
      <c r="E1893" t="s">
        <v>76</v>
      </c>
      <c r="F1893">
        <v>241</v>
      </c>
      <c r="G1893">
        <v>3</v>
      </c>
      <c r="H1893">
        <v>1</v>
      </c>
      <c r="I1893">
        <v>0</v>
      </c>
      <c r="J1893">
        <v>169</v>
      </c>
      <c r="K1893">
        <v>0</v>
      </c>
      <c r="L1893">
        <v>0</v>
      </c>
      <c r="M1893">
        <v>53</v>
      </c>
      <c r="N1893">
        <v>0</v>
      </c>
      <c r="O1893">
        <v>1</v>
      </c>
      <c r="P1893">
        <v>13</v>
      </c>
      <c r="Q1893">
        <v>1</v>
      </c>
      <c r="R1893">
        <f>SUM(Table13[[#This Row],[Rank_All_Ranks_Total]:[Rank_SSPSPAddlSPCommandant]])</f>
        <v>482</v>
      </c>
    </row>
    <row r="1894" spans="1:18" x14ac:dyDescent="0.3">
      <c r="A1894" t="s">
        <v>37</v>
      </c>
      <c r="B1894">
        <v>2005</v>
      </c>
      <c r="C1894" t="str">
        <f>_xlfn.CONCAT(Table13[[#This Row],[STATE]],"-",Table13[[#This Row],[Year]])</f>
        <v>Daman &amp; Diu-2005</v>
      </c>
      <c r="D1894" t="s">
        <v>75</v>
      </c>
      <c r="E1894" t="s">
        <v>76</v>
      </c>
      <c r="F1894">
        <v>244</v>
      </c>
      <c r="G1894">
        <v>9</v>
      </c>
      <c r="H1894">
        <v>2</v>
      </c>
      <c r="I1894">
        <v>0</v>
      </c>
      <c r="J1894">
        <v>176</v>
      </c>
      <c r="K1894">
        <v>0</v>
      </c>
      <c r="L1894">
        <v>1</v>
      </c>
      <c r="M1894">
        <v>40</v>
      </c>
      <c r="N1894">
        <v>0</v>
      </c>
      <c r="O1894">
        <v>4</v>
      </c>
      <c r="P1894">
        <v>10</v>
      </c>
      <c r="Q1894">
        <v>2</v>
      </c>
      <c r="R1894">
        <f>SUM(Table13[[#This Row],[Rank_All_Ranks_Total]:[Rank_SSPSPAddlSPCommandant]])</f>
        <v>488</v>
      </c>
    </row>
    <row r="1895" spans="1:18" x14ac:dyDescent="0.3">
      <c r="A1895" t="s">
        <v>38</v>
      </c>
      <c r="B1895">
        <v>2005</v>
      </c>
      <c r="C1895" t="str">
        <f>_xlfn.CONCAT(Table13[[#This Row],[STATE]],"-",Table13[[#This Row],[Year]])</f>
        <v>Delhi-2005</v>
      </c>
      <c r="D1895" t="s">
        <v>75</v>
      </c>
      <c r="E1895" t="s">
        <v>76</v>
      </c>
      <c r="F1895">
        <v>45964</v>
      </c>
      <c r="G1895">
        <v>5443</v>
      </c>
      <c r="H1895">
        <v>233</v>
      </c>
      <c r="I1895">
        <v>0</v>
      </c>
      <c r="J1895">
        <v>23502</v>
      </c>
      <c r="K1895">
        <v>4</v>
      </c>
      <c r="L1895">
        <v>9</v>
      </c>
      <c r="M1895">
        <v>11719</v>
      </c>
      <c r="N1895">
        <v>14</v>
      </c>
      <c r="O1895">
        <v>1034</v>
      </c>
      <c r="P1895">
        <v>3947</v>
      </c>
      <c r="Q1895">
        <v>59</v>
      </c>
      <c r="R1895">
        <f>SUM(Table13[[#This Row],[Rank_All_Ranks_Total]:[Rank_SSPSPAddlSPCommandant]])</f>
        <v>91928</v>
      </c>
    </row>
    <row r="1896" spans="1:18" x14ac:dyDescent="0.3">
      <c r="A1896" t="s">
        <v>11</v>
      </c>
      <c r="B1896">
        <v>2005</v>
      </c>
      <c r="C1896" t="str">
        <f>_xlfn.CONCAT(Table13[[#This Row],[STATE]],"-",Table13[[#This Row],[Year]])</f>
        <v>Goa-2005</v>
      </c>
      <c r="D1896" t="s">
        <v>75</v>
      </c>
      <c r="E1896" t="s">
        <v>76</v>
      </c>
      <c r="F1896">
        <v>3121</v>
      </c>
      <c r="G1896">
        <v>134</v>
      </c>
      <c r="H1896">
        <v>19</v>
      </c>
      <c r="I1896">
        <v>0</v>
      </c>
      <c r="J1896">
        <v>2194</v>
      </c>
      <c r="K1896">
        <v>1</v>
      </c>
      <c r="L1896">
        <v>1</v>
      </c>
      <c r="M1896">
        <v>587</v>
      </c>
      <c r="N1896">
        <v>0</v>
      </c>
      <c r="O1896">
        <v>46</v>
      </c>
      <c r="P1896">
        <v>131</v>
      </c>
      <c r="Q1896">
        <v>8</v>
      </c>
      <c r="R1896">
        <f>SUM(Table13[[#This Row],[Rank_All_Ranks_Total]:[Rank_SSPSPAddlSPCommandant]])</f>
        <v>6242</v>
      </c>
    </row>
    <row r="1897" spans="1:18" x14ac:dyDescent="0.3">
      <c r="A1897" t="s">
        <v>12</v>
      </c>
      <c r="B1897">
        <v>2005</v>
      </c>
      <c r="C1897" t="str">
        <f>_xlfn.CONCAT(Table13[[#This Row],[STATE]],"-",Table13[[#This Row],[Year]])</f>
        <v>Gujarat-2005</v>
      </c>
      <c r="D1897" t="s">
        <v>75</v>
      </c>
      <c r="E1897" t="s">
        <v>76</v>
      </c>
      <c r="F1897">
        <v>53247</v>
      </c>
      <c r="G1897">
        <v>7073</v>
      </c>
      <c r="H1897">
        <v>197</v>
      </c>
      <c r="I1897">
        <v>0</v>
      </c>
      <c r="J1897">
        <v>33282</v>
      </c>
      <c r="K1897">
        <v>19</v>
      </c>
      <c r="L1897">
        <v>18</v>
      </c>
      <c r="M1897">
        <v>9485</v>
      </c>
      <c r="N1897">
        <v>26</v>
      </c>
      <c r="O1897">
        <v>706</v>
      </c>
      <c r="P1897">
        <v>2367</v>
      </c>
      <c r="Q1897">
        <v>74</v>
      </c>
      <c r="R1897">
        <f>SUM(Table13[[#This Row],[Rank_All_Ranks_Total]:[Rank_SSPSPAddlSPCommandant]])</f>
        <v>106494</v>
      </c>
    </row>
    <row r="1898" spans="1:18" x14ac:dyDescent="0.3">
      <c r="A1898" t="s">
        <v>13</v>
      </c>
      <c r="B1898">
        <v>2005</v>
      </c>
      <c r="C1898" t="str">
        <f>_xlfn.CONCAT(Table13[[#This Row],[STATE]],"-",Table13[[#This Row],[Year]])</f>
        <v>Haryana-2005</v>
      </c>
      <c r="D1898" t="s">
        <v>75</v>
      </c>
      <c r="E1898" t="s">
        <v>76</v>
      </c>
      <c r="F1898">
        <v>39099</v>
      </c>
      <c r="G1898">
        <v>3442</v>
      </c>
      <c r="H1898">
        <v>136</v>
      </c>
      <c r="I1898">
        <v>0</v>
      </c>
      <c r="J1898">
        <v>27168</v>
      </c>
      <c r="K1898">
        <v>5</v>
      </c>
      <c r="L1898">
        <v>14</v>
      </c>
      <c r="M1898">
        <v>6660</v>
      </c>
      <c r="N1898">
        <v>10</v>
      </c>
      <c r="O1898">
        <v>339</v>
      </c>
      <c r="P1898">
        <v>1290</v>
      </c>
      <c r="Q1898">
        <v>35</v>
      </c>
      <c r="R1898">
        <f>SUM(Table13[[#This Row],[Rank_All_Ranks_Total]:[Rank_SSPSPAddlSPCommandant]])</f>
        <v>78198</v>
      </c>
    </row>
    <row r="1899" spans="1:18" x14ac:dyDescent="0.3">
      <c r="A1899" t="s">
        <v>14</v>
      </c>
      <c r="B1899">
        <v>2005</v>
      </c>
      <c r="C1899" t="str">
        <f>_xlfn.CONCAT(Table13[[#This Row],[STATE]],"-",Table13[[#This Row],[Year]])</f>
        <v>Himachal Pradesh-2005</v>
      </c>
      <c r="D1899" t="s">
        <v>75</v>
      </c>
      <c r="E1899" t="s">
        <v>76</v>
      </c>
      <c r="F1899">
        <v>8821</v>
      </c>
      <c r="G1899">
        <v>730</v>
      </c>
      <c r="H1899">
        <v>73</v>
      </c>
      <c r="I1899">
        <v>1300</v>
      </c>
      <c r="J1899">
        <v>4713</v>
      </c>
      <c r="K1899">
        <v>13</v>
      </c>
      <c r="L1899">
        <v>13</v>
      </c>
      <c r="M1899">
        <v>1398</v>
      </c>
      <c r="N1899">
        <v>8</v>
      </c>
      <c r="O1899">
        <v>157</v>
      </c>
      <c r="P1899">
        <v>370</v>
      </c>
      <c r="Q1899">
        <v>46</v>
      </c>
      <c r="R1899">
        <f>SUM(Table13[[#This Row],[Rank_All_Ranks_Total]:[Rank_SSPSPAddlSPCommandant]])</f>
        <v>17642</v>
      </c>
    </row>
    <row r="1900" spans="1:18" x14ac:dyDescent="0.3">
      <c r="A1900" t="s">
        <v>15</v>
      </c>
      <c r="B1900">
        <v>2005</v>
      </c>
      <c r="C1900" t="str">
        <f>_xlfn.CONCAT(Table13[[#This Row],[STATE]],"-",Table13[[#This Row],[Year]])</f>
        <v>Jammu &amp; Kashmir-2005</v>
      </c>
      <c r="D1900" t="s">
        <v>75</v>
      </c>
      <c r="E1900" t="s">
        <v>76</v>
      </c>
      <c r="F1900">
        <v>41819</v>
      </c>
      <c r="G1900">
        <v>2718</v>
      </c>
      <c r="H1900">
        <v>244</v>
      </c>
      <c r="I1900">
        <v>7222</v>
      </c>
      <c r="J1900">
        <v>21667</v>
      </c>
      <c r="K1900">
        <v>5</v>
      </c>
      <c r="L1900">
        <v>17</v>
      </c>
      <c r="M1900">
        <v>7454</v>
      </c>
      <c r="N1900">
        <v>13</v>
      </c>
      <c r="O1900">
        <v>585</v>
      </c>
      <c r="P1900">
        <v>1789</v>
      </c>
      <c r="Q1900">
        <v>105</v>
      </c>
      <c r="R1900">
        <f>SUM(Table13[[#This Row],[Rank_All_Ranks_Total]:[Rank_SSPSPAddlSPCommandant]])</f>
        <v>83638</v>
      </c>
    </row>
    <row r="1901" spans="1:18" x14ac:dyDescent="0.3">
      <c r="A1901" t="s">
        <v>16</v>
      </c>
      <c r="B1901">
        <v>2005</v>
      </c>
      <c r="C1901" t="str">
        <f>_xlfn.CONCAT(Table13[[#This Row],[STATE]],"-",Table13[[#This Row],[Year]])</f>
        <v>Jharkhand-2005</v>
      </c>
      <c r="D1901" t="s">
        <v>75</v>
      </c>
      <c r="E1901" t="s">
        <v>76</v>
      </c>
      <c r="F1901">
        <v>13809</v>
      </c>
      <c r="G1901">
        <v>802</v>
      </c>
      <c r="H1901">
        <v>40</v>
      </c>
      <c r="I1901">
        <v>0</v>
      </c>
      <c r="J1901">
        <v>9142</v>
      </c>
      <c r="K1901">
        <v>0</v>
      </c>
      <c r="L1901">
        <v>0</v>
      </c>
      <c r="M1901">
        <v>2500</v>
      </c>
      <c r="N1901">
        <v>0</v>
      </c>
      <c r="O1901">
        <v>101</v>
      </c>
      <c r="P1901">
        <v>1210</v>
      </c>
      <c r="Q1901">
        <v>14</v>
      </c>
      <c r="R1901">
        <f>SUM(Table13[[#This Row],[Rank_All_Ranks_Total]:[Rank_SSPSPAddlSPCommandant]])</f>
        <v>27618</v>
      </c>
    </row>
    <row r="1902" spans="1:18" x14ac:dyDescent="0.3">
      <c r="A1902" t="s">
        <v>17</v>
      </c>
      <c r="B1902">
        <v>2005</v>
      </c>
      <c r="C1902" t="str">
        <f>_xlfn.CONCAT(Table13[[#This Row],[STATE]],"-",Table13[[#This Row],[Year]])</f>
        <v>Karnataka-2005</v>
      </c>
      <c r="D1902" t="s">
        <v>75</v>
      </c>
      <c r="E1902" t="s">
        <v>76</v>
      </c>
      <c r="F1902">
        <v>58241</v>
      </c>
      <c r="G1902">
        <v>2883</v>
      </c>
      <c r="H1902">
        <v>184</v>
      </c>
      <c r="I1902">
        <v>0</v>
      </c>
      <c r="J1902">
        <v>40131</v>
      </c>
      <c r="K1902">
        <v>1</v>
      </c>
      <c r="L1902">
        <v>5</v>
      </c>
      <c r="M1902">
        <v>12073</v>
      </c>
      <c r="N1902">
        <v>8</v>
      </c>
      <c r="O1902">
        <v>706</v>
      </c>
      <c r="P1902">
        <v>2180</v>
      </c>
      <c r="Q1902">
        <v>70</v>
      </c>
      <c r="R1902">
        <f>SUM(Table13[[#This Row],[Rank_All_Ranks_Total]:[Rank_SSPSPAddlSPCommandant]])</f>
        <v>116482</v>
      </c>
    </row>
    <row r="1903" spans="1:18" x14ac:dyDescent="0.3">
      <c r="A1903" t="s">
        <v>18</v>
      </c>
      <c r="B1903">
        <v>2005</v>
      </c>
      <c r="C1903" t="str">
        <f>_xlfn.CONCAT(Table13[[#This Row],[STATE]],"-",Table13[[#This Row],[Year]])</f>
        <v>Kerala-2005</v>
      </c>
      <c r="D1903" t="s">
        <v>75</v>
      </c>
      <c r="E1903" t="s">
        <v>76</v>
      </c>
      <c r="F1903">
        <v>36336</v>
      </c>
      <c r="G1903">
        <v>1613</v>
      </c>
      <c r="H1903">
        <v>281</v>
      </c>
      <c r="I1903">
        <v>0</v>
      </c>
      <c r="J1903">
        <v>24952</v>
      </c>
      <c r="K1903">
        <v>9</v>
      </c>
      <c r="L1903">
        <v>13</v>
      </c>
      <c r="M1903">
        <v>7458</v>
      </c>
      <c r="N1903">
        <v>8</v>
      </c>
      <c r="O1903">
        <v>399</v>
      </c>
      <c r="P1903">
        <v>1546</v>
      </c>
      <c r="Q1903">
        <v>57</v>
      </c>
      <c r="R1903">
        <f>SUM(Table13[[#This Row],[Rank_All_Ranks_Total]:[Rank_SSPSPAddlSPCommandant]])</f>
        <v>72672</v>
      </c>
    </row>
    <row r="1904" spans="1:18" x14ac:dyDescent="0.3">
      <c r="A1904" t="s">
        <v>39</v>
      </c>
      <c r="B1904">
        <v>2005</v>
      </c>
      <c r="C1904" t="str">
        <f>_xlfn.CONCAT(Table13[[#This Row],[STATE]],"-",Table13[[#This Row],[Year]])</f>
        <v>Lakshadweep-2005</v>
      </c>
      <c r="D1904" t="s">
        <v>75</v>
      </c>
      <c r="E1904" t="s">
        <v>76</v>
      </c>
      <c r="F1904">
        <v>349</v>
      </c>
      <c r="G1904">
        <v>28</v>
      </c>
      <c r="H1904">
        <v>1</v>
      </c>
      <c r="I1904">
        <v>0</v>
      </c>
      <c r="J1904">
        <v>230</v>
      </c>
      <c r="K1904">
        <v>0</v>
      </c>
      <c r="L1904">
        <v>0</v>
      </c>
      <c r="M1904">
        <v>64</v>
      </c>
      <c r="N1904">
        <v>0</v>
      </c>
      <c r="O1904">
        <v>5</v>
      </c>
      <c r="P1904">
        <v>20</v>
      </c>
      <c r="Q1904">
        <v>1</v>
      </c>
      <c r="R1904">
        <f>SUM(Table13[[#This Row],[Rank_All_Ranks_Total]:[Rank_SSPSPAddlSPCommandant]])</f>
        <v>698</v>
      </c>
    </row>
    <row r="1905" spans="1:18" x14ac:dyDescent="0.3">
      <c r="A1905" t="s">
        <v>19</v>
      </c>
      <c r="B1905">
        <v>2005</v>
      </c>
      <c r="C1905" t="str">
        <f>_xlfn.CONCAT(Table13[[#This Row],[STATE]],"-",Table13[[#This Row],[Year]])</f>
        <v>Madhya Pradesh-2005</v>
      </c>
      <c r="D1905" t="s">
        <v>75</v>
      </c>
      <c r="E1905" t="s">
        <v>76</v>
      </c>
      <c r="F1905">
        <v>54125</v>
      </c>
      <c r="G1905">
        <v>3037</v>
      </c>
      <c r="H1905">
        <v>567</v>
      </c>
      <c r="I1905">
        <v>0</v>
      </c>
      <c r="J1905">
        <v>36484</v>
      </c>
      <c r="K1905">
        <v>10</v>
      </c>
      <c r="L1905">
        <v>30</v>
      </c>
      <c r="M1905">
        <v>10089</v>
      </c>
      <c r="N1905">
        <v>20</v>
      </c>
      <c r="O1905">
        <v>1112</v>
      </c>
      <c r="P1905">
        <v>2594</v>
      </c>
      <c r="Q1905">
        <v>182</v>
      </c>
      <c r="R1905">
        <f>SUM(Table13[[#This Row],[Rank_All_Ranks_Total]:[Rank_SSPSPAddlSPCommandant]])</f>
        <v>108250</v>
      </c>
    </row>
    <row r="1906" spans="1:18" x14ac:dyDescent="0.3">
      <c r="A1906" t="s">
        <v>20</v>
      </c>
      <c r="B1906">
        <v>2005</v>
      </c>
      <c r="C1906" t="str">
        <f>_xlfn.CONCAT(Table13[[#This Row],[STATE]],"-",Table13[[#This Row],[Year]])</f>
        <v>Maharashtra-2005</v>
      </c>
      <c r="D1906" t="s">
        <v>75</v>
      </c>
      <c r="E1906" t="s">
        <v>76</v>
      </c>
      <c r="F1906">
        <v>136070</v>
      </c>
      <c r="G1906">
        <v>12303</v>
      </c>
      <c r="H1906">
        <v>613</v>
      </c>
      <c r="I1906">
        <v>19753</v>
      </c>
      <c r="J1906">
        <v>62542</v>
      </c>
      <c r="K1906">
        <v>15</v>
      </c>
      <c r="L1906">
        <v>30</v>
      </c>
      <c r="M1906">
        <v>29645</v>
      </c>
      <c r="N1906">
        <v>25</v>
      </c>
      <c r="O1906">
        <v>2587</v>
      </c>
      <c r="P1906">
        <v>8360</v>
      </c>
      <c r="Q1906">
        <v>197</v>
      </c>
      <c r="R1906">
        <f>SUM(Table13[[#This Row],[Rank_All_Ranks_Total]:[Rank_SSPSPAddlSPCommandant]])</f>
        <v>272140</v>
      </c>
    </row>
    <row r="1907" spans="1:18" x14ac:dyDescent="0.3">
      <c r="A1907" t="s">
        <v>21</v>
      </c>
      <c r="B1907">
        <v>2005</v>
      </c>
      <c r="C1907" t="str">
        <f>_xlfn.CONCAT(Table13[[#This Row],[STATE]],"-",Table13[[#This Row],[Year]])</f>
        <v>Manipur-2005</v>
      </c>
      <c r="D1907" t="s">
        <v>75</v>
      </c>
      <c r="E1907" t="s">
        <v>76</v>
      </c>
      <c r="F1907">
        <v>5723</v>
      </c>
      <c r="G1907">
        <v>554</v>
      </c>
      <c r="H1907">
        <v>47</v>
      </c>
      <c r="I1907">
        <v>0</v>
      </c>
      <c r="J1907">
        <v>3915</v>
      </c>
      <c r="K1907">
        <v>2</v>
      </c>
      <c r="L1907">
        <v>7</v>
      </c>
      <c r="M1907">
        <v>561</v>
      </c>
      <c r="N1907">
        <v>6</v>
      </c>
      <c r="O1907">
        <v>141</v>
      </c>
      <c r="P1907">
        <v>457</v>
      </c>
      <c r="Q1907">
        <v>33</v>
      </c>
      <c r="R1907">
        <f>SUM(Table13[[#This Row],[Rank_All_Ranks_Total]:[Rank_SSPSPAddlSPCommandant]])</f>
        <v>11446</v>
      </c>
    </row>
    <row r="1908" spans="1:18" x14ac:dyDescent="0.3">
      <c r="A1908" t="s">
        <v>22</v>
      </c>
      <c r="B1908">
        <v>2005</v>
      </c>
      <c r="C1908" t="str">
        <f>_xlfn.CONCAT(Table13[[#This Row],[STATE]],"-",Table13[[#This Row],[Year]])</f>
        <v>Meghalaya-2005</v>
      </c>
      <c r="D1908" t="s">
        <v>75</v>
      </c>
      <c r="E1908" t="s">
        <v>76</v>
      </c>
      <c r="F1908">
        <v>6303</v>
      </c>
      <c r="G1908">
        <v>182</v>
      </c>
      <c r="H1908">
        <v>27</v>
      </c>
      <c r="I1908">
        <v>137</v>
      </c>
      <c r="J1908">
        <v>4614</v>
      </c>
      <c r="K1908">
        <v>5</v>
      </c>
      <c r="L1908">
        <v>7</v>
      </c>
      <c r="M1908">
        <v>508</v>
      </c>
      <c r="N1908">
        <v>6</v>
      </c>
      <c r="O1908">
        <v>126</v>
      </c>
      <c r="P1908">
        <v>668</v>
      </c>
      <c r="Q1908">
        <v>23</v>
      </c>
      <c r="R1908">
        <f>SUM(Table13[[#This Row],[Rank_All_Ranks_Total]:[Rank_SSPSPAddlSPCommandant]])</f>
        <v>12606</v>
      </c>
    </row>
    <row r="1909" spans="1:18" x14ac:dyDescent="0.3">
      <c r="A1909" t="s">
        <v>23</v>
      </c>
      <c r="B1909">
        <v>2005</v>
      </c>
      <c r="C1909" t="str">
        <f>_xlfn.CONCAT(Table13[[#This Row],[STATE]],"-",Table13[[#This Row],[Year]])</f>
        <v>Mizoram-2005</v>
      </c>
      <c r="D1909" t="s">
        <v>75</v>
      </c>
      <c r="E1909" t="s">
        <v>76</v>
      </c>
      <c r="F1909">
        <v>3616</v>
      </c>
      <c r="G1909">
        <v>470</v>
      </c>
      <c r="H1909">
        <v>43</v>
      </c>
      <c r="I1909">
        <v>548</v>
      </c>
      <c r="J1909">
        <v>1311</v>
      </c>
      <c r="K1909">
        <v>1</v>
      </c>
      <c r="L1909">
        <v>4</v>
      </c>
      <c r="M1909">
        <v>660</v>
      </c>
      <c r="N1909">
        <v>1</v>
      </c>
      <c r="O1909">
        <v>137</v>
      </c>
      <c r="P1909">
        <v>406</v>
      </c>
      <c r="Q1909">
        <v>35</v>
      </c>
      <c r="R1909">
        <f>SUM(Table13[[#This Row],[Rank_All_Ranks_Total]:[Rank_SSPSPAddlSPCommandant]])</f>
        <v>7232</v>
      </c>
    </row>
    <row r="1910" spans="1:18" x14ac:dyDescent="0.3">
      <c r="A1910" t="s">
        <v>24</v>
      </c>
      <c r="B1910">
        <v>2005</v>
      </c>
      <c r="C1910" t="str">
        <f>_xlfn.CONCAT(Table13[[#This Row],[STATE]],"-",Table13[[#This Row],[Year]])</f>
        <v>Nagaland-2005</v>
      </c>
      <c r="D1910" t="s">
        <v>75</v>
      </c>
      <c r="E1910" t="s">
        <v>76</v>
      </c>
      <c r="F1910">
        <v>5659</v>
      </c>
      <c r="G1910">
        <v>210</v>
      </c>
      <c r="H1910">
        <v>34</v>
      </c>
      <c r="I1910">
        <v>521</v>
      </c>
      <c r="J1910">
        <v>4149</v>
      </c>
      <c r="K1910">
        <v>4</v>
      </c>
      <c r="L1910">
        <v>11</v>
      </c>
      <c r="M1910">
        <v>422</v>
      </c>
      <c r="N1910">
        <v>7</v>
      </c>
      <c r="O1910">
        <v>49</v>
      </c>
      <c r="P1910">
        <v>214</v>
      </c>
      <c r="Q1910">
        <v>38</v>
      </c>
      <c r="R1910">
        <f>SUM(Table13[[#This Row],[Rank_All_Ranks_Total]:[Rank_SSPSPAddlSPCommandant]])</f>
        <v>11318</v>
      </c>
    </row>
    <row r="1911" spans="1:18" x14ac:dyDescent="0.3">
      <c r="A1911" t="s">
        <v>63</v>
      </c>
      <c r="B1911">
        <v>2005</v>
      </c>
      <c r="C1911" t="str">
        <f>_xlfn.CONCAT(Table13[[#This Row],[STATE]],"-",Table13[[#This Row],[Year]])</f>
        <v>Odisha-2005</v>
      </c>
      <c r="D1911" t="s">
        <v>75</v>
      </c>
      <c r="E1911" t="s">
        <v>76</v>
      </c>
      <c r="F1911">
        <v>29355</v>
      </c>
      <c r="G1911">
        <v>2677</v>
      </c>
      <c r="H1911">
        <v>174</v>
      </c>
      <c r="I1911">
        <v>324</v>
      </c>
      <c r="J1911">
        <v>20454</v>
      </c>
      <c r="K1911">
        <v>7</v>
      </c>
      <c r="L1911">
        <v>17</v>
      </c>
      <c r="M1911">
        <v>2663</v>
      </c>
      <c r="N1911">
        <v>10</v>
      </c>
      <c r="O1911">
        <v>583</v>
      </c>
      <c r="P1911">
        <v>2316</v>
      </c>
      <c r="Q1911">
        <v>130</v>
      </c>
      <c r="R1911">
        <f>SUM(Table13[[#This Row],[Rank_All_Ranks_Total]:[Rank_SSPSPAddlSPCommandant]])</f>
        <v>58710</v>
      </c>
    </row>
    <row r="1912" spans="1:18" x14ac:dyDescent="0.3">
      <c r="A1912" t="s">
        <v>64</v>
      </c>
      <c r="B1912">
        <v>2005</v>
      </c>
      <c r="C1912" t="str">
        <f>_xlfn.CONCAT(Table13[[#This Row],[STATE]],"-",Table13[[#This Row],[Year]])</f>
        <v>Puducherry-2005</v>
      </c>
      <c r="D1912" t="s">
        <v>75</v>
      </c>
      <c r="E1912" t="s">
        <v>76</v>
      </c>
      <c r="F1912">
        <v>1699</v>
      </c>
      <c r="G1912">
        <v>107</v>
      </c>
      <c r="H1912">
        <v>18</v>
      </c>
      <c r="I1912">
        <v>0</v>
      </c>
      <c r="J1912">
        <v>1060</v>
      </c>
      <c r="K1912">
        <v>0</v>
      </c>
      <c r="L1912">
        <v>1</v>
      </c>
      <c r="M1912">
        <v>332</v>
      </c>
      <c r="N1912">
        <v>1</v>
      </c>
      <c r="O1912">
        <v>50</v>
      </c>
      <c r="P1912">
        <v>127</v>
      </c>
      <c r="Q1912">
        <v>3</v>
      </c>
      <c r="R1912">
        <f>SUM(Table13[[#This Row],[Rank_All_Ranks_Total]:[Rank_SSPSPAddlSPCommandant]])</f>
        <v>3398</v>
      </c>
    </row>
    <row r="1913" spans="1:18" x14ac:dyDescent="0.3">
      <c r="A1913" t="s">
        <v>26</v>
      </c>
      <c r="B1913">
        <v>2005</v>
      </c>
      <c r="C1913" t="str">
        <f>_xlfn.CONCAT(Table13[[#This Row],[STATE]],"-",Table13[[#This Row],[Year]])</f>
        <v>Punjab-2005</v>
      </c>
      <c r="D1913" t="s">
        <v>75</v>
      </c>
      <c r="E1913" t="s">
        <v>76</v>
      </c>
      <c r="F1913">
        <v>52142</v>
      </c>
      <c r="G1913">
        <v>3914</v>
      </c>
      <c r="H1913">
        <v>262</v>
      </c>
      <c r="I1913">
        <v>0</v>
      </c>
      <c r="J1913">
        <v>37339</v>
      </c>
      <c r="K1913">
        <v>11</v>
      </c>
      <c r="L1913">
        <v>17</v>
      </c>
      <c r="M1913">
        <v>8259</v>
      </c>
      <c r="N1913">
        <v>11</v>
      </c>
      <c r="O1913">
        <v>611</v>
      </c>
      <c r="P1913">
        <v>1602</v>
      </c>
      <c r="Q1913">
        <v>116</v>
      </c>
      <c r="R1913">
        <f>SUM(Table13[[#This Row],[Rank_All_Ranks_Total]:[Rank_SSPSPAddlSPCommandant]])</f>
        <v>104284</v>
      </c>
    </row>
    <row r="1914" spans="1:18" x14ac:dyDescent="0.3">
      <c r="A1914" t="s">
        <v>27</v>
      </c>
      <c r="B1914">
        <v>2005</v>
      </c>
      <c r="C1914" t="str">
        <f>_xlfn.CONCAT(Table13[[#This Row],[STATE]],"-",Table13[[#This Row],[Year]])</f>
        <v>Rajasthan-2005</v>
      </c>
      <c r="D1914" t="s">
        <v>75</v>
      </c>
      <c r="E1914" t="s">
        <v>76</v>
      </c>
      <c r="F1914">
        <v>58664</v>
      </c>
      <c r="G1914">
        <v>5366</v>
      </c>
      <c r="H1914">
        <v>427</v>
      </c>
      <c r="I1914">
        <v>0</v>
      </c>
      <c r="J1914">
        <v>41701</v>
      </c>
      <c r="K1914">
        <v>8</v>
      </c>
      <c r="L1914">
        <v>22</v>
      </c>
      <c r="M1914">
        <v>6854</v>
      </c>
      <c r="N1914">
        <v>30</v>
      </c>
      <c r="O1914">
        <v>863</v>
      </c>
      <c r="P1914">
        <v>3114</v>
      </c>
      <c r="Q1914">
        <v>279</v>
      </c>
      <c r="R1914">
        <f>SUM(Table13[[#This Row],[Rank_All_Ranks_Total]:[Rank_SSPSPAddlSPCommandant]])</f>
        <v>117328</v>
      </c>
    </row>
    <row r="1915" spans="1:18" x14ac:dyDescent="0.3">
      <c r="A1915" t="s">
        <v>28</v>
      </c>
      <c r="B1915">
        <v>2005</v>
      </c>
      <c r="C1915" t="str">
        <f>_xlfn.CONCAT(Table13[[#This Row],[STATE]],"-",Table13[[#This Row],[Year]])</f>
        <v>Sikkim-2005</v>
      </c>
      <c r="D1915" t="s">
        <v>75</v>
      </c>
      <c r="E1915" t="s">
        <v>76</v>
      </c>
      <c r="F1915">
        <v>2064</v>
      </c>
      <c r="G1915">
        <v>65</v>
      </c>
      <c r="H1915">
        <v>54</v>
      </c>
      <c r="I1915">
        <v>106</v>
      </c>
      <c r="J1915">
        <v>1339</v>
      </c>
      <c r="K1915">
        <v>4</v>
      </c>
      <c r="L1915">
        <v>5</v>
      </c>
      <c r="M1915">
        <v>290</v>
      </c>
      <c r="N1915">
        <v>7</v>
      </c>
      <c r="O1915">
        <v>45</v>
      </c>
      <c r="P1915">
        <v>132</v>
      </c>
      <c r="Q1915">
        <v>17</v>
      </c>
      <c r="R1915">
        <f>SUM(Table13[[#This Row],[Rank_All_Ranks_Total]:[Rank_SSPSPAddlSPCommandant]])</f>
        <v>4128</v>
      </c>
    </row>
    <row r="1916" spans="1:18" x14ac:dyDescent="0.3">
      <c r="A1916" t="s">
        <v>42</v>
      </c>
      <c r="B1916">
        <v>2005</v>
      </c>
      <c r="C1916" t="str">
        <f>_xlfn.CONCAT(Table13[[#This Row],[STATE]],"-",Table13[[#This Row],[Year]])</f>
        <v>Tamil Nadu-2005</v>
      </c>
      <c r="D1916" t="s">
        <v>75</v>
      </c>
      <c r="E1916" t="s">
        <v>76</v>
      </c>
      <c r="F1916">
        <v>84731</v>
      </c>
      <c r="G1916">
        <v>0</v>
      </c>
      <c r="H1916">
        <v>670</v>
      </c>
      <c r="I1916">
        <v>12431</v>
      </c>
      <c r="J1916">
        <v>49694</v>
      </c>
      <c r="K1916">
        <v>27</v>
      </c>
      <c r="L1916">
        <v>35</v>
      </c>
      <c r="M1916">
        <v>11927</v>
      </c>
      <c r="N1916">
        <v>25</v>
      </c>
      <c r="O1916">
        <v>2348</v>
      </c>
      <c r="P1916">
        <v>7361</v>
      </c>
      <c r="Q1916">
        <v>213</v>
      </c>
      <c r="R1916">
        <f>SUM(Table13[[#This Row],[Rank_All_Ranks_Total]:[Rank_SSPSPAddlSPCommandant]])</f>
        <v>169462</v>
      </c>
    </row>
    <row r="1917" spans="1:18" x14ac:dyDescent="0.3">
      <c r="A1917" t="s">
        <v>30</v>
      </c>
      <c r="B1917">
        <v>2005</v>
      </c>
      <c r="C1917" t="str">
        <f>_xlfn.CONCAT(Table13[[#This Row],[STATE]],"-",Table13[[#This Row],[Year]])</f>
        <v>Tripura-2005</v>
      </c>
      <c r="D1917" t="s">
        <v>75</v>
      </c>
      <c r="E1917" t="s">
        <v>76</v>
      </c>
      <c r="F1917">
        <v>10055</v>
      </c>
      <c r="G1917">
        <v>497</v>
      </c>
      <c r="H1917">
        <v>118</v>
      </c>
      <c r="I1917">
        <v>318</v>
      </c>
      <c r="J1917">
        <v>7373</v>
      </c>
      <c r="K1917">
        <v>3</v>
      </c>
      <c r="L1917">
        <v>10</v>
      </c>
      <c r="M1917">
        <v>857</v>
      </c>
      <c r="N1917">
        <v>6</v>
      </c>
      <c r="O1917">
        <v>174</v>
      </c>
      <c r="P1917">
        <v>658</v>
      </c>
      <c r="Q1917">
        <v>41</v>
      </c>
      <c r="R1917">
        <f>SUM(Table13[[#This Row],[Rank_All_Ranks_Total]:[Rank_SSPSPAddlSPCommandant]])</f>
        <v>20110</v>
      </c>
    </row>
    <row r="1918" spans="1:18" x14ac:dyDescent="0.3">
      <c r="A1918" t="s">
        <v>31</v>
      </c>
      <c r="B1918">
        <v>2005</v>
      </c>
      <c r="C1918" t="str">
        <f>_xlfn.CONCAT(Table13[[#This Row],[STATE]],"-",Table13[[#This Row],[Year]])</f>
        <v>Uttar Pradesh-2005</v>
      </c>
      <c r="D1918" t="s">
        <v>75</v>
      </c>
      <c r="E1918" t="s">
        <v>76</v>
      </c>
      <c r="F1918">
        <v>133595</v>
      </c>
      <c r="G1918">
        <v>0</v>
      </c>
      <c r="H1918">
        <v>932</v>
      </c>
      <c r="I1918">
        <v>0</v>
      </c>
      <c r="J1918">
        <v>98282</v>
      </c>
      <c r="K1918">
        <v>37</v>
      </c>
      <c r="L1918">
        <v>59</v>
      </c>
      <c r="M1918">
        <v>20377</v>
      </c>
      <c r="N1918">
        <v>58</v>
      </c>
      <c r="O1918">
        <v>1280</v>
      </c>
      <c r="P1918">
        <v>12196</v>
      </c>
      <c r="Q1918">
        <v>374</v>
      </c>
      <c r="R1918">
        <f>SUM(Table13[[#This Row],[Rank_All_Ranks_Total]:[Rank_SSPSPAddlSPCommandant]])</f>
        <v>267190</v>
      </c>
    </row>
    <row r="1919" spans="1:18" x14ac:dyDescent="0.3">
      <c r="A1919" t="s">
        <v>65</v>
      </c>
      <c r="B1919">
        <v>2005</v>
      </c>
      <c r="C1919" t="str">
        <f>_xlfn.CONCAT(Table13[[#This Row],[STATE]],"-",Table13[[#This Row],[Year]])</f>
        <v>Uttarakhand-2005</v>
      </c>
      <c r="D1919" t="s">
        <v>75</v>
      </c>
      <c r="E1919" t="s">
        <v>76</v>
      </c>
      <c r="F1919">
        <v>9718</v>
      </c>
      <c r="G1919">
        <v>0</v>
      </c>
      <c r="H1919">
        <v>80</v>
      </c>
      <c r="I1919">
        <v>0</v>
      </c>
      <c r="J1919">
        <v>7551</v>
      </c>
      <c r="K1919">
        <v>2</v>
      </c>
      <c r="L1919">
        <v>5</v>
      </c>
      <c r="M1919">
        <v>1375</v>
      </c>
      <c r="N1919">
        <v>3</v>
      </c>
      <c r="O1919">
        <v>63</v>
      </c>
      <c r="P1919">
        <v>603</v>
      </c>
      <c r="Q1919">
        <v>36</v>
      </c>
      <c r="R1919">
        <f>SUM(Table13[[#This Row],[Rank_All_Ranks_Total]:[Rank_SSPSPAddlSPCommandant]])</f>
        <v>19436</v>
      </c>
    </row>
    <row r="1920" spans="1:18" x14ac:dyDescent="0.3">
      <c r="A1920" t="s">
        <v>33</v>
      </c>
      <c r="B1920">
        <v>2005</v>
      </c>
      <c r="C1920" t="str">
        <f>_xlfn.CONCAT(Table13[[#This Row],[STATE]],"-",Table13[[#This Row],[Year]])</f>
        <v>West Bengal-2005</v>
      </c>
      <c r="D1920" t="s">
        <v>75</v>
      </c>
      <c r="E1920" t="s">
        <v>76</v>
      </c>
      <c r="F1920">
        <v>69081</v>
      </c>
      <c r="G1920">
        <v>10771</v>
      </c>
      <c r="H1920">
        <v>345</v>
      </c>
      <c r="I1920">
        <v>2118</v>
      </c>
      <c r="J1920">
        <v>46556</v>
      </c>
      <c r="K1920">
        <v>24</v>
      </c>
      <c r="L1920">
        <v>34</v>
      </c>
      <c r="M1920">
        <v>776</v>
      </c>
      <c r="N1920">
        <v>39</v>
      </c>
      <c r="O1920">
        <v>1143</v>
      </c>
      <c r="P1920">
        <v>7152</v>
      </c>
      <c r="Q1920">
        <v>123</v>
      </c>
      <c r="R1920">
        <f>SUM(Table13[[#This Row],[Rank_All_Ranks_Total]:[Rank_SSPSPAddlSPCommandant]])</f>
        <v>138162</v>
      </c>
    </row>
    <row r="1921" spans="1:18" x14ac:dyDescent="0.3">
      <c r="A1921" t="s">
        <v>59</v>
      </c>
      <c r="B1921">
        <v>2006</v>
      </c>
      <c r="C1921" t="str">
        <f>_xlfn.CONCAT(Table13[[#This Row],[STATE]],"-",Table13[[#This Row],[Year]])</f>
        <v>Andaman &amp; Nicobar Islands-2006</v>
      </c>
      <c r="D1921" t="s">
        <v>75</v>
      </c>
      <c r="E1921" t="s">
        <v>76</v>
      </c>
      <c r="F1921">
        <v>2286</v>
      </c>
      <c r="G1921">
        <v>228</v>
      </c>
      <c r="H1921">
        <v>10</v>
      </c>
      <c r="I1921">
        <v>0</v>
      </c>
      <c r="J1921">
        <v>1500</v>
      </c>
      <c r="K1921">
        <v>0</v>
      </c>
      <c r="L1921">
        <v>1</v>
      </c>
      <c r="M1921">
        <v>374</v>
      </c>
      <c r="N1921">
        <v>1</v>
      </c>
      <c r="O1921">
        <v>33</v>
      </c>
      <c r="P1921">
        <v>137</v>
      </c>
      <c r="Q1921">
        <v>2</v>
      </c>
      <c r="R1921">
        <f>SUM(Table13[[#This Row],[Rank_All_Ranks_Total]:[Rank_SSPSPAddlSPCommandant]])</f>
        <v>4572</v>
      </c>
    </row>
    <row r="1922" spans="1:18" x14ac:dyDescent="0.3">
      <c r="A1922" t="s">
        <v>6</v>
      </c>
      <c r="B1922">
        <v>2006</v>
      </c>
      <c r="C1922" t="str">
        <f>_xlfn.CONCAT(Table13[[#This Row],[STATE]],"-",Table13[[#This Row],[Year]])</f>
        <v>Andhra Pradesh-2006</v>
      </c>
      <c r="D1922" t="s">
        <v>75</v>
      </c>
      <c r="E1922" t="s">
        <v>76</v>
      </c>
      <c r="F1922">
        <v>71863</v>
      </c>
      <c r="G1922">
        <v>2645</v>
      </c>
      <c r="H1922">
        <v>318</v>
      </c>
      <c r="I1922">
        <v>0</v>
      </c>
      <c r="J1922">
        <v>52771</v>
      </c>
      <c r="K1922">
        <v>21</v>
      </c>
      <c r="L1922">
        <v>33</v>
      </c>
      <c r="M1922">
        <v>11038</v>
      </c>
      <c r="N1922">
        <v>21</v>
      </c>
      <c r="O1922">
        <v>1098</v>
      </c>
      <c r="P1922">
        <v>3771</v>
      </c>
      <c r="Q1922">
        <v>147</v>
      </c>
      <c r="R1922">
        <f>SUM(Table13[[#This Row],[Rank_All_Ranks_Total]:[Rank_SSPSPAddlSPCommandant]])</f>
        <v>143726</v>
      </c>
    </row>
    <row r="1923" spans="1:18" x14ac:dyDescent="0.3">
      <c r="A1923" t="s">
        <v>7</v>
      </c>
      <c r="B1923">
        <v>2006</v>
      </c>
      <c r="C1923" t="str">
        <f>_xlfn.CONCAT(Table13[[#This Row],[STATE]],"-",Table13[[#This Row],[Year]])</f>
        <v>Arunachal Pradesh-2006</v>
      </c>
      <c r="D1923" t="s">
        <v>75</v>
      </c>
      <c r="E1923" t="s">
        <v>76</v>
      </c>
      <c r="F1923">
        <v>3261</v>
      </c>
      <c r="G1923">
        <v>143</v>
      </c>
      <c r="H1923">
        <v>42</v>
      </c>
      <c r="I1923">
        <v>0</v>
      </c>
      <c r="J1923">
        <v>2297</v>
      </c>
      <c r="K1923">
        <v>1</v>
      </c>
      <c r="L1923">
        <v>4</v>
      </c>
      <c r="M1923">
        <v>358</v>
      </c>
      <c r="N1923">
        <v>1</v>
      </c>
      <c r="O1923">
        <v>71</v>
      </c>
      <c r="P1923">
        <v>323</v>
      </c>
      <c r="Q1923">
        <v>21</v>
      </c>
      <c r="R1923">
        <f>SUM(Table13[[#This Row],[Rank_All_Ranks_Total]:[Rank_SSPSPAddlSPCommandant]])</f>
        <v>6522</v>
      </c>
    </row>
    <row r="1924" spans="1:18" x14ac:dyDescent="0.3">
      <c r="A1924" t="s">
        <v>8</v>
      </c>
      <c r="B1924">
        <v>2006</v>
      </c>
      <c r="C1924" t="str">
        <f>_xlfn.CONCAT(Table13[[#This Row],[STATE]],"-",Table13[[#This Row],[Year]])</f>
        <v>Assam-2006</v>
      </c>
      <c r="D1924" t="s">
        <v>75</v>
      </c>
      <c r="E1924" t="s">
        <v>76</v>
      </c>
      <c r="F1924">
        <v>30033</v>
      </c>
      <c r="G1924">
        <v>1789</v>
      </c>
      <c r="H1924">
        <v>161</v>
      </c>
      <c r="I1924">
        <v>901</v>
      </c>
      <c r="J1924">
        <v>21969</v>
      </c>
      <c r="K1924">
        <v>7</v>
      </c>
      <c r="L1924">
        <v>16</v>
      </c>
      <c r="M1924">
        <v>1826</v>
      </c>
      <c r="N1924">
        <v>11</v>
      </c>
      <c r="O1924">
        <v>487</v>
      </c>
      <c r="P1924">
        <v>2732</v>
      </c>
      <c r="Q1924">
        <v>134</v>
      </c>
      <c r="R1924">
        <f>SUM(Table13[[#This Row],[Rank_All_Ranks_Total]:[Rank_SSPSPAddlSPCommandant]])</f>
        <v>60066</v>
      </c>
    </row>
    <row r="1925" spans="1:18" x14ac:dyDescent="0.3">
      <c r="A1925" t="s">
        <v>9</v>
      </c>
      <c r="B1925">
        <v>2006</v>
      </c>
      <c r="C1925" t="str">
        <f>_xlfn.CONCAT(Table13[[#This Row],[STATE]],"-",Table13[[#This Row],[Year]])</f>
        <v>Bihar-2006</v>
      </c>
      <c r="D1925" t="s">
        <v>75</v>
      </c>
      <c r="E1925" t="s">
        <v>76</v>
      </c>
      <c r="F1925">
        <v>56341</v>
      </c>
      <c r="G1925">
        <v>4640</v>
      </c>
      <c r="H1925">
        <v>260</v>
      </c>
      <c r="I1925">
        <v>0</v>
      </c>
      <c r="J1925">
        <v>37045</v>
      </c>
      <c r="K1925">
        <v>9</v>
      </c>
      <c r="L1925">
        <v>24</v>
      </c>
      <c r="M1925">
        <v>7768</v>
      </c>
      <c r="N1925">
        <v>15</v>
      </c>
      <c r="O1925">
        <v>656</v>
      </c>
      <c r="P1925">
        <v>5854</v>
      </c>
      <c r="Q1925">
        <v>70</v>
      </c>
      <c r="R1925">
        <f>SUM(Table13[[#This Row],[Rank_All_Ranks_Total]:[Rank_SSPSPAddlSPCommandant]])</f>
        <v>112682</v>
      </c>
    </row>
    <row r="1926" spans="1:18" x14ac:dyDescent="0.3">
      <c r="A1926" t="s">
        <v>35</v>
      </c>
      <c r="B1926">
        <v>2006</v>
      </c>
      <c r="C1926" t="str">
        <f>_xlfn.CONCAT(Table13[[#This Row],[STATE]],"-",Table13[[#This Row],[Year]])</f>
        <v>Chandigarh-2006</v>
      </c>
      <c r="D1926" t="s">
        <v>75</v>
      </c>
      <c r="E1926" t="s">
        <v>76</v>
      </c>
      <c r="F1926">
        <v>3790</v>
      </c>
      <c r="G1926">
        <v>189</v>
      </c>
      <c r="H1926">
        <v>11</v>
      </c>
      <c r="I1926">
        <v>0</v>
      </c>
      <c r="J1926">
        <v>2517</v>
      </c>
      <c r="K1926">
        <v>0</v>
      </c>
      <c r="L1926">
        <v>0</v>
      </c>
      <c r="M1926">
        <v>784</v>
      </c>
      <c r="N1926">
        <v>1</v>
      </c>
      <c r="O1926">
        <v>46</v>
      </c>
      <c r="P1926">
        <v>238</v>
      </c>
      <c r="Q1926">
        <v>4</v>
      </c>
      <c r="R1926">
        <f>SUM(Table13[[#This Row],[Rank_All_Ranks_Total]:[Rank_SSPSPAddlSPCommandant]])</f>
        <v>7580</v>
      </c>
    </row>
    <row r="1927" spans="1:18" x14ac:dyDescent="0.3">
      <c r="A1927" t="s">
        <v>10</v>
      </c>
      <c r="B1927">
        <v>2006</v>
      </c>
      <c r="C1927" t="str">
        <f>_xlfn.CONCAT(Table13[[#This Row],[STATE]],"-",Table13[[#This Row],[Year]])</f>
        <v>Chhattisgarh-2006</v>
      </c>
      <c r="D1927" t="s">
        <v>75</v>
      </c>
      <c r="E1927" t="s">
        <v>76</v>
      </c>
      <c r="F1927">
        <v>27810</v>
      </c>
      <c r="G1927">
        <v>1479</v>
      </c>
      <c r="H1927">
        <v>180</v>
      </c>
      <c r="I1927">
        <v>0</v>
      </c>
      <c r="J1927">
        <v>20131</v>
      </c>
      <c r="K1927">
        <v>3</v>
      </c>
      <c r="L1927">
        <v>12</v>
      </c>
      <c r="M1927">
        <v>4091</v>
      </c>
      <c r="N1927">
        <v>7</v>
      </c>
      <c r="O1927">
        <v>497</v>
      </c>
      <c r="P1927">
        <v>1350</v>
      </c>
      <c r="Q1927">
        <v>60</v>
      </c>
      <c r="R1927">
        <f>SUM(Table13[[#This Row],[Rank_All_Ranks_Total]:[Rank_SSPSPAddlSPCommandant]])</f>
        <v>55620</v>
      </c>
    </row>
    <row r="1928" spans="1:18" x14ac:dyDescent="0.3">
      <c r="A1928" t="s">
        <v>62</v>
      </c>
      <c r="B1928">
        <v>2006</v>
      </c>
      <c r="C1928" t="str">
        <f>_xlfn.CONCAT(Table13[[#This Row],[STATE]],"-",Table13[[#This Row],[Year]])</f>
        <v>Dadra &amp; Nagar Haveli-2006</v>
      </c>
      <c r="D1928" t="s">
        <v>75</v>
      </c>
      <c r="E1928" t="s">
        <v>76</v>
      </c>
      <c r="F1928">
        <v>241</v>
      </c>
      <c r="G1928">
        <v>3</v>
      </c>
      <c r="H1928">
        <v>1</v>
      </c>
      <c r="I1928">
        <v>0</v>
      </c>
      <c r="J1928">
        <v>169</v>
      </c>
      <c r="K1928">
        <v>0</v>
      </c>
      <c r="L1928">
        <v>0</v>
      </c>
      <c r="M1928">
        <v>53</v>
      </c>
      <c r="N1928">
        <v>0</v>
      </c>
      <c r="O1928">
        <v>1</v>
      </c>
      <c r="P1928">
        <v>13</v>
      </c>
      <c r="Q1928">
        <v>1</v>
      </c>
      <c r="R1928">
        <f>SUM(Table13[[#This Row],[Rank_All_Ranks_Total]:[Rank_SSPSPAddlSPCommandant]])</f>
        <v>482</v>
      </c>
    </row>
    <row r="1929" spans="1:18" x14ac:dyDescent="0.3">
      <c r="A1929" t="s">
        <v>37</v>
      </c>
      <c r="B1929">
        <v>2006</v>
      </c>
      <c r="C1929" t="str">
        <f>_xlfn.CONCAT(Table13[[#This Row],[STATE]],"-",Table13[[#This Row],[Year]])</f>
        <v>Daman &amp; Diu-2006</v>
      </c>
      <c r="D1929" t="s">
        <v>75</v>
      </c>
      <c r="E1929" t="s">
        <v>76</v>
      </c>
      <c r="F1929">
        <v>245</v>
      </c>
      <c r="G1929">
        <v>9</v>
      </c>
      <c r="H1929">
        <v>2</v>
      </c>
      <c r="I1929">
        <v>0</v>
      </c>
      <c r="J1929">
        <v>178</v>
      </c>
      <c r="K1929">
        <v>0</v>
      </c>
      <c r="L1929">
        <v>1</v>
      </c>
      <c r="M1929">
        <v>40</v>
      </c>
      <c r="N1929">
        <v>0</v>
      </c>
      <c r="O1929">
        <v>3</v>
      </c>
      <c r="P1929">
        <v>10</v>
      </c>
      <c r="Q1929">
        <v>2</v>
      </c>
      <c r="R1929">
        <f>SUM(Table13[[#This Row],[Rank_All_Ranks_Total]:[Rank_SSPSPAddlSPCommandant]])</f>
        <v>490</v>
      </c>
    </row>
    <row r="1930" spans="1:18" x14ac:dyDescent="0.3">
      <c r="A1930" t="s">
        <v>38</v>
      </c>
      <c r="B1930">
        <v>2006</v>
      </c>
      <c r="C1930" t="str">
        <f>_xlfn.CONCAT(Table13[[#This Row],[STATE]],"-",Table13[[#This Row],[Year]])</f>
        <v>Delhi-2006</v>
      </c>
      <c r="D1930" t="s">
        <v>75</v>
      </c>
      <c r="E1930" t="s">
        <v>76</v>
      </c>
      <c r="F1930">
        <v>46633</v>
      </c>
      <c r="G1930">
        <v>5457</v>
      </c>
      <c r="H1930">
        <v>230</v>
      </c>
      <c r="I1930">
        <v>0</v>
      </c>
      <c r="J1930">
        <v>23941</v>
      </c>
      <c r="K1930">
        <v>4</v>
      </c>
      <c r="L1930">
        <v>9</v>
      </c>
      <c r="M1930">
        <v>12452</v>
      </c>
      <c r="N1930">
        <v>14</v>
      </c>
      <c r="O1930">
        <v>967</v>
      </c>
      <c r="P1930">
        <v>3501</v>
      </c>
      <c r="Q1930">
        <v>58</v>
      </c>
      <c r="R1930">
        <f>SUM(Table13[[#This Row],[Rank_All_Ranks_Total]:[Rank_SSPSPAddlSPCommandant]])</f>
        <v>93266</v>
      </c>
    </row>
    <row r="1931" spans="1:18" x14ac:dyDescent="0.3">
      <c r="A1931" t="s">
        <v>11</v>
      </c>
      <c r="B1931">
        <v>2006</v>
      </c>
      <c r="C1931" t="str">
        <f>_xlfn.CONCAT(Table13[[#This Row],[STATE]],"-",Table13[[#This Row],[Year]])</f>
        <v>Goa-2006</v>
      </c>
      <c r="D1931" t="s">
        <v>75</v>
      </c>
      <c r="E1931" t="s">
        <v>76</v>
      </c>
      <c r="F1931">
        <v>3120</v>
      </c>
      <c r="G1931">
        <v>134</v>
      </c>
      <c r="H1931">
        <v>19</v>
      </c>
      <c r="I1931">
        <v>0</v>
      </c>
      <c r="J1931">
        <v>2194</v>
      </c>
      <c r="K1931">
        <v>1</v>
      </c>
      <c r="L1931">
        <v>1</v>
      </c>
      <c r="M1931">
        <v>587</v>
      </c>
      <c r="N1931">
        <v>0</v>
      </c>
      <c r="O1931">
        <v>46</v>
      </c>
      <c r="P1931">
        <v>131</v>
      </c>
      <c r="Q1931">
        <v>7</v>
      </c>
      <c r="R1931">
        <f>SUM(Table13[[#This Row],[Rank_All_Ranks_Total]:[Rank_SSPSPAddlSPCommandant]])</f>
        <v>6240</v>
      </c>
    </row>
    <row r="1932" spans="1:18" x14ac:dyDescent="0.3">
      <c r="A1932" t="s">
        <v>12</v>
      </c>
      <c r="B1932">
        <v>2006</v>
      </c>
      <c r="C1932" t="str">
        <f>_xlfn.CONCAT(Table13[[#This Row],[STATE]],"-",Table13[[#This Row],[Year]])</f>
        <v>Gujarat-2006</v>
      </c>
      <c r="D1932" t="s">
        <v>75</v>
      </c>
      <c r="E1932" t="s">
        <v>76</v>
      </c>
      <c r="F1932">
        <v>70235</v>
      </c>
      <c r="G1932">
        <v>7189</v>
      </c>
      <c r="H1932">
        <v>236</v>
      </c>
      <c r="I1932">
        <v>0</v>
      </c>
      <c r="J1932">
        <v>42369</v>
      </c>
      <c r="K1932">
        <v>19</v>
      </c>
      <c r="L1932">
        <v>18</v>
      </c>
      <c r="M1932">
        <v>16864</v>
      </c>
      <c r="N1932">
        <v>26</v>
      </c>
      <c r="O1932">
        <v>805</v>
      </c>
      <c r="P1932">
        <v>2635</v>
      </c>
      <c r="Q1932">
        <v>74</v>
      </c>
      <c r="R1932">
        <f>SUM(Table13[[#This Row],[Rank_All_Ranks_Total]:[Rank_SSPSPAddlSPCommandant]])</f>
        <v>140470</v>
      </c>
    </row>
    <row r="1933" spans="1:18" x14ac:dyDescent="0.3">
      <c r="A1933" t="s">
        <v>13</v>
      </c>
      <c r="B1933">
        <v>2006</v>
      </c>
      <c r="C1933" t="str">
        <f>_xlfn.CONCAT(Table13[[#This Row],[STATE]],"-",Table13[[#This Row],[Year]])</f>
        <v>Haryana-2006</v>
      </c>
      <c r="D1933" t="s">
        <v>75</v>
      </c>
      <c r="E1933" t="s">
        <v>76</v>
      </c>
      <c r="F1933">
        <v>40960</v>
      </c>
      <c r="G1933">
        <v>3363</v>
      </c>
      <c r="H1933">
        <v>158</v>
      </c>
      <c r="I1933">
        <v>0</v>
      </c>
      <c r="J1933">
        <v>29214</v>
      </c>
      <c r="K1933">
        <v>10</v>
      </c>
      <c r="L1933">
        <v>13</v>
      </c>
      <c r="M1933">
        <v>6403</v>
      </c>
      <c r="N1933">
        <v>16</v>
      </c>
      <c r="O1933">
        <v>366</v>
      </c>
      <c r="P1933">
        <v>1375</v>
      </c>
      <c r="Q1933">
        <v>42</v>
      </c>
      <c r="R1933">
        <f>SUM(Table13[[#This Row],[Rank_All_Ranks_Total]:[Rank_SSPSPAddlSPCommandant]])</f>
        <v>81920</v>
      </c>
    </row>
    <row r="1934" spans="1:18" x14ac:dyDescent="0.3">
      <c r="A1934" t="s">
        <v>14</v>
      </c>
      <c r="B1934">
        <v>2006</v>
      </c>
      <c r="C1934" t="str">
        <f>_xlfn.CONCAT(Table13[[#This Row],[STATE]],"-",Table13[[#This Row],[Year]])</f>
        <v>Himachal Pradesh-2006</v>
      </c>
      <c r="D1934" t="s">
        <v>75</v>
      </c>
      <c r="E1934" t="s">
        <v>76</v>
      </c>
      <c r="F1934">
        <v>10896</v>
      </c>
      <c r="G1934">
        <v>738</v>
      </c>
      <c r="H1934">
        <v>63</v>
      </c>
      <c r="I1934">
        <v>1300</v>
      </c>
      <c r="J1934">
        <v>6317</v>
      </c>
      <c r="K1934">
        <v>10</v>
      </c>
      <c r="L1934">
        <v>17</v>
      </c>
      <c r="M1934">
        <v>1772</v>
      </c>
      <c r="N1934">
        <v>8</v>
      </c>
      <c r="O1934">
        <v>175</v>
      </c>
      <c r="P1934">
        <v>449</v>
      </c>
      <c r="Q1934">
        <v>47</v>
      </c>
      <c r="R1934">
        <f>SUM(Table13[[#This Row],[Rank_All_Ranks_Total]:[Rank_SSPSPAddlSPCommandant]])</f>
        <v>21792</v>
      </c>
    </row>
    <row r="1935" spans="1:18" x14ac:dyDescent="0.3">
      <c r="A1935" t="s">
        <v>15</v>
      </c>
      <c r="B1935">
        <v>2006</v>
      </c>
      <c r="C1935" t="str">
        <f>_xlfn.CONCAT(Table13[[#This Row],[STATE]],"-",Table13[[#This Row],[Year]])</f>
        <v>Jammu &amp; Kashmir-2006</v>
      </c>
      <c r="D1935" t="s">
        <v>75</v>
      </c>
      <c r="E1935" t="s">
        <v>76</v>
      </c>
      <c r="F1935">
        <v>43309</v>
      </c>
      <c r="G1935">
        <v>2739</v>
      </c>
      <c r="H1935">
        <v>241</v>
      </c>
      <c r="I1935">
        <v>29162</v>
      </c>
      <c r="J1935">
        <v>1318</v>
      </c>
      <c r="K1935">
        <v>6</v>
      </c>
      <c r="L1935">
        <v>17</v>
      </c>
      <c r="M1935">
        <v>7315</v>
      </c>
      <c r="N1935">
        <v>12</v>
      </c>
      <c r="O1935">
        <v>594</v>
      </c>
      <c r="P1935">
        <v>1804</v>
      </c>
      <c r="Q1935">
        <v>101</v>
      </c>
      <c r="R1935">
        <f>SUM(Table13[[#This Row],[Rank_All_Ranks_Total]:[Rank_SSPSPAddlSPCommandant]])</f>
        <v>86618</v>
      </c>
    </row>
    <row r="1936" spans="1:18" x14ac:dyDescent="0.3">
      <c r="A1936" t="s">
        <v>16</v>
      </c>
      <c r="B1936">
        <v>2006</v>
      </c>
      <c r="C1936" t="str">
        <f>_xlfn.CONCAT(Table13[[#This Row],[STATE]],"-",Table13[[#This Row],[Year]])</f>
        <v>Jharkhand-2006</v>
      </c>
      <c r="D1936" t="s">
        <v>75</v>
      </c>
      <c r="E1936" t="s">
        <v>76</v>
      </c>
      <c r="F1936">
        <v>22643</v>
      </c>
      <c r="G1936">
        <v>1191</v>
      </c>
      <c r="H1936">
        <v>60</v>
      </c>
      <c r="I1936">
        <v>0</v>
      </c>
      <c r="J1936">
        <v>16623</v>
      </c>
      <c r="K1936">
        <v>0</v>
      </c>
      <c r="L1936">
        <v>0</v>
      </c>
      <c r="M1936">
        <v>3156</v>
      </c>
      <c r="N1936">
        <v>0</v>
      </c>
      <c r="O1936">
        <v>141</v>
      </c>
      <c r="P1936">
        <v>1447</v>
      </c>
      <c r="Q1936">
        <v>25</v>
      </c>
      <c r="R1936">
        <f>SUM(Table13[[#This Row],[Rank_All_Ranks_Total]:[Rank_SSPSPAddlSPCommandant]])</f>
        <v>45286</v>
      </c>
    </row>
    <row r="1937" spans="1:18" x14ac:dyDescent="0.3">
      <c r="A1937" t="s">
        <v>17</v>
      </c>
      <c r="B1937">
        <v>2006</v>
      </c>
      <c r="C1937" t="str">
        <f>_xlfn.CONCAT(Table13[[#This Row],[STATE]],"-",Table13[[#This Row],[Year]])</f>
        <v>Karnataka-2006</v>
      </c>
      <c r="D1937" t="s">
        <v>75</v>
      </c>
      <c r="E1937" t="s">
        <v>76</v>
      </c>
      <c r="F1937">
        <v>58433</v>
      </c>
      <c r="G1937">
        <v>2884</v>
      </c>
      <c r="H1937">
        <v>185</v>
      </c>
      <c r="I1937">
        <v>0</v>
      </c>
      <c r="J1937">
        <v>40286</v>
      </c>
      <c r="K1937">
        <v>1</v>
      </c>
      <c r="L1937">
        <v>5</v>
      </c>
      <c r="M1937">
        <v>12106</v>
      </c>
      <c r="N1937">
        <v>9</v>
      </c>
      <c r="O1937">
        <v>706</v>
      </c>
      <c r="P1937">
        <v>2181</v>
      </c>
      <c r="Q1937">
        <v>70</v>
      </c>
      <c r="R1937">
        <f>SUM(Table13[[#This Row],[Rank_All_Ranks_Total]:[Rank_SSPSPAddlSPCommandant]])</f>
        <v>116866</v>
      </c>
    </row>
    <row r="1938" spans="1:18" x14ac:dyDescent="0.3">
      <c r="A1938" t="s">
        <v>18</v>
      </c>
      <c r="B1938">
        <v>2006</v>
      </c>
      <c r="C1938" t="str">
        <f>_xlfn.CONCAT(Table13[[#This Row],[STATE]],"-",Table13[[#This Row],[Year]])</f>
        <v>Kerala-2006</v>
      </c>
      <c r="D1938" t="s">
        <v>75</v>
      </c>
      <c r="E1938" t="s">
        <v>76</v>
      </c>
      <c r="F1938">
        <v>38177</v>
      </c>
      <c r="G1938">
        <v>1774</v>
      </c>
      <c r="H1938">
        <v>289</v>
      </c>
      <c r="I1938">
        <v>0</v>
      </c>
      <c r="J1938">
        <v>25969</v>
      </c>
      <c r="K1938">
        <v>8</v>
      </c>
      <c r="L1938">
        <v>10</v>
      </c>
      <c r="M1938">
        <v>7936</v>
      </c>
      <c r="N1938">
        <v>10</v>
      </c>
      <c r="O1938">
        <v>412</v>
      </c>
      <c r="P1938">
        <v>1713</v>
      </c>
      <c r="Q1938">
        <v>56</v>
      </c>
      <c r="R1938">
        <f>SUM(Table13[[#This Row],[Rank_All_Ranks_Total]:[Rank_SSPSPAddlSPCommandant]])</f>
        <v>76354</v>
      </c>
    </row>
    <row r="1939" spans="1:18" x14ac:dyDescent="0.3">
      <c r="A1939" t="s">
        <v>39</v>
      </c>
      <c r="B1939">
        <v>2006</v>
      </c>
      <c r="C1939" t="str">
        <f>_xlfn.CONCAT(Table13[[#This Row],[STATE]],"-",Table13[[#This Row],[Year]])</f>
        <v>Lakshadweep-2006</v>
      </c>
      <c r="D1939" t="s">
        <v>75</v>
      </c>
      <c r="E1939" t="s">
        <v>76</v>
      </c>
      <c r="F1939">
        <v>349</v>
      </c>
      <c r="G1939">
        <v>28</v>
      </c>
      <c r="H1939">
        <v>1</v>
      </c>
      <c r="I1939">
        <v>0</v>
      </c>
      <c r="J1939">
        <v>230</v>
      </c>
      <c r="K1939">
        <v>0</v>
      </c>
      <c r="L1939">
        <v>0</v>
      </c>
      <c r="M1939">
        <v>64</v>
      </c>
      <c r="N1939">
        <v>0</v>
      </c>
      <c r="O1939">
        <v>5</v>
      </c>
      <c r="P1939">
        <v>20</v>
      </c>
      <c r="Q1939">
        <v>1</v>
      </c>
      <c r="R1939">
        <f>SUM(Table13[[#This Row],[Rank_All_Ranks_Total]:[Rank_SSPSPAddlSPCommandant]])</f>
        <v>698</v>
      </c>
    </row>
    <row r="1940" spans="1:18" x14ac:dyDescent="0.3">
      <c r="A1940" t="s">
        <v>19</v>
      </c>
      <c r="B1940">
        <v>2006</v>
      </c>
      <c r="C1940" t="str">
        <f>_xlfn.CONCAT(Table13[[#This Row],[STATE]],"-",Table13[[#This Row],[Year]])</f>
        <v>Madhya Pradesh-2006</v>
      </c>
      <c r="D1940" t="s">
        <v>75</v>
      </c>
      <c r="E1940" t="s">
        <v>76</v>
      </c>
      <c r="F1940">
        <v>55298</v>
      </c>
      <c r="G1940">
        <v>3202</v>
      </c>
      <c r="H1940">
        <v>682</v>
      </c>
      <c r="I1940">
        <v>0</v>
      </c>
      <c r="J1940">
        <v>37096</v>
      </c>
      <c r="K1940">
        <v>10</v>
      </c>
      <c r="L1940">
        <v>30</v>
      </c>
      <c r="M1940">
        <v>10259</v>
      </c>
      <c r="N1940">
        <v>20</v>
      </c>
      <c r="O1940">
        <v>1126</v>
      </c>
      <c r="P1940">
        <v>2701</v>
      </c>
      <c r="Q1940">
        <v>172</v>
      </c>
      <c r="R1940">
        <f>SUM(Table13[[#This Row],[Rank_All_Ranks_Total]:[Rank_SSPSPAddlSPCommandant]])</f>
        <v>110596</v>
      </c>
    </row>
    <row r="1941" spans="1:18" x14ac:dyDescent="0.3">
      <c r="A1941" t="s">
        <v>20</v>
      </c>
      <c r="B1941">
        <v>2006</v>
      </c>
      <c r="C1941" t="str">
        <f>_xlfn.CONCAT(Table13[[#This Row],[STATE]],"-",Table13[[#This Row],[Year]])</f>
        <v>Maharashtra-2006</v>
      </c>
      <c r="D1941" t="s">
        <v>75</v>
      </c>
      <c r="E1941" t="s">
        <v>76</v>
      </c>
      <c r="F1941">
        <v>145657</v>
      </c>
      <c r="G1941">
        <v>12660</v>
      </c>
      <c r="H1941">
        <v>693</v>
      </c>
      <c r="I1941">
        <v>21089</v>
      </c>
      <c r="J1941">
        <v>67578</v>
      </c>
      <c r="K1941">
        <v>16</v>
      </c>
      <c r="L1941">
        <v>29</v>
      </c>
      <c r="M1941">
        <v>31381</v>
      </c>
      <c r="N1941">
        <v>25</v>
      </c>
      <c r="O1941">
        <v>2718</v>
      </c>
      <c r="P1941">
        <v>9236</v>
      </c>
      <c r="Q1941">
        <v>232</v>
      </c>
      <c r="R1941">
        <f>SUM(Table13[[#This Row],[Rank_All_Ranks_Total]:[Rank_SSPSPAddlSPCommandant]])</f>
        <v>291314</v>
      </c>
    </row>
    <row r="1942" spans="1:18" x14ac:dyDescent="0.3">
      <c r="A1942" t="s">
        <v>21</v>
      </c>
      <c r="B1942">
        <v>2006</v>
      </c>
      <c r="C1942" t="str">
        <f>_xlfn.CONCAT(Table13[[#This Row],[STATE]],"-",Table13[[#This Row],[Year]])</f>
        <v>Manipur-2006</v>
      </c>
      <c r="D1942" t="s">
        <v>75</v>
      </c>
      <c r="E1942" t="s">
        <v>76</v>
      </c>
      <c r="F1942">
        <v>5955</v>
      </c>
      <c r="G1942">
        <v>567</v>
      </c>
      <c r="H1942">
        <v>40</v>
      </c>
      <c r="I1942">
        <v>0</v>
      </c>
      <c r="J1942">
        <v>4102</v>
      </c>
      <c r="K1942">
        <v>2</v>
      </c>
      <c r="L1942">
        <v>5</v>
      </c>
      <c r="M1942">
        <v>598</v>
      </c>
      <c r="N1942">
        <v>6</v>
      </c>
      <c r="O1942">
        <v>143</v>
      </c>
      <c r="P1942">
        <v>461</v>
      </c>
      <c r="Q1942">
        <v>31</v>
      </c>
      <c r="R1942">
        <f>SUM(Table13[[#This Row],[Rank_All_Ranks_Total]:[Rank_SSPSPAddlSPCommandant]])</f>
        <v>11910</v>
      </c>
    </row>
    <row r="1943" spans="1:18" x14ac:dyDescent="0.3">
      <c r="A1943" t="s">
        <v>22</v>
      </c>
      <c r="B1943">
        <v>2006</v>
      </c>
      <c r="C1943" t="str">
        <f>_xlfn.CONCAT(Table13[[#This Row],[STATE]],"-",Table13[[#This Row],[Year]])</f>
        <v>Meghalaya-2006</v>
      </c>
      <c r="D1943" t="s">
        <v>75</v>
      </c>
      <c r="E1943" t="s">
        <v>76</v>
      </c>
      <c r="F1943">
        <v>6302</v>
      </c>
      <c r="G1943">
        <v>182</v>
      </c>
      <c r="H1943">
        <v>27</v>
      </c>
      <c r="I1943">
        <v>137</v>
      </c>
      <c r="J1943">
        <v>4615</v>
      </c>
      <c r="K1943">
        <v>5</v>
      </c>
      <c r="L1943">
        <v>7</v>
      </c>
      <c r="M1943">
        <v>507</v>
      </c>
      <c r="N1943">
        <v>6</v>
      </c>
      <c r="O1943">
        <v>126</v>
      </c>
      <c r="P1943">
        <v>668</v>
      </c>
      <c r="Q1943">
        <v>22</v>
      </c>
      <c r="R1943">
        <f>SUM(Table13[[#This Row],[Rank_All_Ranks_Total]:[Rank_SSPSPAddlSPCommandant]])</f>
        <v>12604</v>
      </c>
    </row>
    <row r="1944" spans="1:18" x14ac:dyDescent="0.3">
      <c r="A1944" t="s">
        <v>23</v>
      </c>
      <c r="B1944">
        <v>2006</v>
      </c>
      <c r="C1944" t="str">
        <f>_xlfn.CONCAT(Table13[[#This Row],[STATE]],"-",Table13[[#This Row],[Year]])</f>
        <v>Mizoram-2006</v>
      </c>
      <c r="D1944" t="s">
        <v>75</v>
      </c>
      <c r="E1944" t="s">
        <v>76</v>
      </c>
      <c r="F1944">
        <v>3249</v>
      </c>
      <c r="G1944">
        <v>451</v>
      </c>
      <c r="H1944">
        <v>62</v>
      </c>
      <c r="I1944">
        <v>6</v>
      </c>
      <c r="J1944">
        <v>1458</v>
      </c>
      <c r="K1944">
        <v>1</v>
      </c>
      <c r="L1944">
        <v>4</v>
      </c>
      <c r="M1944">
        <v>687</v>
      </c>
      <c r="N1944">
        <v>1</v>
      </c>
      <c r="O1944">
        <v>141</v>
      </c>
      <c r="P1944">
        <v>420</v>
      </c>
      <c r="Q1944">
        <v>18</v>
      </c>
      <c r="R1944">
        <f>SUM(Table13[[#This Row],[Rank_All_Ranks_Total]:[Rank_SSPSPAddlSPCommandant]])</f>
        <v>6498</v>
      </c>
    </row>
    <row r="1945" spans="1:18" x14ac:dyDescent="0.3">
      <c r="A1945" t="s">
        <v>24</v>
      </c>
      <c r="B1945">
        <v>2006</v>
      </c>
      <c r="C1945" t="str">
        <f>_xlfn.CONCAT(Table13[[#This Row],[STATE]],"-",Table13[[#This Row],[Year]])</f>
        <v>Nagaland-2006</v>
      </c>
      <c r="D1945" t="s">
        <v>75</v>
      </c>
      <c r="E1945" t="s">
        <v>76</v>
      </c>
      <c r="F1945">
        <v>5712</v>
      </c>
      <c r="G1945">
        <v>210</v>
      </c>
      <c r="H1945">
        <v>34</v>
      </c>
      <c r="I1945">
        <v>566</v>
      </c>
      <c r="J1945">
        <v>4151</v>
      </c>
      <c r="K1945">
        <v>4</v>
      </c>
      <c r="L1945">
        <v>11</v>
      </c>
      <c r="M1945">
        <v>422</v>
      </c>
      <c r="N1945">
        <v>7</v>
      </c>
      <c r="O1945">
        <v>50</v>
      </c>
      <c r="P1945">
        <v>218</v>
      </c>
      <c r="Q1945">
        <v>39</v>
      </c>
      <c r="R1945">
        <f>SUM(Table13[[#This Row],[Rank_All_Ranks_Total]:[Rank_SSPSPAddlSPCommandant]])</f>
        <v>11424</v>
      </c>
    </row>
    <row r="1946" spans="1:18" x14ac:dyDescent="0.3">
      <c r="A1946" t="s">
        <v>63</v>
      </c>
      <c r="B1946">
        <v>2006</v>
      </c>
      <c r="C1946" t="str">
        <f>_xlfn.CONCAT(Table13[[#This Row],[STATE]],"-",Table13[[#This Row],[Year]])</f>
        <v>Odisha-2006</v>
      </c>
      <c r="D1946" t="s">
        <v>75</v>
      </c>
      <c r="E1946" t="s">
        <v>76</v>
      </c>
      <c r="F1946">
        <v>30265</v>
      </c>
      <c r="G1946">
        <v>2732</v>
      </c>
      <c r="H1946">
        <v>173</v>
      </c>
      <c r="I1946">
        <v>324</v>
      </c>
      <c r="J1946">
        <v>21006</v>
      </c>
      <c r="K1946">
        <v>6</v>
      </c>
      <c r="L1946">
        <v>16</v>
      </c>
      <c r="M1946">
        <v>2666</v>
      </c>
      <c r="N1946">
        <v>10</v>
      </c>
      <c r="O1946">
        <v>659</v>
      </c>
      <c r="P1946">
        <v>2542</v>
      </c>
      <c r="Q1946">
        <v>131</v>
      </c>
      <c r="R1946">
        <f>SUM(Table13[[#This Row],[Rank_All_Ranks_Total]:[Rank_SSPSPAddlSPCommandant]])</f>
        <v>60530</v>
      </c>
    </row>
    <row r="1947" spans="1:18" x14ac:dyDescent="0.3">
      <c r="A1947" t="s">
        <v>64</v>
      </c>
      <c r="B1947">
        <v>2006</v>
      </c>
      <c r="C1947" t="str">
        <f>_xlfn.CONCAT(Table13[[#This Row],[STATE]],"-",Table13[[#This Row],[Year]])</f>
        <v>Puducherry-2006</v>
      </c>
      <c r="D1947" t="s">
        <v>75</v>
      </c>
      <c r="E1947" t="s">
        <v>76</v>
      </c>
      <c r="F1947">
        <v>1742</v>
      </c>
      <c r="G1947">
        <v>109</v>
      </c>
      <c r="H1947">
        <v>18</v>
      </c>
      <c r="I1947">
        <v>0</v>
      </c>
      <c r="J1947">
        <v>1087</v>
      </c>
      <c r="K1947">
        <v>0</v>
      </c>
      <c r="L1947">
        <v>1</v>
      </c>
      <c r="M1947">
        <v>343</v>
      </c>
      <c r="N1947">
        <v>1</v>
      </c>
      <c r="O1947">
        <v>50</v>
      </c>
      <c r="P1947">
        <v>130</v>
      </c>
      <c r="Q1947">
        <v>3</v>
      </c>
      <c r="R1947">
        <f>SUM(Table13[[#This Row],[Rank_All_Ranks_Total]:[Rank_SSPSPAddlSPCommandant]])</f>
        <v>3484</v>
      </c>
    </row>
    <row r="1948" spans="1:18" x14ac:dyDescent="0.3">
      <c r="A1948" t="s">
        <v>26</v>
      </c>
      <c r="B1948">
        <v>2006</v>
      </c>
      <c r="C1948" t="str">
        <f>_xlfn.CONCAT(Table13[[#This Row],[STATE]],"-",Table13[[#This Row],[Year]])</f>
        <v>Punjab-2006</v>
      </c>
      <c r="D1948" t="s">
        <v>75</v>
      </c>
      <c r="E1948" t="s">
        <v>76</v>
      </c>
      <c r="F1948">
        <v>52196</v>
      </c>
      <c r="G1948">
        <v>3914</v>
      </c>
      <c r="H1948">
        <v>272</v>
      </c>
      <c r="I1948">
        <v>0</v>
      </c>
      <c r="J1948">
        <v>37365</v>
      </c>
      <c r="K1948">
        <v>10</v>
      </c>
      <c r="L1948">
        <v>20</v>
      </c>
      <c r="M1948">
        <v>8263</v>
      </c>
      <c r="N1948">
        <v>14</v>
      </c>
      <c r="O1948">
        <v>612</v>
      </c>
      <c r="P1948">
        <v>1604</v>
      </c>
      <c r="Q1948">
        <v>122</v>
      </c>
      <c r="R1948">
        <f>SUM(Table13[[#This Row],[Rank_All_Ranks_Total]:[Rank_SSPSPAddlSPCommandant]])</f>
        <v>104392</v>
      </c>
    </row>
    <row r="1949" spans="1:18" x14ac:dyDescent="0.3">
      <c r="A1949" t="s">
        <v>27</v>
      </c>
      <c r="B1949">
        <v>2006</v>
      </c>
      <c r="C1949" t="str">
        <f>_xlfn.CONCAT(Table13[[#This Row],[STATE]],"-",Table13[[#This Row],[Year]])</f>
        <v>Rajasthan-2006</v>
      </c>
      <c r="D1949" t="s">
        <v>75</v>
      </c>
      <c r="E1949" t="s">
        <v>76</v>
      </c>
      <c r="F1949">
        <v>59230</v>
      </c>
      <c r="G1949">
        <v>5366</v>
      </c>
      <c r="H1949">
        <v>580</v>
      </c>
      <c r="I1949">
        <v>0</v>
      </c>
      <c r="J1949">
        <v>42016</v>
      </c>
      <c r="K1949">
        <v>8</v>
      </c>
      <c r="L1949">
        <v>22</v>
      </c>
      <c r="M1949">
        <v>6948</v>
      </c>
      <c r="N1949">
        <v>30</v>
      </c>
      <c r="O1949">
        <v>863</v>
      </c>
      <c r="P1949">
        <v>3116</v>
      </c>
      <c r="Q1949">
        <v>281</v>
      </c>
      <c r="R1949">
        <f>SUM(Table13[[#This Row],[Rank_All_Ranks_Total]:[Rank_SSPSPAddlSPCommandant]])</f>
        <v>118460</v>
      </c>
    </row>
    <row r="1950" spans="1:18" x14ac:dyDescent="0.3">
      <c r="A1950" t="s">
        <v>28</v>
      </c>
      <c r="B1950">
        <v>2006</v>
      </c>
      <c r="C1950" t="str">
        <f>_xlfn.CONCAT(Table13[[#This Row],[STATE]],"-",Table13[[#This Row],[Year]])</f>
        <v>Sikkim-2006</v>
      </c>
      <c r="D1950" t="s">
        <v>75</v>
      </c>
      <c r="E1950" t="s">
        <v>76</v>
      </c>
      <c r="F1950">
        <v>2006</v>
      </c>
      <c r="G1950">
        <v>119</v>
      </c>
      <c r="H1950">
        <v>29</v>
      </c>
      <c r="I1950">
        <v>133</v>
      </c>
      <c r="J1950">
        <v>1248</v>
      </c>
      <c r="K1950">
        <v>4</v>
      </c>
      <c r="L1950">
        <v>5</v>
      </c>
      <c r="M1950">
        <v>255</v>
      </c>
      <c r="N1950">
        <v>7</v>
      </c>
      <c r="O1950">
        <v>39</v>
      </c>
      <c r="P1950">
        <v>147</v>
      </c>
      <c r="Q1950">
        <v>20</v>
      </c>
      <c r="R1950">
        <f>SUM(Table13[[#This Row],[Rank_All_Ranks_Total]:[Rank_SSPSPAddlSPCommandant]])</f>
        <v>4012</v>
      </c>
    </row>
    <row r="1951" spans="1:18" x14ac:dyDescent="0.3">
      <c r="A1951" t="s">
        <v>42</v>
      </c>
      <c r="B1951">
        <v>2006</v>
      </c>
      <c r="C1951" t="str">
        <f>_xlfn.CONCAT(Table13[[#This Row],[STATE]],"-",Table13[[#This Row],[Year]])</f>
        <v>Tamil Nadu-2006</v>
      </c>
      <c r="D1951" t="s">
        <v>75</v>
      </c>
      <c r="E1951" t="s">
        <v>76</v>
      </c>
      <c r="F1951">
        <v>84246</v>
      </c>
      <c r="G1951">
        <v>0</v>
      </c>
      <c r="H1951">
        <v>685</v>
      </c>
      <c r="I1951">
        <v>9684</v>
      </c>
      <c r="J1951">
        <v>54352</v>
      </c>
      <c r="K1951">
        <v>28</v>
      </c>
      <c r="L1951">
        <v>33</v>
      </c>
      <c r="M1951">
        <v>9473</v>
      </c>
      <c r="N1951">
        <v>30</v>
      </c>
      <c r="O1951">
        <v>2386</v>
      </c>
      <c r="P1951">
        <v>7363</v>
      </c>
      <c r="Q1951">
        <v>212</v>
      </c>
      <c r="R1951">
        <f>SUM(Table13[[#This Row],[Rank_All_Ranks_Total]:[Rank_SSPSPAddlSPCommandant]])</f>
        <v>168492</v>
      </c>
    </row>
    <row r="1952" spans="1:18" x14ac:dyDescent="0.3">
      <c r="A1952" t="s">
        <v>30</v>
      </c>
      <c r="B1952">
        <v>2006</v>
      </c>
      <c r="C1952" t="str">
        <f>_xlfn.CONCAT(Table13[[#This Row],[STATE]],"-",Table13[[#This Row],[Year]])</f>
        <v>Tripura-2006</v>
      </c>
      <c r="D1952" t="s">
        <v>75</v>
      </c>
      <c r="E1952" t="s">
        <v>76</v>
      </c>
      <c r="F1952">
        <v>11146</v>
      </c>
      <c r="G1952">
        <v>548</v>
      </c>
      <c r="H1952">
        <v>156</v>
      </c>
      <c r="I1952">
        <v>283</v>
      </c>
      <c r="J1952">
        <v>8323</v>
      </c>
      <c r="K1952">
        <v>3</v>
      </c>
      <c r="L1952">
        <v>10</v>
      </c>
      <c r="M1952">
        <v>890</v>
      </c>
      <c r="N1952">
        <v>7</v>
      </c>
      <c r="O1952">
        <v>174</v>
      </c>
      <c r="P1952">
        <v>709</v>
      </c>
      <c r="Q1952">
        <v>43</v>
      </c>
      <c r="R1952">
        <f>SUM(Table13[[#This Row],[Rank_All_Ranks_Total]:[Rank_SSPSPAddlSPCommandant]])</f>
        <v>22292</v>
      </c>
    </row>
    <row r="1953" spans="1:18" x14ac:dyDescent="0.3">
      <c r="A1953" t="s">
        <v>31</v>
      </c>
      <c r="B1953">
        <v>2006</v>
      </c>
      <c r="C1953" t="str">
        <f>_xlfn.CONCAT(Table13[[#This Row],[STATE]],"-",Table13[[#This Row],[Year]])</f>
        <v>Uttar Pradesh-2006</v>
      </c>
      <c r="D1953" t="s">
        <v>75</v>
      </c>
      <c r="E1953" t="s">
        <v>76</v>
      </c>
      <c r="F1953">
        <v>133595</v>
      </c>
      <c r="G1953">
        <v>0</v>
      </c>
      <c r="H1953">
        <v>932</v>
      </c>
      <c r="I1953">
        <v>0</v>
      </c>
      <c r="J1953">
        <v>98282</v>
      </c>
      <c r="K1953">
        <v>37</v>
      </c>
      <c r="L1953">
        <v>59</v>
      </c>
      <c r="M1953">
        <v>20377</v>
      </c>
      <c r="N1953">
        <v>58</v>
      </c>
      <c r="O1953">
        <v>1280</v>
      </c>
      <c r="P1953">
        <v>12196</v>
      </c>
      <c r="Q1953">
        <v>374</v>
      </c>
      <c r="R1953">
        <f>SUM(Table13[[#This Row],[Rank_All_Ranks_Total]:[Rank_SSPSPAddlSPCommandant]])</f>
        <v>267190</v>
      </c>
    </row>
    <row r="1954" spans="1:18" x14ac:dyDescent="0.3">
      <c r="A1954" t="s">
        <v>65</v>
      </c>
      <c r="B1954">
        <v>2006</v>
      </c>
      <c r="C1954" t="str">
        <f>_xlfn.CONCAT(Table13[[#This Row],[STATE]],"-",Table13[[#This Row],[Year]])</f>
        <v>Uttarakhand-2006</v>
      </c>
      <c r="D1954" t="s">
        <v>75</v>
      </c>
      <c r="E1954" t="s">
        <v>76</v>
      </c>
      <c r="F1954">
        <v>13450</v>
      </c>
      <c r="G1954">
        <v>0</v>
      </c>
      <c r="H1954">
        <v>94</v>
      </c>
      <c r="I1954">
        <v>0</v>
      </c>
      <c r="J1954">
        <v>10632</v>
      </c>
      <c r="K1954">
        <v>3</v>
      </c>
      <c r="L1954">
        <v>7</v>
      </c>
      <c r="M1954">
        <v>1782</v>
      </c>
      <c r="N1954">
        <v>5</v>
      </c>
      <c r="O1954">
        <v>126</v>
      </c>
      <c r="P1954">
        <v>788</v>
      </c>
      <c r="Q1954">
        <v>13</v>
      </c>
      <c r="R1954">
        <f>SUM(Table13[[#This Row],[Rank_All_Ranks_Total]:[Rank_SSPSPAddlSPCommandant]])</f>
        <v>26900</v>
      </c>
    </row>
    <row r="1955" spans="1:18" x14ac:dyDescent="0.3">
      <c r="A1955" t="s">
        <v>33</v>
      </c>
      <c r="B1955">
        <v>2006</v>
      </c>
      <c r="C1955" t="str">
        <f>_xlfn.CONCAT(Table13[[#This Row],[STATE]],"-",Table13[[#This Row],[Year]])</f>
        <v>West Bengal-2006</v>
      </c>
      <c r="D1955" t="s">
        <v>75</v>
      </c>
      <c r="E1955" t="s">
        <v>76</v>
      </c>
      <c r="F1955">
        <v>69230</v>
      </c>
      <c r="G1955">
        <v>10897</v>
      </c>
      <c r="H1955">
        <v>345</v>
      </c>
      <c r="I1955">
        <v>2106</v>
      </c>
      <c r="J1955">
        <v>46540</v>
      </c>
      <c r="K1955">
        <v>22</v>
      </c>
      <c r="L1955">
        <v>27</v>
      </c>
      <c r="M1955">
        <v>788</v>
      </c>
      <c r="N1955">
        <v>46</v>
      </c>
      <c r="O1955">
        <v>1147</v>
      </c>
      <c r="P1955">
        <v>7173</v>
      </c>
      <c r="Q1955">
        <v>139</v>
      </c>
      <c r="R1955">
        <f>SUM(Table13[[#This Row],[Rank_All_Ranks_Total]:[Rank_SSPSPAddlSPCommandant]])</f>
        <v>138460</v>
      </c>
    </row>
    <row r="1956" spans="1:18" x14ac:dyDescent="0.3">
      <c r="A1956" t="s">
        <v>59</v>
      </c>
      <c r="B1956">
        <v>2007</v>
      </c>
      <c r="C1956" t="str">
        <f>_xlfn.CONCAT(Table13[[#This Row],[STATE]],"-",Table13[[#This Row],[Year]])</f>
        <v>Andaman &amp; Nicobar Islands-2007</v>
      </c>
      <c r="D1956" t="s">
        <v>75</v>
      </c>
      <c r="E1956" t="s">
        <v>76</v>
      </c>
      <c r="F1956">
        <v>2286</v>
      </c>
      <c r="G1956">
        <v>228</v>
      </c>
      <c r="H1956">
        <v>10</v>
      </c>
      <c r="I1956">
        <v>0</v>
      </c>
      <c r="J1956">
        <v>1500</v>
      </c>
      <c r="K1956">
        <v>1</v>
      </c>
      <c r="L1956">
        <v>1</v>
      </c>
      <c r="M1956">
        <v>374</v>
      </c>
      <c r="N1956">
        <v>0</v>
      </c>
      <c r="O1956">
        <v>33</v>
      </c>
      <c r="P1956">
        <v>137</v>
      </c>
      <c r="Q1956">
        <v>2</v>
      </c>
      <c r="R1956">
        <f>SUM(Table13[[#This Row],[Rank_All_Ranks_Total]:[Rank_SSPSPAddlSPCommandant]])</f>
        <v>4572</v>
      </c>
    </row>
    <row r="1957" spans="1:18" x14ac:dyDescent="0.3">
      <c r="A1957" t="s">
        <v>6</v>
      </c>
      <c r="B1957">
        <v>2007</v>
      </c>
      <c r="C1957" t="str">
        <f>_xlfn.CONCAT(Table13[[#This Row],[STATE]],"-",Table13[[#This Row],[Year]])</f>
        <v>Andhra Pradesh-2007</v>
      </c>
      <c r="D1957" t="s">
        <v>75</v>
      </c>
      <c r="E1957" t="s">
        <v>76</v>
      </c>
      <c r="F1957">
        <v>72532</v>
      </c>
      <c r="G1957">
        <v>2903</v>
      </c>
      <c r="H1957">
        <v>324</v>
      </c>
      <c r="I1957">
        <v>0</v>
      </c>
      <c r="J1957">
        <v>52945</v>
      </c>
      <c r="K1957">
        <v>19</v>
      </c>
      <c r="L1957">
        <v>26</v>
      </c>
      <c r="M1957">
        <v>11194</v>
      </c>
      <c r="N1957">
        <v>23</v>
      </c>
      <c r="O1957">
        <v>1120</v>
      </c>
      <c r="P1957">
        <v>3811</v>
      </c>
      <c r="Q1957">
        <v>167</v>
      </c>
      <c r="R1957">
        <f>SUM(Table13[[#This Row],[Rank_All_Ranks_Total]:[Rank_SSPSPAddlSPCommandant]])</f>
        <v>145064</v>
      </c>
    </row>
    <row r="1958" spans="1:18" x14ac:dyDescent="0.3">
      <c r="A1958" t="s">
        <v>7</v>
      </c>
      <c r="B1958">
        <v>2007</v>
      </c>
      <c r="C1958" t="str">
        <f>_xlfn.CONCAT(Table13[[#This Row],[STATE]],"-",Table13[[#This Row],[Year]])</f>
        <v>Arunachal Pradesh-2007</v>
      </c>
      <c r="D1958" t="s">
        <v>75</v>
      </c>
      <c r="E1958" t="s">
        <v>76</v>
      </c>
      <c r="F1958">
        <v>3261</v>
      </c>
      <c r="G1958">
        <v>143</v>
      </c>
      <c r="H1958">
        <v>42</v>
      </c>
      <c r="I1958">
        <v>0</v>
      </c>
      <c r="J1958">
        <v>2297</v>
      </c>
      <c r="K1958">
        <v>1</v>
      </c>
      <c r="L1958">
        <v>4</v>
      </c>
      <c r="M1958">
        <v>358</v>
      </c>
      <c r="N1958">
        <v>1</v>
      </c>
      <c r="O1958">
        <v>71</v>
      </c>
      <c r="P1958">
        <v>323</v>
      </c>
      <c r="Q1958">
        <v>21</v>
      </c>
      <c r="R1958">
        <f>SUM(Table13[[#This Row],[Rank_All_Ranks_Total]:[Rank_SSPSPAddlSPCommandant]])</f>
        <v>6522</v>
      </c>
    </row>
    <row r="1959" spans="1:18" x14ac:dyDescent="0.3">
      <c r="A1959" t="s">
        <v>8</v>
      </c>
      <c r="B1959">
        <v>2007</v>
      </c>
      <c r="C1959" t="str">
        <f>_xlfn.CONCAT(Table13[[#This Row],[STATE]],"-",Table13[[#This Row],[Year]])</f>
        <v>Assam-2007</v>
      </c>
      <c r="D1959" t="s">
        <v>75</v>
      </c>
      <c r="E1959" t="s">
        <v>76</v>
      </c>
      <c r="F1959">
        <v>30040</v>
      </c>
      <c r="G1959">
        <v>1789</v>
      </c>
      <c r="H1959">
        <v>161</v>
      </c>
      <c r="I1959">
        <v>901</v>
      </c>
      <c r="J1959">
        <v>21969</v>
      </c>
      <c r="K1959">
        <v>11</v>
      </c>
      <c r="L1959">
        <v>16</v>
      </c>
      <c r="M1959">
        <v>1826</v>
      </c>
      <c r="N1959">
        <v>14</v>
      </c>
      <c r="O1959">
        <v>487</v>
      </c>
      <c r="P1959">
        <v>2732</v>
      </c>
      <c r="Q1959">
        <v>134</v>
      </c>
      <c r="R1959">
        <f>SUM(Table13[[#This Row],[Rank_All_Ranks_Total]:[Rank_SSPSPAddlSPCommandant]])</f>
        <v>60080</v>
      </c>
    </row>
    <row r="1960" spans="1:18" x14ac:dyDescent="0.3">
      <c r="A1960" t="s">
        <v>9</v>
      </c>
      <c r="B1960">
        <v>2007</v>
      </c>
      <c r="C1960" t="str">
        <f>_xlfn.CONCAT(Table13[[#This Row],[STATE]],"-",Table13[[#This Row],[Year]])</f>
        <v>Bihar-2007</v>
      </c>
      <c r="D1960" t="s">
        <v>75</v>
      </c>
      <c r="E1960" t="s">
        <v>76</v>
      </c>
      <c r="F1960">
        <v>65219</v>
      </c>
      <c r="G1960">
        <v>4727</v>
      </c>
      <c r="H1960">
        <v>324</v>
      </c>
      <c r="I1960">
        <v>0</v>
      </c>
      <c r="J1960">
        <v>42472</v>
      </c>
      <c r="K1960">
        <v>9</v>
      </c>
      <c r="L1960">
        <v>25</v>
      </c>
      <c r="M1960">
        <v>8426</v>
      </c>
      <c r="N1960">
        <v>16</v>
      </c>
      <c r="O1960">
        <v>656</v>
      </c>
      <c r="P1960">
        <v>8489</v>
      </c>
      <c r="Q1960">
        <v>75</v>
      </c>
      <c r="R1960">
        <f>SUM(Table13[[#This Row],[Rank_All_Ranks_Total]:[Rank_SSPSPAddlSPCommandant]])</f>
        <v>130438</v>
      </c>
    </row>
    <row r="1961" spans="1:18" x14ac:dyDescent="0.3">
      <c r="A1961" t="s">
        <v>35</v>
      </c>
      <c r="B1961">
        <v>2007</v>
      </c>
      <c r="C1961" t="str">
        <f>_xlfn.CONCAT(Table13[[#This Row],[STATE]],"-",Table13[[#This Row],[Year]])</f>
        <v>Chandigarh-2007</v>
      </c>
      <c r="D1961" t="s">
        <v>75</v>
      </c>
      <c r="E1961" t="s">
        <v>76</v>
      </c>
      <c r="F1961">
        <v>3790</v>
      </c>
      <c r="G1961">
        <v>189</v>
      </c>
      <c r="H1961">
        <v>11</v>
      </c>
      <c r="I1961">
        <v>0</v>
      </c>
      <c r="J1961">
        <v>2517</v>
      </c>
      <c r="K1961">
        <v>0</v>
      </c>
      <c r="L1961">
        <v>0</v>
      </c>
      <c r="M1961">
        <v>784</v>
      </c>
      <c r="N1961">
        <v>1</v>
      </c>
      <c r="O1961">
        <v>46</v>
      </c>
      <c r="P1961">
        <v>238</v>
      </c>
      <c r="Q1961">
        <v>4</v>
      </c>
      <c r="R1961">
        <f>SUM(Table13[[#This Row],[Rank_All_Ranks_Total]:[Rank_SSPSPAddlSPCommandant]])</f>
        <v>7580</v>
      </c>
    </row>
    <row r="1962" spans="1:18" x14ac:dyDescent="0.3">
      <c r="A1962" t="s">
        <v>10</v>
      </c>
      <c r="B1962">
        <v>2007</v>
      </c>
      <c r="C1962" t="str">
        <f>_xlfn.CONCAT(Table13[[#This Row],[STATE]],"-",Table13[[#This Row],[Year]])</f>
        <v>Chhattisgarh-2007</v>
      </c>
      <c r="D1962" t="s">
        <v>75</v>
      </c>
      <c r="E1962" t="s">
        <v>76</v>
      </c>
      <c r="F1962">
        <v>25716</v>
      </c>
      <c r="G1962">
        <v>1330</v>
      </c>
      <c r="H1962">
        <v>261</v>
      </c>
      <c r="I1962">
        <v>0</v>
      </c>
      <c r="J1962">
        <v>18427</v>
      </c>
      <c r="K1962">
        <v>8</v>
      </c>
      <c r="L1962">
        <v>14</v>
      </c>
      <c r="M1962">
        <v>3889</v>
      </c>
      <c r="N1962">
        <v>16</v>
      </c>
      <c r="O1962">
        <v>492</v>
      </c>
      <c r="P1962">
        <v>1201</v>
      </c>
      <c r="Q1962">
        <v>78</v>
      </c>
      <c r="R1962">
        <f>SUM(Table13[[#This Row],[Rank_All_Ranks_Total]:[Rank_SSPSPAddlSPCommandant]])</f>
        <v>51432</v>
      </c>
    </row>
    <row r="1963" spans="1:18" x14ac:dyDescent="0.3">
      <c r="A1963" t="s">
        <v>62</v>
      </c>
      <c r="B1963">
        <v>2007</v>
      </c>
      <c r="C1963" t="str">
        <f>_xlfn.CONCAT(Table13[[#This Row],[STATE]],"-",Table13[[#This Row],[Year]])</f>
        <v>Dadra &amp; Nagar Haveli-2007</v>
      </c>
      <c r="D1963" t="s">
        <v>75</v>
      </c>
      <c r="E1963" t="s">
        <v>76</v>
      </c>
      <c r="F1963">
        <v>242</v>
      </c>
      <c r="G1963">
        <v>3</v>
      </c>
      <c r="H1963">
        <v>1</v>
      </c>
      <c r="I1963">
        <v>0</v>
      </c>
      <c r="J1963">
        <v>169</v>
      </c>
      <c r="K1963">
        <v>0</v>
      </c>
      <c r="L1963">
        <v>0</v>
      </c>
      <c r="M1963">
        <v>53</v>
      </c>
      <c r="N1963">
        <v>0</v>
      </c>
      <c r="O1963">
        <v>1</v>
      </c>
      <c r="P1963">
        <v>13</v>
      </c>
      <c r="Q1963">
        <v>2</v>
      </c>
      <c r="R1963">
        <f>SUM(Table13[[#This Row],[Rank_All_Ranks_Total]:[Rank_SSPSPAddlSPCommandant]])</f>
        <v>484</v>
      </c>
    </row>
    <row r="1964" spans="1:18" x14ac:dyDescent="0.3">
      <c r="A1964" t="s">
        <v>37</v>
      </c>
      <c r="B1964">
        <v>2007</v>
      </c>
      <c r="C1964" t="str">
        <f>_xlfn.CONCAT(Table13[[#This Row],[STATE]],"-",Table13[[#This Row],[Year]])</f>
        <v>Daman &amp; Diu-2007</v>
      </c>
      <c r="D1964" t="s">
        <v>75</v>
      </c>
      <c r="E1964" t="s">
        <v>76</v>
      </c>
      <c r="F1964">
        <v>245</v>
      </c>
      <c r="G1964">
        <v>9</v>
      </c>
      <c r="H1964">
        <v>2</v>
      </c>
      <c r="I1964">
        <v>0</v>
      </c>
      <c r="J1964">
        <v>178</v>
      </c>
      <c r="K1964">
        <v>0</v>
      </c>
      <c r="L1964">
        <v>1</v>
      </c>
      <c r="M1964">
        <v>40</v>
      </c>
      <c r="N1964">
        <v>0</v>
      </c>
      <c r="O1964">
        <v>3</v>
      </c>
      <c r="P1964">
        <v>10</v>
      </c>
      <c r="Q1964">
        <v>2</v>
      </c>
      <c r="R1964">
        <f>SUM(Table13[[#This Row],[Rank_All_Ranks_Total]:[Rank_SSPSPAddlSPCommandant]])</f>
        <v>490</v>
      </c>
    </row>
    <row r="1965" spans="1:18" x14ac:dyDescent="0.3">
      <c r="A1965" t="s">
        <v>38</v>
      </c>
      <c r="B1965">
        <v>2007</v>
      </c>
      <c r="C1965" t="str">
        <f>_xlfn.CONCAT(Table13[[#This Row],[STATE]],"-",Table13[[#This Row],[Year]])</f>
        <v>Delhi-2007</v>
      </c>
      <c r="D1965" t="s">
        <v>75</v>
      </c>
      <c r="E1965" t="s">
        <v>76</v>
      </c>
      <c r="F1965">
        <v>54852</v>
      </c>
      <c r="G1965">
        <v>6035</v>
      </c>
      <c r="H1965">
        <v>258</v>
      </c>
      <c r="I1965">
        <v>0</v>
      </c>
      <c r="J1965">
        <v>29099</v>
      </c>
      <c r="K1965">
        <v>4</v>
      </c>
      <c r="L1965">
        <v>9</v>
      </c>
      <c r="M1965">
        <v>14227</v>
      </c>
      <c r="N1965">
        <v>14</v>
      </c>
      <c r="O1965">
        <v>1041</v>
      </c>
      <c r="P1965">
        <v>4099</v>
      </c>
      <c r="Q1965">
        <v>66</v>
      </c>
      <c r="R1965">
        <f>SUM(Table13[[#This Row],[Rank_All_Ranks_Total]:[Rank_SSPSPAddlSPCommandant]])</f>
        <v>109704</v>
      </c>
    </row>
    <row r="1966" spans="1:18" x14ac:dyDescent="0.3">
      <c r="A1966" t="s">
        <v>11</v>
      </c>
      <c r="B1966">
        <v>2007</v>
      </c>
      <c r="C1966" t="str">
        <f>_xlfn.CONCAT(Table13[[#This Row],[STATE]],"-",Table13[[#This Row],[Year]])</f>
        <v>Goa-2007</v>
      </c>
      <c r="D1966" t="s">
        <v>75</v>
      </c>
      <c r="E1966" t="s">
        <v>76</v>
      </c>
      <c r="F1966">
        <v>4162</v>
      </c>
      <c r="G1966">
        <v>174</v>
      </c>
      <c r="H1966">
        <v>25</v>
      </c>
      <c r="I1966">
        <v>0</v>
      </c>
      <c r="J1966">
        <v>2954</v>
      </c>
      <c r="K1966">
        <v>1</v>
      </c>
      <c r="L1966">
        <v>1</v>
      </c>
      <c r="M1966">
        <v>766</v>
      </c>
      <c r="N1966">
        <v>1</v>
      </c>
      <c r="O1966">
        <v>59</v>
      </c>
      <c r="P1966">
        <v>172</v>
      </c>
      <c r="Q1966">
        <v>9</v>
      </c>
      <c r="R1966">
        <f>SUM(Table13[[#This Row],[Rank_All_Ranks_Total]:[Rank_SSPSPAddlSPCommandant]])</f>
        <v>8324</v>
      </c>
    </row>
    <row r="1967" spans="1:18" x14ac:dyDescent="0.3">
      <c r="A1967" t="s">
        <v>12</v>
      </c>
      <c r="B1967">
        <v>2007</v>
      </c>
      <c r="C1967" t="str">
        <f>_xlfn.CONCAT(Table13[[#This Row],[STATE]],"-",Table13[[#This Row],[Year]])</f>
        <v>Gujarat-2007</v>
      </c>
      <c r="D1967" t="s">
        <v>75</v>
      </c>
      <c r="E1967" t="s">
        <v>76</v>
      </c>
      <c r="F1967">
        <v>71653</v>
      </c>
      <c r="G1967">
        <v>7189</v>
      </c>
      <c r="H1967">
        <v>236</v>
      </c>
      <c r="I1967">
        <v>0</v>
      </c>
      <c r="J1967">
        <v>43615</v>
      </c>
      <c r="K1967">
        <v>20</v>
      </c>
      <c r="L1967">
        <v>17</v>
      </c>
      <c r="M1967">
        <v>16864</v>
      </c>
      <c r="N1967">
        <v>34</v>
      </c>
      <c r="O1967">
        <v>805</v>
      </c>
      <c r="P1967">
        <v>2802</v>
      </c>
      <c r="Q1967">
        <v>71</v>
      </c>
      <c r="R1967">
        <f>SUM(Table13[[#This Row],[Rank_All_Ranks_Total]:[Rank_SSPSPAddlSPCommandant]])</f>
        <v>143306</v>
      </c>
    </row>
    <row r="1968" spans="1:18" x14ac:dyDescent="0.3">
      <c r="A1968" t="s">
        <v>13</v>
      </c>
      <c r="B1968">
        <v>2007</v>
      </c>
      <c r="C1968" t="str">
        <f>_xlfn.CONCAT(Table13[[#This Row],[STATE]],"-",Table13[[#This Row],[Year]])</f>
        <v>Haryana-2007</v>
      </c>
      <c r="D1968" t="s">
        <v>75</v>
      </c>
      <c r="E1968" t="s">
        <v>76</v>
      </c>
      <c r="F1968">
        <v>39922</v>
      </c>
      <c r="G1968">
        <v>3496</v>
      </c>
      <c r="H1968">
        <v>128</v>
      </c>
      <c r="I1968">
        <v>0</v>
      </c>
      <c r="J1968">
        <v>28219</v>
      </c>
      <c r="K1968">
        <v>11</v>
      </c>
      <c r="L1968">
        <v>13</v>
      </c>
      <c r="M1968">
        <v>6232</v>
      </c>
      <c r="N1968">
        <v>16</v>
      </c>
      <c r="O1968">
        <v>551</v>
      </c>
      <c r="P1968">
        <v>1211</v>
      </c>
      <c r="Q1968">
        <v>45</v>
      </c>
      <c r="R1968">
        <f>SUM(Table13[[#This Row],[Rank_All_Ranks_Total]:[Rank_SSPSPAddlSPCommandant]])</f>
        <v>79844</v>
      </c>
    </row>
    <row r="1969" spans="1:18" x14ac:dyDescent="0.3">
      <c r="A1969" t="s">
        <v>14</v>
      </c>
      <c r="B1969">
        <v>2007</v>
      </c>
      <c r="C1969" t="str">
        <f>_xlfn.CONCAT(Table13[[#This Row],[STATE]],"-",Table13[[#This Row],[Year]])</f>
        <v>Himachal Pradesh-2007</v>
      </c>
      <c r="D1969" t="s">
        <v>75</v>
      </c>
      <c r="E1969" t="s">
        <v>76</v>
      </c>
      <c r="F1969">
        <v>10555</v>
      </c>
      <c r="G1969">
        <v>960</v>
      </c>
      <c r="H1969">
        <v>63</v>
      </c>
      <c r="I1969">
        <v>0</v>
      </c>
      <c r="J1969">
        <v>7095</v>
      </c>
      <c r="K1969">
        <v>10</v>
      </c>
      <c r="L1969">
        <v>17</v>
      </c>
      <c r="M1969">
        <v>1680</v>
      </c>
      <c r="N1969">
        <v>8</v>
      </c>
      <c r="O1969">
        <v>200</v>
      </c>
      <c r="P1969">
        <v>475</v>
      </c>
      <c r="Q1969">
        <v>47</v>
      </c>
      <c r="R1969">
        <f>SUM(Table13[[#This Row],[Rank_All_Ranks_Total]:[Rank_SSPSPAddlSPCommandant]])</f>
        <v>21110</v>
      </c>
    </row>
    <row r="1970" spans="1:18" x14ac:dyDescent="0.3">
      <c r="A1970" t="s">
        <v>15</v>
      </c>
      <c r="B1970">
        <v>2007</v>
      </c>
      <c r="C1970" t="str">
        <f>_xlfn.CONCAT(Table13[[#This Row],[STATE]],"-",Table13[[#This Row],[Year]])</f>
        <v>Jammu &amp; Kashmir-2007</v>
      </c>
      <c r="D1970" t="s">
        <v>75</v>
      </c>
      <c r="E1970" t="s">
        <v>76</v>
      </c>
      <c r="F1970">
        <v>43466</v>
      </c>
      <c r="G1970">
        <v>2761</v>
      </c>
      <c r="H1970">
        <v>251</v>
      </c>
      <c r="I1970">
        <v>29203</v>
      </c>
      <c r="J1970">
        <v>1384</v>
      </c>
      <c r="K1970">
        <v>6</v>
      </c>
      <c r="L1970">
        <v>17</v>
      </c>
      <c r="M1970">
        <v>7324</v>
      </c>
      <c r="N1970">
        <v>12</v>
      </c>
      <c r="O1970">
        <v>584</v>
      </c>
      <c r="P1970">
        <v>1818</v>
      </c>
      <c r="Q1970">
        <v>106</v>
      </c>
      <c r="R1970">
        <f>SUM(Table13[[#This Row],[Rank_All_Ranks_Total]:[Rank_SSPSPAddlSPCommandant]])</f>
        <v>86932</v>
      </c>
    </row>
    <row r="1971" spans="1:18" x14ac:dyDescent="0.3">
      <c r="A1971" t="s">
        <v>16</v>
      </c>
      <c r="B1971">
        <v>2007</v>
      </c>
      <c r="C1971" t="str">
        <f>_xlfn.CONCAT(Table13[[#This Row],[STATE]],"-",Table13[[#This Row],[Year]])</f>
        <v>Jharkhand-2007</v>
      </c>
      <c r="D1971" t="s">
        <v>75</v>
      </c>
      <c r="E1971" t="s">
        <v>76</v>
      </c>
      <c r="F1971">
        <v>38785</v>
      </c>
      <c r="G1971">
        <v>1652</v>
      </c>
      <c r="H1971">
        <v>282</v>
      </c>
      <c r="I1971">
        <v>0</v>
      </c>
      <c r="J1971">
        <v>27633</v>
      </c>
      <c r="K1971">
        <v>6</v>
      </c>
      <c r="L1971">
        <v>14</v>
      </c>
      <c r="M1971">
        <v>5803</v>
      </c>
      <c r="N1971">
        <v>10</v>
      </c>
      <c r="O1971">
        <v>529</v>
      </c>
      <c r="P1971">
        <v>2790</v>
      </c>
      <c r="Q1971">
        <v>66</v>
      </c>
      <c r="R1971">
        <f>SUM(Table13[[#This Row],[Rank_All_Ranks_Total]:[Rank_SSPSPAddlSPCommandant]])</f>
        <v>77570</v>
      </c>
    </row>
    <row r="1972" spans="1:18" x14ac:dyDescent="0.3">
      <c r="A1972" t="s">
        <v>17</v>
      </c>
      <c r="B1972">
        <v>2007</v>
      </c>
      <c r="C1972" t="str">
        <f>_xlfn.CONCAT(Table13[[#This Row],[STATE]],"-",Table13[[#This Row],[Year]])</f>
        <v>Karnataka-2007</v>
      </c>
      <c r="D1972" t="s">
        <v>75</v>
      </c>
      <c r="E1972" t="s">
        <v>76</v>
      </c>
      <c r="F1972">
        <v>59237</v>
      </c>
      <c r="G1972">
        <v>2908</v>
      </c>
      <c r="H1972">
        <v>188</v>
      </c>
      <c r="I1972">
        <v>0</v>
      </c>
      <c r="J1972">
        <v>40718</v>
      </c>
      <c r="K1972">
        <v>1</v>
      </c>
      <c r="L1972">
        <v>5</v>
      </c>
      <c r="M1972">
        <v>12419</v>
      </c>
      <c r="N1972">
        <v>8</v>
      </c>
      <c r="O1972">
        <v>708</v>
      </c>
      <c r="P1972">
        <v>2212</v>
      </c>
      <c r="Q1972">
        <v>70</v>
      </c>
      <c r="R1972">
        <f>SUM(Table13[[#This Row],[Rank_All_Ranks_Total]:[Rank_SSPSPAddlSPCommandant]])</f>
        <v>118474</v>
      </c>
    </row>
    <row r="1973" spans="1:18" x14ac:dyDescent="0.3">
      <c r="A1973" t="s">
        <v>18</v>
      </c>
      <c r="B1973">
        <v>2007</v>
      </c>
      <c r="C1973" t="str">
        <f>_xlfn.CONCAT(Table13[[#This Row],[STATE]],"-",Table13[[#This Row],[Year]])</f>
        <v>Kerala-2007</v>
      </c>
      <c r="D1973" t="s">
        <v>75</v>
      </c>
      <c r="E1973" t="s">
        <v>76</v>
      </c>
      <c r="F1973">
        <v>39337</v>
      </c>
      <c r="G1973">
        <v>1774</v>
      </c>
      <c r="H1973">
        <v>291</v>
      </c>
      <c r="I1973">
        <v>0</v>
      </c>
      <c r="J1973">
        <v>27022</v>
      </c>
      <c r="K1973">
        <v>8</v>
      </c>
      <c r="L1973">
        <v>6</v>
      </c>
      <c r="M1973">
        <v>7936</v>
      </c>
      <c r="N1973">
        <v>13</v>
      </c>
      <c r="O1973">
        <v>414</v>
      </c>
      <c r="P1973">
        <v>1815</v>
      </c>
      <c r="Q1973">
        <v>58</v>
      </c>
      <c r="R1973">
        <f>SUM(Table13[[#This Row],[Rank_All_Ranks_Total]:[Rank_SSPSPAddlSPCommandant]])</f>
        <v>78674</v>
      </c>
    </row>
    <row r="1974" spans="1:18" x14ac:dyDescent="0.3">
      <c r="A1974" t="s">
        <v>39</v>
      </c>
      <c r="B1974">
        <v>2007</v>
      </c>
      <c r="C1974" t="str">
        <f>_xlfn.CONCAT(Table13[[#This Row],[STATE]],"-",Table13[[#This Row],[Year]])</f>
        <v>Lakshadweep-2007</v>
      </c>
      <c r="D1974" t="s">
        <v>75</v>
      </c>
      <c r="E1974" t="s">
        <v>76</v>
      </c>
      <c r="F1974">
        <v>349</v>
      </c>
      <c r="G1974">
        <v>28</v>
      </c>
      <c r="H1974">
        <v>1</v>
      </c>
      <c r="I1974">
        <v>0</v>
      </c>
      <c r="J1974">
        <v>230</v>
      </c>
      <c r="K1974">
        <v>0</v>
      </c>
      <c r="L1974">
        <v>0</v>
      </c>
      <c r="M1974">
        <v>64</v>
      </c>
      <c r="N1974">
        <v>0</v>
      </c>
      <c r="O1974">
        <v>5</v>
      </c>
      <c r="P1974">
        <v>20</v>
      </c>
      <c r="Q1974">
        <v>1</v>
      </c>
      <c r="R1974">
        <f>SUM(Table13[[#This Row],[Rank_All_Ranks_Total]:[Rank_SSPSPAddlSPCommandant]])</f>
        <v>698</v>
      </c>
    </row>
    <row r="1975" spans="1:18" x14ac:dyDescent="0.3">
      <c r="A1975" t="s">
        <v>19</v>
      </c>
      <c r="B1975">
        <v>2007</v>
      </c>
      <c r="C1975" t="str">
        <f>_xlfn.CONCAT(Table13[[#This Row],[STATE]],"-",Table13[[#This Row],[Year]])</f>
        <v>Madhya Pradesh-2007</v>
      </c>
      <c r="D1975" t="s">
        <v>75</v>
      </c>
      <c r="E1975" t="s">
        <v>76</v>
      </c>
      <c r="F1975">
        <v>55627</v>
      </c>
      <c r="G1975">
        <v>3202</v>
      </c>
      <c r="H1975">
        <v>682</v>
      </c>
      <c r="I1975">
        <v>0</v>
      </c>
      <c r="J1975">
        <v>37284</v>
      </c>
      <c r="K1975">
        <v>10</v>
      </c>
      <c r="L1975">
        <v>30</v>
      </c>
      <c r="M1975">
        <v>10353</v>
      </c>
      <c r="N1975">
        <v>20</v>
      </c>
      <c r="O1975">
        <v>1126</v>
      </c>
      <c r="P1975">
        <v>2748</v>
      </c>
      <c r="Q1975">
        <v>172</v>
      </c>
      <c r="R1975">
        <f>SUM(Table13[[#This Row],[Rank_All_Ranks_Total]:[Rank_SSPSPAddlSPCommandant]])</f>
        <v>111254</v>
      </c>
    </row>
    <row r="1976" spans="1:18" x14ac:dyDescent="0.3">
      <c r="A1976" t="s">
        <v>20</v>
      </c>
      <c r="B1976">
        <v>2007</v>
      </c>
      <c r="C1976" t="str">
        <f>_xlfn.CONCAT(Table13[[#This Row],[STATE]],"-",Table13[[#This Row],[Year]])</f>
        <v>Maharashtra-2007</v>
      </c>
      <c r="D1976" t="s">
        <v>75</v>
      </c>
      <c r="E1976" t="s">
        <v>76</v>
      </c>
      <c r="F1976">
        <v>159773</v>
      </c>
      <c r="G1976">
        <v>14623</v>
      </c>
      <c r="H1976">
        <v>714</v>
      </c>
      <c r="I1976">
        <v>26240</v>
      </c>
      <c r="J1976">
        <v>70118</v>
      </c>
      <c r="K1976">
        <v>20</v>
      </c>
      <c r="L1976">
        <v>40</v>
      </c>
      <c r="M1976">
        <v>34225</v>
      </c>
      <c r="N1976">
        <v>20</v>
      </c>
      <c r="O1976">
        <v>2874</v>
      </c>
      <c r="P1976">
        <v>10673</v>
      </c>
      <c r="Q1976">
        <v>226</v>
      </c>
      <c r="R1976">
        <f>SUM(Table13[[#This Row],[Rank_All_Ranks_Total]:[Rank_SSPSPAddlSPCommandant]])</f>
        <v>319546</v>
      </c>
    </row>
    <row r="1977" spans="1:18" x14ac:dyDescent="0.3">
      <c r="A1977" t="s">
        <v>21</v>
      </c>
      <c r="B1977">
        <v>2007</v>
      </c>
      <c r="C1977" t="str">
        <f>_xlfn.CONCAT(Table13[[#This Row],[STATE]],"-",Table13[[#This Row],[Year]])</f>
        <v>Manipur-2007</v>
      </c>
      <c r="D1977" t="s">
        <v>75</v>
      </c>
      <c r="E1977" t="s">
        <v>76</v>
      </c>
      <c r="F1977">
        <v>7644</v>
      </c>
      <c r="G1977">
        <v>655</v>
      </c>
      <c r="H1977">
        <v>59</v>
      </c>
      <c r="I1977">
        <v>0</v>
      </c>
      <c r="J1977">
        <v>5435</v>
      </c>
      <c r="K1977">
        <v>2</v>
      </c>
      <c r="L1977">
        <v>5</v>
      </c>
      <c r="M1977">
        <v>717</v>
      </c>
      <c r="N1977">
        <v>7</v>
      </c>
      <c r="O1977">
        <v>171</v>
      </c>
      <c r="P1977">
        <v>558</v>
      </c>
      <c r="Q1977">
        <v>35</v>
      </c>
      <c r="R1977">
        <f>SUM(Table13[[#This Row],[Rank_All_Ranks_Total]:[Rank_SSPSPAddlSPCommandant]])</f>
        <v>15288</v>
      </c>
    </row>
    <row r="1978" spans="1:18" x14ac:dyDescent="0.3">
      <c r="A1978" t="s">
        <v>22</v>
      </c>
      <c r="B1978">
        <v>2007</v>
      </c>
      <c r="C1978" t="str">
        <f>_xlfn.CONCAT(Table13[[#This Row],[STATE]],"-",Table13[[#This Row],[Year]])</f>
        <v>Meghalaya-2007</v>
      </c>
      <c r="D1978" t="s">
        <v>75</v>
      </c>
      <c r="E1978" t="s">
        <v>76</v>
      </c>
      <c r="F1978">
        <v>6463</v>
      </c>
      <c r="G1978">
        <v>174</v>
      </c>
      <c r="H1978">
        <v>31</v>
      </c>
      <c r="I1978">
        <v>135</v>
      </c>
      <c r="J1978">
        <v>4753</v>
      </c>
      <c r="K1978">
        <v>6</v>
      </c>
      <c r="L1978">
        <v>6</v>
      </c>
      <c r="M1978">
        <v>530</v>
      </c>
      <c r="N1978">
        <v>6</v>
      </c>
      <c r="O1978">
        <v>121</v>
      </c>
      <c r="P1978">
        <v>680</v>
      </c>
      <c r="Q1978">
        <v>21</v>
      </c>
      <c r="R1978">
        <f>SUM(Table13[[#This Row],[Rank_All_Ranks_Total]:[Rank_SSPSPAddlSPCommandant]])</f>
        <v>12926</v>
      </c>
    </row>
    <row r="1979" spans="1:18" x14ac:dyDescent="0.3">
      <c r="A1979" t="s">
        <v>23</v>
      </c>
      <c r="B1979">
        <v>2007</v>
      </c>
      <c r="C1979" t="str">
        <f>_xlfn.CONCAT(Table13[[#This Row],[STATE]],"-",Table13[[#This Row],[Year]])</f>
        <v>Mizoram-2007</v>
      </c>
      <c r="D1979" t="s">
        <v>75</v>
      </c>
      <c r="E1979" t="s">
        <v>76</v>
      </c>
      <c r="F1979">
        <v>3993</v>
      </c>
      <c r="G1979">
        <v>483</v>
      </c>
      <c r="H1979">
        <v>76</v>
      </c>
      <c r="I1979">
        <v>6</v>
      </c>
      <c r="J1979">
        <v>2107</v>
      </c>
      <c r="K1979">
        <v>1</v>
      </c>
      <c r="L1979">
        <v>4</v>
      </c>
      <c r="M1979">
        <v>708</v>
      </c>
      <c r="N1979">
        <v>1</v>
      </c>
      <c r="O1979">
        <v>149</v>
      </c>
      <c r="P1979">
        <v>437</v>
      </c>
      <c r="Q1979">
        <v>21</v>
      </c>
      <c r="R1979">
        <f>SUM(Table13[[#This Row],[Rank_All_Ranks_Total]:[Rank_SSPSPAddlSPCommandant]])</f>
        <v>7986</v>
      </c>
    </row>
    <row r="1980" spans="1:18" x14ac:dyDescent="0.3">
      <c r="A1980" t="s">
        <v>24</v>
      </c>
      <c r="B1980">
        <v>2007</v>
      </c>
      <c r="C1980" t="str">
        <f>_xlfn.CONCAT(Table13[[#This Row],[STATE]],"-",Table13[[#This Row],[Year]])</f>
        <v>Nagaland-2007</v>
      </c>
      <c r="D1980" t="s">
        <v>75</v>
      </c>
      <c r="E1980" t="s">
        <v>76</v>
      </c>
      <c r="F1980">
        <v>5877</v>
      </c>
      <c r="G1980">
        <v>221</v>
      </c>
      <c r="H1980">
        <v>36</v>
      </c>
      <c r="I1980">
        <v>536</v>
      </c>
      <c r="J1980">
        <v>4306</v>
      </c>
      <c r="K1980">
        <v>4</v>
      </c>
      <c r="L1980">
        <v>11</v>
      </c>
      <c r="M1980">
        <v>430</v>
      </c>
      <c r="N1980">
        <v>7</v>
      </c>
      <c r="O1980">
        <v>55</v>
      </c>
      <c r="P1980">
        <v>229</v>
      </c>
      <c r="Q1980">
        <v>42</v>
      </c>
      <c r="R1980">
        <f>SUM(Table13[[#This Row],[Rank_All_Ranks_Total]:[Rank_SSPSPAddlSPCommandant]])</f>
        <v>11754</v>
      </c>
    </row>
    <row r="1981" spans="1:18" x14ac:dyDescent="0.3">
      <c r="A1981" t="s">
        <v>63</v>
      </c>
      <c r="B1981">
        <v>2007</v>
      </c>
      <c r="C1981" t="str">
        <f>_xlfn.CONCAT(Table13[[#This Row],[STATE]],"-",Table13[[#This Row],[Year]])</f>
        <v>Odisha-2007</v>
      </c>
      <c r="D1981" t="s">
        <v>75</v>
      </c>
      <c r="E1981" t="s">
        <v>76</v>
      </c>
      <c r="F1981">
        <v>31367</v>
      </c>
      <c r="G1981">
        <v>2833</v>
      </c>
      <c r="H1981">
        <v>179</v>
      </c>
      <c r="I1981">
        <v>324</v>
      </c>
      <c r="J1981">
        <v>21622</v>
      </c>
      <c r="K1981">
        <v>7</v>
      </c>
      <c r="L1981">
        <v>12</v>
      </c>
      <c r="M1981">
        <v>2760</v>
      </c>
      <c r="N1981">
        <v>14</v>
      </c>
      <c r="O1981">
        <v>725</v>
      </c>
      <c r="P1981">
        <v>2757</v>
      </c>
      <c r="Q1981">
        <v>134</v>
      </c>
      <c r="R1981">
        <f>SUM(Table13[[#This Row],[Rank_All_Ranks_Total]:[Rank_SSPSPAddlSPCommandant]])</f>
        <v>62734</v>
      </c>
    </row>
    <row r="1982" spans="1:18" x14ac:dyDescent="0.3">
      <c r="A1982" t="s">
        <v>64</v>
      </c>
      <c r="B1982">
        <v>2007</v>
      </c>
      <c r="C1982" t="str">
        <f>_xlfn.CONCAT(Table13[[#This Row],[STATE]],"-",Table13[[#This Row],[Year]])</f>
        <v>Puducherry-2007</v>
      </c>
      <c r="D1982" t="s">
        <v>75</v>
      </c>
      <c r="E1982" t="s">
        <v>76</v>
      </c>
      <c r="F1982">
        <v>1742</v>
      </c>
      <c r="G1982">
        <v>109</v>
      </c>
      <c r="H1982">
        <v>18</v>
      </c>
      <c r="I1982">
        <v>0</v>
      </c>
      <c r="J1982">
        <v>1087</v>
      </c>
      <c r="K1982">
        <v>1</v>
      </c>
      <c r="L1982">
        <v>1</v>
      </c>
      <c r="M1982">
        <v>343</v>
      </c>
      <c r="N1982">
        <v>0</v>
      </c>
      <c r="O1982">
        <v>50</v>
      </c>
      <c r="P1982">
        <v>130</v>
      </c>
      <c r="Q1982">
        <v>3</v>
      </c>
      <c r="R1982">
        <f>SUM(Table13[[#This Row],[Rank_All_Ranks_Total]:[Rank_SSPSPAddlSPCommandant]])</f>
        <v>3484</v>
      </c>
    </row>
    <row r="1983" spans="1:18" x14ac:dyDescent="0.3">
      <c r="A1983" t="s">
        <v>26</v>
      </c>
      <c r="B1983">
        <v>2007</v>
      </c>
      <c r="C1983" t="str">
        <f>_xlfn.CONCAT(Table13[[#This Row],[STATE]],"-",Table13[[#This Row],[Year]])</f>
        <v>Punjab-2007</v>
      </c>
      <c r="D1983" t="s">
        <v>75</v>
      </c>
      <c r="E1983" t="s">
        <v>76</v>
      </c>
      <c r="F1983">
        <v>52196</v>
      </c>
      <c r="G1983">
        <v>3914</v>
      </c>
      <c r="H1983">
        <v>272</v>
      </c>
      <c r="I1983">
        <v>0</v>
      </c>
      <c r="J1983">
        <v>37365</v>
      </c>
      <c r="K1983">
        <v>10</v>
      </c>
      <c r="L1983">
        <v>20</v>
      </c>
      <c r="M1983">
        <v>8263</v>
      </c>
      <c r="N1983">
        <v>14</v>
      </c>
      <c r="O1983">
        <v>612</v>
      </c>
      <c r="P1983">
        <v>1604</v>
      </c>
      <c r="Q1983">
        <v>122</v>
      </c>
      <c r="R1983">
        <f>SUM(Table13[[#This Row],[Rank_All_Ranks_Total]:[Rank_SSPSPAddlSPCommandant]])</f>
        <v>104392</v>
      </c>
    </row>
    <row r="1984" spans="1:18" x14ac:dyDescent="0.3">
      <c r="A1984" t="s">
        <v>27</v>
      </c>
      <c r="B1984">
        <v>2007</v>
      </c>
      <c r="C1984" t="str">
        <f>_xlfn.CONCAT(Table13[[#This Row],[STATE]],"-",Table13[[#This Row],[Year]])</f>
        <v>Rajasthan-2007</v>
      </c>
      <c r="D1984" t="s">
        <v>75</v>
      </c>
      <c r="E1984" t="s">
        <v>76</v>
      </c>
      <c r="F1984">
        <v>60653</v>
      </c>
      <c r="G1984">
        <v>5362</v>
      </c>
      <c r="H1984">
        <v>580</v>
      </c>
      <c r="I1984">
        <v>0</v>
      </c>
      <c r="J1984">
        <v>43426</v>
      </c>
      <c r="K1984">
        <v>16</v>
      </c>
      <c r="L1984">
        <v>22</v>
      </c>
      <c r="M1984">
        <v>7005</v>
      </c>
      <c r="N1984">
        <v>32</v>
      </c>
      <c r="O1984">
        <v>863</v>
      </c>
      <c r="P1984">
        <v>3215</v>
      </c>
      <c r="Q1984">
        <v>132</v>
      </c>
      <c r="R1984">
        <f>SUM(Table13[[#This Row],[Rank_All_Ranks_Total]:[Rank_SSPSPAddlSPCommandant]])</f>
        <v>121306</v>
      </c>
    </row>
    <row r="1985" spans="1:18" x14ac:dyDescent="0.3">
      <c r="A1985" t="s">
        <v>28</v>
      </c>
      <c r="B1985">
        <v>2007</v>
      </c>
      <c r="C1985" t="str">
        <f>_xlfn.CONCAT(Table13[[#This Row],[STATE]],"-",Table13[[#This Row],[Year]])</f>
        <v>Sikkim-2007</v>
      </c>
      <c r="D1985" t="s">
        <v>75</v>
      </c>
      <c r="E1985" t="s">
        <v>76</v>
      </c>
      <c r="F1985">
        <v>2081</v>
      </c>
      <c r="G1985">
        <v>132</v>
      </c>
      <c r="H1985">
        <v>44</v>
      </c>
      <c r="I1985">
        <v>71</v>
      </c>
      <c r="J1985">
        <v>1216</v>
      </c>
      <c r="K1985">
        <v>2</v>
      </c>
      <c r="L1985">
        <v>6</v>
      </c>
      <c r="M1985">
        <v>352</v>
      </c>
      <c r="N1985">
        <v>2</v>
      </c>
      <c r="O1985">
        <v>52</v>
      </c>
      <c r="P1985">
        <v>164</v>
      </c>
      <c r="Q1985">
        <v>40</v>
      </c>
      <c r="R1985">
        <f>SUM(Table13[[#This Row],[Rank_All_Ranks_Total]:[Rank_SSPSPAddlSPCommandant]])</f>
        <v>4162</v>
      </c>
    </row>
    <row r="1986" spans="1:18" x14ac:dyDescent="0.3">
      <c r="A1986" t="s">
        <v>42</v>
      </c>
      <c r="B1986">
        <v>2007</v>
      </c>
      <c r="C1986" t="str">
        <f>_xlfn.CONCAT(Table13[[#This Row],[STATE]],"-",Table13[[#This Row],[Year]])</f>
        <v>Tamil Nadu-2007</v>
      </c>
      <c r="D1986" t="s">
        <v>75</v>
      </c>
      <c r="E1986" t="s">
        <v>76</v>
      </c>
      <c r="F1986">
        <v>87006</v>
      </c>
      <c r="G1986">
        <v>0</v>
      </c>
      <c r="H1986">
        <v>671</v>
      </c>
      <c r="I1986">
        <v>10684</v>
      </c>
      <c r="J1986">
        <v>55545</v>
      </c>
      <c r="K1986">
        <v>26</v>
      </c>
      <c r="L1986">
        <v>34</v>
      </c>
      <c r="M1986">
        <v>9799</v>
      </c>
      <c r="N1986">
        <v>33</v>
      </c>
      <c r="O1986">
        <v>2389</v>
      </c>
      <c r="P1986">
        <v>7598</v>
      </c>
      <c r="Q1986">
        <v>227</v>
      </c>
      <c r="R1986">
        <f>SUM(Table13[[#This Row],[Rank_All_Ranks_Total]:[Rank_SSPSPAddlSPCommandant]])</f>
        <v>174012</v>
      </c>
    </row>
    <row r="1987" spans="1:18" x14ac:dyDescent="0.3">
      <c r="A1987" t="s">
        <v>30</v>
      </c>
      <c r="B1987">
        <v>2007</v>
      </c>
      <c r="C1987" t="str">
        <f>_xlfn.CONCAT(Table13[[#This Row],[STATE]],"-",Table13[[#This Row],[Year]])</f>
        <v>Tripura-2007</v>
      </c>
      <c r="D1987" t="s">
        <v>75</v>
      </c>
      <c r="E1987" t="s">
        <v>76</v>
      </c>
      <c r="F1987">
        <v>11163</v>
      </c>
      <c r="G1987">
        <v>552</v>
      </c>
      <c r="H1987">
        <v>156</v>
      </c>
      <c r="I1987">
        <v>283</v>
      </c>
      <c r="J1987">
        <v>8329</v>
      </c>
      <c r="K1987">
        <v>3</v>
      </c>
      <c r="L1987">
        <v>10</v>
      </c>
      <c r="M1987">
        <v>894</v>
      </c>
      <c r="N1987">
        <v>7</v>
      </c>
      <c r="O1987">
        <v>174</v>
      </c>
      <c r="P1987">
        <v>712</v>
      </c>
      <c r="Q1987">
        <v>43</v>
      </c>
      <c r="R1987">
        <f>SUM(Table13[[#This Row],[Rank_All_Ranks_Total]:[Rank_SSPSPAddlSPCommandant]])</f>
        <v>22326</v>
      </c>
    </row>
    <row r="1988" spans="1:18" x14ac:dyDescent="0.3">
      <c r="A1988" t="s">
        <v>31</v>
      </c>
      <c r="B1988">
        <v>2007</v>
      </c>
      <c r="C1988" t="str">
        <f>_xlfn.CONCAT(Table13[[#This Row],[STATE]],"-",Table13[[#This Row],[Year]])</f>
        <v>Uttar Pradesh-2007</v>
      </c>
      <c r="D1988" t="s">
        <v>75</v>
      </c>
      <c r="E1988" t="s">
        <v>76</v>
      </c>
      <c r="F1988">
        <v>133641</v>
      </c>
      <c r="G1988">
        <v>0</v>
      </c>
      <c r="H1988">
        <v>932</v>
      </c>
      <c r="I1988">
        <v>0</v>
      </c>
      <c r="J1988">
        <v>98282</v>
      </c>
      <c r="K1988">
        <v>46</v>
      </c>
      <c r="L1988">
        <v>59</v>
      </c>
      <c r="M1988">
        <v>20377</v>
      </c>
      <c r="N1988">
        <v>58</v>
      </c>
      <c r="O1988">
        <v>1317</v>
      </c>
      <c r="P1988">
        <v>12196</v>
      </c>
      <c r="Q1988">
        <v>374</v>
      </c>
      <c r="R1988">
        <f>SUM(Table13[[#This Row],[Rank_All_Ranks_Total]:[Rank_SSPSPAddlSPCommandant]])</f>
        <v>267282</v>
      </c>
    </row>
    <row r="1989" spans="1:18" x14ac:dyDescent="0.3">
      <c r="A1989" t="s">
        <v>65</v>
      </c>
      <c r="B1989">
        <v>2007</v>
      </c>
      <c r="C1989" t="str">
        <f>_xlfn.CONCAT(Table13[[#This Row],[STATE]],"-",Table13[[#This Row],[Year]])</f>
        <v>Uttarakhand-2007</v>
      </c>
      <c r="D1989" t="s">
        <v>75</v>
      </c>
      <c r="E1989" t="s">
        <v>76</v>
      </c>
      <c r="F1989">
        <v>13984</v>
      </c>
      <c r="G1989">
        <v>0</v>
      </c>
      <c r="H1989">
        <v>109</v>
      </c>
      <c r="I1989">
        <v>0</v>
      </c>
      <c r="J1989">
        <v>11190</v>
      </c>
      <c r="K1989">
        <v>3</v>
      </c>
      <c r="L1989">
        <v>8</v>
      </c>
      <c r="M1989">
        <v>1726</v>
      </c>
      <c r="N1989">
        <v>5</v>
      </c>
      <c r="O1989">
        <v>142</v>
      </c>
      <c r="P1989">
        <v>788</v>
      </c>
      <c r="Q1989">
        <v>13</v>
      </c>
      <c r="R1989">
        <f>SUM(Table13[[#This Row],[Rank_All_Ranks_Total]:[Rank_SSPSPAddlSPCommandant]])</f>
        <v>27968</v>
      </c>
    </row>
    <row r="1990" spans="1:18" x14ac:dyDescent="0.3">
      <c r="A1990" t="s">
        <v>33</v>
      </c>
      <c r="B1990">
        <v>2007</v>
      </c>
      <c r="C1990" t="str">
        <f>_xlfn.CONCAT(Table13[[#This Row],[STATE]],"-",Table13[[#This Row],[Year]])</f>
        <v>West Bengal-2007</v>
      </c>
      <c r="D1990" t="s">
        <v>75</v>
      </c>
      <c r="E1990" t="s">
        <v>76</v>
      </c>
      <c r="F1990">
        <v>70328</v>
      </c>
      <c r="G1990">
        <v>11690</v>
      </c>
      <c r="H1990">
        <v>353</v>
      </c>
      <c r="I1990">
        <v>2160</v>
      </c>
      <c r="J1990">
        <v>47471</v>
      </c>
      <c r="K1990">
        <v>22</v>
      </c>
      <c r="L1990">
        <v>39</v>
      </c>
      <c r="M1990">
        <v>11</v>
      </c>
      <c r="N1990">
        <v>42</v>
      </c>
      <c r="O1990">
        <v>1145</v>
      </c>
      <c r="P1990">
        <v>7295</v>
      </c>
      <c r="Q1990">
        <v>100</v>
      </c>
      <c r="R1990">
        <f>SUM(Table13[[#This Row],[Rank_All_Ranks_Total]:[Rank_SSPSPAddlSPCommandant]])</f>
        <v>140656</v>
      </c>
    </row>
    <row r="1991" spans="1:18" x14ac:dyDescent="0.3">
      <c r="A1991" t="s">
        <v>59</v>
      </c>
      <c r="B1991">
        <v>2008</v>
      </c>
      <c r="C1991" t="str">
        <f>_xlfn.CONCAT(Table13[[#This Row],[STATE]],"-",Table13[[#This Row],[Year]])</f>
        <v>Andaman &amp; Nicobar Islands-2008</v>
      </c>
      <c r="D1991" t="s">
        <v>75</v>
      </c>
      <c r="E1991" t="s">
        <v>76</v>
      </c>
      <c r="F1991">
        <v>2286</v>
      </c>
      <c r="G1991">
        <v>228</v>
      </c>
      <c r="H1991">
        <v>10</v>
      </c>
      <c r="I1991">
        <v>0</v>
      </c>
      <c r="J1991">
        <v>1500</v>
      </c>
      <c r="K1991">
        <v>1</v>
      </c>
      <c r="L1991">
        <v>1</v>
      </c>
      <c r="M1991">
        <v>374</v>
      </c>
      <c r="N1991">
        <v>0</v>
      </c>
      <c r="O1991">
        <v>33</v>
      </c>
      <c r="P1991">
        <v>137</v>
      </c>
      <c r="Q1991">
        <v>2</v>
      </c>
      <c r="R1991">
        <f>SUM(Table13[[#This Row],[Rank_All_Ranks_Total]:[Rank_SSPSPAddlSPCommandant]])</f>
        <v>4572</v>
      </c>
    </row>
    <row r="1992" spans="1:18" x14ac:dyDescent="0.3">
      <c r="A1992" t="s">
        <v>6</v>
      </c>
      <c r="B1992">
        <v>2008</v>
      </c>
      <c r="C1992" t="str">
        <f>_xlfn.CONCAT(Table13[[#This Row],[STATE]],"-",Table13[[#This Row],[Year]])</f>
        <v>Andhra Pradesh-2008</v>
      </c>
      <c r="D1992" t="s">
        <v>75</v>
      </c>
      <c r="E1992" t="s">
        <v>76</v>
      </c>
      <c r="F1992">
        <v>75435</v>
      </c>
      <c r="G1992">
        <v>2711</v>
      </c>
      <c r="H1992">
        <v>369</v>
      </c>
      <c r="I1992">
        <v>0</v>
      </c>
      <c r="J1992">
        <v>55133</v>
      </c>
      <c r="K1992">
        <v>19</v>
      </c>
      <c r="L1992">
        <v>26</v>
      </c>
      <c r="M1992">
        <v>11414</v>
      </c>
      <c r="N1992">
        <v>24</v>
      </c>
      <c r="O1992">
        <v>1310</v>
      </c>
      <c r="P1992">
        <v>4233</v>
      </c>
      <c r="Q1992">
        <v>196</v>
      </c>
      <c r="R1992">
        <f>SUM(Table13[[#This Row],[Rank_All_Ranks_Total]:[Rank_SSPSPAddlSPCommandant]])</f>
        <v>150870</v>
      </c>
    </row>
    <row r="1993" spans="1:18" x14ac:dyDescent="0.3">
      <c r="A1993" t="s">
        <v>7</v>
      </c>
      <c r="B1993">
        <v>2008</v>
      </c>
      <c r="C1993" t="str">
        <f>_xlfn.CONCAT(Table13[[#This Row],[STATE]],"-",Table13[[#This Row],[Year]])</f>
        <v>Arunachal Pradesh-2008</v>
      </c>
      <c r="D1993" t="s">
        <v>75</v>
      </c>
      <c r="E1993" t="s">
        <v>76</v>
      </c>
      <c r="F1993">
        <v>3504</v>
      </c>
      <c r="G1993">
        <v>176</v>
      </c>
      <c r="H1993">
        <v>46</v>
      </c>
      <c r="I1993">
        <v>0</v>
      </c>
      <c r="J1993">
        <v>2441</v>
      </c>
      <c r="K1993">
        <v>1</v>
      </c>
      <c r="L1993">
        <v>4</v>
      </c>
      <c r="M1993">
        <v>416</v>
      </c>
      <c r="N1993">
        <v>1</v>
      </c>
      <c r="O1993">
        <v>71</v>
      </c>
      <c r="P1993">
        <v>323</v>
      </c>
      <c r="Q1993">
        <v>25</v>
      </c>
      <c r="R1993">
        <f>SUM(Table13[[#This Row],[Rank_All_Ranks_Total]:[Rank_SSPSPAddlSPCommandant]])</f>
        <v>7008</v>
      </c>
    </row>
    <row r="1994" spans="1:18" x14ac:dyDescent="0.3">
      <c r="A1994" t="s">
        <v>8</v>
      </c>
      <c r="B1994">
        <v>2008</v>
      </c>
      <c r="C1994" t="str">
        <f>_xlfn.CONCAT(Table13[[#This Row],[STATE]],"-",Table13[[#This Row],[Year]])</f>
        <v>Assam-2008</v>
      </c>
      <c r="D1994" t="s">
        <v>75</v>
      </c>
      <c r="E1994" t="s">
        <v>76</v>
      </c>
      <c r="F1994">
        <v>30040</v>
      </c>
      <c r="G1994">
        <v>1789</v>
      </c>
      <c r="H1994">
        <v>161</v>
      </c>
      <c r="I1994">
        <v>901</v>
      </c>
      <c r="J1994">
        <v>21969</v>
      </c>
      <c r="K1994">
        <v>11</v>
      </c>
      <c r="L1994">
        <v>16</v>
      </c>
      <c r="M1994">
        <v>1826</v>
      </c>
      <c r="N1994">
        <v>14</v>
      </c>
      <c r="O1994">
        <v>487</v>
      </c>
      <c r="P1994">
        <v>2732</v>
      </c>
      <c r="Q1994">
        <v>134</v>
      </c>
      <c r="R1994">
        <f>SUM(Table13[[#This Row],[Rank_All_Ranks_Total]:[Rank_SSPSPAddlSPCommandant]])</f>
        <v>60080</v>
      </c>
    </row>
    <row r="1995" spans="1:18" x14ac:dyDescent="0.3">
      <c r="A1995" t="s">
        <v>9</v>
      </c>
      <c r="B1995">
        <v>2008</v>
      </c>
      <c r="C1995" t="str">
        <f>_xlfn.CONCAT(Table13[[#This Row],[STATE]],"-",Table13[[#This Row],[Year]])</f>
        <v>Bihar-2008</v>
      </c>
      <c r="D1995" t="s">
        <v>75</v>
      </c>
      <c r="E1995" t="s">
        <v>76</v>
      </c>
      <c r="F1995">
        <v>67085</v>
      </c>
      <c r="G1995">
        <v>4771</v>
      </c>
      <c r="H1995">
        <v>372</v>
      </c>
      <c r="I1995">
        <v>0</v>
      </c>
      <c r="J1995">
        <v>43635</v>
      </c>
      <c r="K1995">
        <v>7</v>
      </c>
      <c r="L1995">
        <v>25</v>
      </c>
      <c r="M1995">
        <v>8758</v>
      </c>
      <c r="N1995">
        <v>16</v>
      </c>
      <c r="O1995">
        <v>725</v>
      </c>
      <c r="P1995">
        <v>8700</v>
      </c>
      <c r="Q1995">
        <v>76</v>
      </c>
      <c r="R1995">
        <f>SUM(Table13[[#This Row],[Rank_All_Ranks_Total]:[Rank_SSPSPAddlSPCommandant]])</f>
        <v>134170</v>
      </c>
    </row>
    <row r="1996" spans="1:18" x14ac:dyDescent="0.3">
      <c r="A1996" t="s">
        <v>35</v>
      </c>
      <c r="B1996">
        <v>2008</v>
      </c>
      <c r="C1996" t="str">
        <f>_xlfn.CONCAT(Table13[[#This Row],[STATE]],"-",Table13[[#This Row],[Year]])</f>
        <v>Chandigarh-2008</v>
      </c>
      <c r="D1996" t="s">
        <v>75</v>
      </c>
      <c r="E1996" t="s">
        <v>76</v>
      </c>
      <c r="F1996">
        <v>3790</v>
      </c>
      <c r="G1996">
        <v>189</v>
      </c>
      <c r="H1996">
        <v>11</v>
      </c>
      <c r="I1996">
        <v>0</v>
      </c>
      <c r="J1996">
        <v>2517</v>
      </c>
      <c r="K1996">
        <v>0</v>
      </c>
      <c r="L1996">
        <v>0</v>
      </c>
      <c r="M1996">
        <v>784</v>
      </c>
      <c r="N1996">
        <v>1</v>
      </c>
      <c r="O1996">
        <v>46</v>
      </c>
      <c r="P1996">
        <v>238</v>
      </c>
      <c r="Q1996">
        <v>4</v>
      </c>
      <c r="R1996">
        <f>SUM(Table13[[#This Row],[Rank_All_Ranks_Total]:[Rank_SSPSPAddlSPCommandant]])</f>
        <v>7580</v>
      </c>
    </row>
    <row r="1997" spans="1:18" x14ac:dyDescent="0.3">
      <c r="A1997" t="s">
        <v>10</v>
      </c>
      <c r="B1997">
        <v>2008</v>
      </c>
      <c r="C1997" t="str">
        <f>_xlfn.CONCAT(Table13[[#This Row],[STATE]],"-",Table13[[#This Row],[Year]])</f>
        <v>Chhattisgarh-2008</v>
      </c>
      <c r="D1997" t="s">
        <v>75</v>
      </c>
      <c r="E1997" t="s">
        <v>76</v>
      </c>
      <c r="F1997">
        <v>25716</v>
      </c>
      <c r="G1997">
        <v>1330</v>
      </c>
      <c r="H1997">
        <v>261</v>
      </c>
      <c r="I1997">
        <v>0</v>
      </c>
      <c r="J1997">
        <v>18427</v>
      </c>
      <c r="K1997">
        <v>8</v>
      </c>
      <c r="L1997">
        <v>14</v>
      </c>
      <c r="M1997">
        <v>3889</v>
      </c>
      <c r="N1997">
        <v>16</v>
      </c>
      <c r="O1997">
        <v>492</v>
      </c>
      <c r="P1997">
        <v>1201</v>
      </c>
      <c r="Q1997">
        <v>78</v>
      </c>
      <c r="R1997">
        <f>SUM(Table13[[#This Row],[Rank_All_Ranks_Total]:[Rank_SSPSPAddlSPCommandant]])</f>
        <v>51432</v>
      </c>
    </row>
    <row r="1998" spans="1:18" x14ac:dyDescent="0.3">
      <c r="A1998" t="s">
        <v>62</v>
      </c>
      <c r="B1998">
        <v>2008</v>
      </c>
      <c r="C1998" t="str">
        <f>_xlfn.CONCAT(Table13[[#This Row],[STATE]],"-",Table13[[#This Row],[Year]])</f>
        <v>Dadra &amp; Nagar Haveli-2008</v>
      </c>
      <c r="D1998" t="s">
        <v>75</v>
      </c>
      <c r="E1998" t="s">
        <v>76</v>
      </c>
      <c r="F1998">
        <v>242</v>
      </c>
      <c r="G1998">
        <v>3</v>
      </c>
      <c r="H1998">
        <v>1</v>
      </c>
      <c r="I1998">
        <v>0</v>
      </c>
      <c r="J1998">
        <v>169</v>
      </c>
      <c r="K1998">
        <v>0</v>
      </c>
      <c r="L1998">
        <v>0</v>
      </c>
      <c r="M1998">
        <v>53</v>
      </c>
      <c r="N1998">
        <v>0</v>
      </c>
      <c r="O1998">
        <v>1</v>
      </c>
      <c r="P1998">
        <v>13</v>
      </c>
      <c r="Q1998">
        <v>2</v>
      </c>
      <c r="R1998">
        <f>SUM(Table13[[#This Row],[Rank_All_Ranks_Total]:[Rank_SSPSPAddlSPCommandant]])</f>
        <v>484</v>
      </c>
    </row>
    <row r="1999" spans="1:18" x14ac:dyDescent="0.3">
      <c r="A1999" t="s">
        <v>37</v>
      </c>
      <c r="B1999">
        <v>2008</v>
      </c>
      <c r="C1999" t="str">
        <f>_xlfn.CONCAT(Table13[[#This Row],[STATE]],"-",Table13[[#This Row],[Year]])</f>
        <v>Daman &amp; Diu-2008</v>
      </c>
      <c r="D1999" t="s">
        <v>75</v>
      </c>
      <c r="E1999" t="s">
        <v>76</v>
      </c>
      <c r="F1999">
        <v>245</v>
      </c>
      <c r="G1999">
        <v>9</v>
      </c>
      <c r="H1999">
        <v>2</v>
      </c>
      <c r="I1999">
        <v>0</v>
      </c>
      <c r="J1999">
        <v>178</v>
      </c>
      <c r="K1999">
        <v>0</v>
      </c>
      <c r="L1999">
        <v>1</v>
      </c>
      <c r="M1999">
        <v>40</v>
      </c>
      <c r="N1999">
        <v>0</v>
      </c>
      <c r="O1999">
        <v>3</v>
      </c>
      <c r="P1999">
        <v>10</v>
      </c>
      <c r="Q1999">
        <v>2</v>
      </c>
      <c r="R1999">
        <f>SUM(Table13[[#This Row],[Rank_All_Ranks_Total]:[Rank_SSPSPAddlSPCommandant]])</f>
        <v>490</v>
      </c>
    </row>
    <row r="2000" spans="1:18" x14ac:dyDescent="0.3">
      <c r="A2000" t="s">
        <v>38</v>
      </c>
      <c r="B2000">
        <v>2008</v>
      </c>
      <c r="C2000" t="str">
        <f>_xlfn.CONCAT(Table13[[#This Row],[STATE]],"-",Table13[[#This Row],[Year]])</f>
        <v>Delhi-2008</v>
      </c>
      <c r="D2000" t="s">
        <v>75</v>
      </c>
      <c r="E2000" t="s">
        <v>76</v>
      </c>
      <c r="F2000">
        <v>61684</v>
      </c>
      <c r="G2000">
        <v>6351</v>
      </c>
      <c r="H2000">
        <v>281</v>
      </c>
      <c r="I2000">
        <v>0</v>
      </c>
      <c r="J2000">
        <v>32864</v>
      </c>
      <c r="K2000">
        <v>4</v>
      </c>
      <c r="L2000">
        <v>9</v>
      </c>
      <c r="M2000">
        <v>16593</v>
      </c>
      <c r="N2000">
        <v>14</v>
      </c>
      <c r="O2000">
        <v>1126</v>
      </c>
      <c r="P2000">
        <v>4369</v>
      </c>
      <c r="Q2000">
        <v>73</v>
      </c>
      <c r="R2000">
        <f>SUM(Table13[[#This Row],[Rank_All_Ranks_Total]:[Rank_SSPSPAddlSPCommandant]])</f>
        <v>123368</v>
      </c>
    </row>
    <row r="2001" spans="1:18" x14ac:dyDescent="0.3">
      <c r="A2001" t="s">
        <v>11</v>
      </c>
      <c r="B2001">
        <v>2008</v>
      </c>
      <c r="C2001" t="str">
        <f>_xlfn.CONCAT(Table13[[#This Row],[STATE]],"-",Table13[[#This Row],[Year]])</f>
        <v>Goa-2008</v>
      </c>
      <c r="D2001" t="s">
        <v>75</v>
      </c>
      <c r="E2001" t="s">
        <v>76</v>
      </c>
      <c r="F2001">
        <v>4163</v>
      </c>
      <c r="G2001">
        <v>174</v>
      </c>
      <c r="H2001">
        <v>25</v>
      </c>
      <c r="I2001">
        <v>0</v>
      </c>
      <c r="J2001">
        <v>2954</v>
      </c>
      <c r="K2001">
        <v>1</v>
      </c>
      <c r="L2001">
        <v>1</v>
      </c>
      <c r="M2001">
        <v>766</v>
      </c>
      <c r="N2001">
        <v>1</v>
      </c>
      <c r="O2001">
        <v>59</v>
      </c>
      <c r="P2001">
        <v>172</v>
      </c>
      <c r="Q2001">
        <v>10</v>
      </c>
      <c r="R2001">
        <f>SUM(Table13[[#This Row],[Rank_All_Ranks_Total]:[Rank_SSPSPAddlSPCommandant]])</f>
        <v>8326</v>
      </c>
    </row>
    <row r="2002" spans="1:18" x14ac:dyDescent="0.3">
      <c r="A2002" t="s">
        <v>12</v>
      </c>
      <c r="B2002">
        <v>2008</v>
      </c>
      <c r="C2002" t="str">
        <f>_xlfn.CONCAT(Table13[[#This Row],[STATE]],"-",Table13[[#This Row],[Year]])</f>
        <v>Gujarat-2008</v>
      </c>
      <c r="D2002" t="s">
        <v>75</v>
      </c>
      <c r="E2002" t="s">
        <v>76</v>
      </c>
      <c r="F2002">
        <v>59207</v>
      </c>
      <c r="G2002">
        <v>7403</v>
      </c>
      <c r="H2002">
        <v>219</v>
      </c>
      <c r="I2002">
        <v>0</v>
      </c>
      <c r="J2002">
        <v>38089</v>
      </c>
      <c r="K2002">
        <v>20</v>
      </c>
      <c r="L2002">
        <v>18</v>
      </c>
      <c r="M2002">
        <v>10021</v>
      </c>
      <c r="N2002">
        <v>35</v>
      </c>
      <c r="O2002">
        <v>760</v>
      </c>
      <c r="P2002">
        <v>2558</v>
      </c>
      <c r="Q2002">
        <v>84</v>
      </c>
      <c r="R2002">
        <f>SUM(Table13[[#This Row],[Rank_All_Ranks_Total]:[Rank_SSPSPAddlSPCommandant]])</f>
        <v>118414</v>
      </c>
    </row>
    <row r="2003" spans="1:18" x14ac:dyDescent="0.3">
      <c r="A2003" t="s">
        <v>13</v>
      </c>
      <c r="B2003">
        <v>2008</v>
      </c>
      <c r="C2003" t="str">
        <f>_xlfn.CONCAT(Table13[[#This Row],[STATE]],"-",Table13[[#This Row],[Year]])</f>
        <v>Haryana-2008</v>
      </c>
      <c r="D2003" t="s">
        <v>75</v>
      </c>
      <c r="E2003" t="s">
        <v>76</v>
      </c>
      <c r="F2003">
        <v>47295</v>
      </c>
      <c r="G2003">
        <v>4121</v>
      </c>
      <c r="H2003">
        <v>149</v>
      </c>
      <c r="I2003">
        <v>0</v>
      </c>
      <c r="J2003">
        <v>33219</v>
      </c>
      <c r="K2003">
        <v>10</v>
      </c>
      <c r="L2003">
        <v>11</v>
      </c>
      <c r="M2003">
        <v>7482</v>
      </c>
      <c r="N2003">
        <v>16</v>
      </c>
      <c r="O2003">
        <v>667</v>
      </c>
      <c r="P2003">
        <v>1567</v>
      </c>
      <c r="Q2003">
        <v>53</v>
      </c>
      <c r="R2003">
        <f>SUM(Table13[[#This Row],[Rank_All_Ranks_Total]:[Rank_SSPSPAddlSPCommandant]])</f>
        <v>94590</v>
      </c>
    </row>
    <row r="2004" spans="1:18" x14ac:dyDescent="0.3">
      <c r="A2004" t="s">
        <v>14</v>
      </c>
      <c r="B2004">
        <v>2008</v>
      </c>
      <c r="C2004" t="str">
        <f>_xlfn.CONCAT(Table13[[#This Row],[STATE]],"-",Table13[[#This Row],[Year]])</f>
        <v>Himachal Pradesh-2008</v>
      </c>
      <c r="D2004" t="s">
        <v>75</v>
      </c>
      <c r="E2004" t="s">
        <v>76</v>
      </c>
      <c r="F2004">
        <v>10755</v>
      </c>
      <c r="G2004">
        <v>985</v>
      </c>
      <c r="H2004">
        <v>127</v>
      </c>
      <c r="I2004">
        <v>0</v>
      </c>
      <c r="J2004">
        <v>7164</v>
      </c>
      <c r="K2004">
        <v>4</v>
      </c>
      <c r="L2004">
        <v>8</v>
      </c>
      <c r="M2004">
        <v>1718</v>
      </c>
      <c r="N2004">
        <v>4</v>
      </c>
      <c r="O2004">
        <v>209</v>
      </c>
      <c r="P2004">
        <v>497</v>
      </c>
      <c r="Q2004">
        <v>39</v>
      </c>
      <c r="R2004">
        <f>SUM(Table13[[#This Row],[Rank_All_Ranks_Total]:[Rank_SSPSPAddlSPCommandant]])</f>
        <v>21510</v>
      </c>
    </row>
    <row r="2005" spans="1:18" x14ac:dyDescent="0.3">
      <c r="A2005" t="s">
        <v>15</v>
      </c>
      <c r="B2005">
        <v>2008</v>
      </c>
      <c r="C2005" t="str">
        <f>_xlfn.CONCAT(Table13[[#This Row],[STATE]],"-",Table13[[#This Row],[Year]])</f>
        <v>Jammu &amp; Kashmir-2008</v>
      </c>
      <c r="D2005" t="s">
        <v>75</v>
      </c>
      <c r="E2005" t="s">
        <v>76</v>
      </c>
      <c r="F2005">
        <v>48501</v>
      </c>
      <c r="G2005">
        <v>3106</v>
      </c>
      <c r="H2005">
        <v>317</v>
      </c>
      <c r="I2005">
        <v>32780</v>
      </c>
      <c r="J2005">
        <v>1611</v>
      </c>
      <c r="K2005">
        <v>6</v>
      </c>
      <c r="L2005">
        <v>17</v>
      </c>
      <c r="M2005">
        <v>7763</v>
      </c>
      <c r="N2005">
        <v>12</v>
      </c>
      <c r="O2005">
        <v>679</v>
      </c>
      <c r="P2005">
        <v>2098</v>
      </c>
      <c r="Q2005">
        <v>112</v>
      </c>
      <c r="R2005">
        <f>SUM(Table13[[#This Row],[Rank_All_Ranks_Total]:[Rank_SSPSPAddlSPCommandant]])</f>
        <v>97002</v>
      </c>
    </row>
    <row r="2006" spans="1:18" x14ac:dyDescent="0.3">
      <c r="A2006" t="s">
        <v>16</v>
      </c>
      <c r="B2006">
        <v>2008</v>
      </c>
      <c r="C2006" t="str">
        <f>_xlfn.CONCAT(Table13[[#This Row],[STATE]],"-",Table13[[#This Row],[Year]])</f>
        <v>Jharkhand-2008</v>
      </c>
      <c r="D2006" t="s">
        <v>75</v>
      </c>
      <c r="E2006" t="s">
        <v>76</v>
      </c>
      <c r="F2006">
        <v>53982</v>
      </c>
      <c r="G2006">
        <v>1776</v>
      </c>
      <c r="H2006">
        <v>282</v>
      </c>
      <c r="I2006">
        <v>0</v>
      </c>
      <c r="J2006">
        <v>39061</v>
      </c>
      <c r="K2006">
        <v>5</v>
      </c>
      <c r="L2006">
        <v>14</v>
      </c>
      <c r="M2006">
        <v>8567</v>
      </c>
      <c r="N2006">
        <v>10</v>
      </c>
      <c r="O2006">
        <v>669</v>
      </c>
      <c r="P2006">
        <v>3568</v>
      </c>
      <c r="Q2006">
        <v>30</v>
      </c>
      <c r="R2006">
        <f>SUM(Table13[[#This Row],[Rank_All_Ranks_Total]:[Rank_SSPSPAddlSPCommandant]])</f>
        <v>107964</v>
      </c>
    </row>
    <row r="2007" spans="1:18" x14ac:dyDescent="0.3">
      <c r="A2007" t="s">
        <v>17</v>
      </c>
      <c r="B2007">
        <v>2008</v>
      </c>
      <c r="C2007" t="str">
        <f>_xlfn.CONCAT(Table13[[#This Row],[STATE]],"-",Table13[[#This Row],[Year]])</f>
        <v>Karnataka-2008</v>
      </c>
      <c r="D2007" t="s">
        <v>75</v>
      </c>
      <c r="E2007" t="s">
        <v>76</v>
      </c>
      <c r="F2007">
        <v>75034</v>
      </c>
      <c r="G2007">
        <v>3481</v>
      </c>
      <c r="H2007">
        <v>389</v>
      </c>
      <c r="I2007">
        <v>0</v>
      </c>
      <c r="J2007">
        <v>50885</v>
      </c>
      <c r="K2007">
        <v>17</v>
      </c>
      <c r="L2007">
        <v>33</v>
      </c>
      <c r="M2007">
        <v>15967</v>
      </c>
      <c r="N2007">
        <v>36</v>
      </c>
      <c r="O2007">
        <v>1050</v>
      </c>
      <c r="P2007">
        <v>3004</v>
      </c>
      <c r="Q2007">
        <v>172</v>
      </c>
      <c r="R2007">
        <f>SUM(Table13[[#This Row],[Rank_All_Ranks_Total]:[Rank_SSPSPAddlSPCommandant]])</f>
        <v>150068</v>
      </c>
    </row>
    <row r="2008" spans="1:18" x14ac:dyDescent="0.3">
      <c r="A2008" t="s">
        <v>18</v>
      </c>
      <c r="B2008">
        <v>2008</v>
      </c>
      <c r="C2008" t="str">
        <f>_xlfn.CONCAT(Table13[[#This Row],[STATE]],"-",Table13[[#This Row],[Year]])</f>
        <v>Kerala-2008</v>
      </c>
      <c r="D2008" t="s">
        <v>75</v>
      </c>
      <c r="E2008" t="s">
        <v>76</v>
      </c>
      <c r="F2008">
        <v>39380</v>
      </c>
      <c r="G2008">
        <v>1490</v>
      </c>
      <c r="H2008">
        <v>291</v>
      </c>
      <c r="I2008">
        <v>0</v>
      </c>
      <c r="J2008">
        <v>27934</v>
      </c>
      <c r="K2008">
        <v>7</v>
      </c>
      <c r="L2008">
        <v>13</v>
      </c>
      <c r="M2008">
        <v>7328</v>
      </c>
      <c r="N2008">
        <v>13</v>
      </c>
      <c r="O2008">
        <v>416</v>
      </c>
      <c r="P2008">
        <v>1832</v>
      </c>
      <c r="Q2008">
        <v>56</v>
      </c>
      <c r="R2008">
        <f>SUM(Table13[[#This Row],[Rank_All_Ranks_Total]:[Rank_SSPSPAddlSPCommandant]])</f>
        <v>78760</v>
      </c>
    </row>
    <row r="2009" spans="1:18" x14ac:dyDescent="0.3">
      <c r="A2009" t="s">
        <v>39</v>
      </c>
      <c r="B2009">
        <v>2008</v>
      </c>
      <c r="C2009" t="str">
        <f>_xlfn.CONCAT(Table13[[#This Row],[STATE]],"-",Table13[[#This Row],[Year]])</f>
        <v>Lakshadweep-2008</v>
      </c>
      <c r="D2009" t="s">
        <v>75</v>
      </c>
      <c r="E2009" t="s">
        <v>76</v>
      </c>
      <c r="F2009">
        <v>556</v>
      </c>
      <c r="G2009">
        <v>43</v>
      </c>
      <c r="H2009">
        <v>1</v>
      </c>
      <c r="I2009">
        <v>0</v>
      </c>
      <c r="J2009">
        <v>332</v>
      </c>
      <c r="K2009">
        <v>0</v>
      </c>
      <c r="L2009">
        <v>0</v>
      </c>
      <c r="M2009">
        <v>137</v>
      </c>
      <c r="N2009">
        <v>0</v>
      </c>
      <c r="O2009">
        <v>10</v>
      </c>
      <c r="P2009">
        <v>32</v>
      </c>
      <c r="Q2009">
        <v>1</v>
      </c>
      <c r="R2009">
        <f>SUM(Table13[[#This Row],[Rank_All_Ranks_Total]:[Rank_SSPSPAddlSPCommandant]])</f>
        <v>1112</v>
      </c>
    </row>
    <row r="2010" spans="1:18" x14ac:dyDescent="0.3">
      <c r="A2010" t="s">
        <v>19</v>
      </c>
      <c r="B2010">
        <v>2008</v>
      </c>
      <c r="C2010" t="str">
        <f>_xlfn.CONCAT(Table13[[#This Row],[STATE]],"-",Table13[[#This Row],[Year]])</f>
        <v>Madhya Pradesh-2008</v>
      </c>
      <c r="D2010" t="s">
        <v>75</v>
      </c>
      <c r="E2010" t="s">
        <v>76</v>
      </c>
      <c r="F2010">
        <v>55493</v>
      </c>
      <c r="G2010">
        <v>3202</v>
      </c>
      <c r="H2010">
        <v>580</v>
      </c>
      <c r="I2010">
        <v>0</v>
      </c>
      <c r="J2010">
        <v>37282</v>
      </c>
      <c r="K2010">
        <v>9</v>
      </c>
      <c r="L2010">
        <v>22</v>
      </c>
      <c r="M2010">
        <v>10356</v>
      </c>
      <c r="N2010">
        <v>19</v>
      </c>
      <c r="O2010">
        <v>1126</v>
      </c>
      <c r="P2010">
        <v>2747</v>
      </c>
      <c r="Q2010">
        <v>150</v>
      </c>
      <c r="R2010">
        <f>SUM(Table13[[#This Row],[Rank_All_Ranks_Total]:[Rank_SSPSPAddlSPCommandant]])</f>
        <v>110986</v>
      </c>
    </row>
    <row r="2011" spans="1:18" x14ac:dyDescent="0.3">
      <c r="A2011" t="s">
        <v>20</v>
      </c>
      <c r="B2011">
        <v>2008</v>
      </c>
      <c r="C2011" t="str">
        <f>_xlfn.CONCAT(Table13[[#This Row],[STATE]],"-",Table13[[#This Row],[Year]])</f>
        <v>Maharashtra-2008</v>
      </c>
      <c r="D2011" t="s">
        <v>75</v>
      </c>
      <c r="E2011" t="s">
        <v>76</v>
      </c>
      <c r="F2011">
        <v>166243</v>
      </c>
      <c r="G2011">
        <v>14957</v>
      </c>
      <c r="H2011">
        <v>721</v>
      </c>
      <c r="I2011">
        <v>32316</v>
      </c>
      <c r="J2011">
        <v>69945</v>
      </c>
      <c r="K2011">
        <v>21</v>
      </c>
      <c r="L2011">
        <v>42</v>
      </c>
      <c r="M2011">
        <v>34207</v>
      </c>
      <c r="N2011">
        <v>22</v>
      </c>
      <c r="O2011">
        <v>2105</v>
      </c>
      <c r="P2011">
        <v>11669</v>
      </c>
      <c r="Q2011">
        <v>238</v>
      </c>
      <c r="R2011">
        <f>SUM(Table13[[#This Row],[Rank_All_Ranks_Total]:[Rank_SSPSPAddlSPCommandant]])</f>
        <v>332486</v>
      </c>
    </row>
    <row r="2012" spans="1:18" x14ac:dyDescent="0.3">
      <c r="A2012" t="s">
        <v>21</v>
      </c>
      <c r="B2012">
        <v>2008</v>
      </c>
      <c r="C2012" t="str">
        <f>_xlfn.CONCAT(Table13[[#This Row],[STATE]],"-",Table13[[#This Row],[Year]])</f>
        <v>Manipur-2008</v>
      </c>
      <c r="D2012" t="s">
        <v>75</v>
      </c>
      <c r="E2012" t="s">
        <v>76</v>
      </c>
      <c r="F2012">
        <v>10752</v>
      </c>
      <c r="G2012">
        <v>878</v>
      </c>
      <c r="H2012">
        <v>66</v>
      </c>
      <c r="I2012">
        <v>0</v>
      </c>
      <c r="J2012">
        <v>7779</v>
      </c>
      <c r="K2012">
        <v>2</v>
      </c>
      <c r="L2012">
        <v>5</v>
      </c>
      <c r="M2012">
        <v>1018</v>
      </c>
      <c r="N2012">
        <v>7</v>
      </c>
      <c r="O2012">
        <v>197</v>
      </c>
      <c r="P2012">
        <v>761</v>
      </c>
      <c r="Q2012">
        <v>39</v>
      </c>
      <c r="R2012">
        <f>SUM(Table13[[#This Row],[Rank_All_Ranks_Total]:[Rank_SSPSPAddlSPCommandant]])</f>
        <v>21504</v>
      </c>
    </row>
    <row r="2013" spans="1:18" x14ac:dyDescent="0.3">
      <c r="A2013" t="s">
        <v>22</v>
      </c>
      <c r="B2013">
        <v>2008</v>
      </c>
      <c r="C2013" t="str">
        <f>_xlfn.CONCAT(Table13[[#This Row],[STATE]],"-",Table13[[#This Row],[Year]])</f>
        <v>Meghalaya-2008</v>
      </c>
      <c r="D2013" t="s">
        <v>75</v>
      </c>
      <c r="E2013" t="s">
        <v>76</v>
      </c>
      <c r="F2013">
        <v>6470</v>
      </c>
      <c r="G2013">
        <v>166</v>
      </c>
      <c r="H2013">
        <v>40</v>
      </c>
      <c r="I2013">
        <v>148</v>
      </c>
      <c r="J2013">
        <v>4741</v>
      </c>
      <c r="K2013">
        <v>6</v>
      </c>
      <c r="L2013">
        <v>6</v>
      </c>
      <c r="M2013">
        <v>530</v>
      </c>
      <c r="N2013">
        <v>6</v>
      </c>
      <c r="O2013">
        <v>127</v>
      </c>
      <c r="P2013">
        <v>680</v>
      </c>
      <c r="Q2013">
        <v>20</v>
      </c>
      <c r="R2013">
        <f>SUM(Table13[[#This Row],[Rank_All_Ranks_Total]:[Rank_SSPSPAddlSPCommandant]])</f>
        <v>12940</v>
      </c>
    </row>
    <row r="2014" spans="1:18" x14ac:dyDescent="0.3">
      <c r="A2014" t="s">
        <v>23</v>
      </c>
      <c r="B2014">
        <v>2008</v>
      </c>
      <c r="C2014" t="str">
        <f>_xlfn.CONCAT(Table13[[#This Row],[STATE]],"-",Table13[[#This Row],[Year]])</f>
        <v>Mizoram-2008</v>
      </c>
      <c r="D2014" t="s">
        <v>75</v>
      </c>
      <c r="E2014" t="s">
        <v>76</v>
      </c>
      <c r="F2014">
        <v>3601</v>
      </c>
      <c r="G2014">
        <v>483</v>
      </c>
      <c r="H2014">
        <v>43</v>
      </c>
      <c r="I2014">
        <v>273</v>
      </c>
      <c r="J2014">
        <v>1405</v>
      </c>
      <c r="K2014">
        <v>1</v>
      </c>
      <c r="L2014">
        <v>6</v>
      </c>
      <c r="M2014">
        <v>732</v>
      </c>
      <c r="N2014">
        <v>1</v>
      </c>
      <c r="O2014">
        <v>146</v>
      </c>
      <c r="P2014">
        <v>474</v>
      </c>
      <c r="Q2014">
        <v>37</v>
      </c>
      <c r="R2014">
        <f>SUM(Table13[[#This Row],[Rank_All_Ranks_Total]:[Rank_SSPSPAddlSPCommandant]])</f>
        <v>7202</v>
      </c>
    </row>
    <row r="2015" spans="1:18" x14ac:dyDescent="0.3">
      <c r="A2015" t="s">
        <v>24</v>
      </c>
      <c r="B2015">
        <v>2008</v>
      </c>
      <c r="C2015" t="str">
        <f>_xlfn.CONCAT(Table13[[#This Row],[STATE]],"-",Table13[[#This Row],[Year]])</f>
        <v>Nagaland-2008</v>
      </c>
      <c r="D2015" t="s">
        <v>75</v>
      </c>
      <c r="E2015" t="s">
        <v>76</v>
      </c>
      <c r="F2015">
        <v>6013</v>
      </c>
      <c r="G2015">
        <v>229</v>
      </c>
      <c r="H2015">
        <v>36</v>
      </c>
      <c r="I2015">
        <v>548</v>
      </c>
      <c r="J2015">
        <v>4403</v>
      </c>
      <c r="K2015">
        <v>4</v>
      </c>
      <c r="L2015">
        <v>11</v>
      </c>
      <c r="M2015">
        <v>443</v>
      </c>
      <c r="N2015">
        <v>7</v>
      </c>
      <c r="O2015">
        <v>54</v>
      </c>
      <c r="P2015">
        <v>236</v>
      </c>
      <c r="Q2015">
        <v>42</v>
      </c>
      <c r="R2015">
        <f>SUM(Table13[[#This Row],[Rank_All_Ranks_Total]:[Rank_SSPSPAddlSPCommandant]])</f>
        <v>12026</v>
      </c>
    </row>
    <row r="2016" spans="1:18" x14ac:dyDescent="0.3">
      <c r="A2016" t="s">
        <v>63</v>
      </c>
      <c r="B2016">
        <v>2008</v>
      </c>
      <c r="C2016" t="str">
        <f>_xlfn.CONCAT(Table13[[#This Row],[STATE]],"-",Table13[[#This Row],[Year]])</f>
        <v>Odisha-2008</v>
      </c>
      <c r="D2016" t="s">
        <v>75</v>
      </c>
      <c r="E2016" t="s">
        <v>76</v>
      </c>
      <c r="F2016">
        <v>32901</v>
      </c>
      <c r="G2016">
        <v>4510</v>
      </c>
      <c r="H2016">
        <v>374</v>
      </c>
      <c r="I2016">
        <v>327</v>
      </c>
      <c r="J2016">
        <v>20995</v>
      </c>
      <c r="K2016">
        <v>9</v>
      </c>
      <c r="L2016">
        <v>21</v>
      </c>
      <c r="M2016">
        <v>2931</v>
      </c>
      <c r="N2016">
        <v>15</v>
      </c>
      <c r="O2016">
        <v>923</v>
      </c>
      <c r="P2016">
        <v>2658</v>
      </c>
      <c r="Q2016">
        <v>138</v>
      </c>
      <c r="R2016">
        <f>SUM(Table13[[#This Row],[Rank_All_Ranks_Total]:[Rank_SSPSPAddlSPCommandant]])</f>
        <v>65802</v>
      </c>
    </row>
    <row r="2017" spans="1:18" x14ac:dyDescent="0.3">
      <c r="A2017" t="s">
        <v>64</v>
      </c>
      <c r="B2017">
        <v>2008</v>
      </c>
      <c r="C2017" t="str">
        <f>_xlfn.CONCAT(Table13[[#This Row],[STATE]],"-",Table13[[#This Row],[Year]])</f>
        <v>Puducherry-2008</v>
      </c>
      <c r="D2017" t="s">
        <v>75</v>
      </c>
      <c r="E2017" t="s">
        <v>76</v>
      </c>
      <c r="F2017">
        <v>1742</v>
      </c>
      <c r="G2017">
        <v>109</v>
      </c>
      <c r="H2017">
        <v>18</v>
      </c>
      <c r="I2017">
        <v>0</v>
      </c>
      <c r="J2017">
        <v>1087</v>
      </c>
      <c r="K2017">
        <v>1</v>
      </c>
      <c r="L2017">
        <v>1</v>
      </c>
      <c r="M2017">
        <v>343</v>
      </c>
      <c r="N2017">
        <v>0</v>
      </c>
      <c r="O2017">
        <v>50</v>
      </c>
      <c r="P2017">
        <v>130</v>
      </c>
      <c r="Q2017">
        <v>3</v>
      </c>
      <c r="R2017">
        <f>SUM(Table13[[#This Row],[Rank_All_Ranks_Total]:[Rank_SSPSPAddlSPCommandant]])</f>
        <v>3484</v>
      </c>
    </row>
    <row r="2018" spans="1:18" x14ac:dyDescent="0.3">
      <c r="A2018" t="s">
        <v>26</v>
      </c>
      <c r="B2018">
        <v>2008</v>
      </c>
      <c r="C2018" t="str">
        <f>_xlfn.CONCAT(Table13[[#This Row],[STATE]],"-",Table13[[#This Row],[Year]])</f>
        <v>Punjab-2008</v>
      </c>
      <c r="D2018" t="s">
        <v>75</v>
      </c>
      <c r="E2018" t="s">
        <v>76</v>
      </c>
      <c r="F2018">
        <v>52205</v>
      </c>
      <c r="G2018">
        <v>3914</v>
      </c>
      <c r="H2018">
        <v>277</v>
      </c>
      <c r="I2018">
        <v>0</v>
      </c>
      <c r="J2018">
        <v>37365</v>
      </c>
      <c r="K2018">
        <v>11</v>
      </c>
      <c r="L2018">
        <v>20</v>
      </c>
      <c r="M2018">
        <v>8263</v>
      </c>
      <c r="N2018">
        <v>14</v>
      </c>
      <c r="O2018">
        <v>612</v>
      </c>
      <c r="P2018">
        <v>1604</v>
      </c>
      <c r="Q2018">
        <v>125</v>
      </c>
      <c r="R2018">
        <f>SUM(Table13[[#This Row],[Rank_All_Ranks_Total]:[Rank_SSPSPAddlSPCommandant]])</f>
        <v>104410</v>
      </c>
    </row>
    <row r="2019" spans="1:18" x14ac:dyDescent="0.3">
      <c r="A2019" t="s">
        <v>27</v>
      </c>
      <c r="B2019">
        <v>2008</v>
      </c>
      <c r="C2019" t="str">
        <f>_xlfn.CONCAT(Table13[[#This Row],[STATE]],"-",Table13[[#This Row],[Year]])</f>
        <v>Rajasthan-2008</v>
      </c>
      <c r="D2019" t="s">
        <v>75</v>
      </c>
      <c r="E2019" t="s">
        <v>76</v>
      </c>
      <c r="F2019">
        <v>65704</v>
      </c>
      <c r="G2019">
        <v>5312</v>
      </c>
      <c r="H2019">
        <v>586</v>
      </c>
      <c r="I2019">
        <v>0</v>
      </c>
      <c r="J2019">
        <v>48246</v>
      </c>
      <c r="K2019">
        <v>16</v>
      </c>
      <c r="L2019">
        <v>22</v>
      </c>
      <c r="M2019">
        <v>7123</v>
      </c>
      <c r="N2019">
        <v>25</v>
      </c>
      <c r="O2019">
        <v>881</v>
      </c>
      <c r="P2019">
        <v>3361</v>
      </c>
      <c r="Q2019">
        <v>132</v>
      </c>
      <c r="R2019">
        <f>SUM(Table13[[#This Row],[Rank_All_Ranks_Total]:[Rank_SSPSPAddlSPCommandant]])</f>
        <v>131408</v>
      </c>
    </row>
    <row r="2020" spans="1:18" x14ac:dyDescent="0.3">
      <c r="A2020" t="s">
        <v>28</v>
      </c>
      <c r="B2020">
        <v>2008</v>
      </c>
      <c r="C2020" t="str">
        <f>_xlfn.CONCAT(Table13[[#This Row],[STATE]],"-",Table13[[#This Row],[Year]])</f>
        <v>Sikkim-2008</v>
      </c>
      <c r="D2020" t="s">
        <v>75</v>
      </c>
      <c r="E2020" t="s">
        <v>76</v>
      </c>
      <c r="F2020">
        <v>2170</v>
      </c>
      <c r="G2020">
        <v>135</v>
      </c>
      <c r="H2020">
        <v>50</v>
      </c>
      <c r="I2020">
        <v>0</v>
      </c>
      <c r="J2020">
        <v>1372</v>
      </c>
      <c r="K2020">
        <v>2</v>
      </c>
      <c r="L2020">
        <v>6</v>
      </c>
      <c r="M2020">
        <v>353</v>
      </c>
      <c r="N2020">
        <v>3</v>
      </c>
      <c r="O2020">
        <v>55</v>
      </c>
      <c r="P2020">
        <v>168</v>
      </c>
      <c r="Q2020">
        <v>26</v>
      </c>
      <c r="R2020">
        <f>SUM(Table13[[#This Row],[Rank_All_Ranks_Total]:[Rank_SSPSPAddlSPCommandant]])</f>
        <v>4340</v>
      </c>
    </row>
    <row r="2021" spans="1:18" x14ac:dyDescent="0.3">
      <c r="A2021" t="s">
        <v>42</v>
      </c>
      <c r="B2021">
        <v>2008</v>
      </c>
      <c r="C2021" t="str">
        <f>_xlfn.CONCAT(Table13[[#This Row],[STATE]],"-",Table13[[#This Row],[Year]])</f>
        <v>Tamil Nadu-2008</v>
      </c>
      <c r="D2021" t="s">
        <v>75</v>
      </c>
      <c r="E2021" t="s">
        <v>76</v>
      </c>
      <c r="F2021">
        <v>87671</v>
      </c>
      <c r="G2021">
        <v>0</v>
      </c>
      <c r="H2021">
        <v>685</v>
      </c>
      <c r="I2021">
        <v>3279</v>
      </c>
      <c r="J2021">
        <v>63479</v>
      </c>
      <c r="K2021">
        <v>24</v>
      </c>
      <c r="L2021">
        <v>27</v>
      </c>
      <c r="M2021">
        <v>9824</v>
      </c>
      <c r="N2021">
        <v>41</v>
      </c>
      <c r="O2021">
        <v>2434</v>
      </c>
      <c r="P2021">
        <v>7662</v>
      </c>
      <c r="Q2021">
        <v>216</v>
      </c>
      <c r="R2021">
        <f>SUM(Table13[[#This Row],[Rank_All_Ranks_Total]:[Rank_SSPSPAddlSPCommandant]])</f>
        <v>175342</v>
      </c>
    </row>
    <row r="2022" spans="1:18" x14ac:dyDescent="0.3">
      <c r="A2022" t="s">
        <v>30</v>
      </c>
      <c r="B2022">
        <v>2008</v>
      </c>
      <c r="C2022" t="str">
        <f>_xlfn.CONCAT(Table13[[#This Row],[STATE]],"-",Table13[[#This Row],[Year]])</f>
        <v>Tripura-2008</v>
      </c>
      <c r="D2022" t="s">
        <v>75</v>
      </c>
      <c r="E2022" t="s">
        <v>76</v>
      </c>
      <c r="F2022">
        <v>11486</v>
      </c>
      <c r="G2022">
        <v>566</v>
      </c>
      <c r="H2022">
        <v>156</v>
      </c>
      <c r="I2022">
        <v>283</v>
      </c>
      <c r="J2022">
        <v>8601</v>
      </c>
      <c r="K2022">
        <v>3</v>
      </c>
      <c r="L2022">
        <v>10</v>
      </c>
      <c r="M2022">
        <v>919</v>
      </c>
      <c r="N2022">
        <v>7</v>
      </c>
      <c r="O2022">
        <v>174</v>
      </c>
      <c r="P2022">
        <v>722</v>
      </c>
      <c r="Q2022">
        <v>45</v>
      </c>
      <c r="R2022">
        <f>SUM(Table13[[#This Row],[Rank_All_Ranks_Total]:[Rank_SSPSPAddlSPCommandant]])</f>
        <v>22972</v>
      </c>
    </row>
    <row r="2023" spans="1:18" x14ac:dyDescent="0.3">
      <c r="A2023" t="s">
        <v>31</v>
      </c>
      <c r="B2023">
        <v>2008</v>
      </c>
      <c r="C2023" t="str">
        <f>_xlfn.CONCAT(Table13[[#This Row],[STATE]],"-",Table13[[#This Row],[Year]])</f>
        <v>Uttar Pradesh-2008</v>
      </c>
      <c r="D2023" t="s">
        <v>75</v>
      </c>
      <c r="E2023" t="s">
        <v>76</v>
      </c>
      <c r="F2023">
        <v>131601</v>
      </c>
      <c r="G2023">
        <v>0</v>
      </c>
      <c r="H2023">
        <v>803</v>
      </c>
      <c r="I2023">
        <v>0</v>
      </c>
      <c r="J2023">
        <v>98670</v>
      </c>
      <c r="K2023">
        <v>45</v>
      </c>
      <c r="L2023">
        <v>51</v>
      </c>
      <c r="M2023">
        <v>17970</v>
      </c>
      <c r="N2023">
        <v>53</v>
      </c>
      <c r="O2023">
        <v>1317</v>
      </c>
      <c r="P2023">
        <v>12362</v>
      </c>
      <c r="Q2023">
        <v>330</v>
      </c>
      <c r="R2023">
        <f>SUM(Table13[[#This Row],[Rank_All_Ranks_Total]:[Rank_SSPSPAddlSPCommandant]])</f>
        <v>263202</v>
      </c>
    </row>
    <row r="2024" spans="1:18" x14ac:dyDescent="0.3">
      <c r="A2024" t="s">
        <v>65</v>
      </c>
      <c r="B2024">
        <v>2008</v>
      </c>
      <c r="C2024" t="str">
        <f>_xlfn.CONCAT(Table13[[#This Row],[STATE]],"-",Table13[[#This Row],[Year]])</f>
        <v>Uttarakhand-2008</v>
      </c>
      <c r="D2024" t="s">
        <v>75</v>
      </c>
      <c r="E2024" t="s">
        <v>76</v>
      </c>
      <c r="F2024">
        <v>14032</v>
      </c>
      <c r="G2024">
        <v>0</v>
      </c>
      <c r="H2024">
        <v>81</v>
      </c>
      <c r="I2024">
        <v>0</v>
      </c>
      <c r="J2024">
        <v>11209</v>
      </c>
      <c r="K2024">
        <v>3</v>
      </c>
      <c r="L2024">
        <v>8</v>
      </c>
      <c r="M2024">
        <v>1700</v>
      </c>
      <c r="N2024">
        <v>5</v>
      </c>
      <c r="O2024">
        <v>177</v>
      </c>
      <c r="P2024">
        <v>802</v>
      </c>
      <c r="Q2024">
        <v>47</v>
      </c>
      <c r="R2024">
        <f>SUM(Table13[[#This Row],[Rank_All_Ranks_Total]:[Rank_SSPSPAddlSPCommandant]])</f>
        <v>28064</v>
      </c>
    </row>
    <row r="2025" spans="1:18" x14ac:dyDescent="0.3">
      <c r="A2025" t="s">
        <v>33</v>
      </c>
      <c r="B2025">
        <v>2008</v>
      </c>
      <c r="C2025" t="str">
        <f>_xlfn.CONCAT(Table13[[#This Row],[STATE]],"-",Table13[[#This Row],[Year]])</f>
        <v>West Bengal-2008</v>
      </c>
      <c r="D2025" t="s">
        <v>75</v>
      </c>
      <c r="E2025" t="s">
        <v>76</v>
      </c>
      <c r="F2025">
        <v>72202</v>
      </c>
      <c r="G2025">
        <v>12490</v>
      </c>
      <c r="H2025">
        <v>343</v>
      </c>
      <c r="I2025">
        <v>0</v>
      </c>
      <c r="J2025">
        <v>50606</v>
      </c>
      <c r="K2025">
        <v>12</v>
      </c>
      <c r="L2025">
        <v>34</v>
      </c>
      <c r="M2025">
        <v>11</v>
      </c>
      <c r="N2025">
        <v>31</v>
      </c>
      <c r="O2025">
        <v>1157</v>
      </c>
      <c r="P2025">
        <v>7435</v>
      </c>
      <c r="Q2025">
        <v>83</v>
      </c>
      <c r="R2025">
        <f>SUM(Table13[[#This Row],[Rank_All_Ranks_Total]:[Rank_SSPSPAddlSPCommandant]])</f>
        <v>144404</v>
      </c>
    </row>
    <row r="2026" spans="1:18" x14ac:dyDescent="0.3">
      <c r="A2026" t="s">
        <v>59</v>
      </c>
      <c r="B2026">
        <v>2009</v>
      </c>
      <c r="C2026" t="str">
        <f>_xlfn.CONCAT(Table13[[#This Row],[STATE]],"-",Table13[[#This Row],[Year]])</f>
        <v>Andaman &amp; Nicobar Islands-2009</v>
      </c>
      <c r="D2026" t="s">
        <v>75</v>
      </c>
      <c r="E2026" t="s">
        <v>76</v>
      </c>
      <c r="F2026">
        <v>3124</v>
      </c>
      <c r="G2026">
        <v>240</v>
      </c>
      <c r="H2026">
        <v>13</v>
      </c>
      <c r="I2026">
        <v>0</v>
      </c>
      <c r="J2026">
        <v>2043</v>
      </c>
      <c r="K2026">
        <v>1</v>
      </c>
      <c r="L2026">
        <v>2</v>
      </c>
      <c r="M2026">
        <v>555</v>
      </c>
      <c r="N2026">
        <v>0</v>
      </c>
      <c r="O2026">
        <v>43</v>
      </c>
      <c r="P2026">
        <v>224</v>
      </c>
      <c r="Q2026">
        <v>3</v>
      </c>
      <c r="R2026">
        <f>SUM(Table13[[#This Row],[Rank_All_Ranks_Total]:[Rank_SSPSPAddlSPCommandant]])</f>
        <v>6248</v>
      </c>
    </row>
    <row r="2027" spans="1:18" x14ac:dyDescent="0.3">
      <c r="A2027" t="s">
        <v>6</v>
      </c>
      <c r="B2027">
        <v>2009</v>
      </c>
      <c r="C2027" t="str">
        <f>_xlfn.CONCAT(Table13[[#This Row],[STATE]],"-",Table13[[#This Row],[Year]])</f>
        <v>Andhra Pradesh-2009</v>
      </c>
      <c r="D2027" t="s">
        <v>75</v>
      </c>
      <c r="E2027" t="s">
        <v>76</v>
      </c>
      <c r="F2027">
        <v>111240</v>
      </c>
      <c r="G2027">
        <v>6070</v>
      </c>
      <c r="H2027">
        <v>625</v>
      </c>
      <c r="I2027">
        <v>0</v>
      </c>
      <c r="J2027">
        <v>78617</v>
      </c>
      <c r="K2027">
        <v>19</v>
      </c>
      <c r="L2027">
        <v>29</v>
      </c>
      <c r="M2027">
        <v>18349</v>
      </c>
      <c r="N2027">
        <v>26</v>
      </c>
      <c r="O2027">
        <v>2305</v>
      </c>
      <c r="P2027">
        <v>4989</v>
      </c>
      <c r="Q2027">
        <v>211</v>
      </c>
      <c r="R2027">
        <f>SUM(Table13[[#This Row],[Rank_All_Ranks_Total]:[Rank_SSPSPAddlSPCommandant]])</f>
        <v>222480</v>
      </c>
    </row>
    <row r="2028" spans="1:18" x14ac:dyDescent="0.3">
      <c r="A2028" t="s">
        <v>7</v>
      </c>
      <c r="B2028">
        <v>2009</v>
      </c>
      <c r="C2028" t="str">
        <f>_xlfn.CONCAT(Table13[[#This Row],[STATE]],"-",Table13[[#This Row],[Year]])</f>
        <v>Arunachal Pradesh-2009</v>
      </c>
      <c r="D2028" t="s">
        <v>75</v>
      </c>
      <c r="E2028" t="s">
        <v>76</v>
      </c>
      <c r="F2028">
        <v>3504</v>
      </c>
      <c r="G2028">
        <v>176</v>
      </c>
      <c r="H2028">
        <v>46</v>
      </c>
      <c r="I2028">
        <v>0</v>
      </c>
      <c r="J2028">
        <v>2441</v>
      </c>
      <c r="K2028">
        <v>1</v>
      </c>
      <c r="L2028">
        <v>4</v>
      </c>
      <c r="M2028">
        <v>416</v>
      </c>
      <c r="N2028">
        <v>1</v>
      </c>
      <c r="O2028">
        <v>71</v>
      </c>
      <c r="P2028">
        <v>323</v>
      </c>
      <c r="Q2028">
        <v>25</v>
      </c>
      <c r="R2028">
        <f>SUM(Table13[[#This Row],[Rank_All_Ranks_Total]:[Rank_SSPSPAddlSPCommandant]])</f>
        <v>7008</v>
      </c>
    </row>
    <row r="2029" spans="1:18" x14ac:dyDescent="0.3">
      <c r="A2029" t="s">
        <v>8</v>
      </c>
      <c r="B2029">
        <v>2009</v>
      </c>
      <c r="C2029" t="str">
        <f>_xlfn.CONCAT(Table13[[#This Row],[STATE]],"-",Table13[[#This Row],[Year]])</f>
        <v>Assam-2009</v>
      </c>
      <c r="D2029" t="s">
        <v>75</v>
      </c>
      <c r="E2029" t="s">
        <v>76</v>
      </c>
      <c r="F2029">
        <v>30040</v>
      </c>
      <c r="G2029">
        <v>1789</v>
      </c>
      <c r="H2029">
        <v>161</v>
      </c>
      <c r="I2029">
        <v>901</v>
      </c>
      <c r="J2029">
        <v>21969</v>
      </c>
      <c r="K2029">
        <v>11</v>
      </c>
      <c r="L2029">
        <v>16</v>
      </c>
      <c r="M2029">
        <v>1826</v>
      </c>
      <c r="N2029">
        <v>14</v>
      </c>
      <c r="O2029">
        <v>487</v>
      </c>
      <c r="P2029">
        <v>2732</v>
      </c>
      <c r="Q2029">
        <v>134</v>
      </c>
      <c r="R2029">
        <f>SUM(Table13[[#This Row],[Rank_All_Ranks_Total]:[Rank_SSPSPAddlSPCommandant]])</f>
        <v>60080</v>
      </c>
    </row>
    <row r="2030" spans="1:18" x14ac:dyDescent="0.3">
      <c r="A2030" t="s">
        <v>9</v>
      </c>
      <c r="B2030">
        <v>2009</v>
      </c>
      <c r="C2030" t="str">
        <f>_xlfn.CONCAT(Table13[[#This Row],[STATE]],"-",Table13[[#This Row],[Year]])</f>
        <v>Bihar-2009</v>
      </c>
      <c r="D2030" t="s">
        <v>75</v>
      </c>
      <c r="E2030" t="s">
        <v>76</v>
      </c>
      <c r="F2030">
        <v>67766</v>
      </c>
      <c r="G2030">
        <v>4779</v>
      </c>
      <c r="H2030">
        <v>384</v>
      </c>
      <c r="I2030">
        <v>0</v>
      </c>
      <c r="J2030">
        <v>43866</v>
      </c>
      <c r="K2030">
        <v>8</v>
      </c>
      <c r="L2030">
        <v>25</v>
      </c>
      <c r="M2030">
        <v>8787</v>
      </c>
      <c r="N2030">
        <v>17</v>
      </c>
      <c r="O2030">
        <v>1170</v>
      </c>
      <c r="P2030">
        <v>8650</v>
      </c>
      <c r="Q2030">
        <v>80</v>
      </c>
      <c r="R2030">
        <f>SUM(Table13[[#This Row],[Rank_All_Ranks_Total]:[Rank_SSPSPAddlSPCommandant]])</f>
        <v>135532</v>
      </c>
    </row>
    <row r="2031" spans="1:18" x14ac:dyDescent="0.3">
      <c r="A2031" t="s">
        <v>35</v>
      </c>
      <c r="B2031">
        <v>2009</v>
      </c>
      <c r="C2031" t="str">
        <f>_xlfn.CONCAT(Table13[[#This Row],[STATE]],"-",Table13[[#This Row],[Year]])</f>
        <v>Chandigarh-2009</v>
      </c>
      <c r="D2031" t="s">
        <v>75</v>
      </c>
      <c r="E2031" t="s">
        <v>76</v>
      </c>
      <c r="F2031">
        <v>5793</v>
      </c>
      <c r="G2031">
        <v>257</v>
      </c>
      <c r="H2031">
        <v>14</v>
      </c>
      <c r="I2031">
        <v>0</v>
      </c>
      <c r="J2031">
        <v>3873</v>
      </c>
      <c r="K2031">
        <v>0</v>
      </c>
      <c r="L2031">
        <v>0</v>
      </c>
      <c r="M2031">
        <v>1275</v>
      </c>
      <c r="N2031">
        <v>1</v>
      </c>
      <c r="O2031">
        <v>55</v>
      </c>
      <c r="P2031">
        <v>314</v>
      </c>
      <c r="Q2031">
        <v>4</v>
      </c>
      <c r="R2031">
        <f>SUM(Table13[[#This Row],[Rank_All_Ranks_Total]:[Rank_SSPSPAddlSPCommandant]])</f>
        <v>11586</v>
      </c>
    </row>
    <row r="2032" spans="1:18" x14ac:dyDescent="0.3">
      <c r="A2032" t="s">
        <v>10</v>
      </c>
      <c r="B2032">
        <v>2009</v>
      </c>
      <c r="C2032" t="str">
        <f>_xlfn.CONCAT(Table13[[#This Row],[STATE]],"-",Table13[[#This Row],[Year]])</f>
        <v>Chhattisgarh-2009</v>
      </c>
      <c r="D2032" t="s">
        <v>75</v>
      </c>
      <c r="E2032" t="s">
        <v>76</v>
      </c>
      <c r="F2032">
        <v>25716</v>
      </c>
      <c r="G2032">
        <v>1330</v>
      </c>
      <c r="H2032">
        <v>261</v>
      </c>
      <c r="I2032">
        <v>0</v>
      </c>
      <c r="J2032">
        <v>18427</v>
      </c>
      <c r="K2032">
        <v>8</v>
      </c>
      <c r="L2032">
        <v>14</v>
      </c>
      <c r="M2032">
        <v>3889</v>
      </c>
      <c r="N2032">
        <v>16</v>
      </c>
      <c r="O2032">
        <v>492</v>
      </c>
      <c r="P2032">
        <v>1201</v>
      </c>
      <c r="Q2032">
        <v>78</v>
      </c>
      <c r="R2032">
        <f>SUM(Table13[[#This Row],[Rank_All_Ranks_Total]:[Rank_SSPSPAddlSPCommandant]])</f>
        <v>51432</v>
      </c>
    </row>
    <row r="2033" spans="1:18" x14ac:dyDescent="0.3">
      <c r="A2033" t="s">
        <v>62</v>
      </c>
      <c r="B2033">
        <v>2009</v>
      </c>
      <c r="C2033" t="str">
        <f>_xlfn.CONCAT(Table13[[#This Row],[STATE]],"-",Table13[[#This Row],[Year]])</f>
        <v>Dadra &amp; Nagar Haveli-2009</v>
      </c>
      <c r="D2033" t="s">
        <v>75</v>
      </c>
      <c r="E2033" t="s">
        <v>76</v>
      </c>
      <c r="F2033">
        <v>237</v>
      </c>
      <c r="G2033">
        <v>3</v>
      </c>
      <c r="H2033">
        <v>1</v>
      </c>
      <c r="I2033">
        <v>0</v>
      </c>
      <c r="J2033">
        <v>163</v>
      </c>
      <c r="K2033">
        <v>0</v>
      </c>
      <c r="L2033">
        <v>0</v>
      </c>
      <c r="M2033">
        <v>55</v>
      </c>
      <c r="N2033">
        <v>0</v>
      </c>
      <c r="O2033">
        <v>1</v>
      </c>
      <c r="P2033">
        <v>12</v>
      </c>
      <c r="Q2033">
        <v>2</v>
      </c>
      <c r="R2033">
        <f>SUM(Table13[[#This Row],[Rank_All_Ranks_Total]:[Rank_SSPSPAddlSPCommandant]])</f>
        <v>474</v>
      </c>
    </row>
    <row r="2034" spans="1:18" x14ac:dyDescent="0.3">
      <c r="A2034" t="s">
        <v>37</v>
      </c>
      <c r="B2034">
        <v>2009</v>
      </c>
      <c r="C2034" t="str">
        <f>_xlfn.CONCAT(Table13[[#This Row],[STATE]],"-",Table13[[#This Row],[Year]])</f>
        <v>Daman &amp; Diu-2009</v>
      </c>
      <c r="D2034" t="s">
        <v>75</v>
      </c>
      <c r="E2034" t="s">
        <v>76</v>
      </c>
      <c r="F2034">
        <v>245</v>
      </c>
      <c r="G2034">
        <v>9</v>
      </c>
      <c r="H2034">
        <v>2</v>
      </c>
      <c r="I2034">
        <v>0</v>
      </c>
      <c r="J2034">
        <v>178</v>
      </c>
      <c r="K2034">
        <v>0</v>
      </c>
      <c r="L2034">
        <v>1</v>
      </c>
      <c r="M2034">
        <v>40</v>
      </c>
      <c r="N2034">
        <v>0</v>
      </c>
      <c r="O2034">
        <v>3</v>
      </c>
      <c r="P2034">
        <v>10</v>
      </c>
      <c r="Q2034">
        <v>2</v>
      </c>
      <c r="R2034">
        <f>SUM(Table13[[#This Row],[Rank_All_Ranks_Total]:[Rank_SSPSPAddlSPCommandant]])</f>
        <v>490</v>
      </c>
    </row>
    <row r="2035" spans="1:18" x14ac:dyDescent="0.3">
      <c r="A2035" t="s">
        <v>38</v>
      </c>
      <c r="B2035">
        <v>2009</v>
      </c>
      <c r="C2035" t="str">
        <f>_xlfn.CONCAT(Table13[[#This Row],[STATE]],"-",Table13[[#This Row],[Year]])</f>
        <v>Delhi-2009</v>
      </c>
      <c r="D2035" t="s">
        <v>75</v>
      </c>
      <c r="E2035" t="s">
        <v>76</v>
      </c>
      <c r="F2035">
        <v>72026</v>
      </c>
      <c r="G2035">
        <v>6521</v>
      </c>
      <c r="H2035">
        <v>290</v>
      </c>
      <c r="I2035">
        <v>0</v>
      </c>
      <c r="J2035">
        <v>40145</v>
      </c>
      <c r="K2035">
        <v>4</v>
      </c>
      <c r="L2035">
        <v>9</v>
      </c>
      <c r="M2035">
        <v>18767</v>
      </c>
      <c r="N2035">
        <v>14</v>
      </c>
      <c r="O2035">
        <v>1251</v>
      </c>
      <c r="P2035">
        <v>4947</v>
      </c>
      <c r="Q2035">
        <v>78</v>
      </c>
      <c r="R2035">
        <f>SUM(Table13[[#This Row],[Rank_All_Ranks_Total]:[Rank_SSPSPAddlSPCommandant]])</f>
        <v>144052</v>
      </c>
    </row>
    <row r="2036" spans="1:18" x14ac:dyDescent="0.3">
      <c r="A2036" t="s">
        <v>11</v>
      </c>
      <c r="B2036">
        <v>2009</v>
      </c>
      <c r="C2036" t="str">
        <f>_xlfn.CONCAT(Table13[[#This Row],[STATE]],"-",Table13[[#This Row],[Year]])</f>
        <v>Goa-2009</v>
      </c>
      <c r="D2036" t="s">
        <v>75</v>
      </c>
      <c r="E2036" t="s">
        <v>76</v>
      </c>
      <c r="F2036">
        <v>4163</v>
      </c>
      <c r="G2036">
        <v>174</v>
      </c>
      <c r="H2036">
        <v>25</v>
      </c>
      <c r="I2036">
        <v>0</v>
      </c>
      <c r="J2036">
        <v>2954</v>
      </c>
      <c r="K2036">
        <v>1</v>
      </c>
      <c r="L2036">
        <v>1</v>
      </c>
      <c r="M2036">
        <v>766</v>
      </c>
      <c r="N2036">
        <v>1</v>
      </c>
      <c r="O2036">
        <v>59</v>
      </c>
      <c r="P2036">
        <v>172</v>
      </c>
      <c r="Q2036">
        <v>10</v>
      </c>
      <c r="R2036">
        <f>SUM(Table13[[#This Row],[Rank_All_Ranks_Total]:[Rank_SSPSPAddlSPCommandant]])</f>
        <v>8326</v>
      </c>
    </row>
    <row r="2037" spans="1:18" x14ac:dyDescent="0.3">
      <c r="A2037" t="s">
        <v>12</v>
      </c>
      <c r="B2037">
        <v>2009</v>
      </c>
      <c r="C2037" t="str">
        <f>_xlfn.CONCAT(Table13[[#This Row],[STATE]],"-",Table13[[#This Row],[Year]])</f>
        <v>Gujarat-2009</v>
      </c>
      <c r="D2037" t="s">
        <v>75</v>
      </c>
      <c r="E2037" t="s">
        <v>76</v>
      </c>
      <c r="F2037">
        <v>62227</v>
      </c>
      <c r="G2037">
        <v>7640</v>
      </c>
      <c r="H2037">
        <v>219</v>
      </c>
      <c r="I2037">
        <v>0</v>
      </c>
      <c r="J2037">
        <v>39996</v>
      </c>
      <c r="K2037">
        <v>20</v>
      </c>
      <c r="L2037">
        <v>18</v>
      </c>
      <c r="M2037">
        <v>10962</v>
      </c>
      <c r="N2037">
        <v>35</v>
      </c>
      <c r="O2037">
        <v>788</v>
      </c>
      <c r="P2037">
        <v>2465</v>
      </c>
      <c r="Q2037">
        <v>84</v>
      </c>
      <c r="R2037">
        <f>SUM(Table13[[#This Row],[Rank_All_Ranks_Total]:[Rank_SSPSPAddlSPCommandant]])</f>
        <v>124454</v>
      </c>
    </row>
    <row r="2038" spans="1:18" x14ac:dyDescent="0.3">
      <c r="A2038" t="s">
        <v>13</v>
      </c>
      <c r="B2038">
        <v>2009</v>
      </c>
      <c r="C2038" t="str">
        <f>_xlfn.CONCAT(Table13[[#This Row],[STATE]],"-",Table13[[#This Row],[Year]])</f>
        <v>Haryana-2009</v>
      </c>
      <c r="D2038" t="s">
        <v>75</v>
      </c>
      <c r="E2038" t="s">
        <v>76</v>
      </c>
      <c r="F2038">
        <v>49155</v>
      </c>
      <c r="G2038">
        <v>4297</v>
      </c>
      <c r="H2038">
        <v>192</v>
      </c>
      <c r="I2038">
        <v>0</v>
      </c>
      <c r="J2038">
        <v>34393</v>
      </c>
      <c r="K2038">
        <v>14</v>
      </c>
      <c r="L2038">
        <v>12</v>
      </c>
      <c r="M2038">
        <v>7856</v>
      </c>
      <c r="N2038">
        <v>18</v>
      </c>
      <c r="O2038">
        <v>686</v>
      </c>
      <c r="P2038">
        <v>1615</v>
      </c>
      <c r="Q2038">
        <v>72</v>
      </c>
      <c r="R2038">
        <f>SUM(Table13[[#This Row],[Rank_All_Ranks_Total]:[Rank_SSPSPAddlSPCommandant]])</f>
        <v>98310</v>
      </c>
    </row>
    <row r="2039" spans="1:18" x14ac:dyDescent="0.3">
      <c r="A2039" t="s">
        <v>14</v>
      </c>
      <c r="B2039">
        <v>2009</v>
      </c>
      <c r="C2039" t="str">
        <f>_xlfn.CONCAT(Table13[[#This Row],[STATE]],"-",Table13[[#This Row],[Year]])</f>
        <v>Himachal Pradesh-2009</v>
      </c>
      <c r="D2039" t="s">
        <v>75</v>
      </c>
      <c r="E2039" t="s">
        <v>76</v>
      </c>
      <c r="F2039">
        <v>10688</v>
      </c>
      <c r="G2039">
        <v>985</v>
      </c>
      <c r="H2039">
        <v>55</v>
      </c>
      <c r="I2039">
        <v>0</v>
      </c>
      <c r="J2039">
        <v>7173</v>
      </c>
      <c r="K2039">
        <v>4</v>
      </c>
      <c r="L2039">
        <v>7</v>
      </c>
      <c r="M2039">
        <v>1719</v>
      </c>
      <c r="N2039">
        <v>5</v>
      </c>
      <c r="O2039">
        <v>209</v>
      </c>
      <c r="P2039">
        <v>496</v>
      </c>
      <c r="Q2039">
        <v>35</v>
      </c>
      <c r="R2039">
        <f>SUM(Table13[[#This Row],[Rank_All_Ranks_Total]:[Rank_SSPSPAddlSPCommandant]])</f>
        <v>21376</v>
      </c>
    </row>
    <row r="2040" spans="1:18" x14ac:dyDescent="0.3">
      <c r="A2040" t="s">
        <v>15</v>
      </c>
      <c r="B2040">
        <v>2009</v>
      </c>
      <c r="C2040" t="str">
        <f>_xlfn.CONCAT(Table13[[#This Row],[STATE]],"-",Table13[[#This Row],[Year]])</f>
        <v>Jammu &amp; Kashmir-2009</v>
      </c>
      <c r="D2040" t="s">
        <v>75</v>
      </c>
      <c r="E2040" t="s">
        <v>76</v>
      </c>
      <c r="F2040">
        <v>72241</v>
      </c>
      <c r="G2040">
        <v>3502</v>
      </c>
      <c r="H2040">
        <v>487</v>
      </c>
      <c r="I2040">
        <v>50829</v>
      </c>
      <c r="J2040">
        <v>1611</v>
      </c>
      <c r="K2040">
        <v>7</v>
      </c>
      <c r="L2040">
        <v>22</v>
      </c>
      <c r="M2040">
        <v>12074</v>
      </c>
      <c r="N2040">
        <v>14</v>
      </c>
      <c r="O2040">
        <v>817</v>
      </c>
      <c r="P2040">
        <v>2682</v>
      </c>
      <c r="Q2040">
        <v>196</v>
      </c>
      <c r="R2040">
        <f>SUM(Table13[[#This Row],[Rank_All_Ranks_Total]:[Rank_SSPSPAddlSPCommandant]])</f>
        <v>144482</v>
      </c>
    </row>
    <row r="2041" spans="1:18" x14ac:dyDescent="0.3">
      <c r="A2041" t="s">
        <v>16</v>
      </c>
      <c r="B2041">
        <v>2009</v>
      </c>
      <c r="C2041" t="str">
        <f>_xlfn.CONCAT(Table13[[#This Row],[STATE]],"-",Table13[[#This Row],[Year]])</f>
        <v>Jharkhand-2009</v>
      </c>
      <c r="D2041" t="s">
        <v>75</v>
      </c>
      <c r="E2041" t="s">
        <v>76</v>
      </c>
      <c r="F2041">
        <v>39793</v>
      </c>
      <c r="G2041">
        <v>2651</v>
      </c>
      <c r="H2041">
        <v>281</v>
      </c>
      <c r="I2041">
        <v>0</v>
      </c>
      <c r="J2041">
        <v>28394</v>
      </c>
      <c r="K2041">
        <v>5</v>
      </c>
      <c r="L2041">
        <v>14</v>
      </c>
      <c r="M2041">
        <v>5984</v>
      </c>
      <c r="N2041">
        <v>10</v>
      </c>
      <c r="O2041">
        <v>264</v>
      </c>
      <c r="P2041">
        <v>2160</v>
      </c>
      <c r="Q2041">
        <v>30</v>
      </c>
      <c r="R2041">
        <f>SUM(Table13[[#This Row],[Rank_All_Ranks_Total]:[Rank_SSPSPAddlSPCommandant]])</f>
        <v>79586</v>
      </c>
    </row>
    <row r="2042" spans="1:18" x14ac:dyDescent="0.3">
      <c r="A2042" t="s">
        <v>17</v>
      </c>
      <c r="B2042">
        <v>2009</v>
      </c>
      <c r="C2042" t="str">
        <f>_xlfn.CONCAT(Table13[[#This Row],[STATE]],"-",Table13[[#This Row],[Year]])</f>
        <v>Karnataka-2009</v>
      </c>
      <c r="D2042" t="s">
        <v>75</v>
      </c>
      <c r="E2042" t="s">
        <v>76</v>
      </c>
      <c r="F2042">
        <v>75384</v>
      </c>
      <c r="G2042">
        <v>3831</v>
      </c>
      <c r="H2042">
        <v>389</v>
      </c>
      <c r="I2042">
        <v>0</v>
      </c>
      <c r="J2042">
        <v>50885</v>
      </c>
      <c r="K2042">
        <v>17</v>
      </c>
      <c r="L2042">
        <v>37</v>
      </c>
      <c r="M2042">
        <v>15967</v>
      </c>
      <c r="N2042">
        <v>32</v>
      </c>
      <c r="O2042">
        <v>1050</v>
      </c>
      <c r="P2042">
        <v>3004</v>
      </c>
      <c r="Q2042">
        <v>172</v>
      </c>
      <c r="R2042">
        <f>SUM(Table13[[#This Row],[Rank_All_Ranks_Total]:[Rank_SSPSPAddlSPCommandant]])</f>
        <v>150768</v>
      </c>
    </row>
    <row r="2043" spans="1:18" x14ac:dyDescent="0.3">
      <c r="A2043" t="s">
        <v>18</v>
      </c>
      <c r="B2043">
        <v>2009</v>
      </c>
      <c r="C2043" t="str">
        <f>_xlfn.CONCAT(Table13[[#This Row],[STATE]],"-",Table13[[#This Row],[Year]])</f>
        <v>Kerala-2009</v>
      </c>
      <c r="D2043" t="s">
        <v>75</v>
      </c>
      <c r="E2043" t="s">
        <v>76</v>
      </c>
      <c r="F2043">
        <v>39402</v>
      </c>
      <c r="G2043">
        <v>1499</v>
      </c>
      <c r="H2043">
        <v>293</v>
      </c>
      <c r="I2043">
        <v>0</v>
      </c>
      <c r="J2043">
        <v>27719</v>
      </c>
      <c r="K2043">
        <v>5</v>
      </c>
      <c r="L2043">
        <v>9</v>
      </c>
      <c r="M2043">
        <v>7506</v>
      </c>
      <c r="N2043">
        <v>8</v>
      </c>
      <c r="O2043">
        <v>427</v>
      </c>
      <c r="P2043">
        <v>1890</v>
      </c>
      <c r="Q2043">
        <v>46</v>
      </c>
      <c r="R2043">
        <f>SUM(Table13[[#This Row],[Rank_All_Ranks_Total]:[Rank_SSPSPAddlSPCommandant]])</f>
        <v>78804</v>
      </c>
    </row>
    <row r="2044" spans="1:18" x14ac:dyDescent="0.3">
      <c r="A2044" t="s">
        <v>39</v>
      </c>
      <c r="B2044">
        <v>2009</v>
      </c>
      <c r="C2044" t="str">
        <f>_xlfn.CONCAT(Table13[[#This Row],[STATE]],"-",Table13[[#This Row],[Year]])</f>
        <v>Lakshadweep-2009</v>
      </c>
      <c r="D2044" t="s">
        <v>75</v>
      </c>
      <c r="E2044" t="s">
        <v>76</v>
      </c>
      <c r="F2044">
        <v>556</v>
      </c>
      <c r="G2044">
        <v>43</v>
      </c>
      <c r="H2044">
        <v>1</v>
      </c>
      <c r="I2044">
        <v>0</v>
      </c>
      <c r="J2044">
        <v>332</v>
      </c>
      <c r="K2044">
        <v>0</v>
      </c>
      <c r="L2044">
        <v>0</v>
      </c>
      <c r="M2044">
        <v>137</v>
      </c>
      <c r="N2044">
        <v>0</v>
      </c>
      <c r="O2044">
        <v>10</v>
      </c>
      <c r="P2044">
        <v>32</v>
      </c>
      <c r="Q2044">
        <v>1</v>
      </c>
      <c r="R2044">
        <f>SUM(Table13[[#This Row],[Rank_All_Ranks_Total]:[Rank_SSPSPAddlSPCommandant]])</f>
        <v>1112</v>
      </c>
    </row>
    <row r="2045" spans="1:18" x14ac:dyDescent="0.3">
      <c r="A2045" t="s">
        <v>19</v>
      </c>
      <c r="B2045">
        <v>2009</v>
      </c>
      <c r="C2045" t="str">
        <f>_xlfn.CONCAT(Table13[[#This Row],[STATE]],"-",Table13[[#This Row],[Year]])</f>
        <v>Madhya Pradesh-2009</v>
      </c>
      <c r="D2045" t="s">
        <v>75</v>
      </c>
      <c r="E2045" t="s">
        <v>76</v>
      </c>
      <c r="F2045">
        <v>55503</v>
      </c>
      <c r="G2045">
        <v>3202</v>
      </c>
      <c r="H2045">
        <v>580</v>
      </c>
      <c r="I2045">
        <v>0</v>
      </c>
      <c r="J2045">
        <v>37290</v>
      </c>
      <c r="K2045">
        <v>9</v>
      </c>
      <c r="L2045">
        <v>22</v>
      </c>
      <c r="M2045">
        <v>10358</v>
      </c>
      <c r="N2045">
        <v>19</v>
      </c>
      <c r="O2045">
        <v>1126</v>
      </c>
      <c r="P2045">
        <v>2747</v>
      </c>
      <c r="Q2045">
        <v>150</v>
      </c>
      <c r="R2045">
        <f>SUM(Table13[[#This Row],[Rank_All_Ranks_Total]:[Rank_SSPSPAddlSPCommandant]])</f>
        <v>111006</v>
      </c>
    </row>
    <row r="2046" spans="1:18" x14ac:dyDescent="0.3">
      <c r="A2046" t="s">
        <v>20</v>
      </c>
      <c r="B2046">
        <v>2009</v>
      </c>
      <c r="C2046" t="str">
        <f>_xlfn.CONCAT(Table13[[#This Row],[STATE]],"-",Table13[[#This Row],[Year]])</f>
        <v>Maharashtra-2009</v>
      </c>
      <c r="D2046" t="s">
        <v>75</v>
      </c>
      <c r="E2046" t="s">
        <v>76</v>
      </c>
      <c r="F2046">
        <v>186980</v>
      </c>
      <c r="G2046">
        <v>14611</v>
      </c>
      <c r="H2046">
        <v>322</v>
      </c>
      <c r="I2046">
        <v>37230</v>
      </c>
      <c r="J2046">
        <v>82142</v>
      </c>
      <c r="K2046">
        <v>27</v>
      </c>
      <c r="L2046">
        <v>47</v>
      </c>
      <c r="M2046">
        <v>36270</v>
      </c>
      <c r="N2046">
        <v>39</v>
      </c>
      <c r="O2046">
        <v>3538</v>
      </c>
      <c r="P2046">
        <v>12483</v>
      </c>
      <c r="Q2046">
        <v>271</v>
      </c>
      <c r="R2046">
        <f>SUM(Table13[[#This Row],[Rank_All_Ranks_Total]:[Rank_SSPSPAddlSPCommandant]])</f>
        <v>373960</v>
      </c>
    </row>
    <row r="2047" spans="1:18" x14ac:dyDescent="0.3">
      <c r="A2047" t="s">
        <v>21</v>
      </c>
      <c r="B2047">
        <v>2009</v>
      </c>
      <c r="C2047" t="str">
        <f>_xlfn.CONCAT(Table13[[#This Row],[STATE]],"-",Table13[[#This Row],[Year]])</f>
        <v>Manipur-2009</v>
      </c>
      <c r="D2047" t="s">
        <v>75</v>
      </c>
      <c r="E2047" t="s">
        <v>76</v>
      </c>
      <c r="F2047">
        <v>14964</v>
      </c>
      <c r="G2047">
        <v>1165</v>
      </c>
      <c r="H2047">
        <v>83</v>
      </c>
      <c r="I2047">
        <v>0</v>
      </c>
      <c r="J2047">
        <v>10990</v>
      </c>
      <c r="K2047">
        <v>3</v>
      </c>
      <c r="L2047">
        <v>10</v>
      </c>
      <c r="M2047">
        <v>1416</v>
      </c>
      <c r="N2047">
        <v>9</v>
      </c>
      <c r="O2047">
        <v>299</v>
      </c>
      <c r="P2047">
        <v>946</v>
      </c>
      <c r="Q2047">
        <v>43</v>
      </c>
      <c r="R2047">
        <f>SUM(Table13[[#This Row],[Rank_All_Ranks_Total]:[Rank_SSPSPAddlSPCommandant]])</f>
        <v>29928</v>
      </c>
    </row>
    <row r="2048" spans="1:18" x14ac:dyDescent="0.3">
      <c r="A2048" t="s">
        <v>22</v>
      </c>
      <c r="B2048">
        <v>2009</v>
      </c>
      <c r="C2048" t="str">
        <f>_xlfn.CONCAT(Table13[[#This Row],[STATE]],"-",Table13[[#This Row],[Year]])</f>
        <v>Meghalaya-2009</v>
      </c>
      <c r="D2048" t="s">
        <v>75</v>
      </c>
      <c r="E2048" t="s">
        <v>76</v>
      </c>
      <c r="F2048">
        <v>6470</v>
      </c>
      <c r="G2048">
        <v>166</v>
      </c>
      <c r="H2048">
        <v>30</v>
      </c>
      <c r="I2048">
        <v>147</v>
      </c>
      <c r="J2048">
        <v>4742</v>
      </c>
      <c r="K2048">
        <v>6</v>
      </c>
      <c r="L2048">
        <v>6</v>
      </c>
      <c r="M2048">
        <v>530</v>
      </c>
      <c r="N2048">
        <v>8</v>
      </c>
      <c r="O2048">
        <v>127</v>
      </c>
      <c r="P2048">
        <v>682</v>
      </c>
      <c r="Q2048">
        <v>26</v>
      </c>
      <c r="R2048">
        <f>SUM(Table13[[#This Row],[Rank_All_Ranks_Total]:[Rank_SSPSPAddlSPCommandant]])</f>
        <v>12940</v>
      </c>
    </row>
    <row r="2049" spans="1:18" x14ac:dyDescent="0.3">
      <c r="A2049" t="s">
        <v>23</v>
      </c>
      <c r="B2049">
        <v>2009</v>
      </c>
      <c r="C2049" t="str">
        <f>_xlfn.CONCAT(Table13[[#This Row],[STATE]],"-",Table13[[#This Row],[Year]])</f>
        <v>Mizoram-2009</v>
      </c>
      <c r="D2049" t="s">
        <v>75</v>
      </c>
      <c r="E2049" t="s">
        <v>76</v>
      </c>
      <c r="F2049">
        <v>4482</v>
      </c>
      <c r="G2049">
        <v>494</v>
      </c>
      <c r="H2049">
        <v>46</v>
      </c>
      <c r="I2049">
        <v>335</v>
      </c>
      <c r="J2049">
        <v>2188</v>
      </c>
      <c r="K2049">
        <v>1</v>
      </c>
      <c r="L2049">
        <v>8</v>
      </c>
      <c r="M2049">
        <v>741</v>
      </c>
      <c r="N2049">
        <v>1</v>
      </c>
      <c r="O2049">
        <v>156</v>
      </c>
      <c r="P2049">
        <v>474</v>
      </c>
      <c r="Q2049">
        <v>38</v>
      </c>
      <c r="R2049">
        <f>SUM(Table13[[#This Row],[Rank_All_Ranks_Total]:[Rank_SSPSPAddlSPCommandant]])</f>
        <v>8964</v>
      </c>
    </row>
    <row r="2050" spans="1:18" x14ac:dyDescent="0.3">
      <c r="A2050" t="s">
        <v>24</v>
      </c>
      <c r="B2050">
        <v>2009</v>
      </c>
      <c r="C2050" t="str">
        <f>_xlfn.CONCAT(Table13[[#This Row],[STATE]],"-",Table13[[#This Row],[Year]])</f>
        <v>Nagaland-2009</v>
      </c>
      <c r="D2050" t="s">
        <v>75</v>
      </c>
      <c r="E2050" t="s">
        <v>76</v>
      </c>
      <c r="F2050">
        <v>6013</v>
      </c>
      <c r="G2050">
        <v>229</v>
      </c>
      <c r="H2050">
        <v>36</v>
      </c>
      <c r="I2050">
        <v>548</v>
      </c>
      <c r="J2050">
        <v>4403</v>
      </c>
      <c r="K2050">
        <v>4</v>
      </c>
      <c r="L2050">
        <v>11</v>
      </c>
      <c r="M2050">
        <v>443</v>
      </c>
      <c r="N2050">
        <v>7</v>
      </c>
      <c r="O2050">
        <v>54</v>
      </c>
      <c r="P2050">
        <v>236</v>
      </c>
      <c r="Q2050">
        <v>42</v>
      </c>
      <c r="R2050">
        <f>SUM(Table13[[#This Row],[Rank_All_Ranks_Total]:[Rank_SSPSPAddlSPCommandant]])</f>
        <v>12026</v>
      </c>
    </row>
    <row r="2051" spans="1:18" x14ac:dyDescent="0.3">
      <c r="A2051" t="s">
        <v>63</v>
      </c>
      <c r="B2051">
        <v>2009</v>
      </c>
      <c r="C2051" t="str">
        <f>_xlfn.CONCAT(Table13[[#This Row],[STATE]],"-",Table13[[#This Row],[Year]])</f>
        <v>Odisha-2009</v>
      </c>
      <c r="D2051" t="s">
        <v>75</v>
      </c>
      <c r="E2051" t="s">
        <v>76</v>
      </c>
      <c r="F2051">
        <v>32971</v>
      </c>
      <c r="G2051">
        <v>4557</v>
      </c>
      <c r="H2051">
        <v>387</v>
      </c>
      <c r="I2051">
        <v>333</v>
      </c>
      <c r="J2051">
        <v>21099</v>
      </c>
      <c r="K2051">
        <v>7</v>
      </c>
      <c r="L2051">
        <v>15</v>
      </c>
      <c r="M2051">
        <v>2948</v>
      </c>
      <c r="N2051">
        <v>15</v>
      </c>
      <c r="O2051">
        <v>922</v>
      </c>
      <c r="P2051">
        <v>2539</v>
      </c>
      <c r="Q2051">
        <v>149</v>
      </c>
      <c r="R2051">
        <f>SUM(Table13[[#This Row],[Rank_All_Ranks_Total]:[Rank_SSPSPAddlSPCommandant]])</f>
        <v>65942</v>
      </c>
    </row>
    <row r="2052" spans="1:18" x14ac:dyDescent="0.3">
      <c r="A2052" t="s">
        <v>64</v>
      </c>
      <c r="B2052">
        <v>2009</v>
      </c>
      <c r="C2052" t="str">
        <f>_xlfn.CONCAT(Table13[[#This Row],[STATE]],"-",Table13[[#This Row],[Year]])</f>
        <v>Puducherry-2009</v>
      </c>
      <c r="D2052" t="s">
        <v>75</v>
      </c>
      <c r="E2052" t="s">
        <v>76</v>
      </c>
      <c r="F2052">
        <v>1792</v>
      </c>
      <c r="G2052">
        <v>82</v>
      </c>
      <c r="H2052">
        <v>18</v>
      </c>
      <c r="I2052">
        <v>0</v>
      </c>
      <c r="J2052">
        <v>1125</v>
      </c>
      <c r="K2052">
        <v>0</v>
      </c>
      <c r="L2052">
        <v>1</v>
      </c>
      <c r="M2052">
        <v>352</v>
      </c>
      <c r="N2052">
        <v>1</v>
      </c>
      <c r="O2052">
        <v>52</v>
      </c>
      <c r="P2052">
        <v>159</v>
      </c>
      <c r="Q2052">
        <v>2</v>
      </c>
      <c r="R2052">
        <f>SUM(Table13[[#This Row],[Rank_All_Ranks_Total]:[Rank_SSPSPAddlSPCommandant]])</f>
        <v>3584</v>
      </c>
    </row>
    <row r="2053" spans="1:18" x14ac:dyDescent="0.3">
      <c r="A2053" t="s">
        <v>26</v>
      </c>
      <c r="B2053">
        <v>2009</v>
      </c>
      <c r="C2053" t="str">
        <f>_xlfn.CONCAT(Table13[[#This Row],[STATE]],"-",Table13[[#This Row],[Year]])</f>
        <v>Punjab-2009</v>
      </c>
      <c r="D2053" t="s">
        <v>75</v>
      </c>
      <c r="E2053" t="s">
        <v>76</v>
      </c>
      <c r="F2053">
        <v>52205</v>
      </c>
      <c r="G2053">
        <v>3914</v>
      </c>
      <c r="H2053">
        <v>277</v>
      </c>
      <c r="I2053">
        <v>0</v>
      </c>
      <c r="J2053">
        <v>37365</v>
      </c>
      <c r="K2053">
        <v>11</v>
      </c>
      <c r="L2053">
        <v>20</v>
      </c>
      <c r="M2053">
        <v>8263</v>
      </c>
      <c r="N2053">
        <v>14</v>
      </c>
      <c r="O2053">
        <v>612</v>
      </c>
      <c r="P2053">
        <v>1604</v>
      </c>
      <c r="Q2053">
        <v>125</v>
      </c>
      <c r="R2053">
        <f>SUM(Table13[[#This Row],[Rank_All_Ranks_Total]:[Rank_SSPSPAddlSPCommandant]])</f>
        <v>104410</v>
      </c>
    </row>
    <row r="2054" spans="1:18" x14ac:dyDescent="0.3">
      <c r="A2054" t="s">
        <v>27</v>
      </c>
      <c r="B2054">
        <v>2009</v>
      </c>
      <c r="C2054" t="str">
        <f>_xlfn.CONCAT(Table13[[#This Row],[STATE]],"-",Table13[[#This Row],[Year]])</f>
        <v>Rajasthan-2009</v>
      </c>
      <c r="D2054" t="s">
        <v>75</v>
      </c>
      <c r="E2054" t="s">
        <v>76</v>
      </c>
      <c r="F2054">
        <v>65247</v>
      </c>
      <c r="G2054">
        <v>5300</v>
      </c>
      <c r="H2054">
        <v>332</v>
      </c>
      <c r="I2054">
        <v>0</v>
      </c>
      <c r="J2054">
        <v>47942</v>
      </c>
      <c r="K2054">
        <v>7</v>
      </c>
      <c r="L2054">
        <v>15</v>
      </c>
      <c r="M2054">
        <v>7144</v>
      </c>
      <c r="N2054">
        <v>14</v>
      </c>
      <c r="O2054">
        <v>924</v>
      </c>
      <c r="P2054">
        <v>3377</v>
      </c>
      <c r="Q2054">
        <v>192</v>
      </c>
      <c r="R2054">
        <f>SUM(Table13[[#This Row],[Rank_All_Ranks_Total]:[Rank_SSPSPAddlSPCommandant]])</f>
        <v>130494</v>
      </c>
    </row>
    <row r="2055" spans="1:18" x14ac:dyDescent="0.3">
      <c r="A2055" t="s">
        <v>28</v>
      </c>
      <c r="B2055">
        <v>2009</v>
      </c>
      <c r="C2055" t="str">
        <f>_xlfn.CONCAT(Table13[[#This Row],[STATE]],"-",Table13[[#This Row],[Year]])</f>
        <v>Sikkim-2009</v>
      </c>
      <c r="D2055" t="s">
        <v>75</v>
      </c>
      <c r="E2055" t="s">
        <v>76</v>
      </c>
      <c r="F2055">
        <v>2181</v>
      </c>
      <c r="G2055">
        <v>135</v>
      </c>
      <c r="H2055">
        <v>44</v>
      </c>
      <c r="I2055">
        <v>0</v>
      </c>
      <c r="J2055">
        <v>1375</v>
      </c>
      <c r="K2055">
        <v>2</v>
      </c>
      <c r="L2055">
        <v>4</v>
      </c>
      <c r="M2055">
        <v>354</v>
      </c>
      <c r="N2055">
        <v>2</v>
      </c>
      <c r="O2055">
        <v>57</v>
      </c>
      <c r="P2055">
        <v>168</v>
      </c>
      <c r="Q2055">
        <v>40</v>
      </c>
      <c r="R2055">
        <f>SUM(Table13[[#This Row],[Rank_All_Ranks_Total]:[Rank_SSPSPAddlSPCommandant]])</f>
        <v>4362</v>
      </c>
    </row>
    <row r="2056" spans="1:18" x14ac:dyDescent="0.3">
      <c r="A2056" t="s">
        <v>42</v>
      </c>
      <c r="B2056">
        <v>2009</v>
      </c>
      <c r="C2056" t="str">
        <f>_xlfn.CONCAT(Table13[[#This Row],[STATE]],"-",Table13[[#This Row],[Year]])</f>
        <v>Tamil Nadu-2009</v>
      </c>
      <c r="D2056" t="s">
        <v>75</v>
      </c>
      <c r="E2056" t="s">
        <v>76</v>
      </c>
      <c r="F2056">
        <v>89143</v>
      </c>
      <c r="G2056">
        <v>0</v>
      </c>
      <c r="H2056">
        <v>687</v>
      </c>
      <c r="I2056">
        <v>3331</v>
      </c>
      <c r="J2056">
        <v>64484</v>
      </c>
      <c r="K2056">
        <v>18</v>
      </c>
      <c r="L2056">
        <v>18</v>
      </c>
      <c r="M2056">
        <v>9979</v>
      </c>
      <c r="N2056">
        <v>40</v>
      </c>
      <c r="O2056">
        <v>2457</v>
      </c>
      <c r="P2056">
        <v>7919</v>
      </c>
      <c r="Q2056">
        <v>210</v>
      </c>
      <c r="R2056">
        <f>SUM(Table13[[#This Row],[Rank_All_Ranks_Total]:[Rank_SSPSPAddlSPCommandant]])</f>
        <v>178286</v>
      </c>
    </row>
    <row r="2057" spans="1:18" x14ac:dyDescent="0.3">
      <c r="A2057" t="s">
        <v>30</v>
      </c>
      <c r="B2057">
        <v>2009</v>
      </c>
      <c r="C2057" t="str">
        <f>_xlfn.CONCAT(Table13[[#This Row],[STATE]],"-",Table13[[#This Row],[Year]])</f>
        <v>Tripura-2009</v>
      </c>
      <c r="D2057" t="s">
        <v>75</v>
      </c>
      <c r="E2057" t="s">
        <v>76</v>
      </c>
      <c r="F2057">
        <v>11486</v>
      </c>
      <c r="G2057">
        <v>566</v>
      </c>
      <c r="H2057">
        <v>156</v>
      </c>
      <c r="I2057">
        <v>283</v>
      </c>
      <c r="J2057">
        <v>8601</v>
      </c>
      <c r="K2057">
        <v>3</v>
      </c>
      <c r="L2057">
        <v>10</v>
      </c>
      <c r="M2057">
        <v>919</v>
      </c>
      <c r="N2057">
        <v>7</v>
      </c>
      <c r="O2057">
        <v>174</v>
      </c>
      <c r="P2057">
        <v>722</v>
      </c>
      <c r="Q2057">
        <v>45</v>
      </c>
      <c r="R2057">
        <f>SUM(Table13[[#This Row],[Rank_All_Ranks_Total]:[Rank_SSPSPAddlSPCommandant]])</f>
        <v>22972</v>
      </c>
    </row>
    <row r="2058" spans="1:18" x14ac:dyDescent="0.3">
      <c r="A2058" t="s">
        <v>31</v>
      </c>
      <c r="B2058">
        <v>2009</v>
      </c>
      <c r="C2058" t="str">
        <f>_xlfn.CONCAT(Table13[[#This Row],[STATE]],"-",Table13[[#This Row],[Year]])</f>
        <v>Uttar Pradesh-2009</v>
      </c>
      <c r="D2058" t="s">
        <v>75</v>
      </c>
      <c r="E2058" t="s">
        <v>76</v>
      </c>
      <c r="F2058">
        <v>323270</v>
      </c>
      <c r="G2058">
        <v>0</v>
      </c>
      <c r="H2058">
        <v>918</v>
      </c>
      <c r="I2058">
        <v>0</v>
      </c>
      <c r="J2058">
        <v>246267</v>
      </c>
      <c r="K2058">
        <v>34</v>
      </c>
      <c r="L2058">
        <v>56</v>
      </c>
      <c r="M2058">
        <v>57079</v>
      </c>
      <c r="N2058">
        <v>36</v>
      </c>
      <c r="O2058">
        <v>1046</v>
      </c>
      <c r="P2058">
        <v>17593</v>
      </c>
      <c r="Q2058">
        <v>241</v>
      </c>
      <c r="R2058">
        <f>SUM(Table13[[#This Row],[Rank_All_Ranks_Total]:[Rank_SSPSPAddlSPCommandant]])</f>
        <v>646540</v>
      </c>
    </row>
    <row r="2059" spans="1:18" x14ac:dyDescent="0.3">
      <c r="A2059" t="s">
        <v>65</v>
      </c>
      <c r="B2059">
        <v>2009</v>
      </c>
      <c r="C2059" t="str">
        <f>_xlfn.CONCAT(Table13[[#This Row],[STATE]],"-",Table13[[#This Row],[Year]])</f>
        <v>Uttarakhand-2009</v>
      </c>
      <c r="D2059" t="s">
        <v>75</v>
      </c>
      <c r="E2059" t="s">
        <v>76</v>
      </c>
      <c r="F2059">
        <v>14032</v>
      </c>
      <c r="G2059">
        <v>0</v>
      </c>
      <c r="H2059">
        <v>81</v>
      </c>
      <c r="I2059">
        <v>0</v>
      </c>
      <c r="J2059">
        <v>11209</v>
      </c>
      <c r="K2059">
        <v>3</v>
      </c>
      <c r="L2059">
        <v>8</v>
      </c>
      <c r="M2059">
        <v>1700</v>
      </c>
      <c r="N2059">
        <v>5</v>
      </c>
      <c r="O2059">
        <v>177</v>
      </c>
      <c r="P2059">
        <v>802</v>
      </c>
      <c r="Q2059">
        <v>47</v>
      </c>
      <c r="R2059">
        <f>SUM(Table13[[#This Row],[Rank_All_Ranks_Total]:[Rank_SSPSPAddlSPCommandant]])</f>
        <v>28064</v>
      </c>
    </row>
    <row r="2060" spans="1:18" x14ac:dyDescent="0.3">
      <c r="A2060" t="s">
        <v>33</v>
      </c>
      <c r="B2060">
        <v>2009</v>
      </c>
      <c r="C2060" t="str">
        <f>_xlfn.CONCAT(Table13[[#This Row],[STATE]],"-",Table13[[#This Row],[Year]])</f>
        <v>West Bengal-2009</v>
      </c>
      <c r="D2060" t="s">
        <v>75</v>
      </c>
      <c r="E2060" t="s">
        <v>76</v>
      </c>
      <c r="F2060">
        <v>72696</v>
      </c>
      <c r="G2060">
        <v>12538</v>
      </c>
      <c r="H2060">
        <v>359</v>
      </c>
      <c r="I2060">
        <v>0</v>
      </c>
      <c r="J2060">
        <v>50817</v>
      </c>
      <c r="K2060">
        <v>25</v>
      </c>
      <c r="L2060">
        <v>26</v>
      </c>
      <c r="M2060">
        <v>11</v>
      </c>
      <c r="N2060">
        <v>46</v>
      </c>
      <c r="O2060">
        <v>1184</v>
      </c>
      <c r="P2060">
        <v>7585</v>
      </c>
      <c r="Q2060">
        <v>105</v>
      </c>
      <c r="R2060">
        <f>SUM(Table13[[#This Row],[Rank_All_Ranks_Total]:[Rank_SSPSPAddlSPCommandant]])</f>
        <v>145392</v>
      </c>
    </row>
    <row r="2061" spans="1:18" x14ac:dyDescent="0.3">
      <c r="A2061" t="s">
        <v>59</v>
      </c>
      <c r="B2061">
        <v>2010</v>
      </c>
      <c r="C2061" t="str">
        <f>_xlfn.CONCAT(Table13[[#This Row],[STATE]],"-",Table13[[#This Row],[Year]])</f>
        <v>Andaman &amp; Nicobar Islands-2010</v>
      </c>
      <c r="D2061" t="s">
        <v>75</v>
      </c>
      <c r="E2061" t="s">
        <v>76</v>
      </c>
      <c r="F2061">
        <v>3728</v>
      </c>
      <c r="G2061">
        <v>256</v>
      </c>
      <c r="H2061">
        <v>15</v>
      </c>
      <c r="I2061">
        <v>0</v>
      </c>
      <c r="J2061">
        <v>2396</v>
      </c>
      <c r="K2061">
        <v>1</v>
      </c>
      <c r="L2061">
        <v>2</v>
      </c>
      <c r="M2061">
        <v>728</v>
      </c>
      <c r="N2061">
        <v>1</v>
      </c>
      <c r="O2061">
        <v>54</v>
      </c>
      <c r="P2061">
        <v>271</v>
      </c>
      <c r="Q2061">
        <v>4</v>
      </c>
      <c r="R2061">
        <f>SUM(Table13[[#This Row],[Rank_All_Ranks_Total]:[Rank_SSPSPAddlSPCommandant]])</f>
        <v>7456</v>
      </c>
    </row>
    <row r="2062" spans="1:18" x14ac:dyDescent="0.3">
      <c r="A2062" t="s">
        <v>6</v>
      </c>
      <c r="B2062">
        <v>2010</v>
      </c>
      <c r="C2062" t="str">
        <f>_xlfn.CONCAT(Table13[[#This Row],[STATE]],"-",Table13[[#This Row],[Year]])</f>
        <v>Andhra Pradesh-2010</v>
      </c>
      <c r="D2062" t="s">
        <v>75</v>
      </c>
      <c r="E2062" t="s">
        <v>76</v>
      </c>
      <c r="F2062">
        <v>112972</v>
      </c>
      <c r="G2062">
        <v>6095</v>
      </c>
      <c r="H2062">
        <v>509</v>
      </c>
      <c r="I2062">
        <v>0</v>
      </c>
      <c r="J2062">
        <v>78617</v>
      </c>
      <c r="K2062">
        <v>19</v>
      </c>
      <c r="L2062">
        <v>29</v>
      </c>
      <c r="M2062">
        <v>18349</v>
      </c>
      <c r="N2062">
        <v>26</v>
      </c>
      <c r="O2062">
        <v>2243</v>
      </c>
      <c r="P2062">
        <v>6843</v>
      </c>
      <c r="Q2062">
        <v>242</v>
      </c>
      <c r="R2062">
        <f>SUM(Table13[[#This Row],[Rank_All_Ranks_Total]:[Rank_SSPSPAddlSPCommandant]])</f>
        <v>225944</v>
      </c>
    </row>
    <row r="2063" spans="1:18" x14ac:dyDescent="0.3">
      <c r="A2063" t="s">
        <v>7</v>
      </c>
      <c r="B2063">
        <v>2010</v>
      </c>
      <c r="C2063" t="str">
        <f>_xlfn.CONCAT(Table13[[#This Row],[STATE]],"-",Table13[[#This Row],[Year]])</f>
        <v>Arunachal Pradesh-2010</v>
      </c>
      <c r="D2063" t="s">
        <v>75</v>
      </c>
      <c r="E2063" t="s">
        <v>76</v>
      </c>
      <c r="F2063">
        <v>3587</v>
      </c>
      <c r="G2063">
        <v>176</v>
      </c>
      <c r="H2063">
        <v>46</v>
      </c>
      <c r="I2063">
        <v>0</v>
      </c>
      <c r="J2063">
        <v>2495</v>
      </c>
      <c r="K2063">
        <v>1</v>
      </c>
      <c r="L2063">
        <v>4</v>
      </c>
      <c r="M2063">
        <v>416</v>
      </c>
      <c r="N2063">
        <v>1</v>
      </c>
      <c r="O2063">
        <v>71</v>
      </c>
      <c r="P2063">
        <v>352</v>
      </c>
      <c r="Q2063">
        <v>25</v>
      </c>
      <c r="R2063">
        <f>SUM(Table13[[#This Row],[Rank_All_Ranks_Total]:[Rank_SSPSPAddlSPCommandant]])</f>
        <v>7174</v>
      </c>
    </row>
    <row r="2064" spans="1:18" x14ac:dyDescent="0.3">
      <c r="A2064" t="s">
        <v>8</v>
      </c>
      <c r="B2064">
        <v>2010</v>
      </c>
      <c r="C2064" t="str">
        <f>_xlfn.CONCAT(Table13[[#This Row],[STATE]],"-",Table13[[#This Row],[Year]])</f>
        <v>Assam-2010</v>
      </c>
      <c r="D2064" t="s">
        <v>75</v>
      </c>
      <c r="E2064" t="s">
        <v>76</v>
      </c>
      <c r="F2064">
        <v>30040</v>
      </c>
      <c r="G2064">
        <v>1789</v>
      </c>
      <c r="H2064">
        <v>161</v>
      </c>
      <c r="I2064">
        <v>901</v>
      </c>
      <c r="J2064">
        <v>21969</v>
      </c>
      <c r="K2064">
        <v>11</v>
      </c>
      <c r="L2064">
        <v>16</v>
      </c>
      <c r="M2064">
        <v>1826</v>
      </c>
      <c r="N2064">
        <v>14</v>
      </c>
      <c r="O2064">
        <v>487</v>
      </c>
      <c r="P2064">
        <v>2732</v>
      </c>
      <c r="Q2064">
        <v>134</v>
      </c>
      <c r="R2064">
        <f>SUM(Table13[[#This Row],[Rank_All_Ranks_Total]:[Rank_SSPSPAddlSPCommandant]])</f>
        <v>60080</v>
      </c>
    </row>
    <row r="2065" spans="1:18" x14ac:dyDescent="0.3">
      <c r="A2065" t="s">
        <v>9</v>
      </c>
      <c r="B2065">
        <v>2010</v>
      </c>
      <c r="C2065" t="str">
        <f>_xlfn.CONCAT(Table13[[#This Row],[STATE]],"-",Table13[[#This Row],[Year]])</f>
        <v>Bihar-2010</v>
      </c>
      <c r="D2065" t="s">
        <v>75</v>
      </c>
      <c r="E2065" t="s">
        <v>76</v>
      </c>
      <c r="F2065">
        <v>67619</v>
      </c>
      <c r="G2065">
        <v>4808</v>
      </c>
      <c r="H2065">
        <v>380</v>
      </c>
      <c r="I2065">
        <v>0</v>
      </c>
      <c r="J2065">
        <v>44122</v>
      </c>
      <c r="K2065">
        <v>8</v>
      </c>
      <c r="L2065">
        <v>25</v>
      </c>
      <c r="M2065">
        <v>8674</v>
      </c>
      <c r="N2065">
        <v>16</v>
      </c>
      <c r="O2065">
        <v>792</v>
      </c>
      <c r="P2065">
        <v>8690</v>
      </c>
      <c r="Q2065">
        <v>104</v>
      </c>
      <c r="R2065">
        <f>SUM(Table13[[#This Row],[Rank_All_Ranks_Total]:[Rank_SSPSPAddlSPCommandant]])</f>
        <v>135238</v>
      </c>
    </row>
    <row r="2066" spans="1:18" x14ac:dyDescent="0.3">
      <c r="A2066" t="s">
        <v>35</v>
      </c>
      <c r="B2066">
        <v>2010</v>
      </c>
      <c r="C2066" t="str">
        <f>_xlfn.CONCAT(Table13[[#This Row],[STATE]],"-",Table13[[#This Row],[Year]])</f>
        <v>Chandigarh-2010</v>
      </c>
      <c r="D2066" t="s">
        <v>75</v>
      </c>
      <c r="E2066" t="s">
        <v>76</v>
      </c>
      <c r="F2066">
        <v>5794</v>
      </c>
      <c r="G2066">
        <v>257</v>
      </c>
      <c r="H2066">
        <v>14</v>
      </c>
      <c r="I2066">
        <v>0</v>
      </c>
      <c r="J2066">
        <v>3873</v>
      </c>
      <c r="K2066">
        <v>0</v>
      </c>
      <c r="L2066">
        <v>1</v>
      </c>
      <c r="M2066">
        <v>1275</v>
      </c>
      <c r="N2066">
        <v>1</v>
      </c>
      <c r="O2066">
        <v>55</v>
      </c>
      <c r="P2066">
        <v>314</v>
      </c>
      <c r="Q2066">
        <v>4</v>
      </c>
      <c r="R2066">
        <f>SUM(Table13[[#This Row],[Rank_All_Ranks_Total]:[Rank_SSPSPAddlSPCommandant]])</f>
        <v>11588</v>
      </c>
    </row>
    <row r="2067" spans="1:18" x14ac:dyDescent="0.3">
      <c r="A2067" t="s">
        <v>10</v>
      </c>
      <c r="B2067">
        <v>2010</v>
      </c>
      <c r="C2067" t="str">
        <f>_xlfn.CONCAT(Table13[[#This Row],[STATE]],"-",Table13[[#This Row],[Year]])</f>
        <v>Chhattisgarh-2010</v>
      </c>
      <c r="D2067" t="s">
        <v>75</v>
      </c>
      <c r="E2067" t="s">
        <v>76</v>
      </c>
      <c r="F2067">
        <v>25716</v>
      </c>
      <c r="G2067">
        <v>1330</v>
      </c>
      <c r="H2067">
        <v>261</v>
      </c>
      <c r="I2067">
        <v>0</v>
      </c>
      <c r="J2067">
        <v>18427</v>
      </c>
      <c r="K2067">
        <v>8</v>
      </c>
      <c r="L2067">
        <v>14</v>
      </c>
      <c r="M2067">
        <v>3889</v>
      </c>
      <c r="N2067">
        <v>16</v>
      </c>
      <c r="O2067">
        <v>492</v>
      </c>
      <c r="P2067">
        <v>1201</v>
      </c>
      <c r="Q2067">
        <v>78</v>
      </c>
      <c r="R2067">
        <f>SUM(Table13[[#This Row],[Rank_All_Ranks_Total]:[Rank_SSPSPAddlSPCommandant]])</f>
        <v>51432</v>
      </c>
    </row>
    <row r="2068" spans="1:18" x14ac:dyDescent="0.3">
      <c r="A2068" t="s">
        <v>62</v>
      </c>
      <c r="B2068">
        <v>2010</v>
      </c>
      <c r="C2068" t="str">
        <f>_xlfn.CONCAT(Table13[[#This Row],[STATE]],"-",Table13[[#This Row],[Year]])</f>
        <v>Dadra &amp; Nagar Haveli-2010</v>
      </c>
      <c r="D2068" t="s">
        <v>75</v>
      </c>
      <c r="E2068" t="s">
        <v>76</v>
      </c>
      <c r="F2068">
        <v>315</v>
      </c>
      <c r="G2068">
        <v>8</v>
      </c>
      <c r="H2068">
        <v>1</v>
      </c>
      <c r="I2068">
        <v>0</v>
      </c>
      <c r="J2068">
        <v>201</v>
      </c>
      <c r="K2068">
        <v>0</v>
      </c>
      <c r="L2068">
        <v>0</v>
      </c>
      <c r="M2068">
        <v>84</v>
      </c>
      <c r="N2068">
        <v>0</v>
      </c>
      <c r="O2068">
        <v>3</v>
      </c>
      <c r="P2068">
        <v>16</v>
      </c>
      <c r="Q2068">
        <v>2</v>
      </c>
      <c r="R2068">
        <f>SUM(Table13[[#This Row],[Rank_All_Ranks_Total]:[Rank_SSPSPAddlSPCommandant]])</f>
        <v>630</v>
      </c>
    </row>
    <row r="2069" spans="1:18" x14ac:dyDescent="0.3">
      <c r="A2069" t="s">
        <v>37</v>
      </c>
      <c r="B2069">
        <v>2010</v>
      </c>
      <c r="C2069" t="str">
        <f>_xlfn.CONCAT(Table13[[#This Row],[STATE]],"-",Table13[[#This Row],[Year]])</f>
        <v>Daman &amp; Diu-2010</v>
      </c>
      <c r="D2069" t="s">
        <v>75</v>
      </c>
      <c r="E2069" t="s">
        <v>76</v>
      </c>
      <c r="F2069">
        <v>245</v>
      </c>
      <c r="G2069">
        <v>9</v>
      </c>
      <c r="H2069">
        <v>2</v>
      </c>
      <c r="I2069">
        <v>0</v>
      </c>
      <c r="J2069">
        <v>178</v>
      </c>
      <c r="K2069">
        <v>0</v>
      </c>
      <c r="L2069">
        <v>1</v>
      </c>
      <c r="M2069">
        <v>40</v>
      </c>
      <c r="N2069">
        <v>0</v>
      </c>
      <c r="O2069">
        <v>3</v>
      </c>
      <c r="P2069">
        <v>10</v>
      </c>
      <c r="Q2069">
        <v>2</v>
      </c>
      <c r="R2069">
        <f>SUM(Table13[[#This Row],[Rank_All_Ranks_Total]:[Rank_SSPSPAddlSPCommandant]])</f>
        <v>490</v>
      </c>
    </row>
    <row r="2070" spans="1:18" x14ac:dyDescent="0.3">
      <c r="A2070" t="s">
        <v>38</v>
      </c>
      <c r="B2070">
        <v>2010</v>
      </c>
      <c r="C2070" t="str">
        <f>_xlfn.CONCAT(Table13[[#This Row],[STATE]],"-",Table13[[#This Row],[Year]])</f>
        <v>Delhi-2010</v>
      </c>
      <c r="D2070" t="s">
        <v>75</v>
      </c>
      <c r="E2070" t="s">
        <v>76</v>
      </c>
      <c r="F2070">
        <v>73558</v>
      </c>
      <c r="G2070">
        <v>6521</v>
      </c>
      <c r="H2070">
        <v>290</v>
      </c>
      <c r="I2070">
        <v>0</v>
      </c>
      <c r="J2070">
        <v>41483</v>
      </c>
      <c r="K2070">
        <v>11</v>
      </c>
      <c r="L2070">
        <v>19</v>
      </c>
      <c r="M2070">
        <v>18921</v>
      </c>
      <c r="N2070">
        <v>20</v>
      </c>
      <c r="O2070">
        <v>1257</v>
      </c>
      <c r="P2070">
        <v>4958</v>
      </c>
      <c r="Q2070">
        <v>78</v>
      </c>
      <c r="R2070">
        <f>SUM(Table13[[#This Row],[Rank_All_Ranks_Total]:[Rank_SSPSPAddlSPCommandant]])</f>
        <v>147116</v>
      </c>
    </row>
    <row r="2071" spans="1:18" x14ac:dyDescent="0.3">
      <c r="A2071" t="s">
        <v>11</v>
      </c>
      <c r="B2071">
        <v>2010</v>
      </c>
      <c r="C2071" t="str">
        <f>_xlfn.CONCAT(Table13[[#This Row],[STATE]],"-",Table13[[#This Row],[Year]])</f>
        <v>Goa-2010</v>
      </c>
      <c r="D2071" t="s">
        <v>75</v>
      </c>
      <c r="E2071" t="s">
        <v>76</v>
      </c>
      <c r="F2071">
        <v>4320</v>
      </c>
      <c r="G2071">
        <v>183</v>
      </c>
      <c r="H2071">
        <v>25</v>
      </c>
      <c r="I2071">
        <v>0</v>
      </c>
      <c r="J2071">
        <v>3049</v>
      </c>
      <c r="K2071">
        <v>1</v>
      </c>
      <c r="L2071">
        <v>1</v>
      </c>
      <c r="M2071">
        <v>811</v>
      </c>
      <c r="N2071">
        <v>1</v>
      </c>
      <c r="O2071">
        <v>61</v>
      </c>
      <c r="P2071">
        <v>178</v>
      </c>
      <c r="Q2071">
        <v>10</v>
      </c>
      <c r="R2071">
        <f>SUM(Table13[[#This Row],[Rank_All_Ranks_Total]:[Rank_SSPSPAddlSPCommandant]])</f>
        <v>8640</v>
      </c>
    </row>
    <row r="2072" spans="1:18" x14ac:dyDescent="0.3">
      <c r="A2072" t="s">
        <v>12</v>
      </c>
      <c r="B2072">
        <v>2010</v>
      </c>
      <c r="C2072" t="str">
        <f>_xlfn.CONCAT(Table13[[#This Row],[STATE]],"-",Table13[[#This Row],[Year]])</f>
        <v>Gujarat-2010</v>
      </c>
      <c r="D2072" t="s">
        <v>75</v>
      </c>
      <c r="E2072" t="s">
        <v>76</v>
      </c>
      <c r="F2072">
        <v>62383</v>
      </c>
      <c r="G2072">
        <v>7640</v>
      </c>
      <c r="H2072">
        <v>222</v>
      </c>
      <c r="I2072">
        <v>0</v>
      </c>
      <c r="J2072">
        <v>39996</v>
      </c>
      <c r="K2072">
        <v>20</v>
      </c>
      <c r="L2072">
        <v>27</v>
      </c>
      <c r="M2072">
        <v>10962</v>
      </c>
      <c r="N2072">
        <v>27</v>
      </c>
      <c r="O2072">
        <v>853</v>
      </c>
      <c r="P2072">
        <v>2561</v>
      </c>
      <c r="Q2072">
        <v>75</v>
      </c>
      <c r="R2072">
        <f>SUM(Table13[[#This Row],[Rank_All_Ranks_Total]:[Rank_SSPSPAddlSPCommandant]])</f>
        <v>124766</v>
      </c>
    </row>
    <row r="2073" spans="1:18" x14ac:dyDescent="0.3">
      <c r="A2073" t="s">
        <v>13</v>
      </c>
      <c r="B2073">
        <v>2010</v>
      </c>
      <c r="C2073" t="str">
        <f>_xlfn.CONCAT(Table13[[#This Row],[STATE]],"-",Table13[[#This Row],[Year]])</f>
        <v>Haryana-2010</v>
      </c>
      <c r="D2073" t="s">
        <v>75</v>
      </c>
      <c r="E2073" t="s">
        <v>76</v>
      </c>
      <c r="F2073">
        <v>48300</v>
      </c>
      <c r="G2073">
        <v>4287</v>
      </c>
      <c r="H2073">
        <v>191</v>
      </c>
      <c r="I2073">
        <v>0</v>
      </c>
      <c r="J2073">
        <v>33776</v>
      </c>
      <c r="K2073">
        <v>16</v>
      </c>
      <c r="L2073">
        <v>12</v>
      </c>
      <c r="M2073">
        <v>7692</v>
      </c>
      <c r="N2073">
        <v>18</v>
      </c>
      <c r="O2073">
        <v>660</v>
      </c>
      <c r="P2073">
        <v>1590</v>
      </c>
      <c r="Q2073">
        <v>58</v>
      </c>
      <c r="R2073">
        <f>SUM(Table13[[#This Row],[Rank_All_Ranks_Total]:[Rank_SSPSPAddlSPCommandant]])</f>
        <v>96600</v>
      </c>
    </row>
    <row r="2074" spans="1:18" x14ac:dyDescent="0.3">
      <c r="A2074" t="s">
        <v>14</v>
      </c>
      <c r="B2074">
        <v>2010</v>
      </c>
      <c r="C2074" t="str">
        <f>_xlfn.CONCAT(Table13[[#This Row],[STATE]],"-",Table13[[#This Row],[Year]])</f>
        <v>Himachal Pradesh-2010</v>
      </c>
      <c r="D2074" t="s">
        <v>75</v>
      </c>
      <c r="E2074" t="s">
        <v>76</v>
      </c>
      <c r="F2074">
        <v>10701</v>
      </c>
      <c r="G2074">
        <v>986</v>
      </c>
      <c r="H2074">
        <v>59</v>
      </c>
      <c r="I2074">
        <v>0</v>
      </c>
      <c r="J2074">
        <v>7179</v>
      </c>
      <c r="K2074">
        <v>1</v>
      </c>
      <c r="L2074">
        <v>8</v>
      </c>
      <c r="M2074">
        <v>1721</v>
      </c>
      <c r="N2074">
        <v>5</v>
      </c>
      <c r="O2074">
        <v>209</v>
      </c>
      <c r="P2074">
        <v>497</v>
      </c>
      <c r="Q2074">
        <v>36</v>
      </c>
      <c r="R2074">
        <f>SUM(Table13[[#This Row],[Rank_All_Ranks_Total]:[Rank_SSPSPAddlSPCommandant]])</f>
        <v>21402</v>
      </c>
    </row>
    <row r="2075" spans="1:18" x14ac:dyDescent="0.3">
      <c r="A2075" t="s">
        <v>15</v>
      </c>
      <c r="B2075">
        <v>2010</v>
      </c>
      <c r="C2075" t="str">
        <f>_xlfn.CONCAT(Table13[[#This Row],[STATE]],"-",Table13[[#This Row],[Year]])</f>
        <v>Jammu &amp; Kashmir-2010</v>
      </c>
      <c r="D2075" t="s">
        <v>75</v>
      </c>
      <c r="E2075" t="s">
        <v>76</v>
      </c>
      <c r="F2075">
        <v>50932</v>
      </c>
      <c r="G2075">
        <v>3305</v>
      </c>
      <c r="H2075">
        <v>322</v>
      </c>
      <c r="I2075">
        <v>8551</v>
      </c>
      <c r="J2075">
        <v>27374</v>
      </c>
      <c r="K2075">
        <v>5</v>
      </c>
      <c r="L2075">
        <v>20</v>
      </c>
      <c r="M2075">
        <v>8184</v>
      </c>
      <c r="N2075">
        <v>11</v>
      </c>
      <c r="O2075">
        <v>724</v>
      </c>
      <c r="P2075">
        <v>2315</v>
      </c>
      <c r="Q2075">
        <v>121</v>
      </c>
      <c r="R2075">
        <f>SUM(Table13[[#This Row],[Rank_All_Ranks_Total]:[Rank_SSPSPAddlSPCommandant]])</f>
        <v>101864</v>
      </c>
    </row>
    <row r="2076" spans="1:18" x14ac:dyDescent="0.3">
      <c r="A2076" t="s">
        <v>16</v>
      </c>
      <c r="B2076">
        <v>2010</v>
      </c>
      <c r="C2076" t="str">
        <f>_xlfn.CONCAT(Table13[[#This Row],[STATE]],"-",Table13[[#This Row],[Year]])</f>
        <v>Jharkhand-2010</v>
      </c>
      <c r="D2076" t="s">
        <v>75</v>
      </c>
      <c r="E2076" t="s">
        <v>76</v>
      </c>
      <c r="F2076">
        <v>49021</v>
      </c>
      <c r="G2076">
        <v>3498</v>
      </c>
      <c r="H2076">
        <v>200</v>
      </c>
      <c r="I2076">
        <v>0</v>
      </c>
      <c r="J2076">
        <v>34112</v>
      </c>
      <c r="K2076">
        <v>5</v>
      </c>
      <c r="L2076">
        <v>31</v>
      </c>
      <c r="M2076">
        <v>7300</v>
      </c>
      <c r="N2076">
        <v>13</v>
      </c>
      <c r="O2076">
        <v>517</v>
      </c>
      <c r="P2076">
        <v>3315</v>
      </c>
      <c r="Q2076">
        <v>30</v>
      </c>
      <c r="R2076">
        <f>SUM(Table13[[#This Row],[Rank_All_Ranks_Total]:[Rank_SSPSPAddlSPCommandant]])</f>
        <v>98042</v>
      </c>
    </row>
    <row r="2077" spans="1:18" x14ac:dyDescent="0.3">
      <c r="A2077" t="s">
        <v>17</v>
      </c>
      <c r="B2077">
        <v>2010</v>
      </c>
      <c r="C2077" t="str">
        <f>_xlfn.CONCAT(Table13[[#This Row],[STATE]],"-",Table13[[#This Row],[Year]])</f>
        <v>Karnataka-2010</v>
      </c>
      <c r="D2077" t="s">
        <v>75</v>
      </c>
      <c r="E2077" t="s">
        <v>76</v>
      </c>
      <c r="F2077">
        <v>77799</v>
      </c>
      <c r="G2077">
        <v>3931</v>
      </c>
      <c r="H2077">
        <v>376</v>
      </c>
      <c r="I2077">
        <v>0</v>
      </c>
      <c r="J2077">
        <v>49892</v>
      </c>
      <c r="K2077">
        <v>27</v>
      </c>
      <c r="L2077">
        <v>21</v>
      </c>
      <c r="M2077">
        <v>19019</v>
      </c>
      <c r="N2077">
        <v>29</v>
      </c>
      <c r="O2077">
        <v>1025</v>
      </c>
      <c r="P2077">
        <v>3334</v>
      </c>
      <c r="Q2077">
        <v>145</v>
      </c>
      <c r="R2077">
        <f>SUM(Table13[[#This Row],[Rank_All_Ranks_Total]:[Rank_SSPSPAddlSPCommandant]])</f>
        <v>155598</v>
      </c>
    </row>
    <row r="2078" spans="1:18" x14ac:dyDescent="0.3">
      <c r="A2078" t="s">
        <v>18</v>
      </c>
      <c r="B2078">
        <v>2010</v>
      </c>
      <c r="C2078" t="str">
        <f>_xlfn.CONCAT(Table13[[#This Row],[STATE]],"-",Table13[[#This Row],[Year]])</f>
        <v>Kerala-2010</v>
      </c>
      <c r="D2078" t="s">
        <v>75</v>
      </c>
      <c r="E2078" t="s">
        <v>76</v>
      </c>
      <c r="F2078">
        <v>39703</v>
      </c>
      <c r="G2078">
        <v>1505</v>
      </c>
      <c r="H2078">
        <v>293</v>
      </c>
      <c r="I2078">
        <v>0</v>
      </c>
      <c r="J2078">
        <v>27940</v>
      </c>
      <c r="K2078">
        <v>8</v>
      </c>
      <c r="L2078">
        <v>10</v>
      </c>
      <c r="M2078">
        <v>7530</v>
      </c>
      <c r="N2078">
        <v>13</v>
      </c>
      <c r="O2078">
        <v>430</v>
      </c>
      <c r="P2078">
        <v>1917</v>
      </c>
      <c r="Q2078">
        <v>57</v>
      </c>
      <c r="R2078">
        <f>SUM(Table13[[#This Row],[Rank_All_Ranks_Total]:[Rank_SSPSPAddlSPCommandant]])</f>
        <v>79406</v>
      </c>
    </row>
    <row r="2079" spans="1:18" x14ac:dyDescent="0.3">
      <c r="A2079" t="s">
        <v>39</v>
      </c>
      <c r="B2079">
        <v>2010</v>
      </c>
      <c r="C2079" t="str">
        <f>_xlfn.CONCAT(Table13[[#This Row],[STATE]],"-",Table13[[#This Row],[Year]])</f>
        <v>Lakshadweep-2010</v>
      </c>
      <c r="D2079" t="s">
        <v>75</v>
      </c>
      <c r="E2079" t="s">
        <v>76</v>
      </c>
      <c r="F2079">
        <v>556</v>
      </c>
      <c r="G2079">
        <v>43</v>
      </c>
      <c r="H2079">
        <v>1</v>
      </c>
      <c r="I2079">
        <v>0</v>
      </c>
      <c r="J2079">
        <v>332</v>
      </c>
      <c r="K2079">
        <v>0</v>
      </c>
      <c r="L2079">
        <v>0</v>
      </c>
      <c r="M2079">
        <v>137</v>
      </c>
      <c r="N2079">
        <v>0</v>
      </c>
      <c r="O2079">
        <v>10</v>
      </c>
      <c r="P2079">
        <v>32</v>
      </c>
      <c r="Q2079">
        <v>1</v>
      </c>
      <c r="R2079">
        <f>SUM(Table13[[#This Row],[Rank_All_Ranks_Total]:[Rank_SSPSPAddlSPCommandant]])</f>
        <v>1112</v>
      </c>
    </row>
    <row r="2080" spans="1:18" x14ac:dyDescent="0.3">
      <c r="A2080" t="s">
        <v>19</v>
      </c>
      <c r="B2080">
        <v>2010</v>
      </c>
      <c r="C2080" t="str">
        <f>_xlfn.CONCAT(Table13[[#This Row],[STATE]],"-",Table13[[#This Row],[Year]])</f>
        <v>Madhya Pradesh-2010</v>
      </c>
      <c r="D2080" t="s">
        <v>75</v>
      </c>
      <c r="E2080" t="s">
        <v>76</v>
      </c>
      <c r="F2080">
        <v>58371</v>
      </c>
      <c r="G2080">
        <v>4592</v>
      </c>
      <c r="H2080">
        <v>580</v>
      </c>
      <c r="I2080">
        <v>0</v>
      </c>
      <c r="J2080">
        <v>37698</v>
      </c>
      <c r="K2080">
        <v>9</v>
      </c>
      <c r="L2080">
        <v>22</v>
      </c>
      <c r="M2080">
        <v>10844</v>
      </c>
      <c r="N2080">
        <v>19</v>
      </c>
      <c r="O2080">
        <v>1239</v>
      </c>
      <c r="P2080">
        <v>3218</v>
      </c>
      <c r="Q2080">
        <v>150</v>
      </c>
      <c r="R2080">
        <f>SUM(Table13[[#This Row],[Rank_All_Ranks_Total]:[Rank_SSPSPAddlSPCommandant]])</f>
        <v>116742</v>
      </c>
    </row>
    <row r="2081" spans="1:18" x14ac:dyDescent="0.3">
      <c r="A2081" t="s">
        <v>20</v>
      </c>
      <c r="B2081">
        <v>2010</v>
      </c>
      <c r="C2081" t="str">
        <f>_xlfn.CONCAT(Table13[[#This Row],[STATE]],"-",Table13[[#This Row],[Year]])</f>
        <v>Maharashtra-2010</v>
      </c>
      <c r="D2081" t="s">
        <v>75</v>
      </c>
      <c r="E2081" t="s">
        <v>76</v>
      </c>
      <c r="F2081">
        <v>179245</v>
      </c>
      <c r="G2081">
        <v>15464</v>
      </c>
      <c r="H2081">
        <v>675</v>
      </c>
      <c r="I2081">
        <v>33967</v>
      </c>
      <c r="J2081">
        <v>77198</v>
      </c>
      <c r="K2081">
        <v>26</v>
      </c>
      <c r="L2081">
        <v>41</v>
      </c>
      <c r="M2081">
        <v>35805</v>
      </c>
      <c r="N2081">
        <v>38</v>
      </c>
      <c r="O2081">
        <v>3237</v>
      </c>
      <c r="P2081">
        <v>12544</v>
      </c>
      <c r="Q2081">
        <v>250</v>
      </c>
      <c r="R2081">
        <f>SUM(Table13[[#This Row],[Rank_All_Ranks_Total]:[Rank_SSPSPAddlSPCommandant]])</f>
        <v>358490</v>
      </c>
    </row>
    <row r="2082" spans="1:18" x14ac:dyDescent="0.3">
      <c r="A2082" t="s">
        <v>21</v>
      </c>
      <c r="B2082">
        <v>2010</v>
      </c>
      <c r="C2082" t="str">
        <f>_xlfn.CONCAT(Table13[[#This Row],[STATE]],"-",Table13[[#This Row],[Year]])</f>
        <v>Manipur-2010</v>
      </c>
      <c r="D2082" t="s">
        <v>75</v>
      </c>
      <c r="E2082" t="s">
        <v>76</v>
      </c>
      <c r="F2082">
        <v>17035</v>
      </c>
      <c r="G2082">
        <v>1288</v>
      </c>
      <c r="H2082">
        <v>97</v>
      </c>
      <c r="I2082">
        <v>0</v>
      </c>
      <c r="J2082">
        <v>12558</v>
      </c>
      <c r="K2082">
        <v>5</v>
      </c>
      <c r="L2082">
        <v>11</v>
      </c>
      <c r="M2082">
        <v>1628</v>
      </c>
      <c r="N2082">
        <v>10</v>
      </c>
      <c r="O2082">
        <v>323</v>
      </c>
      <c r="P2082">
        <v>1070</v>
      </c>
      <c r="Q2082">
        <v>45</v>
      </c>
      <c r="R2082">
        <f>SUM(Table13[[#This Row],[Rank_All_Ranks_Total]:[Rank_SSPSPAddlSPCommandant]])</f>
        <v>34070</v>
      </c>
    </row>
    <row r="2083" spans="1:18" x14ac:dyDescent="0.3">
      <c r="A2083" t="s">
        <v>22</v>
      </c>
      <c r="B2083">
        <v>2010</v>
      </c>
      <c r="C2083" t="str">
        <f>_xlfn.CONCAT(Table13[[#This Row],[STATE]],"-",Table13[[#This Row],[Year]])</f>
        <v>Meghalaya-2010</v>
      </c>
      <c r="D2083" t="s">
        <v>75</v>
      </c>
      <c r="E2083" t="s">
        <v>76</v>
      </c>
      <c r="F2083">
        <v>6429</v>
      </c>
      <c r="G2083">
        <v>116</v>
      </c>
      <c r="H2083">
        <v>30</v>
      </c>
      <c r="I2083">
        <v>147</v>
      </c>
      <c r="J2083">
        <v>4754</v>
      </c>
      <c r="K2083">
        <v>6</v>
      </c>
      <c r="L2083">
        <v>6</v>
      </c>
      <c r="M2083">
        <v>530</v>
      </c>
      <c r="N2083">
        <v>8</v>
      </c>
      <c r="O2083">
        <v>124</v>
      </c>
      <c r="P2083">
        <v>682</v>
      </c>
      <c r="Q2083">
        <v>26</v>
      </c>
      <c r="R2083">
        <f>SUM(Table13[[#This Row],[Rank_All_Ranks_Total]:[Rank_SSPSPAddlSPCommandant]])</f>
        <v>12858</v>
      </c>
    </row>
    <row r="2084" spans="1:18" x14ac:dyDescent="0.3">
      <c r="A2084" t="s">
        <v>23</v>
      </c>
      <c r="B2084">
        <v>2010</v>
      </c>
      <c r="C2084" t="str">
        <f>_xlfn.CONCAT(Table13[[#This Row],[STATE]],"-",Table13[[#This Row],[Year]])</f>
        <v>Mizoram-2010</v>
      </c>
      <c r="D2084" t="s">
        <v>75</v>
      </c>
      <c r="E2084" t="s">
        <v>76</v>
      </c>
      <c r="F2084">
        <v>3765</v>
      </c>
      <c r="G2084">
        <v>494</v>
      </c>
      <c r="H2084">
        <v>45</v>
      </c>
      <c r="I2084">
        <v>307</v>
      </c>
      <c r="J2084">
        <v>1491</v>
      </c>
      <c r="K2084">
        <v>2</v>
      </c>
      <c r="L2084">
        <v>7</v>
      </c>
      <c r="M2084">
        <v>741</v>
      </c>
      <c r="N2084">
        <v>0</v>
      </c>
      <c r="O2084">
        <v>156</v>
      </c>
      <c r="P2084">
        <v>483</v>
      </c>
      <c r="Q2084">
        <v>39</v>
      </c>
      <c r="R2084">
        <f>SUM(Table13[[#This Row],[Rank_All_Ranks_Total]:[Rank_SSPSPAddlSPCommandant]])</f>
        <v>7530</v>
      </c>
    </row>
    <row r="2085" spans="1:18" x14ac:dyDescent="0.3">
      <c r="A2085" t="s">
        <v>24</v>
      </c>
      <c r="B2085">
        <v>2010</v>
      </c>
      <c r="C2085" t="str">
        <f>_xlfn.CONCAT(Table13[[#This Row],[STATE]],"-",Table13[[#This Row],[Year]])</f>
        <v>Nagaland-2010</v>
      </c>
      <c r="D2085" t="s">
        <v>75</v>
      </c>
      <c r="E2085" t="s">
        <v>76</v>
      </c>
      <c r="F2085">
        <v>6013</v>
      </c>
      <c r="G2085">
        <v>229</v>
      </c>
      <c r="H2085">
        <v>36</v>
      </c>
      <c r="I2085">
        <v>548</v>
      </c>
      <c r="J2085">
        <v>4403</v>
      </c>
      <c r="K2085">
        <v>4</v>
      </c>
      <c r="L2085">
        <v>11</v>
      </c>
      <c r="M2085">
        <v>443</v>
      </c>
      <c r="N2085">
        <v>7</v>
      </c>
      <c r="O2085">
        <v>54</v>
      </c>
      <c r="P2085">
        <v>236</v>
      </c>
      <c r="Q2085">
        <v>42</v>
      </c>
      <c r="R2085">
        <f>SUM(Table13[[#This Row],[Rank_All_Ranks_Total]:[Rank_SSPSPAddlSPCommandant]])</f>
        <v>12026</v>
      </c>
    </row>
    <row r="2086" spans="1:18" x14ac:dyDescent="0.3">
      <c r="A2086" t="s">
        <v>63</v>
      </c>
      <c r="B2086">
        <v>2010</v>
      </c>
      <c r="C2086" t="str">
        <f>_xlfn.CONCAT(Table13[[#This Row],[STATE]],"-",Table13[[#This Row],[Year]])</f>
        <v>Odisha-2010</v>
      </c>
      <c r="D2086" t="s">
        <v>75</v>
      </c>
      <c r="E2086" t="s">
        <v>76</v>
      </c>
      <c r="F2086">
        <v>33158</v>
      </c>
      <c r="G2086">
        <v>4549</v>
      </c>
      <c r="H2086">
        <v>382</v>
      </c>
      <c r="I2086">
        <v>333</v>
      </c>
      <c r="J2086">
        <v>21160</v>
      </c>
      <c r="K2086">
        <v>7</v>
      </c>
      <c r="L2086">
        <v>17</v>
      </c>
      <c r="M2086">
        <v>2934</v>
      </c>
      <c r="N2086">
        <v>21</v>
      </c>
      <c r="O2086">
        <v>933</v>
      </c>
      <c r="P2086">
        <v>2663</v>
      </c>
      <c r="Q2086">
        <v>159</v>
      </c>
      <c r="R2086">
        <f>SUM(Table13[[#This Row],[Rank_All_Ranks_Total]:[Rank_SSPSPAddlSPCommandant]])</f>
        <v>66316</v>
      </c>
    </row>
    <row r="2087" spans="1:18" x14ac:dyDescent="0.3">
      <c r="A2087" t="s">
        <v>64</v>
      </c>
      <c r="B2087">
        <v>2010</v>
      </c>
      <c r="C2087" t="str">
        <f>_xlfn.CONCAT(Table13[[#This Row],[STATE]],"-",Table13[[#This Row],[Year]])</f>
        <v>Puducherry-2010</v>
      </c>
      <c r="D2087" t="s">
        <v>75</v>
      </c>
      <c r="E2087" t="s">
        <v>76</v>
      </c>
      <c r="F2087">
        <v>2410</v>
      </c>
      <c r="G2087">
        <v>83</v>
      </c>
      <c r="H2087">
        <v>19</v>
      </c>
      <c r="I2087">
        <v>0</v>
      </c>
      <c r="J2087">
        <v>1521</v>
      </c>
      <c r="K2087">
        <v>0</v>
      </c>
      <c r="L2087">
        <v>1</v>
      </c>
      <c r="M2087">
        <v>488</v>
      </c>
      <c r="N2087">
        <v>1</v>
      </c>
      <c r="O2087">
        <v>65</v>
      </c>
      <c r="P2087">
        <v>230</v>
      </c>
      <c r="Q2087">
        <v>2</v>
      </c>
      <c r="R2087">
        <f>SUM(Table13[[#This Row],[Rank_All_Ranks_Total]:[Rank_SSPSPAddlSPCommandant]])</f>
        <v>4820</v>
      </c>
    </row>
    <row r="2088" spans="1:18" x14ac:dyDescent="0.3">
      <c r="A2088" t="s">
        <v>26</v>
      </c>
      <c r="B2088">
        <v>2010</v>
      </c>
      <c r="C2088" t="str">
        <f>_xlfn.CONCAT(Table13[[#This Row],[STATE]],"-",Table13[[#This Row],[Year]])</f>
        <v>Punjab-2010</v>
      </c>
      <c r="D2088" t="s">
        <v>75</v>
      </c>
      <c r="E2088" t="s">
        <v>76</v>
      </c>
      <c r="F2088">
        <v>59902</v>
      </c>
      <c r="G2088">
        <v>4425</v>
      </c>
      <c r="H2088">
        <v>278</v>
      </c>
      <c r="I2088">
        <v>0</v>
      </c>
      <c r="J2088">
        <v>42754</v>
      </c>
      <c r="K2088">
        <v>11</v>
      </c>
      <c r="L2088">
        <v>20</v>
      </c>
      <c r="M2088">
        <v>9355</v>
      </c>
      <c r="N2088">
        <v>15</v>
      </c>
      <c r="O2088">
        <v>838</v>
      </c>
      <c r="P2088">
        <v>2081</v>
      </c>
      <c r="Q2088">
        <v>125</v>
      </c>
      <c r="R2088">
        <f>SUM(Table13[[#This Row],[Rank_All_Ranks_Total]:[Rank_SSPSPAddlSPCommandant]])</f>
        <v>119804</v>
      </c>
    </row>
    <row r="2089" spans="1:18" x14ac:dyDescent="0.3">
      <c r="A2089" t="s">
        <v>27</v>
      </c>
      <c r="B2089">
        <v>2010</v>
      </c>
      <c r="C2089" t="str">
        <f>_xlfn.CONCAT(Table13[[#This Row],[STATE]],"-",Table13[[#This Row],[Year]])</f>
        <v>Rajasthan-2010</v>
      </c>
      <c r="D2089" t="s">
        <v>75</v>
      </c>
      <c r="E2089" t="s">
        <v>76</v>
      </c>
      <c r="F2089">
        <v>66553</v>
      </c>
      <c r="G2089">
        <v>5340</v>
      </c>
      <c r="H2089">
        <v>532</v>
      </c>
      <c r="I2089">
        <v>0</v>
      </c>
      <c r="J2089">
        <v>48954</v>
      </c>
      <c r="K2089">
        <v>18</v>
      </c>
      <c r="L2089">
        <v>13</v>
      </c>
      <c r="M2089">
        <v>7230</v>
      </c>
      <c r="N2089">
        <v>31</v>
      </c>
      <c r="O2089">
        <v>934</v>
      </c>
      <c r="P2089">
        <v>3411</v>
      </c>
      <c r="Q2089">
        <v>90</v>
      </c>
      <c r="R2089">
        <f>SUM(Table13[[#This Row],[Rank_All_Ranks_Total]:[Rank_SSPSPAddlSPCommandant]])</f>
        <v>133106</v>
      </c>
    </row>
    <row r="2090" spans="1:18" x14ac:dyDescent="0.3">
      <c r="A2090" t="s">
        <v>28</v>
      </c>
      <c r="B2090">
        <v>2010</v>
      </c>
      <c r="C2090" t="str">
        <f>_xlfn.CONCAT(Table13[[#This Row],[STATE]],"-",Table13[[#This Row],[Year]])</f>
        <v>Sikkim-2010</v>
      </c>
      <c r="D2090" t="s">
        <v>75</v>
      </c>
      <c r="E2090" t="s">
        <v>76</v>
      </c>
      <c r="F2090">
        <v>2180</v>
      </c>
      <c r="G2090">
        <v>102</v>
      </c>
      <c r="H2090">
        <v>46</v>
      </c>
      <c r="I2090">
        <v>0</v>
      </c>
      <c r="J2090">
        <v>1427</v>
      </c>
      <c r="K2090">
        <v>5</v>
      </c>
      <c r="L2090">
        <v>6</v>
      </c>
      <c r="M2090">
        <v>366</v>
      </c>
      <c r="N2090">
        <v>6</v>
      </c>
      <c r="O2090">
        <v>46</v>
      </c>
      <c r="P2090">
        <v>134</v>
      </c>
      <c r="Q2090">
        <v>42</v>
      </c>
      <c r="R2090">
        <f>SUM(Table13[[#This Row],[Rank_All_Ranks_Total]:[Rank_SSPSPAddlSPCommandant]])</f>
        <v>4360</v>
      </c>
    </row>
    <row r="2091" spans="1:18" x14ac:dyDescent="0.3">
      <c r="A2091" t="s">
        <v>42</v>
      </c>
      <c r="B2091">
        <v>2010</v>
      </c>
      <c r="C2091" t="str">
        <f>_xlfn.CONCAT(Table13[[#This Row],[STATE]],"-",Table13[[#This Row],[Year]])</f>
        <v>Tamil Nadu-2010</v>
      </c>
      <c r="D2091" t="s">
        <v>75</v>
      </c>
      <c r="E2091" t="s">
        <v>76</v>
      </c>
      <c r="F2091">
        <v>90116</v>
      </c>
      <c r="G2091">
        <v>0</v>
      </c>
      <c r="H2091">
        <v>657</v>
      </c>
      <c r="I2091">
        <v>14231</v>
      </c>
      <c r="J2091">
        <v>20703</v>
      </c>
      <c r="K2091">
        <v>25</v>
      </c>
      <c r="L2091">
        <v>28</v>
      </c>
      <c r="M2091">
        <v>42830</v>
      </c>
      <c r="N2091">
        <v>36</v>
      </c>
      <c r="O2091">
        <v>2508</v>
      </c>
      <c r="P2091">
        <v>8885</v>
      </c>
      <c r="Q2091">
        <v>213</v>
      </c>
      <c r="R2091">
        <f>SUM(Table13[[#This Row],[Rank_All_Ranks_Total]:[Rank_SSPSPAddlSPCommandant]])</f>
        <v>180232</v>
      </c>
    </row>
    <row r="2092" spans="1:18" x14ac:dyDescent="0.3">
      <c r="A2092" t="s">
        <v>30</v>
      </c>
      <c r="B2092">
        <v>2010</v>
      </c>
      <c r="C2092" t="str">
        <f>_xlfn.CONCAT(Table13[[#This Row],[STATE]],"-",Table13[[#This Row],[Year]])</f>
        <v>Tripura-2010</v>
      </c>
      <c r="D2092" t="s">
        <v>75</v>
      </c>
      <c r="E2092" t="s">
        <v>76</v>
      </c>
      <c r="F2092">
        <v>11197</v>
      </c>
      <c r="G2092">
        <v>583</v>
      </c>
      <c r="H2092">
        <v>164</v>
      </c>
      <c r="I2092">
        <v>283</v>
      </c>
      <c r="J2092">
        <v>8090</v>
      </c>
      <c r="K2092">
        <v>3</v>
      </c>
      <c r="L2092">
        <v>5</v>
      </c>
      <c r="M2092">
        <v>1119</v>
      </c>
      <c r="N2092">
        <v>6</v>
      </c>
      <c r="O2092">
        <v>167</v>
      </c>
      <c r="P2092">
        <v>741</v>
      </c>
      <c r="Q2092">
        <v>36</v>
      </c>
      <c r="R2092">
        <f>SUM(Table13[[#This Row],[Rank_All_Ranks_Total]:[Rank_SSPSPAddlSPCommandant]])</f>
        <v>22394</v>
      </c>
    </row>
    <row r="2093" spans="1:18" x14ac:dyDescent="0.3">
      <c r="A2093" t="s">
        <v>31</v>
      </c>
      <c r="B2093">
        <v>2010</v>
      </c>
      <c r="C2093" t="str">
        <f>_xlfn.CONCAT(Table13[[#This Row],[STATE]],"-",Table13[[#This Row],[Year]])</f>
        <v>Uttar Pradesh-2010</v>
      </c>
      <c r="D2093" t="s">
        <v>75</v>
      </c>
      <c r="E2093" t="s">
        <v>76</v>
      </c>
      <c r="F2093">
        <v>324575</v>
      </c>
      <c r="G2093">
        <v>0</v>
      </c>
      <c r="H2093">
        <v>849</v>
      </c>
      <c r="I2093">
        <v>0</v>
      </c>
      <c r="J2093">
        <v>246267</v>
      </c>
      <c r="K2093">
        <v>37</v>
      </c>
      <c r="L2093">
        <v>42</v>
      </c>
      <c r="M2093">
        <v>57079</v>
      </c>
      <c r="N2093">
        <v>46</v>
      </c>
      <c r="O2093">
        <v>2375</v>
      </c>
      <c r="P2093">
        <v>17573</v>
      </c>
      <c r="Q2093">
        <v>307</v>
      </c>
      <c r="R2093">
        <f>SUM(Table13[[#This Row],[Rank_All_Ranks_Total]:[Rank_SSPSPAddlSPCommandant]])</f>
        <v>649150</v>
      </c>
    </row>
    <row r="2094" spans="1:18" x14ac:dyDescent="0.3">
      <c r="A2094" t="s">
        <v>65</v>
      </c>
      <c r="B2094">
        <v>2010</v>
      </c>
      <c r="C2094" t="str">
        <f>_xlfn.CONCAT(Table13[[#This Row],[STATE]],"-",Table13[[#This Row],[Year]])</f>
        <v>Uttarakhand-2010</v>
      </c>
      <c r="D2094" t="s">
        <v>75</v>
      </c>
      <c r="E2094" t="s">
        <v>76</v>
      </c>
      <c r="F2094">
        <v>14032</v>
      </c>
      <c r="G2094">
        <v>0</v>
      </c>
      <c r="H2094">
        <v>81</v>
      </c>
      <c r="I2094">
        <v>0</v>
      </c>
      <c r="J2094">
        <v>11209</v>
      </c>
      <c r="K2094">
        <v>3</v>
      </c>
      <c r="L2094">
        <v>8</v>
      </c>
      <c r="M2094">
        <v>1700</v>
      </c>
      <c r="N2094">
        <v>5</v>
      </c>
      <c r="O2094">
        <v>177</v>
      </c>
      <c r="P2094">
        <v>802</v>
      </c>
      <c r="Q2094">
        <v>47</v>
      </c>
      <c r="R2094">
        <f>SUM(Table13[[#This Row],[Rank_All_Ranks_Total]:[Rank_SSPSPAddlSPCommandant]])</f>
        <v>28064</v>
      </c>
    </row>
    <row r="2095" spans="1:18" x14ac:dyDescent="0.3">
      <c r="A2095" t="s">
        <v>33</v>
      </c>
      <c r="B2095">
        <v>2010</v>
      </c>
      <c r="C2095" t="str">
        <f>_xlfn.CONCAT(Table13[[#This Row],[STATE]],"-",Table13[[#This Row],[Year]])</f>
        <v>West Bengal-2010</v>
      </c>
      <c r="D2095" t="s">
        <v>75</v>
      </c>
      <c r="E2095" t="s">
        <v>76</v>
      </c>
      <c r="F2095">
        <v>75928</v>
      </c>
      <c r="G2095">
        <v>11831</v>
      </c>
      <c r="H2095">
        <v>393</v>
      </c>
      <c r="I2095">
        <v>0</v>
      </c>
      <c r="J2095">
        <v>53753</v>
      </c>
      <c r="K2095">
        <v>27</v>
      </c>
      <c r="L2095">
        <v>34</v>
      </c>
      <c r="M2095">
        <v>7</v>
      </c>
      <c r="N2095">
        <v>50</v>
      </c>
      <c r="O2095">
        <v>1252</v>
      </c>
      <c r="P2095">
        <v>8444</v>
      </c>
      <c r="Q2095">
        <v>137</v>
      </c>
      <c r="R2095">
        <f>SUM(Table13[[#This Row],[Rank_All_Ranks_Total]:[Rank_SSPSPAddlSPCommandant]])</f>
        <v>151856</v>
      </c>
    </row>
    <row r="2096" spans="1:18" x14ac:dyDescent="0.3">
      <c r="A2096" t="s">
        <v>59</v>
      </c>
      <c r="B2096">
        <v>2001</v>
      </c>
      <c r="C2096" t="str">
        <f>_xlfn.CONCAT(Table13[[#This Row],[STATE]],"-",Table13[[#This Row],[Year]])</f>
        <v>Andaman &amp; Nicobar Islands-2001</v>
      </c>
      <c r="D2096" t="s">
        <v>77</v>
      </c>
      <c r="E2096" t="s">
        <v>78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f>SUM(Table13[[#This Row],[Rank_All_Ranks_Total]:[Rank_SSPSPAddlSPCommandant]])</f>
        <v>0</v>
      </c>
    </row>
    <row r="2097" spans="1:18" x14ac:dyDescent="0.3">
      <c r="A2097" t="s">
        <v>6</v>
      </c>
      <c r="B2097">
        <v>2001</v>
      </c>
      <c r="C2097" t="str">
        <f>_xlfn.CONCAT(Table13[[#This Row],[STATE]],"-",Table13[[#This Row],[Year]])</f>
        <v>Andhra Pradesh-2001</v>
      </c>
      <c r="D2097" t="s">
        <v>77</v>
      </c>
      <c r="E2097" t="s">
        <v>78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f>SUM(Table13[[#This Row],[Rank_All_Ranks_Total]:[Rank_SSPSPAddlSPCommandant]])</f>
        <v>0</v>
      </c>
    </row>
    <row r="2098" spans="1:18" x14ac:dyDescent="0.3">
      <c r="A2098" t="s">
        <v>7</v>
      </c>
      <c r="B2098">
        <v>2001</v>
      </c>
      <c r="C2098" t="str">
        <f>_xlfn.CONCAT(Table13[[#This Row],[STATE]],"-",Table13[[#This Row],[Year]])</f>
        <v>Arunachal Pradesh-2001</v>
      </c>
      <c r="D2098" t="s">
        <v>77</v>
      </c>
      <c r="E2098" t="s">
        <v>78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f>SUM(Table13[[#This Row],[Rank_All_Ranks_Total]:[Rank_SSPSPAddlSPCommandant]])</f>
        <v>0</v>
      </c>
    </row>
    <row r="2099" spans="1:18" x14ac:dyDescent="0.3">
      <c r="A2099" t="s">
        <v>8</v>
      </c>
      <c r="B2099">
        <v>2001</v>
      </c>
      <c r="C2099" t="str">
        <f>_xlfn.CONCAT(Table13[[#This Row],[STATE]],"-",Table13[[#This Row],[Year]])</f>
        <v>Assam-2001</v>
      </c>
      <c r="D2099" t="s">
        <v>77</v>
      </c>
      <c r="E2099" t="s">
        <v>78</v>
      </c>
      <c r="F2099">
        <v>165</v>
      </c>
      <c r="G2099">
        <v>0</v>
      </c>
      <c r="H2099">
        <v>0</v>
      </c>
      <c r="I2099">
        <v>8</v>
      </c>
      <c r="J2099">
        <v>146</v>
      </c>
      <c r="K2099">
        <v>0</v>
      </c>
      <c r="L2099">
        <v>0</v>
      </c>
      <c r="M2099">
        <v>8</v>
      </c>
      <c r="N2099">
        <v>0</v>
      </c>
      <c r="O2099">
        <v>0</v>
      </c>
      <c r="P2099">
        <v>3</v>
      </c>
      <c r="Q2099">
        <v>0</v>
      </c>
      <c r="R2099">
        <f>SUM(Table13[[#This Row],[Rank_All_Ranks_Total]:[Rank_SSPSPAddlSPCommandant]])</f>
        <v>330</v>
      </c>
    </row>
    <row r="2100" spans="1:18" x14ac:dyDescent="0.3">
      <c r="A2100" t="s">
        <v>9</v>
      </c>
      <c r="B2100">
        <v>2001</v>
      </c>
      <c r="C2100" t="str">
        <f>_xlfn.CONCAT(Table13[[#This Row],[STATE]],"-",Table13[[#This Row],[Year]])</f>
        <v>Bihar-2001</v>
      </c>
      <c r="D2100" t="s">
        <v>77</v>
      </c>
      <c r="E2100" t="s">
        <v>78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f>SUM(Table13[[#This Row],[Rank_All_Ranks_Total]:[Rank_SSPSPAddlSPCommandant]])</f>
        <v>0</v>
      </c>
    </row>
    <row r="2101" spans="1:18" x14ac:dyDescent="0.3">
      <c r="A2101" t="s">
        <v>35</v>
      </c>
      <c r="B2101">
        <v>2001</v>
      </c>
      <c r="C2101" t="str">
        <f>_xlfn.CONCAT(Table13[[#This Row],[STATE]],"-",Table13[[#This Row],[Year]])</f>
        <v>Chandigarh-2001</v>
      </c>
      <c r="D2101" t="s">
        <v>77</v>
      </c>
      <c r="E2101" t="s">
        <v>78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f>SUM(Table13[[#This Row],[Rank_All_Ranks_Total]:[Rank_SSPSPAddlSPCommandant]])</f>
        <v>0</v>
      </c>
    </row>
    <row r="2102" spans="1:18" x14ac:dyDescent="0.3">
      <c r="A2102" t="s">
        <v>10</v>
      </c>
      <c r="B2102">
        <v>2001</v>
      </c>
      <c r="C2102" t="str">
        <f>_xlfn.CONCAT(Table13[[#This Row],[STATE]],"-",Table13[[#This Row],[Year]])</f>
        <v>Chhattisgarh-2001</v>
      </c>
      <c r="D2102" t="s">
        <v>77</v>
      </c>
      <c r="E2102" t="s">
        <v>78</v>
      </c>
      <c r="F2102">
        <v>74</v>
      </c>
      <c r="G2102">
        <v>0</v>
      </c>
      <c r="H2102">
        <v>0</v>
      </c>
      <c r="I2102">
        <v>0</v>
      </c>
      <c r="J2102">
        <v>37</v>
      </c>
      <c r="K2102">
        <v>0</v>
      </c>
      <c r="L2102">
        <v>0</v>
      </c>
      <c r="M2102">
        <v>35</v>
      </c>
      <c r="N2102">
        <v>0</v>
      </c>
      <c r="O2102">
        <v>0</v>
      </c>
      <c r="P2102">
        <v>2</v>
      </c>
      <c r="Q2102">
        <v>0</v>
      </c>
      <c r="R2102">
        <f>SUM(Table13[[#This Row],[Rank_All_Ranks_Total]:[Rank_SSPSPAddlSPCommandant]])</f>
        <v>148</v>
      </c>
    </row>
    <row r="2103" spans="1:18" x14ac:dyDescent="0.3">
      <c r="A2103" t="s">
        <v>62</v>
      </c>
      <c r="B2103">
        <v>2001</v>
      </c>
      <c r="C2103" t="str">
        <f>_xlfn.CONCAT(Table13[[#This Row],[STATE]],"-",Table13[[#This Row],[Year]])</f>
        <v>Dadra &amp; Nagar Haveli-2001</v>
      </c>
      <c r="D2103" t="s">
        <v>77</v>
      </c>
      <c r="E2103" t="s">
        <v>78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f>SUM(Table13[[#This Row],[Rank_All_Ranks_Total]:[Rank_SSPSPAddlSPCommandant]])</f>
        <v>0</v>
      </c>
    </row>
    <row r="2104" spans="1:18" x14ac:dyDescent="0.3">
      <c r="A2104" t="s">
        <v>37</v>
      </c>
      <c r="B2104">
        <v>2001</v>
      </c>
      <c r="C2104" t="str">
        <f>_xlfn.CONCAT(Table13[[#This Row],[STATE]],"-",Table13[[#This Row],[Year]])</f>
        <v>Daman &amp; Diu-2001</v>
      </c>
      <c r="D2104" t="s">
        <v>77</v>
      </c>
      <c r="E2104" t="s">
        <v>78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f>SUM(Table13[[#This Row],[Rank_All_Ranks_Total]:[Rank_SSPSPAddlSPCommandant]])</f>
        <v>0</v>
      </c>
    </row>
    <row r="2105" spans="1:18" x14ac:dyDescent="0.3">
      <c r="A2105" t="s">
        <v>38</v>
      </c>
      <c r="B2105">
        <v>2001</v>
      </c>
      <c r="C2105" t="str">
        <f>_xlfn.CONCAT(Table13[[#This Row],[STATE]],"-",Table13[[#This Row],[Year]])</f>
        <v>Delhi-2001</v>
      </c>
      <c r="D2105" t="s">
        <v>77</v>
      </c>
      <c r="E2105" t="s">
        <v>78</v>
      </c>
      <c r="F2105">
        <v>52</v>
      </c>
      <c r="G2105">
        <v>0</v>
      </c>
      <c r="H2105">
        <v>0</v>
      </c>
      <c r="I2105">
        <v>0</v>
      </c>
      <c r="J2105">
        <v>51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1</v>
      </c>
      <c r="Q2105">
        <v>0</v>
      </c>
      <c r="R2105">
        <f>SUM(Table13[[#This Row],[Rank_All_Ranks_Total]:[Rank_SSPSPAddlSPCommandant]])</f>
        <v>104</v>
      </c>
    </row>
    <row r="2106" spans="1:18" x14ac:dyDescent="0.3">
      <c r="A2106" t="s">
        <v>11</v>
      </c>
      <c r="B2106">
        <v>2001</v>
      </c>
      <c r="C2106" t="str">
        <f>_xlfn.CONCAT(Table13[[#This Row],[STATE]],"-",Table13[[#This Row],[Year]])</f>
        <v>Goa-2001</v>
      </c>
      <c r="D2106" t="s">
        <v>77</v>
      </c>
      <c r="E2106" t="s">
        <v>78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f>SUM(Table13[[#This Row],[Rank_All_Ranks_Total]:[Rank_SSPSPAddlSPCommandant]])</f>
        <v>0</v>
      </c>
    </row>
    <row r="2107" spans="1:18" x14ac:dyDescent="0.3">
      <c r="A2107" t="s">
        <v>12</v>
      </c>
      <c r="B2107">
        <v>2001</v>
      </c>
      <c r="C2107" t="str">
        <f>_xlfn.CONCAT(Table13[[#This Row],[STATE]],"-",Table13[[#This Row],[Year]])</f>
        <v>Gujarat-2001</v>
      </c>
      <c r="D2107" t="s">
        <v>77</v>
      </c>
      <c r="E2107" t="s">
        <v>78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f>SUM(Table13[[#This Row],[Rank_All_Ranks_Total]:[Rank_SSPSPAddlSPCommandant]])</f>
        <v>0</v>
      </c>
    </row>
    <row r="2108" spans="1:18" x14ac:dyDescent="0.3">
      <c r="A2108" t="s">
        <v>13</v>
      </c>
      <c r="B2108">
        <v>2001</v>
      </c>
      <c r="C2108" t="str">
        <f>_xlfn.CONCAT(Table13[[#This Row],[STATE]],"-",Table13[[#This Row],[Year]])</f>
        <v>Haryana-2001</v>
      </c>
      <c r="D2108" t="s">
        <v>77</v>
      </c>
      <c r="E2108" t="s">
        <v>78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f>SUM(Table13[[#This Row],[Rank_All_Ranks_Total]:[Rank_SSPSPAddlSPCommandant]])</f>
        <v>0</v>
      </c>
    </row>
    <row r="2109" spans="1:18" x14ac:dyDescent="0.3">
      <c r="A2109" t="s">
        <v>14</v>
      </c>
      <c r="B2109">
        <v>2001</v>
      </c>
      <c r="C2109" t="str">
        <f>_xlfn.CONCAT(Table13[[#This Row],[STATE]],"-",Table13[[#This Row],[Year]])</f>
        <v>Himachal Pradesh-2001</v>
      </c>
      <c r="D2109" t="s">
        <v>77</v>
      </c>
      <c r="E2109" t="s">
        <v>78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f>SUM(Table13[[#This Row],[Rank_All_Ranks_Total]:[Rank_SSPSPAddlSPCommandant]])</f>
        <v>0</v>
      </c>
    </row>
    <row r="2110" spans="1:18" x14ac:dyDescent="0.3">
      <c r="A2110" t="s">
        <v>15</v>
      </c>
      <c r="B2110">
        <v>2001</v>
      </c>
      <c r="C2110" t="str">
        <f>_xlfn.CONCAT(Table13[[#This Row],[STATE]],"-",Table13[[#This Row],[Year]])</f>
        <v>Jammu &amp; Kashmir-2001</v>
      </c>
      <c r="D2110" t="s">
        <v>77</v>
      </c>
      <c r="E2110" t="s">
        <v>78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f>SUM(Table13[[#This Row],[Rank_All_Ranks_Total]:[Rank_SSPSPAddlSPCommandant]])</f>
        <v>0</v>
      </c>
    </row>
    <row r="2111" spans="1:18" x14ac:dyDescent="0.3">
      <c r="A2111" t="s">
        <v>17</v>
      </c>
      <c r="B2111">
        <v>2001</v>
      </c>
      <c r="C2111" t="str">
        <f>_xlfn.CONCAT(Table13[[#This Row],[STATE]],"-",Table13[[#This Row],[Year]])</f>
        <v>Karnataka-2001</v>
      </c>
      <c r="D2111" t="s">
        <v>77</v>
      </c>
      <c r="E2111" t="s">
        <v>78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f>SUM(Table13[[#This Row],[Rank_All_Ranks_Total]:[Rank_SSPSPAddlSPCommandant]])</f>
        <v>0</v>
      </c>
    </row>
    <row r="2112" spans="1:18" x14ac:dyDescent="0.3">
      <c r="A2112" t="s">
        <v>18</v>
      </c>
      <c r="B2112">
        <v>2001</v>
      </c>
      <c r="C2112" t="str">
        <f>_xlfn.CONCAT(Table13[[#This Row],[STATE]],"-",Table13[[#This Row],[Year]])</f>
        <v>Kerala-2001</v>
      </c>
      <c r="D2112" t="s">
        <v>77</v>
      </c>
      <c r="E2112" t="s">
        <v>78</v>
      </c>
      <c r="F2112">
        <v>880</v>
      </c>
      <c r="G2112">
        <v>4</v>
      </c>
      <c r="H2112">
        <v>0</v>
      </c>
      <c r="I2112">
        <v>0</v>
      </c>
      <c r="J2112">
        <v>872</v>
      </c>
      <c r="K2112">
        <v>0</v>
      </c>
      <c r="L2112">
        <v>0</v>
      </c>
      <c r="M2112">
        <v>4</v>
      </c>
      <c r="N2112">
        <v>0</v>
      </c>
      <c r="O2112">
        <v>0</v>
      </c>
      <c r="P2112">
        <v>0</v>
      </c>
      <c r="Q2112">
        <v>0</v>
      </c>
      <c r="R2112">
        <f>SUM(Table13[[#This Row],[Rank_All_Ranks_Total]:[Rank_SSPSPAddlSPCommandant]])</f>
        <v>1760</v>
      </c>
    </row>
    <row r="2113" spans="1:18" x14ac:dyDescent="0.3">
      <c r="A2113" t="s">
        <v>39</v>
      </c>
      <c r="B2113">
        <v>2001</v>
      </c>
      <c r="C2113" t="str">
        <f>_xlfn.CONCAT(Table13[[#This Row],[STATE]],"-",Table13[[#This Row],[Year]])</f>
        <v>Lakshadweep-2001</v>
      </c>
      <c r="D2113" t="s">
        <v>77</v>
      </c>
      <c r="E2113" t="s">
        <v>78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f>SUM(Table13[[#This Row],[Rank_All_Ranks_Total]:[Rank_SSPSPAddlSPCommandant]])</f>
        <v>0</v>
      </c>
    </row>
    <row r="2114" spans="1:18" x14ac:dyDescent="0.3">
      <c r="A2114" t="s">
        <v>19</v>
      </c>
      <c r="B2114">
        <v>2001</v>
      </c>
      <c r="C2114" t="str">
        <f>_xlfn.CONCAT(Table13[[#This Row],[STATE]],"-",Table13[[#This Row],[Year]])</f>
        <v>Madhya Pradesh-2001</v>
      </c>
      <c r="D2114" t="s">
        <v>77</v>
      </c>
      <c r="E2114" t="s">
        <v>78</v>
      </c>
      <c r="F2114">
        <v>142</v>
      </c>
      <c r="G2114">
        <v>9</v>
      </c>
      <c r="H2114">
        <v>0</v>
      </c>
      <c r="I2114">
        <v>97</v>
      </c>
      <c r="J2114">
        <v>9</v>
      </c>
      <c r="K2114">
        <v>0</v>
      </c>
      <c r="L2114">
        <v>0</v>
      </c>
      <c r="M2114">
        <v>22</v>
      </c>
      <c r="N2114">
        <v>0</v>
      </c>
      <c r="O2114">
        <v>1</v>
      </c>
      <c r="P2114">
        <v>4</v>
      </c>
      <c r="Q2114">
        <v>0</v>
      </c>
      <c r="R2114">
        <f>SUM(Table13[[#This Row],[Rank_All_Ranks_Total]:[Rank_SSPSPAddlSPCommandant]])</f>
        <v>284</v>
      </c>
    </row>
    <row r="2115" spans="1:18" x14ac:dyDescent="0.3">
      <c r="A2115" t="s">
        <v>20</v>
      </c>
      <c r="B2115">
        <v>2001</v>
      </c>
      <c r="C2115" t="str">
        <f>_xlfn.CONCAT(Table13[[#This Row],[STATE]],"-",Table13[[#This Row],[Year]])</f>
        <v>Maharashtra-2001</v>
      </c>
      <c r="D2115" t="s">
        <v>77</v>
      </c>
      <c r="E2115" t="s">
        <v>78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f>SUM(Table13[[#This Row],[Rank_All_Ranks_Total]:[Rank_SSPSPAddlSPCommandant]])</f>
        <v>0</v>
      </c>
    </row>
    <row r="2116" spans="1:18" x14ac:dyDescent="0.3">
      <c r="A2116" t="s">
        <v>21</v>
      </c>
      <c r="B2116">
        <v>2001</v>
      </c>
      <c r="C2116" t="str">
        <f>_xlfn.CONCAT(Table13[[#This Row],[STATE]],"-",Table13[[#This Row],[Year]])</f>
        <v>Manipur-2001</v>
      </c>
      <c r="D2116" t="s">
        <v>77</v>
      </c>
      <c r="E2116" t="s">
        <v>78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f>SUM(Table13[[#This Row],[Rank_All_Ranks_Total]:[Rank_SSPSPAddlSPCommandant]])</f>
        <v>0</v>
      </c>
    </row>
    <row r="2117" spans="1:18" x14ac:dyDescent="0.3">
      <c r="A2117" t="s">
        <v>22</v>
      </c>
      <c r="B2117">
        <v>2001</v>
      </c>
      <c r="C2117" t="str">
        <f>_xlfn.CONCAT(Table13[[#This Row],[STATE]],"-",Table13[[#This Row],[Year]])</f>
        <v>Meghalaya-2001</v>
      </c>
      <c r="D2117" t="s">
        <v>77</v>
      </c>
      <c r="E2117" t="s">
        <v>78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f>SUM(Table13[[#This Row],[Rank_All_Ranks_Total]:[Rank_SSPSPAddlSPCommandant]])</f>
        <v>0</v>
      </c>
    </row>
    <row r="2118" spans="1:18" x14ac:dyDescent="0.3">
      <c r="A2118" t="s">
        <v>23</v>
      </c>
      <c r="B2118">
        <v>2001</v>
      </c>
      <c r="C2118" t="str">
        <f>_xlfn.CONCAT(Table13[[#This Row],[STATE]],"-",Table13[[#This Row],[Year]])</f>
        <v>Mizoram-2001</v>
      </c>
      <c r="D2118" t="s">
        <v>77</v>
      </c>
      <c r="E2118" t="s">
        <v>78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f>SUM(Table13[[#This Row],[Rank_All_Ranks_Total]:[Rank_SSPSPAddlSPCommandant]])</f>
        <v>0</v>
      </c>
    </row>
    <row r="2119" spans="1:18" x14ac:dyDescent="0.3">
      <c r="A2119" t="s">
        <v>24</v>
      </c>
      <c r="B2119">
        <v>2001</v>
      </c>
      <c r="C2119" t="str">
        <f>_xlfn.CONCAT(Table13[[#This Row],[STATE]],"-",Table13[[#This Row],[Year]])</f>
        <v>Nagaland-2001</v>
      </c>
      <c r="D2119" t="s">
        <v>77</v>
      </c>
      <c r="E2119" t="s">
        <v>78</v>
      </c>
      <c r="F2119">
        <v>1</v>
      </c>
      <c r="G2119">
        <v>0</v>
      </c>
      <c r="H2119">
        <v>1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f>SUM(Table13[[#This Row],[Rank_All_Ranks_Total]:[Rank_SSPSPAddlSPCommandant]])</f>
        <v>2</v>
      </c>
    </row>
    <row r="2120" spans="1:18" x14ac:dyDescent="0.3">
      <c r="A2120" t="s">
        <v>63</v>
      </c>
      <c r="B2120">
        <v>2001</v>
      </c>
      <c r="C2120" t="str">
        <f>_xlfn.CONCAT(Table13[[#This Row],[STATE]],"-",Table13[[#This Row],[Year]])</f>
        <v>Odisha-2001</v>
      </c>
      <c r="D2120" t="s">
        <v>77</v>
      </c>
      <c r="E2120" t="s">
        <v>78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f>SUM(Table13[[#This Row],[Rank_All_Ranks_Total]:[Rank_SSPSPAddlSPCommandant]])</f>
        <v>0</v>
      </c>
    </row>
    <row r="2121" spans="1:18" x14ac:dyDescent="0.3">
      <c r="A2121" t="s">
        <v>64</v>
      </c>
      <c r="B2121">
        <v>2001</v>
      </c>
      <c r="C2121" t="str">
        <f>_xlfn.CONCAT(Table13[[#This Row],[STATE]],"-",Table13[[#This Row],[Year]])</f>
        <v>Puducherry-2001</v>
      </c>
      <c r="D2121" t="s">
        <v>77</v>
      </c>
      <c r="E2121" t="s">
        <v>78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f>SUM(Table13[[#This Row],[Rank_All_Ranks_Total]:[Rank_SSPSPAddlSPCommandant]])</f>
        <v>0</v>
      </c>
    </row>
    <row r="2122" spans="1:18" x14ac:dyDescent="0.3">
      <c r="A2122" t="s">
        <v>26</v>
      </c>
      <c r="B2122">
        <v>2001</v>
      </c>
      <c r="C2122" t="str">
        <f>_xlfn.CONCAT(Table13[[#This Row],[STATE]],"-",Table13[[#This Row],[Year]])</f>
        <v>Punjab-2001</v>
      </c>
      <c r="D2122" t="s">
        <v>77</v>
      </c>
      <c r="E2122" t="s">
        <v>78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f>SUM(Table13[[#This Row],[Rank_All_Ranks_Total]:[Rank_SSPSPAddlSPCommandant]])</f>
        <v>0</v>
      </c>
    </row>
    <row r="2123" spans="1:18" x14ac:dyDescent="0.3">
      <c r="A2123" t="s">
        <v>27</v>
      </c>
      <c r="B2123">
        <v>2001</v>
      </c>
      <c r="C2123" t="str">
        <f>_xlfn.CONCAT(Table13[[#This Row],[STATE]],"-",Table13[[#This Row],[Year]])</f>
        <v>Rajasthan-2001</v>
      </c>
      <c r="D2123" t="s">
        <v>77</v>
      </c>
      <c r="E2123" t="s">
        <v>78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f>SUM(Table13[[#This Row],[Rank_All_Ranks_Total]:[Rank_SSPSPAddlSPCommandant]])</f>
        <v>0</v>
      </c>
    </row>
    <row r="2124" spans="1:18" x14ac:dyDescent="0.3">
      <c r="A2124" t="s">
        <v>28</v>
      </c>
      <c r="B2124">
        <v>2001</v>
      </c>
      <c r="C2124" t="str">
        <f>_xlfn.CONCAT(Table13[[#This Row],[STATE]],"-",Table13[[#This Row],[Year]])</f>
        <v>Sikkim-2001</v>
      </c>
      <c r="D2124" t="s">
        <v>77</v>
      </c>
      <c r="E2124" t="s">
        <v>78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f>SUM(Table13[[#This Row],[Rank_All_Ranks_Total]:[Rank_SSPSPAddlSPCommandant]])</f>
        <v>0</v>
      </c>
    </row>
    <row r="2125" spans="1:18" x14ac:dyDescent="0.3">
      <c r="A2125" t="s">
        <v>42</v>
      </c>
      <c r="B2125">
        <v>2001</v>
      </c>
      <c r="C2125" t="str">
        <f>_xlfn.CONCAT(Table13[[#This Row],[STATE]],"-",Table13[[#This Row],[Year]])</f>
        <v>Tamil Nadu-2001</v>
      </c>
      <c r="D2125" t="s">
        <v>77</v>
      </c>
      <c r="E2125" t="s">
        <v>78</v>
      </c>
      <c r="F2125">
        <v>2174</v>
      </c>
      <c r="G2125">
        <v>0</v>
      </c>
      <c r="H2125">
        <v>0</v>
      </c>
      <c r="I2125">
        <v>337</v>
      </c>
      <c r="J2125">
        <v>1558</v>
      </c>
      <c r="K2125">
        <v>0</v>
      </c>
      <c r="L2125">
        <v>0</v>
      </c>
      <c r="M2125">
        <v>269</v>
      </c>
      <c r="N2125">
        <v>0</v>
      </c>
      <c r="O2125">
        <v>0</v>
      </c>
      <c r="P2125">
        <v>10</v>
      </c>
      <c r="Q2125">
        <v>0</v>
      </c>
      <c r="R2125">
        <f>SUM(Table13[[#This Row],[Rank_All_Ranks_Total]:[Rank_SSPSPAddlSPCommandant]])</f>
        <v>4348</v>
      </c>
    </row>
    <row r="2126" spans="1:18" x14ac:dyDescent="0.3">
      <c r="A2126" t="s">
        <v>30</v>
      </c>
      <c r="B2126">
        <v>2001</v>
      </c>
      <c r="C2126" t="str">
        <f>_xlfn.CONCAT(Table13[[#This Row],[STATE]],"-",Table13[[#This Row],[Year]])</f>
        <v>Tripura-2001</v>
      </c>
      <c r="D2126" t="s">
        <v>77</v>
      </c>
      <c r="E2126" t="s">
        <v>78</v>
      </c>
      <c r="F2126">
        <v>40</v>
      </c>
      <c r="G2126">
        <v>0</v>
      </c>
      <c r="H2126">
        <v>0</v>
      </c>
      <c r="I2126">
        <v>0</v>
      </c>
      <c r="J2126">
        <v>26</v>
      </c>
      <c r="K2126">
        <v>0</v>
      </c>
      <c r="L2126">
        <v>0</v>
      </c>
      <c r="M2126">
        <v>10</v>
      </c>
      <c r="N2126">
        <v>0</v>
      </c>
      <c r="O2126">
        <v>1</v>
      </c>
      <c r="P2126">
        <v>3</v>
      </c>
      <c r="Q2126">
        <v>0</v>
      </c>
      <c r="R2126">
        <f>SUM(Table13[[#This Row],[Rank_All_Ranks_Total]:[Rank_SSPSPAddlSPCommandant]])</f>
        <v>80</v>
      </c>
    </row>
    <row r="2127" spans="1:18" x14ac:dyDescent="0.3">
      <c r="A2127" t="s">
        <v>31</v>
      </c>
      <c r="B2127">
        <v>2001</v>
      </c>
      <c r="C2127" t="str">
        <f>_xlfn.CONCAT(Table13[[#This Row],[STATE]],"-",Table13[[#This Row],[Year]])</f>
        <v>Uttar Pradesh-2001</v>
      </c>
      <c r="D2127" t="s">
        <v>77</v>
      </c>
      <c r="E2127" t="s">
        <v>78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f>SUM(Table13[[#This Row],[Rank_All_Ranks_Total]:[Rank_SSPSPAddlSPCommandant]])</f>
        <v>0</v>
      </c>
    </row>
    <row r="2128" spans="1:18" x14ac:dyDescent="0.3">
      <c r="A2128" t="s">
        <v>65</v>
      </c>
      <c r="B2128">
        <v>2001</v>
      </c>
      <c r="C2128" t="str">
        <f>_xlfn.CONCAT(Table13[[#This Row],[STATE]],"-",Table13[[#This Row],[Year]])</f>
        <v>Uttarakhand-2001</v>
      </c>
      <c r="D2128" t="s">
        <v>77</v>
      </c>
      <c r="E2128" t="s">
        <v>78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f>SUM(Table13[[#This Row],[Rank_All_Ranks_Total]:[Rank_SSPSPAddlSPCommandant]])</f>
        <v>0</v>
      </c>
    </row>
    <row r="2129" spans="1:18" x14ac:dyDescent="0.3">
      <c r="A2129" t="s">
        <v>33</v>
      </c>
      <c r="B2129">
        <v>2001</v>
      </c>
      <c r="C2129" t="str">
        <f>_xlfn.CONCAT(Table13[[#This Row],[STATE]],"-",Table13[[#This Row],[Year]])</f>
        <v>West Bengal-2001</v>
      </c>
      <c r="D2129" t="s">
        <v>77</v>
      </c>
      <c r="E2129" t="s">
        <v>78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f>SUM(Table13[[#This Row],[Rank_All_Ranks_Total]:[Rank_SSPSPAddlSPCommandant]])</f>
        <v>0</v>
      </c>
    </row>
    <row r="2130" spans="1:18" x14ac:dyDescent="0.3">
      <c r="A2130" t="s">
        <v>59</v>
      </c>
      <c r="B2130">
        <v>2002</v>
      </c>
      <c r="C2130" t="str">
        <f>_xlfn.CONCAT(Table13[[#This Row],[STATE]],"-",Table13[[#This Row],[Year]])</f>
        <v>Andaman &amp; Nicobar Islands-2002</v>
      </c>
      <c r="D2130" t="s">
        <v>77</v>
      </c>
      <c r="E2130" t="s">
        <v>78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f>SUM(Table13[[#This Row],[Rank_All_Ranks_Total]:[Rank_SSPSPAddlSPCommandant]])</f>
        <v>0</v>
      </c>
    </row>
    <row r="2131" spans="1:18" x14ac:dyDescent="0.3">
      <c r="A2131" t="s">
        <v>6</v>
      </c>
      <c r="B2131">
        <v>2002</v>
      </c>
      <c r="C2131" t="str">
        <f>_xlfn.CONCAT(Table13[[#This Row],[STATE]],"-",Table13[[#This Row],[Year]])</f>
        <v>Andhra Pradesh-2002</v>
      </c>
      <c r="D2131" t="s">
        <v>77</v>
      </c>
      <c r="E2131" t="s">
        <v>78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f>SUM(Table13[[#This Row],[Rank_All_Ranks_Total]:[Rank_SSPSPAddlSPCommandant]])</f>
        <v>0</v>
      </c>
    </row>
    <row r="2132" spans="1:18" x14ac:dyDescent="0.3">
      <c r="A2132" t="s">
        <v>7</v>
      </c>
      <c r="B2132">
        <v>2002</v>
      </c>
      <c r="C2132" t="str">
        <f>_xlfn.CONCAT(Table13[[#This Row],[STATE]],"-",Table13[[#This Row],[Year]])</f>
        <v>Arunachal Pradesh-2002</v>
      </c>
      <c r="D2132" t="s">
        <v>77</v>
      </c>
      <c r="E2132" t="s">
        <v>78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f>SUM(Table13[[#This Row],[Rank_All_Ranks_Total]:[Rank_SSPSPAddlSPCommandant]])</f>
        <v>0</v>
      </c>
    </row>
    <row r="2133" spans="1:18" x14ac:dyDescent="0.3">
      <c r="A2133" t="s">
        <v>8</v>
      </c>
      <c r="B2133">
        <v>2002</v>
      </c>
      <c r="C2133" t="str">
        <f>_xlfn.CONCAT(Table13[[#This Row],[STATE]],"-",Table13[[#This Row],[Year]])</f>
        <v>Assam-2002</v>
      </c>
      <c r="D2133" t="s">
        <v>77</v>
      </c>
      <c r="E2133" t="s">
        <v>78</v>
      </c>
      <c r="F2133">
        <v>165</v>
      </c>
      <c r="G2133">
        <v>0</v>
      </c>
      <c r="H2133">
        <v>0</v>
      </c>
      <c r="I2133">
        <v>8</v>
      </c>
      <c r="J2133">
        <v>146</v>
      </c>
      <c r="K2133">
        <v>0</v>
      </c>
      <c r="L2133">
        <v>0</v>
      </c>
      <c r="M2133">
        <v>8</v>
      </c>
      <c r="N2133">
        <v>0</v>
      </c>
      <c r="O2133">
        <v>0</v>
      </c>
      <c r="P2133">
        <v>3</v>
      </c>
      <c r="Q2133">
        <v>0</v>
      </c>
      <c r="R2133">
        <f>SUM(Table13[[#This Row],[Rank_All_Ranks_Total]:[Rank_SSPSPAddlSPCommandant]])</f>
        <v>330</v>
      </c>
    </row>
    <row r="2134" spans="1:18" x14ac:dyDescent="0.3">
      <c r="A2134" t="s">
        <v>9</v>
      </c>
      <c r="B2134">
        <v>2002</v>
      </c>
      <c r="C2134" t="str">
        <f>_xlfn.CONCAT(Table13[[#This Row],[STATE]],"-",Table13[[#This Row],[Year]])</f>
        <v>Bihar-2002</v>
      </c>
      <c r="D2134" t="s">
        <v>77</v>
      </c>
      <c r="E2134" t="s">
        <v>78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f>SUM(Table13[[#This Row],[Rank_All_Ranks_Total]:[Rank_SSPSPAddlSPCommandant]])</f>
        <v>0</v>
      </c>
    </row>
    <row r="2135" spans="1:18" x14ac:dyDescent="0.3">
      <c r="A2135" t="s">
        <v>35</v>
      </c>
      <c r="B2135">
        <v>2002</v>
      </c>
      <c r="C2135" t="str">
        <f>_xlfn.CONCAT(Table13[[#This Row],[STATE]],"-",Table13[[#This Row],[Year]])</f>
        <v>Chandigarh-2002</v>
      </c>
      <c r="D2135" t="s">
        <v>77</v>
      </c>
      <c r="E2135" t="s">
        <v>78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f>SUM(Table13[[#This Row],[Rank_All_Ranks_Total]:[Rank_SSPSPAddlSPCommandant]])</f>
        <v>0</v>
      </c>
    </row>
    <row r="2136" spans="1:18" x14ac:dyDescent="0.3">
      <c r="A2136" t="s">
        <v>10</v>
      </c>
      <c r="B2136">
        <v>2002</v>
      </c>
      <c r="C2136" t="str">
        <f>_xlfn.CONCAT(Table13[[#This Row],[STATE]],"-",Table13[[#This Row],[Year]])</f>
        <v>Chhattisgarh-2002</v>
      </c>
      <c r="D2136" t="s">
        <v>77</v>
      </c>
      <c r="E2136" t="s">
        <v>78</v>
      </c>
      <c r="F2136">
        <v>74</v>
      </c>
      <c r="G2136">
        <v>0</v>
      </c>
      <c r="H2136">
        <v>0</v>
      </c>
      <c r="I2136">
        <v>0</v>
      </c>
      <c r="J2136">
        <v>37</v>
      </c>
      <c r="K2136">
        <v>0</v>
      </c>
      <c r="L2136">
        <v>0</v>
      </c>
      <c r="M2136">
        <v>35</v>
      </c>
      <c r="N2136">
        <v>0</v>
      </c>
      <c r="O2136">
        <v>0</v>
      </c>
      <c r="P2136">
        <v>2</v>
      </c>
      <c r="Q2136">
        <v>0</v>
      </c>
      <c r="R2136">
        <f>SUM(Table13[[#This Row],[Rank_All_Ranks_Total]:[Rank_SSPSPAddlSPCommandant]])</f>
        <v>148</v>
      </c>
    </row>
    <row r="2137" spans="1:18" x14ac:dyDescent="0.3">
      <c r="A2137" t="s">
        <v>62</v>
      </c>
      <c r="B2137">
        <v>2002</v>
      </c>
      <c r="C2137" t="str">
        <f>_xlfn.CONCAT(Table13[[#This Row],[STATE]],"-",Table13[[#This Row],[Year]])</f>
        <v>Dadra &amp; Nagar Haveli-2002</v>
      </c>
      <c r="D2137" t="s">
        <v>77</v>
      </c>
      <c r="E2137" t="s">
        <v>78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f>SUM(Table13[[#This Row],[Rank_All_Ranks_Total]:[Rank_SSPSPAddlSPCommandant]])</f>
        <v>0</v>
      </c>
    </row>
    <row r="2138" spans="1:18" x14ac:dyDescent="0.3">
      <c r="A2138" t="s">
        <v>37</v>
      </c>
      <c r="B2138">
        <v>2002</v>
      </c>
      <c r="C2138" t="str">
        <f>_xlfn.CONCAT(Table13[[#This Row],[STATE]],"-",Table13[[#This Row],[Year]])</f>
        <v>Daman &amp; Diu-2002</v>
      </c>
      <c r="D2138" t="s">
        <v>77</v>
      </c>
      <c r="E2138" t="s">
        <v>78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f>SUM(Table13[[#This Row],[Rank_All_Ranks_Total]:[Rank_SSPSPAddlSPCommandant]])</f>
        <v>0</v>
      </c>
    </row>
    <row r="2139" spans="1:18" x14ac:dyDescent="0.3">
      <c r="A2139" t="s">
        <v>38</v>
      </c>
      <c r="B2139">
        <v>2002</v>
      </c>
      <c r="C2139" t="str">
        <f>_xlfn.CONCAT(Table13[[#This Row],[STATE]],"-",Table13[[#This Row],[Year]])</f>
        <v>Delhi-2002</v>
      </c>
      <c r="D2139" t="s">
        <v>77</v>
      </c>
      <c r="E2139" t="s">
        <v>78</v>
      </c>
      <c r="F2139">
        <v>52</v>
      </c>
      <c r="G2139">
        <v>0</v>
      </c>
      <c r="H2139">
        <v>0</v>
      </c>
      <c r="I2139">
        <v>0</v>
      </c>
      <c r="J2139">
        <v>51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1</v>
      </c>
      <c r="Q2139">
        <v>0</v>
      </c>
      <c r="R2139">
        <f>SUM(Table13[[#This Row],[Rank_All_Ranks_Total]:[Rank_SSPSPAddlSPCommandant]])</f>
        <v>104</v>
      </c>
    </row>
    <row r="2140" spans="1:18" x14ac:dyDescent="0.3">
      <c r="A2140" t="s">
        <v>11</v>
      </c>
      <c r="B2140">
        <v>2002</v>
      </c>
      <c r="C2140" t="str">
        <f>_xlfn.CONCAT(Table13[[#This Row],[STATE]],"-",Table13[[#This Row],[Year]])</f>
        <v>Goa-2002</v>
      </c>
      <c r="D2140" t="s">
        <v>77</v>
      </c>
      <c r="E2140" t="s">
        <v>78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f>SUM(Table13[[#This Row],[Rank_All_Ranks_Total]:[Rank_SSPSPAddlSPCommandant]])</f>
        <v>0</v>
      </c>
    </row>
    <row r="2141" spans="1:18" x14ac:dyDescent="0.3">
      <c r="A2141" t="s">
        <v>12</v>
      </c>
      <c r="B2141">
        <v>2002</v>
      </c>
      <c r="C2141" t="str">
        <f>_xlfn.CONCAT(Table13[[#This Row],[STATE]],"-",Table13[[#This Row],[Year]])</f>
        <v>Gujarat-2002</v>
      </c>
      <c r="D2141" t="s">
        <v>77</v>
      </c>
      <c r="E2141" t="s">
        <v>78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f>SUM(Table13[[#This Row],[Rank_All_Ranks_Total]:[Rank_SSPSPAddlSPCommandant]])</f>
        <v>0</v>
      </c>
    </row>
    <row r="2142" spans="1:18" x14ac:dyDescent="0.3">
      <c r="A2142" t="s">
        <v>13</v>
      </c>
      <c r="B2142">
        <v>2002</v>
      </c>
      <c r="C2142" t="str">
        <f>_xlfn.CONCAT(Table13[[#This Row],[STATE]],"-",Table13[[#This Row],[Year]])</f>
        <v>Haryana-2002</v>
      </c>
      <c r="D2142" t="s">
        <v>77</v>
      </c>
      <c r="E2142" t="s">
        <v>78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f>SUM(Table13[[#This Row],[Rank_All_Ranks_Total]:[Rank_SSPSPAddlSPCommandant]])</f>
        <v>0</v>
      </c>
    </row>
    <row r="2143" spans="1:18" x14ac:dyDescent="0.3">
      <c r="A2143" t="s">
        <v>14</v>
      </c>
      <c r="B2143">
        <v>2002</v>
      </c>
      <c r="C2143" t="str">
        <f>_xlfn.CONCAT(Table13[[#This Row],[STATE]],"-",Table13[[#This Row],[Year]])</f>
        <v>Himachal Pradesh-2002</v>
      </c>
      <c r="D2143" t="s">
        <v>77</v>
      </c>
      <c r="E2143" t="s">
        <v>78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f>SUM(Table13[[#This Row],[Rank_All_Ranks_Total]:[Rank_SSPSPAddlSPCommandant]])</f>
        <v>0</v>
      </c>
    </row>
    <row r="2144" spans="1:18" x14ac:dyDescent="0.3">
      <c r="A2144" t="s">
        <v>15</v>
      </c>
      <c r="B2144">
        <v>2002</v>
      </c>
      <c r="C2144" t="str">
        <f>_xlfn.CONCAT(Table13[[#This Row],[STATE]],"-",Table13[[#This Row],[Year]])</f>
        <v>Jammu &amp; Kashmir-2002</v>
      </c>
      <c r="D2144" t="s">
        <v>77</v>
      </c>
      <c r="E2144" t="s">
        <v>78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f>SUM(Table13[[#This Row],[Rank_All_Ranks_Total]:[Rank_SSPSPAddlSPCommandant]])</f>
        <v>0</v>
      </c>
    </row>
    <row r="2145" spans="1:18" x14ac:dyDescent="0.3">
      <c r="A2145" t="s">
        <v>16</v>
      </c>
      <c r="B2145">
        <v>2002</v>
      </c>
      <c r="C2145" t="str">
        <f>_xlfn.CONCAT(Table13[[#This Row],[STATE]],"-",Table13[[#This Row],[Year]])</f>
        <v>Jharkhand-2002</v>
      </c>
      <c r="D2145" t="s">
        <v>77</v>
      </c>
      <c r="E2145" t="s">
        <v>78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f>SUM(Table13[[#This Row],[Rank_All_Ranks_Total]:[Rank_SSPSPAddlSPCommandant]])</f>
        <v>0</v>
      </c>
    </row>
    <row r="2146" spans="1:18" x14ac:dyDescent="0.3">
      <c r="A2146" t="s">
        <v>17</v>
      </c>
      <c r="B2146">
        <v>2002</v>
      </c>
      <c r="C2146" t="str">
        <f>_xlfn.CONCAT(Table13[[#This Row],[STATE]],"-",Table13[[#This Row],[Year]])</f>
        <v>Karnataka-2002</v>
      </c>
      <c r="D2146" t="s">
        <v>77</v>
      </c>
      <c r="E2146" t="s">
        <v>78</v>
      </c>
      <c r="F2146">
        <v>473</v>
      </c>
      <c r="G2146">
        <v>18</v>
      </c>
      <c r="H2146">
        <v>1</v>
      </c>
      <c r="I2146">
        <v>0</v>
      </c>
      <c r="J2146">
        <v>372</v>
      </c>
      <c r="K2146">
        <v>0</v>
      </c>
      <c r="L2146">
        <v>0</v>
      </c>
      <c r="M2146">
        <v>71</v>
      </c>
      <c r="N2146">
        <v>0</v>
      </c>
      <c r="O2146">
        <v>3</v>
      </c>
      <c r="P2146">
        <v>8</v>
      </c>
      <c r="Q2146">
        <v>0</v>
      </c>
      <c r="R2146">
        <f>SUM(Table13[[#This Row],[Rank_All_Ranks_Total]:[Rank_SSPSPAddlSPCommandant]])</f>
        <v>946</v>
      </c>
    </row>
    <row r="2147" spans="1:18" x14ac:dyDescent="0.3">
      <c r="A2147" t="s">
        <v>18</v>
      </c>
      <c r="B2147">
        <v>2002</v>
      </c>
      <c r="C2147" t="str">
        <f>_xlfn.CONCAT(Table13[[#This Row],[STATE]],"-",Table13[[#This Row],[Year]])</f>
        <v>Kerala-2002</v>
      </c>
      <c r="D2147" t="s">
        <v>77</v>
      </c>
      <c r="E2147" t="s">
        <v>78</v>
      </c>
      <c r="F2147">
        <v>880</v>
      </c>
      <c r="G2147">
        <v>4</v>
      </c>
      <c r="H2147">
        <v>0</v>
      </c>
      <c r="I2147">
        <v>0</v>
      </c>
      <c r="J2147">
        <v>872</v>
      </c>
      <c r="K2147">
        <v>0</v>
      </c>
      <c r="L2147">
        <v>0</v>
      </c>
      <c r="M2147">
        <v>4</v>
      </c>
      <c r="N2147">
        <v>0</v>
      </c>
      <c r="O2147">
        <v>0</v>
      </c>
      <c r="P2147">
        <v>0</v>
      </c>
      <c r="Q2147">
        <v>0</v>
      </c>
      <c r="R2147">
        <f>SUM(Table13[[#This Row],[Rank_All_Ranks_Total]:[Rank_SSPSPAddlSPCommandant]])</f>
        <v>1760</v>
      </c>
    </row>
    <row r="2148" spans="1:18" x14ac:dyDescent="0.3">
      <c r="A2148" t="s">
        <v>39</v>
      </c>
      <c r="B2148">
        <v>2002</v>
      </c>
      <c r="C2148" t="str">
        <f>_xlfn.CONCAT(Table13[[#This Row],[STATE]],"-",Table13[[#This Row],[Year]])</f>
        <v>Lakshadweep-2002</v>
      </c>
      <c r="D2148" t="s">
        <v>77</v>
      </c>
      <c r="E2148" t="s">
        <v>78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f>SUM(Table13[[#This Row],[Rank_All_Ranks_Total]:[Rank_SSPSPAddlSPCommandant]])</f>
        <v>0</v>
      </c>
    </row>
    <row r="2149" spans="1:18" x14ac:dyDescent="0.3">
      <c r="A2149" t="s">
        <v>19</v>
      </c>
      <c r="B2149">
        <v>2002</v>
      </c>
      <c r="C2149" t="str">
        <f>_xlfn.CONCAT(Table13[[#This Row],[STATE]],"-",Table13[[#This Row],[Year]])</f>
        <v>Madhya Pradesh-2002</v>
      </c>
      <c r="D2149" t="s">
        <v>77</v>
      </c>
      <c r="E2149" t="s">
        <v>78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f>SUM(Table13[[#This Row],[Rank_All_Ranks_Total]:[Rank_SSPSPAddlSPCommandant]])</f>
        <v>0</v>
      </c>
    </row>
    <row r="2150" spans="1:18" x14ac:dyDescent="0.3">
      <c r="A2150" t="s">
        <v>20</v>
      </c>
      <c r="B2150">
        <v>2002</v>
      </c>
      <c r="C2150" t="str">
        <f>_xlfn.CONCAT(Table13[[#This Row],[STATE]],"-",Table13[[#This Row],[Year]])</f>
        <v>Maharashtra-2002</v>
      </c>
      <c r="D2150" t="s">
        <v>77</v>
      </c>
      <c r="E2150" t="s">
        <v>78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f>SUM(Table13[[#This Row],[Rank_All_Ranks_Total]:[Rank_SSPSPAddlSPCommandant]])</f>
        <v>0</v>
      </c>
    </row>
    <row r="2151" spans="1:18" x14ac:dyDescent="0.3">
      <c r="A2151" t="s">
        <v>21</v>
      </c>
      <c r="B2151">
        <v>2002</v>
      </c>
      <c r="C2151" t="str">
        <f>_xlfn.CONCAT(Table13[[#This Row],[STATE]],"-",Table13[[#This Row],[Year]])</f>
        <v>Manipur-2002</v>
      </c>
      <c r="D2151" t="s">
        <v>77</v>
      </c>
      <c r="E2151" t="s">
        <v>78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f>SUM(Table13[[#This Row],[Rank_All_Ranks_Total]:[Rank_SSPSPAddlSPCommandant]])</f>
        <v>0</v>
      </c>
    </row>
    <row r="2152" spans="1:18" x14ac:dyDescent="0.3">
      <c r="A2152" t="s">
        <v>22</v>
      </c>
      <c r="B2152">
        <v>2002</v>
      </c>
      <c r="C2152" t="str">
        <f>_xlfn.CONCAT(Table13[[#This Row],[STATE]],"-",Table13[[#This Row],[Year]])</f>
        <v>Meghalaya-2002</v>
      </c>
      <c r="D2152" t="s">
        <v>77</v>
      </c>
      <c r="E2152" t="s">
        <v>78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f>SUM(Table13[[#This Row],[Rank_All_Ranks_Total]:[Rank_SSPSPAddlSPCommandant]])</f>
        <v>0</v>
      </c>
    </row>
    <row r="2153" spans="1:18" x14ac:dyDescent="0.3">
      <c r="A2153" t="s">
        <v>23</v>
      </c>
      <c r="B2153">
        <v>2002</v>
      </c>
      <c r="C2153" t="str">
        <f>_xlfn.CONCAT(Table13[[#This Row],[STATE]],"-",Table13[[#This Row],[Year]])</f>
        <v>Mizoram-2002</v>
      </c>
      <c r="D2153" t="s">
        <v>77</v>
      </c>
      <c r="E2153" t="s">
        <v>78</v>
      </c>
      <c r="F2153">
        <v>136</v>
      </c>
      <c r="G2153">
        <v>0</v>
      </c>
      <c r="H2153">
        <v>0</v>
      </c>
      <c r="I2153">
        <v>28</v>
      </c>
      <c r="J2153">
        <v>85</v>
      </c>
      <c r="K2153">
        <v>0</v>
      </c>
      <c r="L2153">
        <v>0</v>
      </c>
      <c r="M2153">
        <v>15</v>
      </c>
      <c r="N2153">
        <v>0</v>
      </c>
      <c r="O2153">
        <v>3</v>
      </c>
      <c r="P2153">
        <v>5</v>
      </c>
      <c r="Q2153">
        <v>0</v>
      </c>
      <c r="R2153">
        <f>SUM(Table13[[#This Row],[Rank_All_Ranks_Total]:[Rank_SSPSPAddlSPCommandant]])</f>
        <v>272</v>
      </c>
    </row>
    <row r="2154" spans="1:18" x14ac:dyDescent="0.3">
      <c r="A2154" t="s">
        <v>24</v>
      </c>
      <c r="B2154">
        <v>2002</v>
      </c>
      <c r="C2154" t="str">
        <f>_xlfn.CONCAT(Table13[[#This Row],[STATE]],"-",Table13[[#This Row],[Year]])</f>
        <v>Nagaland-2002</v>
      </c>
      <c r="D2154" t="s">
        <v>77</v>
      </c>
      <c r="E2154" t="s">
        <v>78</v>
      </c>
      <c r="F2154">
        <v>1</v>
      </c>
      <c r="G2154">
        <v>0</v>
      </c>
      <c r="H2154">
        <v>1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f>SUM(Table13[[#This Row],[Rank_All_Ranks_Total]:[Rank_SSPSPAddlSPCommandant]])</f>
        <v>2</v>
      </c>
    </row>
    <row r="2155" spans="1:18" x14ac:dyDescent="0.3">
      <c r="A2155" t="s">
        <v>63</v>
      </c>
      <c r="B2155">
        <v>2002</v>
      </c>
      <c r="C2155" t="str">
        <f>_xlfn.CONCAT(Table13[[#This Row],[STATE]],"-",Table13[[#This Row],[Year]])</f>
        <v>Odisha-2002</v>
      </c>
      <c r="D2155" t="s">
        <v>77</v>
      </c>
      <c r="E2155" t="s">
        <v>78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f>SUM(Table13[[#This Row],[Rank_All_Ranks_Total]:[Rank_SSPSPAddlSPCommandant]])</f>
        <v>0</v>
      </c>
    </row>
    <row r="2156" spans="1:18" x14ac:dyDescent="0.3">
      <c r="A2156" t="s">
        <v>64</v>
      </c>
      <c r="B2156">
        <v>2002</v>
      </c>
      <c r="C2156" t="str">
        <f>_xlfn.CONCAT(Table13[[#This Row],[STATE]],"-",Table13[[#This Row],[Year]])</f>
        <v>Puducherry-2002</v>
      </c>
      <c r="D2156" t="s">
        <v>77</v>
      </c>
      <c r="E2156" t="s">
        <v>78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f>SUM(Table13[[#This Row],[Rank_All_Ranks_Total]:[Rank_SSPSPAddlSPCommandant]])</f>
        <v>0</v>
      </c>
    </row>
    <row r="2157" spans="1:18" x14ac:dyDescent="0.3">
      <c r="A2157" t="s">
        <v>26</v>
      </c>
      <c r="B2157">
        <v>2002</v>
      </c>
      <c r="C2157" t="str">
        <f>_xlfn.CONCAT(Table13[[#This Row],[STATE]],"-",Table13[[#This Row],[Year]])</f>
        <v>Punjab-2002</v>
      </c>
      <c r="D2157" t="s">
        <v>77</v>
      </c>
      <c r="E2157" t="s">
        <v>78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f>SUM(Table13[[#This Row],[Rank_All_Ranks_Total]:[Rank_SSPSPAddlSPCommandant]])</f>
        <v>0</v>
      </c>
    </row>
    <row r="2158" spans="1:18" x14ac:dyDescent="0.3">
      <c r="A2158" t="s">
        <v>27</v>
      </c>
      <c r="B2158">
        <v>2002</v>
      </c>
      <c r="C2158" t="str">
        <f>_xlfn.CONCAT(Table13[[#This Row],[STATE]],"-",Table13[[#This Row],[Year]])</f>
        <v>Rajasthan-2002</v>
      </c>
      <c r="D2158" t="s">
        <v>77</v>
      </c>
      <c r="E2158" t="s">
        <v>78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f>SUM(Table13[[#This Row],[Rank_All_Ranks_Total]:[Rank_SSPSPAddlSPCommandant]])</f>
        <v>0</v>
      </c>
    </row>
    <row r="2159" spans="1:18" x14ac:dyDescent="0.3">
      <c r="A2159" t="s">
        <v>28</v>
      </c>
      <c r="B2159">
        <v>2002</v>
      </c>
      <c r="C2159" t="str">
        <f>_xlfn.CONCAT(Table13[[#This Row],[STATE]],"-",Table13[[#This Row],[Year]])</f>
        <v>Sikkim-2002</v>
      </c>
      <c r="D2159" t="s">
        <v>77</v>
      </c>
      <c r="E2159" t="s">
        <v>78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f>SUM(Table13[[#This Row],[Rank_All_Ranks_Total]:[Rank_SSPSPAddlSPCommandant]])</f>
        <v>0</v>
      </c>
    </row>
    <row r="2160" spans="1:18" x14ac:dyDescent="0.3">
      <c r="A2160" t="s">
        <v>42</v>
      </c>
      <c r="B2160">
        <v>2002</v>
      </c>
      <c r="C2160" t="str">
        <f>_xlfn.CONCAT(Table13[[#This Row],[STATE]],"-",Table13[[#This Row],[Year]])</f>
        <v>Tamil Nadu-2002</v>
      </c>
      <c r="D2160" t="s">
        <v>77</v>
      </c>
      <c r="E2160" t="s">
        <v>78</v>
      </c>
      <c r="F2160">
        <v>2538</v>
      </c>
      <c r="G2160">
        <v>0</v>
      </c>
      <c r="H2160">
        <v>0</v>
      </c>
      <c r="I2160">
        <v>354</v>
      </c>
      <c r="J2160">
        <v>1893</v>
      </c>
      <c r="K2160">
        <v>0</v>
      </c>
      <c r="L2160">
        <v>0</v>
      </c>
      <c r="M2160">
        <v>291</v>
      </c>
      <c r="N2160">
        <v>0</v>
      </c>
      <c r="O2160">
        <v>0</v>
      </c>
      <c r="P2160">
        <v>0</v>
      </c>
      <c r="Q2160">
        <v>0</v>
      </c>
      <c r="R2160">
        <f>SUM(Table13[[#This Row],[Rank_All_Ranks_Total]:[Rank_SSPSPAddlSPCommandant]])</f>
        <v>5076</v>
      </c>
    </row>
    <row r="2161" spans="1:18" x14ac:dyDescent="0.3">
      <c r="A2161" t="s">
        <v>30</v>
      </c>
      <c r="B2161">
        <v>2002</v>
      </c>
      <c r="C2161" t="str">
        <f>_xlfn.CONCAT(Table13[[#This Row],[STATE]],"-",Table13[[#This Row],[Year]])</f>
        <v>Tripura-2002</v>
      </c>
      <c r="D2161" t="s">
        <v>77</v>
      </c>
      <c r="E2161" t="s">
        <v>78</v>
      </c>
      <c r="F2161">
        <v>40</v>
      </c>
      <c r="G2161">
        <v>0</v>
      </c>
      <c r="H2161">
        <v>0</v>
      </c>
      <c r="I2161">
        <v>0</v>
      </c>
      <c r="J2161">
        <v>26</v>
      </c>
      <c r="K2161">
        <v>0</v>
      </c>
      <c r="L2161">
        <v>0</v>
      </c>
      <c r="M2161">
        <v>10</v>
      </c>
      <c r="N2161">
        <v>0</v>
      </c>
      <c r="O2161">
        <v>1</v>
      </c>
      <c r="P2161">
        <v>3</v>
      </c>
      <c r="Q2161">
        <v>0</v>
      </c>
      <c r="R2161">
        <f>SUM(Table13[[#This Row],[Rank_All_Ranks_Total]:[Rank_SSPSPAddlSPCommandant]])</f>
        <v>80</v>
      </c>
    </row>
    <row r="2162" spans="1:18" x14ac:dyDescent="0.3">
      <c r="A2162" t="s">
        <v>31</v>
      </c>
      <c r="B2162">
        <v>2002</v>
      </c>
      <c r="C2162" t="str">
        <f>_xlfn.CONCAT(Table13[[#This Row],[STATE]],"-",Table13[[#This Row],[Year]])</f>
        <v>Uttar Pradesh-2002</v>
      </c>
      <c r="D2162" t="s">
        <v>77</v>
      </c>
      <c r="E2162" t="s">
        <v>78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f>SUM(Table13[[#This Row],[Rank_All_Ranks_Total]:[Rank_SSPSPAddlSPCommandant]])</f>
        <v>0</v>
      </c>
    </row>
    <row r="2163" spans="1:18" x14ac:dyDescent="0.3">
      <c r="A2163" t="s">
        <v>65</v>
      </c>
      <c r="B2163">
        <v>2002</v>
      </c>
      <c r="C2163" t="str">
        <f>_xlfn.CONCAT(Table13[[#This Row],[STATE]],"-",Table13[[#This Row],[Year]])</f>
        <v>Uttarakhand-2002</v>
      </c>
      <c r="D2163" t="s">
        <v>77</v>
      </c>
      <c r="E2163" t="s">
        <v>78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f>SUM(Table13[[#This Row],[Rank_All_Ranks_Total]:[Rank_SSPSPAddlSPCommandant]])</f>
        <v>0</v>
      </c>
    </row>
    <row r="2164" spans="1:18" x14ac:dyDescent="0.3">
      <c r="A2164" t="s">
        <v>33</v>
      </c>
      <c r="B2164">
        <v>2002</v>
      </c>
      <c r="C2164" t="str">
        <f>_xlfn.CONCAT(Table13[[#This Row],[STATE]],"-",Table13[[#This Row],[Year]])</f>
        <v>West Bengal-2002</v>
      </c>
      <c r="D2164" t="s">
        <v>77</v>
      </c>
      <c r="E2164" t="s">
        <v>78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f>SUM(Table13[[#This Row],[Rank_All_Ranks_Total]:[Rank_SSPSPAddlSPCommandant]])</f>
        <v>0</v>
      </c>
    </row>
    <row r="2165" spans="1:18" x14ac:dyDescent="0.3">
      <c r="A2165" t="s">
        <v>59</v>
      </c>
      <c r="B2165">
        <v>2003</v>
      </c>
      <c r="C2165" t="str">
        <f>_xlfn.CONCAT(Table13[[#This Row],[STATE]],"-",Table13[[#This Row],[Year]])</f>
        <v>Andaman &amp; Nicobar Islands-2003</v>
      </c>
      <c r="D2165" t="s">
        <v>77</v>
      </c>
      <c r="E2165" t="s">
        <v>78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f>SUM(Table13[[#This Row],[Rank_All_Ranks_Total]:[Rank_SSPSPAddlSPCommandant]])</f>
        <v>0</v>
      </c>
    </row>
    <row r="2166" spans="1:18" x14ac:dyDescent="0.3">
      <c r="A2166" t="s">
        <v>6</v>
      </c>
      <c r="B2166">
        <v>2003</v>
      </c>
      <c r="C2166" t="str">
        <f>_xlfn.CONCAT(Table13[[#This Row],[STATE]],"-",Table13[[#This Row],[Year]])</f>
        <v>Andhra Pradesh-2003</v>
      </c>
      <c r="D2166" t="s">
        <v>77</v>
      </c>
      <c r="E2166" t="s">
        <v>78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f>SUM(Table13[[#This Row],[Rank_All_Ranks_Total]:[Rank_SSPSPAddlSPCommandant]])</f>
        <v>0</v>
      </c>
    </row>
    <row r="2167" spans="1:18" x14ac:dyDescent="0.3">
      <c r="A2167" t="s">
        <v>7</v>
      </c>
      <c r="B2167">
        <v>2003</v>
      </c>
      <c r="C2167" t="str">
        <f>_xlfn.CONCAT(Table13[[#This Row],[STATE]],"-",Table13[[#This Row],[Year]])</f>
        <v>Arunachal Pradesh-2003</v>
      </c>
      <c r="D2167" t="s">
        <v>77</v>
      </c>
      <c r="E2167" t="s">
        <v>78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f>SUM(Table13[[#This Row],[Rank_All_Ranks_Total]:[Rank_SSPSPAddlSPCommandant]])</f>
        <v>0</v>
      </c>
    </row>
    <row r="2168" spans="1:18" x14ac:dyDescent="0.3">
      <c r="A2168" t="s">
        <v>8</v>
      </c>
      <c r="B2168">
        <v>2003</v>
      </c>
      <c r="C2168" t="str">
        <f>_xlfn.CONCAT(Table13[[#This Row],[STATE]],"-",Table13[[#This Row],[Year]])</f>
        <v>Assam-2003</v>
      </c>
      <c r="D2168" t="s">
        <v>77</v>
      </c>
      <c r="E2168" t="s">
        <v>78</v>
      </c>
      <c r="F2168">
        <v>165</v>
      </c>
      <c r="G2168">
        <v>0</v>
      </c>
      <c r="H2168">
        <v>0</v>
      </c>
      <c r="I2168">
        <v>8</v>
      </c>
      <c r="J2168">
        <v>146</v>
      </c>
      <c r="K2168">
        <v>0</v>
      </c>
      <c r="L2168">
        <v>0</v>
      </c>
      <c r="M2168">
        <v>8</v>
      </c>
      <c r="N2168">
        <v>0</v>
      </c>
      <c r="O2168">
        <v>0</v>
      </c>
      <c r="P2168">
        <v>3</v>
      </c>
      <c r="Q2168">
        <v>0</v>
      </c>
      <c r="R2168">
        <f>SUM(Table13[[#This Row],[Rank_All_Ranks_Total]:[Rank_SSPSPAddlSPCommandant]])</f>
        <v>330</v>
      </c>
    </row>
    <row r="2169" spans="1:18" x14ac:dyDescent="0.3">
      <c r="A2169" t="s">
        <v>9</v>
      </c>
      <c r="B2169">
        <v>2003</v>
      </c>
      <c r="C2169" t="str">
        <f>_xlfn.CONCAT(Table13[[#This Row],[STATE]],"-",Table13[[#This Row],[Year]])</f>
        <v>Bihar-2003</v>
      </c>
      <c r="D2169" t="s">
        <v>77</v>
      </c>
      <c r="E2169" t="s">
        <v>78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f>SUM(Table13[[#This Row],[Rank_All_Ranks_Total]:[Rank_SSPSPAddlSPCommandant]])</f>
        <v>0</v>
      </c>
    </row>
    <row r="2170" spans="1:18" x14ac:dyDescent="0.3">
      <c r="A2170" t="s">
        <v>35</v>
      </c>
      <c r="B2170">
        <v>2003</v>
      </c>
      <c r="C2170" t="str">
        <f>_xlfn.CONCAT(Table13[[#This Row],[STATE]],"-",Table13[[#This Row],[Year]])</f>
        <v>Chandigarh-2003</v>
      </c>
      <c r="D2170" t="s">
        <v>77</v>
      </c>
      <c r="E2170" t="s">
        <v>78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f>SUM(Table13[[#This Row],[Rank_All_Ranks_Total]:[Rank_SSPSPAddlSPCommandant]])</f>
        <v>0</v>
      </c>
    </row>
    <row r="2171" spans="1:18" x14ac:dyDescent="0.3">
      <c r="A2171" t="s">
        <v>10</v>
      </c>
      <c r="B2171">
        <v>2003</v>
      </c>
      <c r="C2171" t="str">
        <f>_xlfn.CONCAT(Table13[[#This Row],[STATE]],"-",Table13[[#This Row],[Year]])</f>
        <v>Chhattisgarh-2003</v>
      </c>
      <c r="D2171" t="s">
        <v>77</v>
      </c>
      <c r="E2171" t="s">
        <v>78</v>
      </c>
      <c r="F2171">
        <v>3</v>
      </c>
      <c r="G2171">
        <v>0</v>
      </c>
      <c r="H2171">
        <v>0</v>
      </c>
      <c r="I2171">
        <v>0</v>
      </c>
      <c r="J2171">
        <v>3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f>SUM(Table13[[#This Row],[Rank_All_Ranks_Total]:[Rank_SSPSPAddlSPCommandant]])</f>
        <v>6</v>
      </c>
    </row>
    <row r="2172" spans="1:18" x14ac:dyDescent="0.3">
      <c r="A2172" t="s">
        <v>62</v>
      </c>
      <c r="B2172">
        <v>2003</v>
      </c>
      <c r="C2172" t="str">
        <f>_xlfn.CONCAT(Table13[[#This Row],[STATE]],"-",Table13[[#This Row],[Year]])</f>
        <v>Dadra &amp; Nagar Haveli-2003</v>
      </c>
      <c r="D2172" t="s">
        <v>77</v>
      </c>
      <c r="E2172" t="s">
        <v>78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f>SUM(Table13[[#This Row],[Rank_All_Ranks_Total]:[Rank_SSPSPAddlSPCommandant]])</f>
        <v>0</v>
      </c>
    </row>
    <row r="2173" spans="1:18" x14ac:dyDescent="0.3">
      <c r="A2173" t="s">
        <v>37</v>
      </c>
      <c r="B2173">
        <v>2003</v>
      </c>
      <c r="C2173" t="str">
        <f>_xlfn.CONCAT(Table13[[#This Row],[STATE]],"-",Table13[[#This Row],[Year]])</f>
        <v>Daman &amp; Diu-2003</v>
      </c>
      <c r="D2173" t="s">
        <v>77</v>
      </c>
      <c r="E2173" t="s">
        <v>78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f>SUM(Table13[[#This Row],[Rank_All_Ranks_Total]:[Rank_SSPSPAddlSPCommandant]])</f>
        <v>0</v>
      </c>
    </row>
    <row r="2174" spans="1:18" x14ac:dyDescent="0.3">
      <c r="A2174" t="s">
        <v>38</v>
      </c>
      <c r="B2174">
        <v>2003</v>
      </c>
      <c r="C2174" t="str">
        <f>_xlfn.CONCAT(Table13[[#This Row],[STATE]],"-",Table13[[#This Row],[Year]])</f>
        <v>Delhi-2003</v>
      </c>
      <c r="D2174" t="s">
        <v>77</v>
      </c>
      <c r="E2174" t="s">
        <v>78</v>
      </c>
      <c r="F2174">
        <v>52</v>
      </c>
      <c r="G2174">
        <v>0</v>
      </c>
      <c r="H2174">
        <v>0</v>
      </c>
      <c r="I2174">
        <v>0</v>
      </c>
      <c r="J2174">
        <v>51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1</v>
      </c>
      <c r="Q2174">
        <v>0</v>
      </c>
      <c r="R2174">
        <f>SUM(Table13[[#This Row],[Rank_All_Ranks_Total]:[Rank_SSPSPAddlSPCommandant]])</f>
        <v>104</v>
      </c>
    </row>
    <row r="2175" spans="1:18" x14ac:dyDescent="0.3">
      <c r="A2175" t="s">
        <v>11</v>
      </c>
      <c r="B2175">
        <v>2003</v>
      </c>
      <c r="C2175" t="str">
        <f>_xlfn.CONCAT(Table13[[#This Row],[STATE]],"-",Table13[[#This Row],[Year]])</f>
        <v>Goa-2003</v>
      </c>
      <c r="D2175" t="s">
        <v>77</v>
      </c>
      <c r="E2175" t="s">
        <v>78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f>SUM(Table13[[#This Row],[Rank_All_Ranks_Total]:[Rank_SSPSPAddlSPCommandant]])</f>
        <v>0</v>
      </c>
    </row>
    <row r="2176" spans="1:18" x14ac:dyDescent="0.3">
      <c r="A2176" t="s">
        <v>12</v>
      </c>
      <c r="B2176">
        <v>2003</v>
      </c>
      <c r="C2176" t="str">
        <f>_xlfn.CONCAT(Table13[[#This Row],[STATE]],"-",Table13[[#This Row],[Year]])</f>
        <v>Gujarat-2003</v>
      </c>
      <c r="D2176" t="s">
        <v>77</v>
      </c>
      <c r="E2176" t="s">
        <v>78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f>SUM(Table13[[#This Row],[Rank_All_Ranks_Total]:[Rank_SSPSPAddlSPCommandant]])</f>
        <v>0</v>
      </c>
    </row>
    <row r="2177" spans="1:18" x14ac:dyDescent="0.3">
      <c r="A2177" t="s">
        <v>13</v>
      </c>
      <c r="B2177">
        <v>2003</v>
      </c>
      <c r="C2177" t="str">
        <f>_xlfn.CONCAT(Table13[[#This Row],[STATE]],"-",Table13[[#This Row],[Year]])</f>
        <v>Haryana-2003</v>
      </c>
      <c r="D2177" t="s">
        <v>77</v>
      </c>
      <c r="E2177" t="s">
        <v>78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f>SUM(Table13[[#This Row],[Rank_All_Ranks_Total]:[Rank_SSPSPAddlSPCommandant]])</f>
        <v>0</v>
      </c>
    </row>
    <row r="2178" spans="1:18" x14ac:dyDescent="0.3">
      <c r="A2178" t="s">
        <v>14</v>
      </c>
      <c r="B2178">
        <v>2003</v>
      </c>
      <c r="C2178" t="str">
        <f>_xlfn.CONCAT(Table13[[#This Row],[STATE]],"-",Table13[[#This Row],[Year]])</f>
        <v>Himachal Pradesh-2003</v>
      </c>
      <c r="D2178" t="s">
        <v>77</v>
      </c>
      <c r="E2178" t="s">
        <v>78</v>
      </c>
      <c r="F2178">
        <v>6</v>
      </c>
      <c r="G2178">
        <v>0</v>
      </c>
      <c r="H2178">
        <v>0</v>
      </c>
      <c r="I2178">
        <v>0</v>
      </c>
      <c r="J2178">
        <v>5</v>
      </c>
      <c r="K2178">
        <v>0</v>
      </c>
      <c r="L2178">
        <v>0</v>
      </c>
      <c r="M2178">
        <v>1</v>
      </c>
      <c r="N2178">
        <v>0</v>
      </c>
      <c r="O2178">
        <v>0</v>
      </c>
      <c r="P2178">
        <v>0</v>
      </c>
      <c r="Q2178">
        <v>0</v>
      </c>
      <c r="R2178">
        <f>SUM(Table13[[#This Row],[Rank_All_Ranks_Total]:[Rank_SSPSPAddlSPCommandant]])</f>
        <v>12</v>
      </c>
    </row>
    <row r="2179" spans="1:18" x14ac:dyDescent="0.3">
      <c r="A2179" t="s">
        <v>15</v>
      </c>
      <c r="B2179">
        <v>2003</v>
      </c>
      <c r="C2179" t="str">
        <f>_xlfn.CONCAT(Table13[[#This Row],[STATE]],"-",Table13[[#This Row],[Year]])</f>
        <v>Jammu &amp; Kashmir-2003</v>
      </c>
      <c r="D2179" t="s">
        <v>77</v>
      </c>
      <c r="E2179" t="s">
        <v>78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f>SUM(Table13[[#This Row],[Rank_All_Ranks_Total]:[Rank_SSPSPAddlSPCommandant]])</f>
        <v>0</v>
      </c>
    </row>
    <row r="2180" spans="1:18" x14ac:dyDescent="0.3">
      <c r="A2180" t="s">
        <v>16</v>
      </c>
      <c r="B2180">
        <v>2003</v>
      </c>
      <c r="C2180" t="str">
        <f>_xlfn.CONCAT(Table13[[#This Row],[STATE]],"-",Table13[[#This Row],[Year]])</f>
        <v>Jharkhand-2003</v>
      </c>
      <c r="D2180" t="s">
        <v>77</v>
      </c>
      <c r="E2180" t="s">
        <v>78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f>SUM(Table13[[#This Row],[Rank_All_Ranks_Total]:[Rank_SSPSPAddlSPCommandant]])</f>
        <v>0</v>
      </c>
    </row>
    <row r="2181" spans="1:18" x14ac:dyDescent="0.3">
      <c r="A2181" t="s">
        <v>17</v>
      </c>
      <c r="B2181">
        <v>2003</v>
      </c>
      <c r="C2181" t="str">
        <f>_xlfn.CONCAT(Table13[[#This Row],[STATE]],"-",Table13[[#This Row],[Year]])</f>
        <v>Karnataka-2003</v>
      </c>
      <c r="D2181" t="s">
        <v>77</v>
      </c>
      <c r="E2181" t="s">
        <v>78</v>
      </c>
      <c r="F2181">
        <v>846</v>
      </c>
      <c r="G2181">
        <v>26</v>
      </c>
      <c r="H2181">
        <v>1</v>
      </c>
      <c r="I2181">
        <v>0</v>
      </c>
      <c r="J2181">
        <v>661</v>
      </c>
      <c r="K2181">
        <v>0</v>
      </c>
      <c r="L2181">
        <v>0</v>
      </c>
      <c r="M2181">
        <v>141</v>
      </c>
      <c r="N2181">
        <v>0</v>
      </c>
      <c r="O2181">
        <v>5</v>
      </c>
      <c r="P2181">
        <v>12</v>
      </c>
      <c r="Q2181">
        <v>0</v>
      </c>
      <c r="R2181">
        <f>SUM(Table13[[#This Row],[Rank_All_Ranks_Total]:[Rank_SSPSPAddlSPCommandant]])</f>
        <v>1692</v>
      </c>
    </row>
    <row r="2182" spans="1:18" x14ac:dyDescent="0.3">
      <c r="A2182" t="s">
        <v>18</v>
      </c>
      <c r="B2182">
        <v>2003</v>
      </c>
      <c r="C2182" t="str">
        <f>_xlfn.CONCAT(Table13[[#This Row],[STATE]],"-",Table13[[#This Row],[Year]])</f>
        <v>Kerala-2003</v>
      </c>
      <c r="D2182" t="s">
        <v>77</v>
      </c>
      <c r="E2182" t="s">
        <v>78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f>SUM(Table13[[#This Row],[Rank_All_Ranks_Total]:[Rank_SSPSPAddlSPCommandant]])</f>
        <v>0</v>
      </c>
    </row>
    <row r="2183" spans="1:18" x14ac:dyDescent="0.3">
      <c r="A2183" t="s">
        <v>39</v>
      </c>
      <c r="B2183">
        <v>2003</v>
      </c>
      <c r="C2183" t="str">
        <f>_xlfn.CONCAT(Table13[[#This Row],[STATE]],"-",Table13[[#This Row],[Year]])</f>
        <v>Lakshadweep-2003</v>
      </c>
      <c r="D2183" t="s">
        <v>77</v>
      </c>
      <c r="E2183" t="s">
        <v>78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f>SUM(Table13[[#This Row],[Rank_All_Ranks_Total]:[Rank_SSPSPAddlSPCommandant]])</f>
        <v>0</v>
      </c>
    </row>
    <row r="2184" spans="1:18" x14ac:dyDescent="0.3">
      <c r="A2184" t="s">
        <v>19</v>
      </c>
      <c r="B2184">
        <v>2003</v>
      </c>
      <c r="C2184" t="str">
        <f>_xlfn.CONCAT(Table13[[#This Row],[STATE]],"-",Table13[[#This Row],[Year]])</f>
        <v>Madhya Pradesh-2003</v>
      </c>
      <c r="D2184" t="s">
        <v>77</v>
      </c>
      <c r="E2184" t="s">
        <v>78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f>SUM(Table13[[#This Row],[Rank_All_Ranks_Total]:[Rank_SSPSPAddlSPCommandant]])</f>
        <v>0</v>
      </c>
    </row>
    <row r="2185" spans="1:18" x14ac:dyDescent="0.3">
      <c r="A2185" t="s">
        <v>20</v>
      </c>
      <c r="B2185">
        <v>2003</v>
      </c>
      <c r="C2185" t="str">
        <f>_xlfn.CONCAT(Table13[[#This Row],[STATE]],"-",Table13[[#This Row],[Year]])</f>
        <v>Maharashtra-2003</v>
      </c>
      <c r="D2185" t="s">
        <v>77</v>
      </c>
      <c r="E2185" t="s">
        <v>78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f>SUM(Table13[[#This Row],[Rank_All_Ranks_Total]:[Rank_SSPSPAddlSPCommandant]])</f>
        <v>0</v>
      </c>
    </row>
    <row r="2186" spans="1:18" x14ac:dyDescent="0.3">
      <c r="A2186" t="s">
        <v>21</v>
      </c>
      <c r="B2186">
        <v>2003</v>
      </c>
      <c r="C2186" t="str">
        <f>_xlfn.CONCAT(Table13[[#This Row],[STATE]],"-",Table13[[#This Row],[Year]])</f>
        <v>Manipur-2003</v>
      </c>
      <c r="D2186" t="s">
        <v>77</v>
      </c>
      <c r="E2186" t="s">
        <v>78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f>SUM(Table13[[#This Row],[Rank_All_Ranks_Total]:[Rank_SSPSPAddlSPCommandant]])</f>
        <v>0</v>
      </c>
    </row>
    <row r="2187" spans="1:18" x14ac:dyDescent="0.3">
      <c r="A2187" t="s">
        <v>22</v>
      </c>
      <c r="B2187">
        <v>2003</v>
      </c>
      <c r="C2187" t="str">
        <f>_xlfn.CONCAT(Table13[[#This Row],[STATE]],"-",Table13[[#This Row],[Year]])</f>
        <v>Meghalaya-2003</v>
      </c>
      <c r="D2187" t="s">
        <v>77</v>
      </c>
      <c r="E2187" t="s">
        <v>78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f>SUM(Table13[[#This Row],[Rank_All_Ranks_Total]:[Rank_SSPSPAddlSPCommandant]])</f>
        <v>0</v>
      </c>
    </row>
    <row r="2188" spans="1:18" x14ac:dyDescent="0.3">
      <c r="A2188" t="s">
        <v>23</v>
      </c>
      <c r="B2188">
        <v>2003</v>
      </c>
      <c r="C2188" t="str">
        <f>_xlfn.CONCAT(Table13[[#This Row],[STATE]],"-",Table13[[#This Row],[Year]])</f>
        <v>Mizoram-2003</v>
      </c>
      <c r="D2188" t="s">
        <v>77</v>
      </c>
      <c r="E2188" t="s">
        <v>78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f>SUM(Table13[[#This Row],[Rank_All_Ranks_Total]:[Rank_SSPSPAddlSPCommandant]])</f>
        <v>0</v>
      </c>
    </row>
    <row r="2189" spans="1:18" x14ac:dyDescent="0.3">
      <c r="A2189" t="s">
        <v>24</v>
      </c>
      <c r="B2189">
        <v>2003</v>
      </c>
      <c r="C2189" t="str">
        <f>_xlfn.CONCAT(Table13[[#This Row],[STATE]],"-",Table13[[#This Row],[Year]])</f>
        <v>Nagaland-2003</v>
      </c>
      <c r="D2189" t="s">
        <v>77</v>
      </c>
      <c r="E2189" t="s">
        <v>78</v>
      </c>
      <c r="F2189">
        <v>1</v>
      </c>
      <c r="G2189">
        <v>0</v>
      </c>
      <c r="H2189">
        <v>1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f>SUM(Table13[[#This Row],[Rank_All_Ranks_Total]:[Rank_SSPSPAddlSPCommandant]])</f>
        <v>2</v>
      </c>
    </row>
    <row r="2190" spans="1:18" x14ac:dyDescent="0.3">
      <c r="A2190" t="s">
        <v>63</v>
      </c>
      <c r="B2190">
        <v>2003</v>
      </c>
      <c r="C2190" t="str">
        <f>_xlfn.CONCAT(Table13[[#This Row],[STATE]],"-",Table13[[#This Row],[Year]])</f>
        <v>Odisha-2003</v>
      </c>
      <c r="D2190" t="s">
        <v>77</v>
      </c>
      <c r="E2190" t="s">
        <v>78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f>SUM(Table13[[#This Row],[Rank_All_Ranks_Total]:[Rank_SSPSPAddlSPCommandant]])</f>
        <v>0</v>
      </c>
    </row>
    <row r="2191" spans="1:18" x14ac:dyDescent="0.3">
      <c r="A2191" t="s">
        <v>64</v>
      </c>
      <c r="B2191">
        <v>2003</v>
      </c>
      <c r="C2191" t="str">
        <f>_xlfn.CONCAT(Table13[[#This Row],[STATE]],"-",Table13[[#This Row],[Year]])</f>
        <v>Puducherry-2003</v>
      </c>
      <c r="D2191" t="s">
        <v>77</v>
      </c>
      <c r="E2191" t="s">
        <v>78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f>SUM(Table13[[#This Row],[Rank_All_Ranks_Total]:[Rank_SSPSPAddlSPCommandant]])</f>
        <v>0</v>
      </c>
    </row>
    <row r="2192" spans="1:18" x14ac:dyDescent="0.3">
      <c r="A2192" t="s">
        <v>26</v>
      </c>
      <c r="B2192">
        <v>2003</v>
      </c>
      <c r="C2192" t="str">
        <f>_xlfn.CONCAT(Table13[[#This Row],[STATE]],"-",Table13[[#This Row],[Year]])</f>
        <v>Punjab-2003</v>
      </c>
      <c r="D2192" t="s">
        <v>77</v>
      </c>
      <c r="E2192" t="s">
        <v>78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f>SUM(Table13[[#This Row],[Rank_All_Ranks_Total]:[Rank_SSPSPAddlSPCommandant]])</f>
        <v>0</v>
      </c>
    </row>
    <row r="2193" spans="1:18" x14ac:dyDescent="0.3">
      <c r="A2193" t="s">
        <v>27</v>
      </c>
      <c r="B2193">
        <v>2003</v>
      </c>
      <c r="C2193" t="str">
        <f>_xlfn.CONCAT(Table13[[#This Row],[STATE]],"-",Table13[[#This Row],[Year]])</f>
        <v>Rajasthan-2003</v>
      </c>
      <c r="D2193" t="s">
        <v>77</v>
      </c>
      <c r="E2193" t="s">
        <v>78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f>SUM(Table13[[#This Row],[Rank_All_Ranks_Total]:[Rank_SSPSPAddlSPCommandant]])</f>
        <v>0</v>
      </c>
    </row>
    <row r="2194" spans="1:18" x14ac:dyDescent="0.3">
      <c r="A2194" t="s">
        <v>28</v>
      </c>
      <c r="B2194">
        <v>2003</v>
      </c>
      <c r="C2194" t="str">
        <f>_xlfn.CONCAT(Table13[[#This Row],[STATE]],"-",Table13[[#This Row],[Year]])</f>
        <v>Sikkim-2003</v>
      </c>
      <c r="D2194" t="s">
        <v>77</v>
      </c>
      <c r="E2194" t="s">
        <v>78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f>SUM(Table13[[#This Row],[Rank_All_Ranks_Total]:[Rank_SSPSPAddlSPCommandant]])</f>
        <v>0</v>
      </c>
    </row>
    <row r="2195" spans="1:18" x14ac:dyDescent="0.3">
      <c r="A2195" t="s">
        <v>42</v>
      </c>
      <c r="B2195">
        <v>2003</v>
      </c>
      <c r="C2195" t="str">
        <f>_xlfn.CONCAT(Table13[[#This Row],[STATE]],"-",Table13[[#This Row],[Year]])</f>
        <v>Tamil Nadu-2003</v>
      </c>
      <c r="D2195" t="s">
        <v>77</v>
      </c>
      <c r="E2195" t="s">
        <v>78</v>
      </c>
      <c r="F2195">
        <v>2941</v>
      </c>
      <c r="G2195">
        <v>0</v>
      </c>
      <c r="H2195">
        <v>0</v>
      </c>
      <c r="I2195">
        <v>676</v>
      </c>
      <c r="J2195">
        <v>1706</v>
      </c>
      <c r="K2195">
        <v>0</v>
      </c>
      <c r="L2195">
        <v>0</v>
      </c>
      <c r="M2195">
        <v>559</v>
      </c>
      <c r="N2195">
        <v>0</v>
      </c>
      <c r="O2195">
        <v>0</v>
      </c>
      <c r="P2195">
        <v>0</v>
      </c>
      <c r="Q2195">
        <v>0</v>
      </c>
      <c r="R2195">
        <f>SUM(Table13[[#This Row],[Rank_All_Ranks_Total]:[Rank_SSPSPAddlSPCommandant]])</f>
        <v>5882</v>
      </c>
    </row>
    <row r="2196" spans="1:18" x14ac:dyDescent="0.3">
      <c r="A2196" t="s">
        <v>30</v>
      </c>
      <c r="B2196">
        <v>2003</v>
      </c>
      <c r="C2196" t="str">
        <f>_xlfn.CONCAT(Table13[[#This Row],[STATE]],"-",Table13[[#This Row],[Year]])</f>
        <v>Tripura-2003</v>
      </c>
      <c r="D2196" t="s">
        <v>77</v>
      </c>
      <c r="E2196" t="s">
        <v>78</v>
      </c>
      <c r="F2196">
        <v>40</v>
      </c>
      <c r="G2196">
        <v>0</v>
      </c>
      <c r="H2196">
        <v>0</v>
      </c>
      <c r="I2196">
        <v>0</v>
      </c>
      <c r="J2196">
        <v>26</v>
      </c>
      <c r="K2196">
        <v>0</v>
      </c>
      <c r="L2196">
        <v>0</v>
      </c>
      <c r="M2196">
        <v>10</v>
      </c>
      <c r="N2196">
        <v>0</v>
      </c>
      <c r="O2196">
        <v>1</v>
      </c>
      <c r="P2196">
        <v>3</v>
      </c>
      <c r="Q2196">
        <v>0</v>
      </c>
      <c r="R2196">
        <f>SUM(Table13[[#This Row],[Rank_All_Ranks_Total]:[Rank_SSPSPAddlSPCommandant]])</f>
        <v>80</v>
      </c>
    </row>
    <row r="2197" spans="1:18" x14ac:dyDescent="0.3">
      <c r="A2197" t="s">
        <v>31</v>
      </c>
      <c r="B2197">
        <v>2003</v>
      </c>
      <c r="C2197" t="str">
        <f>_xlfn.CONCAT(Table13[[#This Row],[STATE]],"-",Table13[[#This Row],[Year]])</f>
        <v>Uttar Pradesh-2003</v>
      </c>
      <c r="D2197" t="s">
        <v>77</v>
      </c>
      <c r="E2197" t="s">
        <v>78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f>SUM(Table13[[#This Row],[Rank_All_Ranks_Total]:[Rank_SSPSPAddlSPCommandant]])</f>
        <v>0</v>
      </c>
    </row>
    <row r="2198" spans="1:18" x14ac:dyDescent="0.3">
      <c r="A2198" t="s">
        <v>65</v>
      </c>
      <c r="B2198">
        <v>2003</v>
      </c>
      <c r="C2198" t="str">
        <f>_xlfn.CONCAT(Table13[[#This Row],[STATE]],"-",Table13[[#This Row],[Year]])</f>
        <v>Uttarakhand-2003</v>
      </c>
      <c r="D2198" t="s">
        <v>77</v>
      </c>
      <c r="E2198" t="s">
        <v>78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f>SUM(Table13[[#This Row],[Rank_All_Ranks_Total]:[Rank_SSPSPAddlSPCommandant]])</f>
        <v>0</v>
      </c>
    </row>
    <row r="2199" spans="1:18" x14ac:dyDescent="0.3">
      <c r="A2199" t="s">
        <v>33</v>
      </c>
      <c r="B2199">
        <v>2003</v>
      </c>
      <c r="C2199" t="str">
        <f>_xlfn.CONCAT(Table13[[#This Row],[STATE]],"-",Table13[[#This Row],[Year]])</f>
        <v>West Bengal-2003</v>
      </c>
      <c r="D2199" t="s">
        <v>77</v>
      </c>
      <c r="E2199" t="s">
        <v>78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f>SUM(Table13[[#This Row],[Rank_All_Ranks_Total]:[Rank_SSPSPAddlSPCommandant]])</f>
        <v>0</v>
      </c>
    </row>
    <row r="2200" spans="1:18" x14ac:dyDescent="0.3">
      <c r="A2200" t="s">
        <v>59</v>
      </c>
      <c r="B2200">
        <v>2004</v>
      </c>
      <c r="C2200" t="str">
        <f>_xlfn.CONCAT(Table13[[#This Row],[STATE]],"-",Table13[[#This Row],[Year]])</f>
        <v>Andaman &amp; Nicobar Islands-2004</v>
      </c>
      <c r="D2200" t="s">
        <v>77</v>
      </c>
      <c r="E2200" t="s">
        <v>78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f>SUM(Table13[[#This Row],[Rank_All_Ranks_Total]:[Rank_SSPSPAddlSPCommandant]])</f>
        <v>0</v>
      </c>
    </row>
    <row r="2201" spans="1:18" x14ac:dyDescent="0.3">
      <c r="A2201" t="s">
        <v>6</v>
      </c>
      <c r="B2201">
        <v>2004</v>
      </c>
      <c r="C2201" t="str">
        <f>_xlfn.CONCAT(Table13[[#This Row],[STATE]],"-",Table13[[#This Row],[Year]])</f>
        <v>Andhra Pradesh-2004</v>
      </c>
      <c r="D2201" t="s">
        <v>77</v>
      </c>
      <c r="E2201" t="s">
        <v>78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f>SUM(Table13[[#This Row],[Rank_All_Ranks_Total]:[Rank_SSPSPAddlSPCommandant]])</f>
        <v>0</v>
      </c>
    </row>
    <row r="2202" spans="1:18" x14ac:dyDescent="0.3">
      <c r="A2202" t="s">
        <v>7</v>
      </c>
      <c r="B2202">
        <v>2004</v>
      </c>
      <c r="C2202" t="str">
        <f>_xlfn.CONCAT(Table13[[#This Row],[STATE]],"-",Table13[[#This Row],[Year]])</f>
        <v>Arunachal Pradesh-2004</v>
      </c>
      <c r="D2202" t="s">
        <v>77</v>
      </c>
      <c r="E2202" t="s">
        <v>78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f>SUM(Table13[[#This Row],[Rank_All_Ranks_Total]:[Rank_SSPSPAddlSPCommandant]])</f>
        <v>0</v>
      </c>
    </row>
    <row r="2203" spans="1:18" x14ac:dyDescent="0.3">
      <c r="A2203" t="s">
        <v>8</v>
      </c>
      <c r="B2203">
        <v>2004</v>
      </c>
      <c r="C2203" t="str">
        <f>_xlfn.CONCAT(Table13[[#This Row],[STATE]],"-",Table13[[#This Row],[Year]])</f>
        <v>Assam-2004</v>
      </c>
      <c r="D2203" t="s">
        <v>77</v>
      </c>
      <c r="E2203" t="s">
        <v>78</v>
      </c>
      <c r="F2203">
        <v>165</v>
      </c>
      <c r="G2203">
        <v>0</v>
      </c>
      <c r="H2203">
        <v>0</v>
      </c>
      <c r="I2203">
        <v>8</v>
      </c>
      <c r="J2203">
        <v>146</v>
      </c>
      <c r="K2203">
        <v>0</v>
      </c>
      <c r="L2203">
        <v>0</v>
      </c>
      <c r="M2203">
        <v>8</v>
      </c>
      <c r="N2203">
        <v>0</v>
      </c>
      <c r="O2203">
        <v>0</v>
      </c>
      <c r="P2203">
        <v>3</v>
      </c>
      <c r="Q2203">
        <v>0</v>
      </c>
      <c r="R2203">
        <f>SUM(Table13[[#This Row],[Rank_All_Ranks_Total]:[Rank_SSPSPAddlSPCommandant]])</f>
        <v>330</v>
      </c>
    </row>
    <row r="2204" spans="1:18" x14ac:dyDescent="0.3">
      <c r="A2204" t="s">
        <v>9</v>
      </c>
      <c r="B2204">
        <v>2004</v>
      </c>
      <c r="C2204" t="str">
        <f>_xlfn.CONCAT(Table13[[#This Row],[STATE]],"-",Table13[[#This Row],[Year]])</f>
        <v>Bihar-2004</v>
      </c>
      <c r="D2204" t="s">
        <v>77</v>
      </c>
      <c r="E2204" t="s">
        <v>78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f>SUM(Table13[[#This Row],[Rank_All_Ranks_Total]:[Rank_SSPSPAddlSPCommandant]])</f>
        <v>0</v>
      </c>
    </row>
    <row r="2205" spans="1:18" x14ac:dyDescent="0.3">
      <c r="A2205" t="s">
        <v>35</v>
      </c>
      <c r="B2205">
        <v>2004</v>
      </c>
      <c r="C2205" t="str">
        <f>_xlfn.CONCAT(Table13[[#This Row],[STATE]],"-",Table13[[#This Row],[Year]])</f>
        <v>Chandigarh-2004</v>
      </c>
      <c r="D2205" t="s">
        <v>77</v>
      </c>
      <c r="E2205" t="s">
        <v>78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f>SUM(Table13[[#This Row],[Rank_All_Ranks_Total]:[Rank_SSPSPAddlSPCommandant]])</f>
        <v>0</v>
      </c>
    </row>
    <row r="2206" spans="1:18" x14ac:dyDescent="0.3">
      <c r="A2206" t="s">
        <v>10</v>
      </c>
      <c r="B2206">
        <v>2004</v>
      </c>
      <c r="C2206" t="str">
        <f>_xlfn.CONCAT(Table13[[#This Row],[STATE]],"-",Table13[[#This Row],[Year]])</f>
        <v>Chhattisgarh-2004</v>
      </c>
      <c r="D2206" t="s">
        <v>77</v>
      </c>
      <c r="E2206" t="s">
        <v>78</v>
      </c>
      <c r="F2206">
        <v>3</v>
      </c>
      <c r="G2206">
        <v>0</v>
      </c>
      <c r="H2206">
        <v>0</v>
      </c>
      <c r="I2206">
        <v>0</v>
      </c>
      <c r="J2206">
        <v>3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f>SUM(Table13[[#This Row],[Rank_All_Ranks_Total]:[Rank_SSPSPAddlSPCommandant]])</f>
        <v>6</v>
      </c>
    </row>
    <row r="2207" spans="1:18" x14ac:dyDescent="0.3">
      <c r="A2207" t="s">
        <v>62</v>
      </c>
      <c r="B2207">
        <v>2004</v>
      </c>
      <c r="C2207" t="str">
        <f>_xlfn.CONCAT(Table13[[#This Row],[STATE]],"-",Table13[[#This Row],[Year]])</f>
        <v>Dadra &amp; Nagar Haveli-2004</v>
      </c>
      <c r="D2207" t="s">
        <v>77</v>
      </c>
      <c r="E2207" t="s">
        <v>78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f>SUM(Table13[[#This Row],[Rank_All_Ranks_Total]:[Rank_SSPSPAddlSPCommandant]])</f>
        <v>0</v>
      </c>
    </row>
    <row r="2208" spans="1:18" x14ac:dyDescent="0.3">
      <c r="A2208" t="s">
        <v>37</v>
      </c>
      <c r="B2208">
        <v>2004</v>
      </c>
      <c r="C2208" t="str">
        <f>_xlfn.CONCAT(Table13[[#This Row],[STATE]],"-",Table13[[#This Row],[Year]])</f>
        <v>Daman &amp; Diu-2004</v>
      </c>
      <c r="D2208" t="s">
        <v>77</v>
      </c>
      <c r="E2208" t="s">
        <v>78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f>SUM(Table13[[#This Row],[Rank_All_Ranks_Total]:[Rank_SSPSPAddlSPCommandant]])</f>
        <v>0</v>
      </c>
    </row>
    <row r="2209" spans="1:18" x14ac:dyDescent="0.3">
      <c r="A2209" t="s">
        <v>38</v>
      </c>
      <c r="B2209">
        <v>2004</v>
      </c>
      <c r="C2209" t="str">
        <f>_xlfn.CONCAT(Table13[[#This Row],[STATE]],"-",Table13[[#This Row],[Year]])</f>
        <v>Delhi-2004</v>
      </c>
      <c r="D2209" t="s">
        <v>77</v>
      </c>
      <c r="E2209" t="s">
        <v>78</v>
      </c>
      <c r="F2209">
        <v>52</v>
      </c>
      <c r="G2209">
        <v>0</v>
      </c>
      <c r="H2209">
        <v>0</v>
      </c>
      <c r="I2209">
        <v>0</v>
      </c>
      <c r="J2209">
        <v>51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1</v>
      </c>
      <c r="Q2209">
        <v>0</v>
      </c>
      <c r="R2209">
        <f>SUM(Table13[[#This Row],[Rank_All_Ranks_Total]:[Rank_SSPSPAddlSPCommandant]])</f>
        <v>104</v>
      </c>
    </row>
    <row r="2210" spans="1:18" x14ac:dyDescent="0.3">
      <c r="A2210" t="s">
        <v>11</v>
      </c>
      <c r="B2210">
        <v>2004</v>
      </c>
      <c r="C2210" t="str">
        <f>_xlfn.CONCAT(Table13[[#This Row],[STATE]],"-",Table13[[#This Row],[Year]])</f>
        <v>Goa-2004</v>
      </c>
      <c r="D2210" t="s">
        <v>77</v>
      </c>
      <c r="E2210" t="s">
        <v>78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f>SUM(Table13[[#This Row],[Rank_All_Ranks_Total]:[Rank_SSPSPAddlSPCommandant]])</f>
        <v>0</v>
      </c>
    </row>
    <row r="2211" spans="1:18" x14ac:dyDescent="0.3">
      <c r="A2211" t="s">
        <v>12</v>
      </c>
      <c r="B2211">
        <v>2004</v>
      </c>
      <c r="C2211" t="str">
        <f>_xlfn.CONCAT(Table13[[#This Row],[STATE]],"-",Table13[[#This Row],[Year]])</f>
        <v>Gujarat-2004</v>
      </c>
      <c r="D2211" t="s">
        <v>77</v>
      </c>
      <c r="E2211" t="s">
        <v>78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f>SUM(Table13[[#This Row],[Rank_All_Ranks_Total]:[Rank_SSPSPAddlSPCommandant]])</f>
        <v>0</v>
      </c>
    </row>
    <row r="2212" spans="1:18" x14ac:dyDescent="0.3">
      <c r="A2212" t="s">
        <v>13</v>
      </c>
      <c r="B2212">
        <v>2004</v>
      </c>
      <c r="C2212" t="str">
        <f>_xlfn.CONCAT(Table13[[#This Row],[STATE]],"-",Table13[[#This Row],[Year]])</f>
        <v>Haryana-2004</v>
      </c>
      <c r="D2212" t="s">
        <v>77</v>
      </c>
      <c r="E2212" t="s">
        <v>78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f>SUM(Table13[[#This Row],[Rank_All_Ranks_Total]:[Rank_SSPSPAddlSPCommandant]])</f>
        <v>0</v>
      </c>
    </row>
    <row r="2213" spans="1:18" x14ac:dyDescent="0.3">
      <c r="A2213" t="s">
        <v>14</v>
      </c>
      <c r="B2213">
        <v>2004</v>
      </c>
      <c r="C2213" t="str">
        <f>_xlfn.CONCAT(Table13[[#This Row],[STATE]],"-",Table13[[#This Row],[Year]])</f>
        <v>Himachal Pradesh-2004</v>
      </c>
      <c r="D2213" t="s">
        <v>77</v>
      </c>
      <c r="E2213" t="s">
        <v>78</v>
      </c>
      <c r="F2213">
        <v>6</v>
      </c>
      <c r="G2213">
        <v>0</v>
      </c>
      <c r="H2213">
        <v>0</v>
      </c>
      <c r="I2213">
        <v>0</v>
      </c>
      <c r="J2213">
        <v>5</v>
      </c>
      <c r="K2213">
        <v>0</v>
      </c>
      <c r="L2213">
        <v>0</v>
      </c>
      <c r="M2213">
        <v>1</v>
      </c>
      <c r="N2213">
        <v>0</v>
      </c>
      <c r="O2213">
        <v>0</v>
      </c>
      <c r="P2213">
        <v>0</v>
      </c>
      <c r="Q2213">
        <v>0</v>
      </c>
      <c r="R2213">
        <f>SUM(Table13[[#This Row],[Rank_All_Ranks_Total]:[Rank_SSPSPAddlSPCommandant]])</f>
        <v>12</v>
      </c>
    </row>
    <row r="2214" spans="1:18" x14ac:dyDescent="0.3">
      <c r="A2214" t="s">
        <v>15</v>
      </c>
      <c r="B2214">
        <v>2004</v>
      </c>
      <c r="C2214" t="str">
        <f>_xlfn.CONCAT(Table13[[#This Row],[STATE]],"-",Table13[[#This Row],[Year]])</f>
        <v>Jammu &amp; Kashmir-2004</v>
      </c>
      <c r="D2214" t="s">
        <v>77</v>
      </c>
      <c r="E2214" t="s">
        <v>78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f>SUM(Table13[[#This Row],[Rank_All_Ranks_Total]:[Rank_SSPSPAddlSPCommandant]])</f>
        <v>0</v>
      </c>
    </row>
    <row r="2215" spans="1:18" x14ac:dyDescent="0.3">
      <c r="A2215" t="s">
        <v>16</v>
      </c>
      <c r="B2215">
        <v>2004</v>
      </c>
      <c r="C2215" t="str">
        <f>_xlfn.CONCAT(Table13[[#This Row],[STATE]],"-",Table13[[#This Row],[Year]])</f>
        <v>Jharkhand-2004</v>
      </c>
      <c r="D2215" t="s">
        <v>77</v>
      </c>
      <c r="E2215" t="s">
        <v>78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f>SUM(Table13[[#This Row],[Rank_All_Ranks_Total]:[Rank_SSPSPAddlSPCommandant]])</f>
        <v>0</v>
      </c>
    </row>
    <row r="2216" spans="1:18" x14ac:dyDescent="0.3">
      <c r="A2216" t="s">
        <v>17</v>
      </c>
      <c r="B2216">
        <v>2004</v>
      </c>
      <c r="C2216" t="str">
        <f>_xlfn.CONCAT(Table13[[#This Row],[STATE]],"-",Table13[[#This Row],[Year]])</f>
        <v>Karnataka-2004</v>
      </c>
      <c r="D2216" t="s">
        <v>77</v>
      </c>
      <c r="E2216" t="s">
        <v>78</v>
      </c>
      <c r="F2216">
        <v>1267</v>
      </c>
      <c r="G2216">
        <v>37</v>
      </c>
      <c r="H2216">
        <v>2</v>
      </c>
      <c r="I2216">
        <v>0</v>
      </c>
      <c r="J2216">
        <v>992</v>
      </c>
      <c r="K2216">
        <v>0</v>
      </c>
      <c r="L2216">
        <v>0</v>
      </c>
      <c r="M2216">
        <v>210</v>
      </c>
      <c r="N2216">
        <v>0</v>
      </c>
      <c r="O2216">
        <v>7</v>
      </c>
      <c r="P2216">
        <v>19</v>
      </c>
      <c r="Q2216">
        <v>0</v>
      </c>
      <c r="R2216">
        <f>SUM(Table13[[#This Row],[Rank_All_Ranks_Total]:[Rank_SSPSPAddlSPCommandant]])</f>
        <v>2534</v>
      </c>
    </row>
    <row r="2217" spans="1:18" x14ac:dyDescent="0.3">
      <c r="A2217" t="s">
        <v>18</v>
      </c>
      <c r="B2217">
        <v>2004</v>
      </c>
      <c r="C2217" t="str">
        <f>_xlfn.CONCAT(Table13[[#This Row],[STATE]],"-",Table13[[#This Row],[Year]])</f>
        <v>Kerala-2004</v>
      </c>
      <c r="D2217" t="s">
        <v>77</v>
      </c>
      <c r="E2217" t="s">
        <v>78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f>SUM(Table13[[#This Row],[Rank_All_Ranks_Total]:[Rank_SSPSPAddlSPCommandant]])</f>
        <v>0</v>
      </c>
    </row>
    <row r="2218" spans="1:18" x14ac:dyDescent="0.3">
      <c r="A2218" t="s">
        <v>39</v>
      </c>
      <c r="B2218">
        <v>2004</v>
      </c>
      <c r="C2218" t="str">
        <f>_xlfn.CONCAT(Table13[[#This Row],[STATE]],"-",Table13[[#This Row],[Year]])</f>
        <v>Lakshadweep-2004</v>
      </c>
      <c r="D2218" t="s">
        <v>77</v>
      </c>
      <c r="E2218" t="s">
        <v>78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f>SUM(Table13[[#This Row],[Rank_All_Ranks_Total]:[Rank_SSPSPAddlSPCommandant]])</f>
        <v>0</v>
      </c>
    </row>
    <row r="2219" spans="1:18" x14ac:dyDescent="0.3">
      <c r="A2219" t="s">
        <v>19</v>
      </c>
      <c r="B2219">
        <v>2004</v>
      </c>
      <c r="C2219" t="str">
        <f>_xlfn.CONCAT(Table13[[#This Row],[STATE]],"-",Table13[[#This Row],[Year]])</f>
        <v>Madhya Pradesh-2004</v>
      </c>
      <c r="D2219" t="s">
        <v>77</v>
      </c>
      <c r="E2219" t="s">
        <v>78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f>SUM(Table13[[#This Row],[Rank_All_Ranks_Total]:[Rank_SSPSPAddlSPCommandant]])</f>
        <v>0</v>
      </c>
    </row>
    <row r="2220" spans="1:18" x14ac:dyDescent="0.3">
      <c r="A2220" t="s">
        <v>20</v>
      </c>
      <c r="B2220">
        <v>2004</v>
      </c>
      <c r="C2220" t="str">
        <f>_xlfn.CONCAT(Table13[[#This Row],[STATE]],"-",Table13[[#This Row],[Year]])</f>
        <v>Maharashtra-2004</v>
      </c>
      <c r="D2220" t="s">
        <v>77</v>
      </c>
      <c r="E2220" t="s">
        <v>78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f>SUM(Table13[[#This Row],[Rank_All_Ranks_Total]:[Rank_SSPSPAddlSPCommandant]])</f>
        <v>0</v>
      </c>
    </row>
    <row r="2221" spans="1:18" x14ac:dyDescent="0.3">
      <c r="A2221" t="s">
        <v>21</v>
      </c>
      <c r="B2221">
        <v>2004</v>
      </c>
      <c r="C2221" t="str">
        <f>_xlfn.CONCAT(Table13[[#This Row],[STATE]],"-",Table13[[#This Row],[Year]])</f>
        <v>Manipur-2004</v>
      </c>
      <c r="D2221" t="s">
        <v>77</v>
      </c>
      <c r="E2221" t="s">
        <v>78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f>SUM(Table13[[#This Row],[Rank_All_Ranks_Total]:[Rank_SSPSPAddlSPCommandant]])</f>
        <v>0</v>
      </c>
    </row>
    <row r="2222" spans="1:18" x14ac:dyDescent="0.3">
      <c r="A2222" t="s">
        <v>22</v>
      </c>
      <c r="B2222">
        <v>2004</v>
      </c>
      <c r="C2222" t="str">
        <f>_xlfn.CONCAT(Table13[[#This Row],[STATE]],"-",Table13[[#This Row],[Year]])</f>
        <v>Meghalaya-2004</v>
      </c>
      <c r="D2222" t="s">
        <v>77</v>
      </c>
      <c r="E2222" t="s">
        <v>78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f>SUM(Table13[[#This Row],[Rank_All_Ranks_Total]:[Rank_SSPSPAddlSPCommandant]])</f>
        <v>0</v>
      </c>
    </row>
    <row r="2223" spans="1:18" x14ac:dyDescent="0.3">
      <c r="A2223" t="s">
        <v>23</v>
      </c>
      <c r="B2223">
        <v>2004</v>
      </c>
      <c r="C2223" t="str">
        <f>_xlfn.CONCAT(Table13[[#This Row],[STATE]],"-",Table13[[#This Row],[Year]])</f>
        <v>Mizoram-2004</v>
      </c>
      <c r="D2223" t="s">
        <v>77</v>
      </c>
      <c r="E2223" t="s">
        <v>78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f>SUM(Table13[[#This Row],[Rank_All_Ranks_Total]:[Rank_SSPSPAddlSPCommandant]])</f>
        <v>0</v>
      </c>
    </row>
    <row r="2224" spans="1:18" x14ac:dyDescent="0.3">
      <c r="A2224" t="s">
        <v>24</v>
      </c>
      <c r="B2224">
        <v>2004</v>
      </c>
      <c r="C2224" t="str">
        <f>_xlfn.CONCAT(Table13[[#This Row],[STATE]],"-",Table13[[#This Row],[Year]])</f>
        <v>Nagaland-2004</v>
      </c>
      <c r="D2224" t="s">
        <v>77</v>
      </c>
      <c r="E2224" t="s">
        <v>78</v>
      </c>
      <c r="F2224">
        <v>1</v>
      </c>
      <c r="G2224">
        <v>0</v>
      </c>
      <c r="H2224">
        <v>1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f>SUM(Table13[[#This Row],[Rank_All_Ranks_Total]:[Rank_SSPSPAddlSPCommandant]])</f>
        <v>2</v>
      </c>
    </row>
    <row r="2225" spans="1:18" x14ac:dyDescent="0.3">
      <c r="A2225" t="s">
        <v>63</v>
      </c>
      <c r="B2225">
        <v>2004</v>
      </c>
      <c r="C2225" t="str">
        <f>_xlfn.CONCAT(Table13[[#This Row],[STATE]],"-",Table13[[#This Row],[Year]])</f>
        <v>Odisha-2004</v>
      </c>
      <c r="D2225" t="s">
        <v>77</v>
      </c>
      <c r="E2225" t="s">
        <v>78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f>SUM(Table13[[#This Row],[Rank_All_Ranks_Total]:[Rank_SSPSPAddlSPCommandant]])</f>
        <v>0</v>
      </c>
    </row>
    <row r="2226" spans="1:18" x14ac:dyDescent="0.3">
      <c r="A2226" t="s">
        <v>64</v>
      </c>
      <c r="B2226">
        <v>2004</v>
      </c>
      <c r="C2226" t="str">
        <f>_xlfn.CONCAT(Table13[[#This Row],[STATE]],"-",Table13[[#This Row],[Year]])</f>
        <v>Puducherry-2004</v>
      </c>
      <c r="D2226" t="s">
        <v>77</v>
      </c>
      <c r="E2226" t="s">
        <v>78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f>SUM(Table13[[#This Row],[Rank_All_Ranks_Total]:[Rank_SSPSPAddlSPCommandant]])</f>
        <v>0</v>
      </c>
    </row>
    <row r="2227" spans="1:18" x14ac:dyDescent="0.3">
      <c r="A2227" t="s">
        <v>26</v>
      </c>
      <c r="B2227">
        <v>2004</v>
      </c>
      <c r="C2227" t="str">
        <f>_xlfn.CONCAT(Table13[[#This Row],[STATE]],"-",Table13[[#This Row],[Year]])</f>
        <v>Punjab-2004</v>
      </c>
      <c r="D2227" t="s">
        <v>77</v>
      </c>
      <c r="E2227" t="s">
        <v>78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f>SUM(Table13[[#This Row],[Rank_All_Ranks_Total]:[Rank_SSPSPAddlSPCommandant]])</f>
        <v>0</v>
      </c>
    </row>
    <row r="2228" spans="1:18" x14ac:dyDescent="0.3">
      <c r="A2228" t="s">
        <v>27</v>
      </c>
      <c r="B2228">
        <v>2004</v>
      </c>
      <c r="C2228" t="str">
        <f>_xlfn.CONCAT(Table13[[#This Row],[STATE]],"-",Table13[[#This Row],[Year]])</f>
        <v>Rajasthan-2004</v>
      </c>
      <c r="D2228" t="s">
        <v>77</v>
      </c>
      <c r="E2228" t="s">
        <v>78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f>SUM(Table13[[#This Row],[Rank_All_Ranks_Total]:[Rank_SSPSPAddlSPCommandant]])</f>
        <v>0</v>
      </c>
    </row>
    <row r="2229" spans="1:18" x14ac:dyDescent="0.3">
      <c r="A2229" t="s">
        <v>28</v>
      </c>
      <c r="B2229">
        <v>2004</v>
      </c>
      <c r="C2229" t="str">
        <f>_xlfn.CONCAT(Table13[[#This Row],[STATE]],"-",Table13[[#This Row],[Year]])</f>
        <v>Sikkim-2004</v>
      </c>
      <c r="D2229" t="s">
        <v>77</v>
      </c>
      <c r="E2229" t="s">
        <v>78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f>SUM(Table13[[#This Row],[Rank_All_Ranks_Total]:[Rank_SSPSPAddlSPCommandant]])</f>
        <v>0</v>
      </c>
    </row>
    <row r="2230" spans="1:18" x14ac:dyDescent="0.3">
      <c r="A2230" t="s">
        <v>42</v>
      </c>
      <c r="B2230">
        <v>2004</v>
      </c>
      <c r="C2230" t="str">
        <f>_xlfn.CONCAT(Table13[[#This Row],[STATE]],"-",Table13[[#This Row],[Year]])</f>
        <v>Tamil Nadu-2004</v>
      </c>
      <c r="D2230" t="s">
        <v>77</v>
      </c>
      <c r="E2230" t="s">
        <v>78</v>
      </c>
      <c r="F2230">
        <v>1767</v>
      </c>
      <c r="G2230">
        <v>0</v>
      </c>
      <c r="H2230">
        <v>0</v>
      </c>
      <c r="I2230">
        <v>352</v>
      </c>
      <c r="J2230">
        <v>1180</v>
      </c>
      <c r="K2230">
        <v>0</v>
      </c>
      <c r="L2230">
        <v>0</v>
      </c>
      <c r="M2230">
        <v>196</v>
      </c>
      <c r="N2230">
        <v>0</v>
      </c>
      <c r="O2230">
        <v>8</v>
      </c>
      <c r="P2230">
        <v>30</v>
      </c>
      <c r="Q2230">
        <v>1</v>
      </c>
      <c r="R2230">
        <f>SUM(Table13[[#This Row],[Rank_All_Ranks_Total]:[Rank_SSPSPAddlSPCommandant]])</f>
        <v>3534</v>
      </c>
    </row>
    <row r="2231" spans="1:18" x14ac:dyDescent="0.3">
      <c r="A2231" t="s">
        <v>30</v>
      </c>
      <c r="B2231">
        <v>2004</v>
      </c>
      <c r="C2231" t="str">
        <f>_xlfn.CONCAT(Table13[[#This Row],[STATE]],"-",Table13[[#This Row],[Year]])</f>
        <v>Tripura-2004</v>
      </c>
      <c r="D2231" t="s">
        <v>77</v>
      </c>
      <c r="E2231" t="s">
        <v>78</v>
      </c>
      <c r="F2231">
        <v>40</v>
      </c>
      <c r="G2231">
        <v>0</v>
      </c>
      <c r="H2231">
        <v>0</v>
      </c>
      <c r="I2231">
        <v>0</v>
      </c>
      <c r="J2231">
        <v>26</v>
      </c>
      <c r="K2231">
        <v>0</v>
      </c>
      <c r="L2231">
        <v>0</v>
      </c>
      <c r="M2231">
        <v>10</v>
      </c>
      <c r="N2231">
        <v>0</v>
      </c>
      <c r="O2231">
        <v>1</v>
      </c>
      <c r="P2231">
        <v>3</v>
      </c>
      <c r="Q2231">
        <v>0</v>
      </c>
      <c r="R2231">
        <f>SUM(Table13[[#This Row],[Rank_All_Ranks_Total]:[Rank_SSPSPAddlSPCommandant]])</f>
        <v>80</v>
      </c>
    </row>
    <row r="2232" spans="1:18" x14ac:dyDescent="0.3">
      <c r="A2232" t="s">
        <v>31</v>
      </c>
      <c r="B2232">
        <v>2004</v>
      </c>
      <c r="C2232" t="str">
        <f>_xlfn.CONCAT(Table13[[#This Row],[STATE]],"-",Table13[[#This Row],[Year]])</f>
        <v>Uttar Pradesh-2004</v>
      </c>
      <c r="D2232" t="s">
        <v>77</v>
      </c>
      <c r="E2232" t="s">
        <v>78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f>SUM(Table13[[#This Row],[Rank_All_Ranks_Total]:[Rank_SSPSPAddlSPCommandant]])</f>
        <v>0</v>
      </c>
    </row>
    <row r="2233" spans="1:18" x14ac:dyDescent="0.3">
      <c r="A2233" t="s">
        <v>65</v>
      </c>
      <c r="B2233">
        <v>2004</v>
      </c>
      <c r="C2233" t="str">
        <f>_xlfn.CONCAT(Table13[[#This Row],[STATE]],"-",Table13[[#This Row],[Year]])</f>
        <v>Uttarakhand-2004</v>
      </c>
      <c r="D2233" t="s">
        <v>77</v>
      </c>
      <c r="E2233" t="s">
        <v>78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f>SUM(Table13[[#This Row],[Rank_All_Ranks_Total]:[Rank_SSPSPAddlSPCommandant]])</f>
        <v>0</v>
      </c>
    </row>
    <row r="2234" spans="1:18" x14ac:dyDescent="0.3">
      <c r="A2234" t="s">
        <v>33</v>
      </c>
      <c r="B2234">
        <v>2004</v>
      </c>
      <c r="C2234" t="str">
        <f>_xlfn.CONCAT(Table13[[#This Row],[STATE]],"-",Table13[[#This Row],[Year]])</f>
        <v>West Bengal-2004</v>
      </c>
      <c r="D2234" t="s">
        <v>77</v>
      </c>
      <c r="E2234" t="s">
        <v>78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f>SUM(Table13[[#This Row],[Rank_All_Ranks_Total]:[Rank_SSPSPAddlSPCommandant]])</f>
        <v>0</v>
      </c>
    </row>
    <row r="2235" spans="1:18" x14ac:dyDescent="0.3">
      <c r="A2235" t="s">
        <v>59</v>
      </c>
      <c r="B2235">
        <v>2005</v>
      </c>
      <c r="C2235" t="str">
        <f>_xlfn.CONCAT(Table13[[#This Row],[STATE]],"-",Table13[[#This Row],[Year]])</f>
        <v>Andaman &amp; Nicobar Islands-2005</v>
      </c>
      <c r="D2235" t="s">
        <v>77</v>
      </c>
      <c r="E2235" t="s">
        <v>78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f>SUM(Table13[[#This Row],[Rank_All_Ranks_Total]:[Rank_SSPSPAddlSPCommandant]])</f>
        <v>0</v>
      </c>
    </row>
    <row r="2236" spans="1:18" x14ac:dyDescent="0.3">
      <c r="A2236" t="s">
        <v>6</v>
      </c>
      <c r="B2236">
        <v>2005</v>
      </c>
      <c r="C2236" t="str">
        <f>_xlfn.CONCAT(Table13[[#This Row],[STATE]],"-",Table13[[#This Row],[Year]])</f>
        <v>Andhra Pradesh-2005</v>
      </c>
      <c r="D2236" t="s">
        <v>77</v>
      </c>
      <c r="E2236" t="s">
        <v>78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f>SUM(Table13[[#This Row],[Rank_All_Ranks_Total]:[Rank_SSPSPAddlSPCommandant]])</f>
        <v>0</v>
      </c>
    </row>
    <row r="2237" spans="1:18" x14ac:dyDescent="0.3">
      <c r="A2237" t="s">
        <v>7</v>
      </c>
      <c r="B2237">
        <v>2005</v>
      </c>
      <c r="C2237" t="str">
        <f>_xlfn.CONCAT(Table13[[#This Row],[STATE]],"-",Table13[[#This Row],[Year]])</f>
        <v>Arunachal Pradesh-2005</v>
      </c>
      <c r="D2237" t="s">
        <v>77</v>
      </c>
      <c r="E2237" t="s">
        <v>78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f>SUM(Table13[[#This Row],[Rank_All_Ranks_Total]:[Rank_SSPSPAddlSPCommandant]])</f>
        <v>0</v>
      </c>
    </row>
    <row r="2238" spans="1:18" x14ac:dyDescent="0.3">
      <c r="A2238" t="s">
        <v>8</v>
      </c>
      <c r="B2238">
        <v>2005</v>
      </c>
      <c r="C2238" t="str">
        <f>_xlfn.CONCAT(Table13[[#This Row],[STATE]],"-",Table13[[#This Row],[Year]])</f>
        <v>Assam-2005</v>
      </c>
      <c r="D2238" t="s">
        <v>77</v>
      </c>
      <c r="E2238" t="s">
        <v>78</v>
      </c>
      <c r="F2238">
        <v>165</v>
      </c>
      <c r="G2238">
        <v>0</v>
      </c>
      <c r="H2238">
        <v>0</v>
      </c>
      <c r="I2238">
        <v>8</v>
      </c>
      <c r="J2238">
        <v>146</v>
      </c>
      <c r="K2238">
        <v>0</v>
      </c>
      <c r="L2238">
        <v>0</v>
      </c>
      <c r="M2238">
        <v>8</v>
      </c>
      <c r="N2238">
        <v>0</v>
      </c>
      <c r="O2238">
        <v>0</v>
      </c>
      <c r="P2238">
        <v>3</v>
      </c>
      <c r="Q2238">
        <v>0</v>
      </c>
      <c r="R2238">
        <f>SUM(Table13[[#This Row],[Rank_All_Ranks_Total]:[Rank_SSPSPAddlSPCommandant]])</f>
        <v>330</v>
      </c>
    </row>
    <row r="2239" spans="1:18" x14ac:dyDescent="0.3">
      <c r="A2239" t="s">
        <v>9</v>
      </c>
      <c r="B2239">
        <v>2005</v>
      </c>
      <c r="C2239" t="str">
        <f>_xlfn.CONCAT(Table13[[#This Row],[STATE]],"-",Table13[[#This Row],[Year]])</f>
        <v>Bihar-2005</v>
      </c>
      <c r="D2239" t="s">
        <v>77</v>
      </c>
      <c r="E2239" t="s">
        <v>78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f>SUM(Table13[[#This Row],[Rank_All_Ranks_Total]:[Rank_SSPSPAddlSPCommandant]])</f>
        <v>0</v>
      </c>
    </row>
    <row r="2240" spans="1:18" x14ac:dyDescent="0.3">
      <c r="A2240" t="s">
        <v>35</v>
      </c>
      <c r="B2240">
        <v>2005</v>
      </c>
      <c r="C2240" t="str">
        <f>_xlfn.CONCAT(Table13[[#This Row],[STATE]],"-",Table13[[#This Row],[Year]])</f>
        <v>Chandigarh-2005</v>
      </c>
      <c r="D2240" t="s">
        <v>77</v>
      </c>
      <c r="E2240" t="s">
        <v>78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f>SUM(Table13[[#This Row],[Rank_All_Ranks_Total]:[Rank_SSPSPAddlSPCommandant]])</f>
        <v>0</v>
      </c>
    </row>
    <row r="2241" spans="1:18" x14ac:dyDescent="0.3">
      <c r="A2241" t="s">
        <v>10</v>
      </c>
      <c r="B2241">
        <v>2005</v>
      </c>
      <c r="C2241" t="str">
        <f>_xlfn.CONCAT(Table13[[#This Row],[STATE]],"-",Table13[[#This Row],[Year]])</f>
        <v>Chhattisgarh-2005</v>
      </c>
      <c r="D2241" t="s">
        <v>77</v>
      </c>
      <c r="E2241" t="s">
        <v>78</v>
      </c>
      <c r="F2241">
        <v>3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3</v>
      </c>
      <c r="P2241">
        <v>0</v>
      </c>
      <c r="Q2241">
        <v>0</v>
      </c>
      <c r="R2241">
        <f>SUM(Table13[[#This Row],[Rank_All_Ranks_Total]:[Rank_SSPSPAddlSPCommandant]])</f>
        <v>6</v>
      </c>
    </row>
    <row r="2242" spans="1:18" x14ac:dyDescent="0.3">
      <c r="A2242" t="s">
        <v>62</v>
      </c>
      <c r="B2242">
        <v>2005</v>
      </c>
      <c r="C2242" t="str">
        <f>_xlfn.CONCAT(Table13[[#This Row],[STATE]],"-",Table13[[#This Row],[Year]])</f>
        <v>Dadra &amp; Nagar Haveli-2005</v>
      </c>
      <c r="D2242" t="s">
        <v>77</v>
      </c>
      <c r="E2242" t="s">
        <v>78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f>SUM(Table13[[#This Row],[Rank_All_Ranks_Total]:[Rank_SSPSPAddlSPCommandant]])</f>
        <v>0</v>
      </c>
    </row>
    <row r="2243" spans="1:18" x14ac:dyDescent="0.3">
      <c r="A2243" t="s">
        <v>37</v>
      </c>
      <c r="B2243">
        <v>2005</v>
      </c>
      <c r="C2243" t="str">
        <f>_xlfn.CONCAT(Table13[[#This Row],[STATE]],"-",Table13[[#This Row],[Year]])</f>
        <v>Daman &amp; Diu-2005</v>
      </c>
      <c r="D2243" t="s">
        <v>77</v>
      </c>
      <c r="E2243" t="s">
        <v>78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f>SUM(Table13[[#This Row],[Rank_All_Ranks_Total]:[Rank_SSPSPAddlSPCommandant]])</f>
        <v>0</v>
      </c>
    </row>
    <row r="2244" spans="1:18" x14ac:dyDescent="0.3">
      <c r="A2244" t="s">
        <v>38</v>
      </c>
      <c r="B2244">
        <v>2005</v>
      </c>
      <c r="C2244" t="str">
        <f>_xlfn.CONCAT(Table13[[#This Row],[STATE]],"-",Table13[[#This Row],[Year]])</f>
        <v>Delhi-2005</v>
      </c>
      <c r="D2244" t="s">
        <v>77</v>
      </c>
      <c r="E2244" t="s">
        <v>78</v>
      </c>
      <c r="F2244">
        <v>52</v>
      </c>
      <c r="G2244">
        <v>0</v>
      </c>
      <c r="H2244">
        <v>0</v>
      </c>
      <c r="I2244">
        <v>0</v>
      </c>
      <c r="J2244">
        <v>51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1</v>
      </c>
      <c r="Q2244">
        <v>0</v>
      </c>
      <c r="R2244">
        <f>SUM(Table13[[#This Row],[Rank_All_Ranks_Total]:[Rank_SSPSPAddlSPCommandant]])</f>
        <v>104</v>
      </c>
    </row>
    <row r="2245" spans="1:18" x14ac:dyDescent="0.3">
      <c r="A2245" t="s">
        <v>11</v>
      </c>
      <c r="B2245">
        <v>2005</v>
      </c>
      <c r="C2245" t="str">
        <f>_xlfn.CONCAT(Table13[[#This Row],[STATE]],"-",Table13[[#This Row],[Year]])</f>
        <v>Goa-2005</v>
      </c>
      <c r="D2245" t="s">
        <v>77</v>
      </c>
      <c r="E2245" t="s">
        <v>78</v>
      </c>
      <c r="F2245">
        <v>12</v>
      </c>
      <c r="G2245">
        <v>0</v>
      </c>
      <c r="H2245">
        <v>0</v>
      </c>
      <c r="I2245">
        <v>0</v>
      </c>
      <c r="J2245">
        <v>11</v>
      </c>
      <c r="K2245">
        <v>0</v>
      </c>
      <c r="L2245">
        <v>0</v>
      </c>
      <c r="M2245">
        <v>1</v>
      </c>
      <c r="N2245">
        <v>0</v>
      </c>
      <c r="O2245">
        <v>0</v>
      </c>
      <c r="P2245">
        <v>0</v>
      </c>
      <c r="Q2245">
        <v>0</v>
      </c>
      <c r="R2245">
        <f>SUM(Table13[[#This Row],[Rank_All_Ranks_Total]:[Rank_SSPSPAddlSPCommandant]])</f>
        <v>24</v>
      </c>
    </row>
    <row r="2246" spans="1:18" x14ac:dyDescent="0.3">
      <c r="A2246" t="s">
        <v>12</v>
      </c>
      <c r="B2246">
        <v>2005</v>
      </c>
      <c r="C2246" t="str">
        <f>_xlfn.CONCAT(Table13[[#This Row],[STATE]],"-",Table13[[#This Row],[Year]])</f>
        <v>Gujarat-2005</v>
      </c>
      <c r="D2246" t="s">
        <v>77</v>
      </c>
      <c r="E2246" t="s">
        <v>78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f>SUM(Table13[[#This Row],[Rank_All_Ranks_Total]:[Rank_SSPSPAddlSPCommandant]])</f>
        <v>0</v>
      </c>
    </row>
    <row r="2247" spans="1:18" x14ac:dyDescent="0.3">
      <c r="A2247" t="s">
        <v>13</v>
      </c>
      <c r="B2247">
        <v>2005</v>
      </c>
      <c r="C2247" t="str">
        <f>_xlfn.CONCAT(Table13[[#This Row],[STATE]],"-",Table13[[#This Row],[Year]])</f>
        <v>Haryana-2005</v>
      </c>
      <c r="D2247" t="s">
        <v>77</v>
      </c>
      <c r="E2247" t="s">
        <v>78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f>SUM(Table13[[#This Row],[Rank_All_Ranks_Total]:[Rank_SSPSPAddlSPCommandant]])</f>
        <v>0</v>
      </c>
    </row>
    <row r="2248" spans="1:18" x14ac:dyDescent="0.3">
      <c r="A2248" t="s">
        <v>14</v>
      </c>
      <c r="B2248">
        <v>2005</v>
      </c>
      <c r="C2248" t="str">
        <f>_xlfn.CONCAT(Table13[[#This Row],[STATE]],"-",Table13[[#This Row],[Year]])</f>
        <v>Himachal Pradesh-2005</v>
      </c>
      <c r="D2248" t="s">
        <v>77</v>
      </c>
      <c r="E2248" t="s">
        <v>78</v>
      </c>
      <c r="F2248">
        <v>6</v>
      </c>
      <c r="G2248">
        <v>0</v>
      </c>
      <c r="H2248">
        <v>0</v>
      </c>
      <c r="I2248">
        <v>0</v>
      </c>
      <c r="J2248">
        <v>5</v>
      </c>
      <c r="K2248">
        <v>0</v>
      </c>
      <c r="L2248">
        <v>0</v>
      </c>
      <c r="M2248">
        <v>1</v>
      </c>
      <c r="N2248">
        <v>0</v>
      </c>
      <c r="O2248">
        <v>0</v>
      </c>
      <c r="P2248">
        <v>0</v>
      </c>
      <c r="Q2248">
        <v>0</v>
      </c>
      <c r="R2248">
        <f>SUM(Table13[[#This Row],[Rank_All_Ranks_Total]:[Rank_SSPSPAddlSPCommandant]])</f>
        <v>12</v>
      </c>
    </row>
    <row r="2249" spans="1:18" x14ac:dyDescent="0.3">
      <c r="A2249" t="s">
        <v>15</v>
      </c>
      <c r="B2249">
        <v>2005</v>
      </c>
      <c r="C2249" t="str">
        <f>_xlfn.CONCAT(Table13[[#This Row],[STATE]],"-",Table13[[#This Row],[Year]])</f>
        <v>Jammu &amp; Kashmir-2005</v>
      </c>
      <c r="D2249" t="s">
        <v>77</v>
      </c>
      <c r="E2249" t="s">
        <v>78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f>SUM(Table13[[#This Row],[Rank_All_Ranks_Total]:[Rank_SSPSPAddlSPCommandant]])</f>
        <v>0</v>
      </c>
    </row>
    <row r="2250" spans="1:18" x14ac:dyDescent="0.3">
      <c r="A2250" t="s">
        <v>16</v>
      </c>
      <c r="B2250">
        <v>2005</v>
      </c>
      <c r="C2250" t="str">
        <f>_xlfn.CONCAT(Table13[[#This Row],[STATE]],"-",Table13[[#This Row],[Year]])</f>
        <v>Jharkhand-2005</v>
      </c>
      <c r="D2250" t="s">
        <v>77</v>
      </c>
      <c r="E2250" t="s">
        <v>78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f>SUM(Table13[[#This Row],[Rank_All_Ranks_Total]:[Rank_SSPSPAddlSPCommandant]])</f>
        <v>0</v>
      </c>
    </row>
    <row r="2251" spans="1:18" x14ac:dyDescent="0.3">
      <c r="A2251" t="s">
        <v>17</v>
      </c>
      <c r="B2251">
        <v>2005</v>
      </c>
      <c r="C2251" t="str">
        <f>_xlfn.CONCAT(Table13[[#This Row],[STATE]],"-",Table13[[#This Row],[Year]])</f>
        <v>Karnataka-2005</v>
      </c>
      <c r="D2251" t="s">
        <v>77</v>
      </c>
      <c r="E2251" t="s">
        <v>78</v>
      </c>
      <c r="F2251">
        <v>1267</v>
      </c>
      <c r="G2251">
        <v>37</v>
      </c>
      <c r="H2251">
        <v>2</v>
      </c>
      <c r="I2251">
        <v>0</v>
      </c>
      <c r="J2251">
        <v>992</v>
      </c>
      <c r="K2251">
        <v>0</v>
      </c>
      <c r="L2251">
        <v>0</v>
      </c>
      <c r="M2251">
        <v>210</v>
      </c>
      <c r="N2251">
        <v>0</v>
      </c>
      <c r="O2251">
        <v>7</v>
      </c>
      <c r="P2251">
        <v>19</v>
      </c>
      <c r="Q2251">
        <v>0</v>
      </c>
      <c r="R2251">
        <f>SUM(Table13[[#This Row],[Rank_All_Ranks_Total]:[Rank_SSPSPAddlSPCommandant]])</f>
        <v>2534</v>
      </c>
    </row>
    <row r="2252" spans="1:18" x14ac:dyDescent="0.3">
      <c r="A2252" t="s">
        <v>18</v>
      </c>
      <c r="B2252">
        <v>2005</v>
      </c>
      <c r="C2252" t="str">
        <f>_xlfn.CONCAT(Table13[[#This Row],[STATE]],"-",Table13[[#This Row],[Year]])</f>
        <v>Kerala-2005</v>
      </c>
      <c r="D2252" t="s">
        <v>77</v>
      </c>
      <c r="E2252" t="s">
        <v>78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f>SUM(Table13[[#This Row],[Rank_All_Ranks_Total]:[Rank_SSPSPAddlSPCommandant]])</f>
        <v>0</v>
      </c>
    </row>
    <row r="2253" spans="1:18" x14ac:dyDescent="0.3">
      <c r="A2253" t="s">
        <v>39</v>
      </c>
      <c r="B2253">
        <v>2005</v>
      </c>
      <c r="C2253" t="str">
        <f>_xlfn.CONCAT(Table13[[#This Row],[STATE]],"-",Table13[[#This Row],[Year]])</f>
        <v>Lakshadweep-2005</v>
      </c>
      <c r="D2253" t="s">
        <v>77</v>
      </c>
      <c r="E2253" t="s">
        <v>78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f>SUM(Table13[[#This Row],[Rank_All_Ranks_Total]:[Rank_SSPSPAddlSPCommandant]])</f>
        <v>0</v>
      </c>
    </row>
    <row r="2254" spans="1:18" x14ac:dyDescent="0.3">
      <c r="A2254" t="s">
        <v>19</v>
      </c>
      <c r="B2254">
        <v>2005</v>
      </c>
      <c r="C2254" t="str">
        <f>_xlfn.CONCAT(Table13[[#This Row],[STATE]],"-",Table13[[#This Row],[Year]])</f>
        <v>Madhya Pradesh-2005</v>
      </c>
      <c r="D2254" t="s">
        <v>77</v>
      </c>
      <c r="E2254" t="s">
        <v>78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f>SUM(Table13[[#This Row],[Rank_All_Ranks_Total]:[Rank_SSPSPAddlSPCommandant]])</f>
        <v>0</v>
      </c>
    </row>
    <row r="2255" spans="1:18" x14ac:dyDescent="0.3">
      <c r="A2255" t="s">
        <v>20</v>
      </c>
      <c r="B2255">
        <v>2005</v>
      </c>
      <c r="C2255" t="str">
        <f>_xlfn.CONCAT(Table13[[#This Row],[STATE]],"-",Table13[[#This Row],[Year]])</f>
        <v>Maharashtra-2005</v>
      </c>
      <c r="D2255" t="s">
        <v>77</v>
      </c>
      <c r="E2255" t="s">
        <v>78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f>SUM(Table13[[#This Row],[Rank_All_Ranks_Total]:[Rank_SSPSPAddlSPCommandant]])</f>
        <v>0</v>
      </c>
    </row>
    <row r="2256" spans="1:18" x14ac:dyDescent="0.3">
      <c r="A2256" t="s">
        <v>21</v>
      </c>
      <c r="B2256">
        <v>2005</v>
      </c>
      <c r="C2256" t="str">
        <f>_xlfn.CONCAT(Table13[[#This Row],[STATE]],"-",Table13[[#This Row],[Year]])</f>
        <v>Manipur-2005</v>
      </c>
      <c r="D2256" t="s">
        <v>77</v>
      </c>
      <c r="E2256" t="s">
        <v>78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f>SUM(Table13[[#This Row],[Rank_All_Ranks_Total]:[Rank_SSPSPAddlSPCommandant]])</f>
        <v>0</v>
      </c>
    </row>
    <row r="2257" spans="1:18" x14ac:dyDescent="0.3">
      <c r="A2257" t="s">
        <v>22</v>
      </c>
      <c r="B2257">
        <v>2005</v>
      </c>
      <c r="C2257" t="str">
        <f>_xlfn.CONCAT(Table13[[#This Row],[STATE]],"-",Table13[[#This Row],[Year]])</f>
        <v>Meghalaya-2005</v>
      </c>
      <c r="D2257" t="s">
        <v>77</v>
      </c>
      <c r="E2257" t="s">
        <v>78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f>SUM(Table13[[#This Row],[Rank_All_Ranks_Total]:[Rank_SSPSPAddlSPCommandant]])</f>
        <v>0</v>
      </c>
    </row>
    <row r="2258" spans="1:18" x14ac:dyDescent="0.3">
      <c r="A2258" t="s">
        <v>23</v>
      </c>
      <c r="B2258">
        <v>2005</v>
      </c>
      <c r="C2258" t="str">
        <f>_xlfn.CONCAT(Table13[[#This Row],[STATE]],"-",Table13[[#This Row],[Year]])</f>
        <v>Mizoram-2005</v>
      </c>
      <c r="D2258" t="s">
        <v>77</v>
      </c>
      <c r="E2258" t="s">
        <v>78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f>SUM(Table13[[#This Row],[Rank_All_Ranks_Total]:[Rank_SSPSPAddlSPCommandant]])</f>
        <v>0</v>
      </c>
    </row>
    <row r="2259" spans="1:18" x14ac:dyDescent="0.3">
      <c r="A2259" t="s">
        <v>24</v>
      </c>
      <c r="B2259">
        <v>2005</v>
      </c>
      <c r="C2259" t="str">
        <f>_xlfn.CONCAT(Table13[[#This Row],[STATE]],"-",Table13[[#This Row],[Year]])</f>
        <v>Nagaland-2005</v>
      </c>
      <c r="D2259" t="s">
        <v>77</v>
      </c>
      <c r="E2259" t="s">
        <v>78</v>
      </c>
      <c r="F2259">
        <v>1</v>
      </c>
      <c r="G2259">
        <v>0</v>
      </c>
      <c r="H2259">
        <v>1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f>SUM(Table13[[#This Row],[Rank_All_Ranks_Total]:[Rank_SSPSPAddlSPCommandant]])</f>
        <v>2</v>
      </c>
    </row>
    <row r="2260" spans="1:18" x14ac:dyDescent="0.3">
      <c r="A2260" t="s">
        <v>63</v>
      </c>
      <c r="B2260">
        <v>2005</v>
      </c>
      <c r="C2260" t="str">
        <f>_xlfn.CONCAT(Table13[[#This Row],[STATE]],"-",Table13[[#This Row],[Year]])</f>
        <v>Odisha-2005</v>
      </c>
      <c r="D2260" t="s">
        <v>77</v>
      </c>
      <c r="E2260" t="s">
        <v>78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f>SUM(Table13[[#This Row],[Rank_All_Ranks_Total]:[Rank_SSPSPAddlSPCommandant]])</f>
        <v>0</v>
      </c>
    </row>
    <row r="2261" spans="1:18" x14ac:dyDescent="0.3">
      <c r="A2261" t="s">
        <v>64</v>
      </c>
      <c r="B2261">
        <v>2005</v>
      </c>
      <c r="C2261" t="str">
        <f>_xlfn.CONCAT(Table13[[#This Row],[STATE]],"-",Table13[[#This Row],[Year]])</f>
        <v>Puducherry-2005</v>
      </c>
      <c r="D2261" t="s">
        <v>77</v>
      </c>
      <c r="E2261" t="s">
        <v>78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f>SUM(Table13[[#This Row],[Rank_All_Ranks_Total]:[Rank_SSPSPAddlSPCommandant]])</f>
        <v>0</v>
      </c>
    </row>
    <row r="2262" spans="1:18" x14ac:dyDescent="0.3">
      <c r="A2262" t="s">
        <v>26</v>
      </c>
      <c r="B2262">
        <v>2005</v>
      </c>
      <c r="C2262" t="str">
        <f>_xlfn.CONCAT(Table13[[#This Row],[STATE]],"-",Table13[[#This Row],[Year]])</f>
        <v>Punjab-2005</v>
      </c>
      <c r="D2262" t="s">
        <v>77</v>
      </c>
      <c r="E2262" t="s">
        <v>78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f>SUM(Table13[[#This Row],[Rank_All_Ranks_Total]:[Rank_SSPSPAddlSPCommandant]])</f>
        <v>0</v>
      </c>
    </row>
    <row r="2263" spans="1:18" x14ac:dyDescent="0.3">
      <c r="A2263" t="s">
        <v>27</v>
      </c>
      <c r="B2263">
        <v>2005</v>
      </c>
      <c r="C2263" t="str">
        <f>_xlfn.CONCAT(Table13[[#This Row],[STATE]],"-",Table13[[#This Row],[Year]])</f>
        <v>Rajasthan-2005</v>
      </c>
      <c r="D2263" t="s">
        <v>77</v>
      </c>
      <c r="E2263" t="s">
        <v>78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f>SUM(Table13[[#This Row],[Rank_All_Ranks_Total]:[Rank_SSPSPAddlSPCommandant]])</f>
        <v>0</v>
      </c>
    </row>
    <row r="2264" spans="1:18" x14ac:dyDescent="0.3">
      <c r="A2264" t="s">
        <v>28</v>
      </c>
      <c r="B2264">
        <v>2005</v>
      </c>
      <c r="C2264" t="str">
        <f>_xlfn.CONCAT(Table13[[#This Row],[STATE]],"-",Table13[[#This Row],[Year]])</f>
        <v>Sikkim-2005</v>
      </c>
      <c r="D2264" t="s">
        <v>77</v>
      </c>
      <c r="E2264" t="s">
        <v>78</v>
      </c>
      <c r="F2264">
        <v>178</v>
      </c>
      <c r="G2264">
        <v>1</v>
      </c>
      <c r="H2264">
        <v>0</v>
      </c>
      <c r="I2264">
        <v>0</v>
      </c>
      <c r="J2264">
        <v>143</v>
      </c>
      <c r="K2264">
        <v>0</v>
      </c>
      <c r="L2264">
        <v>0</v>
      </c>
      <c r="M2264">
        <v>1</v>
      </c>
      <c r="N2264">
        <v>0</v>
      </c>
      <c r="O2264">
        <v>8</v>
      </c>
      <c r="P2264">
        <v>23</v>
      </c>
      <c r="Q2264">
        <v>2</v>
      </c>
      <c r="R2264">
        <f>SUM(Table13[[#This Row],[Rank_All_Ranks_Total]:[Rank_SSPSPAddlSPCommandant]])</f>
        <v>356</v>
      </c>
    </row>
    <row r="2265" spans="1:18" x14ac:dyDescent="0.3">
      <c r="A2265" t="s">
        <v>42</v>
      </c>
      <c r="B2265">
        <v>2005</v>
      </c>
      <c r="C2265" t="str">
        <f>_xlfn.CONCAT(Table13[[#This Row],[STATE]],"-",Table13[[#This Row],[Year]])</f>
        <v>Tamil Nadu-2005</v>
      </c>
      <c r="D2265" t="s">
        <v>77</v>
      </c>
      <c r="E2265" t="s">
        <v>78</v>
      </c>
      <c r="F2265">
        <v>1767</v>
      </c>
      <c r="G2265">
        <v>0</v>
      </c>
      <c r="H2265">
        <v>0</v>
      </c>
      <c r="I2265">
        <v>352</v>
      </c>
      <c r="J2265">
        <v>1180</v>
      </c>
      <c r="K2265">
        <v>0</v>
      </c>
      <c r="L2265">
        <v>0</v>
      </c>
      <c r="M2265">
        <v>196</v>
      </c>
      <c r="N2265">
        <v>0</v>
      </c>
      <c r="O2265">
        <v>8</v>
      </c>
      <c r="P2265">
        <v>30</v>
      </c>
      <c r="Q2265">
        <v>1</v>
      </c>
      <c r="R2265">
        <f>SUM(Table13[[#This Row],[Rank_All_Ranks_Total]:[Rank_SSPSPAddlSPCommandant]])</f>
        <v>3534</v>
      </c>
    </row>
    <row r="2266" spans="1:18" x14ac:dyDescent="0.3">
      <c r="A2266" t="s">
        <v>30</v>
      </c>
      <c r="B2266">
        <v>2005</v>
      </c>
      <c r="C2266" t="str">
        <f>_xlfn.CONCAT(Table13[[#This Row],[STATE]],"-",Table13[[#This Row],[Year]])</f>
        <v>Tripura-2005</v>
      </c>
      <c r="D2266" t="s">
        <v>77</v>
      </c>
      <c r="E2266" t="s">
        <v>78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f>SUM(Table13[[#This Row],[Rank_All_Ranks_Total]:[Rank_SSPSPAddlSPCommandant]])</f>
        <v>0</v>
      </c>
    </row>
    <row r="2267" spans="1:18" x14ac:dyDescent="0.3">
      <c r="A2267" t="s">
        <v>31</v>
      </c>
      <c r="B2267">
        <v>2005</v>
      </c>
      <c r="C2267" t="str">
        <f>_xlfn.CONCAT(Table13[[#This Row],[STATE]],"-",Table13[[#This Row],[Year]])</f>
        <v>Uttar Pradesh-2005</v>
      </c>
      <c r="D2267" t="s">
        <v>77</v>
      </c>
      <c r="E2267" t="s">
        <v>78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f>SUM(Table13[[#This Row],[Rank_All_Ranks_Total]:[Rank_SSPSPAddlSPCommandant]])</f>
        <v>0</v>
      </c>
    </row>
    <row r="2268" spans="1:18" x14ac:dyDescent="0.3">
      <c r="A2268" t="s">
        <v>65</v>
      </c>
      <c r="B2268">
        <v>2005</v>
      </c>
      <c r="C2268" t="str">
        <f>_xlfn.CONCAT(Table13[[#This Row],[STATE]],"-",Table13[[#This Row],[Year]])</f>
        <v>Uttarakhand-2005</v>
      </c>
      <c r="D2268" t="s">
        <v>77</v>
      </c>
      <c r="E2268" t="s">
        <v>78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f>SUM(Table13[[#This Row],[Rank_All_Ranks_Total]:[Rank_SSPSPAddlSPCommandant]])</f>
        <v>0</v>
      </c>
    </row>
    <row r="2269" spans="1:18" x14ac:dyDescent="0.3">
      <c r="A2269" t="s">
        <v>33</v>
      </c>
      <c r="B2269">
        <v>2005</v>
      </c>
      <c r="C2269" t="str">
        <f>_xlfn.CONCAT(Table13[[#This Row],[STATE]],"-",Table13[[#This Row],[Year]])</f>
        <v>West Bengal-2005</v>
      </c>
      <c r="D2269" t="s">
        <v>77</v>
      </c>
      <c r="E2269" t="s">
        <v>78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f>SUM(Table13[[#This Row],[Rank_All_Ranks_Total]:[Rank_SSPSPAddlSPCommandant]])</f>
        <v>0</v>
      </c>
    </row>
    <row r="2270" spans="1:18" x14ac:dyDescent="0.3">
      <c r="A2270" t="s">
        <v>59</v>
      </c>
      <c r="B2270">
        <v>2006</v>
      </c>
      <c r="C2270" t="str">
        <f>_xlfn.CONCAT(Table13[[#This Row],[STATE]],"-",Table13[[#This Row],[Year]])</f>
        <v>Andaman &amp; Nicobar Islands-2006</v>
      </c>
      <c r="D2270" t="s">
        <v>77</v>
      </c>
      <c r="E2270" t="s">
        <v>78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f>SUM(Table13[[#This Row],[Rank_All_Ranks_Total]:[Rank_SSPSPAddlSPCommandant]])</f>
        <v>0</v>
      </c>
    </row>
    <row r="2271" spans="1:18" x14ac:dyDescent="0.3">
      <c r="A2271" t="s">
        <v>6</v>
      </c>
      <c r="B2271">
        <v>2006</v>
      </c>
      <c r="C2271" t="str">
        <f>_xlfn.CONCAT(Table13[[#This Row],[STATE]],"-",Table13[[#This Row],[Year]])</f>
        <v>Andhra Pradesh-2006</v>
      </c>
      <c r="D2271" t="s">
        <v>77</v>
      </c>
      <c r="E2271" t="s">
        <v>78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f>SUM(Table13[[#This Row],[Rank_All_Ranks_Total]:[Rank_SSPSPAddlSPCommandant]])</f>
        <v>0</v>
      </c>
    </row>
    <row r="2272" spans="1:18" x14ac:dyDescent="0.3">
      <c r="A2272" t="s">
        <v>7</v>
      </c>
      <c r="B2272">
        <v>2006</v>
      </c>
      <c r="C2272" t="str">
        <f>_xlfn.CONCAT(Table13[[#This Row],[STATE]],"-",Table13[[#This Row],[Year]])</f>
        <v>Arunachal Pradesh-2006</v>
      </c>
      <c r="D2272" t="s">
        <v>77</v>
      </c>
      <c r="E2272" t="s">
        <v>78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f>SUM(Table13[[#This Row],[Rank_All_Ranks_Total]:[Rank_SSPSPAddlSPCommandant]])</f>
        <v>0</v>
      </c>
    </row>
    <row r="2273" spans="1:18" x14ac:dyDescent="0.3">
      <c r="A2273" t="s">
        <v>8</v>
      </c>
      <c r="B2273">
        <v>2006</v>
      </c>
      <c r="C2273" t="str">
        <f>_xlfn.CONCAT(Table13[[#This Row],[STATE]],"-",Table13[[#This Row],[Year]])</f>
        <v>Assam-2006</v>
      </c>
      <c r="D2273" t="s">
        <v>77</v>
      </c>
      <c r="E2273" t="s">
        <v>78</v>
      </c>
      <c r="F2273">
        <v>165</v>
      </c>
      <c r="G2273">
        <v>0</v>
      </c>
      <c r="H2273">
        <v>0</v>
      </c>
      <c r="I2273">
        <v>8</v>
      </c>
      <c r="J2273">
        <v>146</v>
      </c>
      <c r="K2273">
        <v>0</v>
      </c>
      <c r="L2273">
        <v>0</v>
      </c>
      <c r="M2273">
        <v>8</v>
      </c>
      <c r="N2273">
        <v>0</v>
      </c>
      <c r="O2273">
        <v>0</v>
      </c>
      <c r="P2273">
        <v>3</v>
      </c>
      <c r="Q2273">
        <v>0</v>
      </c>
      <c r="R2273">
        <f>SUM(Table13[[#This Row],[Rank_All_Ranks_Total]:[Rank_SSPSPAddlSPCommandant]])</f>
        <v>330</v>
      </c>
    </row>
    <row r="2274" spans="1:18" x14ac:dyDescent="0.3">
      <c r="A2274" t="s">
        <v>9</v>
      </c>
      <c r="B2274">
        <v>2006</v>
      </c>
      <c r="C2274" t="str">
        <f>_xlfn.CONCAT(Table13[[#This Row],[STATE]],"-",Table13[[#This Row],[Year]])</f>
        <v>Bihar-2006</v>
      </c>
      <c r="D2274" t="s">
        <v>77</v>
      </c>
      <c r="E2274" t="s">
        <v>78</v>
      </c>
      <c r="F2274">
        <v>3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3</v>
      </c>
      <c r="P2274">
        <v>0</v>
      </c>
      <c r="Q2274">
        <v>0</v>
      </c>
      <c r="R2274">
        <f>SUM(Table13[[#This Row],[Rank_All_Ranks_Total]:[Rank_SSPSPAddlSPCommandant]])</f>
        <v>6</v>
      </c>
    </row>
    <row r="2275" spans="1:18" x14ac:dyDescent="0.3">
      <c r="A2275" t="s">
        <v>35</v>
      </c>
      <c r="B2275">
        <v>2006</v>
      </c>
      <c r="C2275" t="str">
        <f>_xlfn.CONCAT(Table13[[#This Row],[STATE]],"-",Table13[[#This Row],[Year]])</f>
        <v>Chandigarh-2006</v>
      </c>
      <c r="D2275" t="s">
        <v>77</v>
      </c>
      <c r="E2275" t="s">
        <v>78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f>SUM(Table13[[#This Row],[Rank_All_Ranks_Total]:[Rank_SSPSPAddlSPCommandant]])</f>
        <v>0</v>
      </c>
    </row>
    <row r="2276" spans="1:18" x14ac:dyDescent="0.3">
      <c r="A2276" t="s">
        <v>10</v>
      </c>
      <c r="B2276">
        <v>2006</v>
      </c>
      <c r="C2276" t="str">
        <f>_xlfn.CONCAT(Table13[[#This Row],[STATE]],"-",Table13[[#This Row],[Year]])</f>
        <v>Chhattisgarh-2006</v>
      </c>
      <c r="D2276" t="s">
        <v>77</v>
      </c>
      <c r="E2276" t="s">
        <v>78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f>SUM(Table13[[#This Row],[Rank_All_Ranks_Total]:[Rank_SSPSPAddlSPCommandant]])</f>
        <v>0</v>
      </c>
    </row>
    <row r="2277" spans="1:18" x14ac:dyDescent="0.3">
      <c r="A2277" t="s">
        <v>62</v>
      </c>
      <c r="B2277">
        <v>2006</v>
      </c>
      <c r="C2277" t="str">
        <f>_xlfn.CONCAT(Table13[[#This Row],[STATE]],"-",Table13[[#This Row],[Year]])</f>
        <v>Dadra &amp; Nagar Haveli-2006</v>
      </c>
      <c r="D2277" t="s">
        <v>77</v>
      </c>
      <c r="E2277" t="s">
        <v>78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f>SUM(Table13[[#This Row],[Rank_All_Ranks_Total]:[Rank_SSPSPAddlSPCommandant]])</f>
        <v>0</v>
      </c>
    </row>
    <row r="2278" spans="1:18" x14ac:dyDescent="0.3">
      <c r="A2278" t="s">
        <v>37</v>
      </c>
      <c r="B2278">
        <v>2006</v>
      </c>
      <c r="C2278" t="str">
        <f>_xlfn.CONCAT(Table13[[#This Row],[STATE]],"-",Table13[[#This Row],[Year]])</f>
        <v>Daman &amp; Diu-2006</v>
      </c>
      <c r="D2278" t="s">
        <v>77</v>
      </c>
      <c r="E2278" t="s">
        <v>78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f>SUM(Table13[[#This Row],[Rank_All_Ranks_Total]:[Rank_SSPSPAddlSPCommandant]])</f>
        <v>0</v>
      </c>
    </row>
    <row r="2279" spans="1:18" x14ac:dyDescent="0.3">
      <c r="A2279" t="s">
        <v>38</v>
      </c>
      <c r="B2279">
        <v>2006</v>
      </c>
      <c r="C2279" t="str">
        <f>_xlfn.CONCAT(Table13[[#This Row],[STATE]],"-",Table13[[#This Row],[Year]])</f>
        <v>Delhi-2006</v>
      </c>
      <c r="D2279" t="s">
        <v>77</v>
      </c>
      <c r="E2279" t="s">
        <v>78</v>
      </c>
      <c r="F2279">
        <v>307</v>
      </c>
      <c r="G2279">
        <v>0</v>
      </c>
      <c r="H2279">
        <v>0</v>
      </c>
      <c r="I2279">
        <v>0</v>
      </c>
      <c r="J2279">
        <v>306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1</v>
      </c>
      <c r="Q2279">
        <v>0</v>
      </c>
      <c r="R2279">
        <f>SUM(Table13[[#This Row],[Rank_All_Ranks_Total]:[Rank_SSPSPAddlSPCommandant]])</f>
        <v>614</v>
      </c>
    </row>
    <row r="2280" spans="1:18" x14ac:dyDescent="0.3">
      <c r="A2280" t="s">
        <v>11</v>
      </c>
      <c r="B2280">
        <v>2006</v>
      </c>
      <c r="C2280" t="str">
        <f>_xlfn.CONCAT(Table13[[#This Row],[STATE]],"-",Table13[[#This Row],[Year]])</f>
        <v>Goa-2006</v>
      </c>
      <c r="D2280" t="s">
        <v>77</v>
      </c>
      <c r="E2280" t="s">
        <v>78</v>
      </c>
      <c r="F2280">
        <v>12</v>
      </c>
      <c r="G2280">
        <v>0</v>
      </c>
      <c r="H2280">
        <v>0</v>
      </c>
      <c r="I2280">
        <v>0</v>
      </c>
      <c r="J2280">
        <v>11</v>
      </c>
      <c r="K2280">
        <v>0</v>
      </c>
      <c r="L2280">
        <v>0</v>
      </c>
      <c r="M2280">
        <v>1</v>
      </c>
      <c r="N2280">
        <v>0</v>
      </c>
      <c r="O2280">
        <v>0</v>
      </c>
      <c r="P2280">
        <v>0</v>
      </c>
      <c r="Q2280">
        <v>0</v>
      </c>
      <c r="R2280">
        <f>SUM(Table13[[#This Row],[Rank_All_Ranks_Total]:[Rank_SSPSPAddlSPCommandant]])</f>
        <v>24</v>
      </c>
    </row>
    <row r="2281" spans="1:18" x14ac:dyDescent="0.3">
      <c r="A2281" t="s">
        <v>12</v>
      </c>
      <c r="B2281">
        <v>2006</v>
      </c>
      <c r="C2281" t="str">
        <f>_xlfn.CONCAT(Table13[[#This Row],[STATE]],"-",Table13[[#This Row],[Year]])</f>
        <v>Gujarat-2006</v>
      </c>
      <c r="D2281" t="s">
        <v>77</v>
      </c>
      <c r="E2281" t="s">
        <v>78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f>SUM(Table13[[#This Row],[Rank_All_Ranks_Total]:[Rank_SSPSPAddlSPCommandant]])</f>
        <v>0</v>
      </c>
    </row>
    <row r="2282" spans="1:18" x14ac:dyDescent="0.3">
      <c r="A2282" t="s">
        <v>13</v>
      </c>
      <c r="B2282">
        <v>2006</v>
      </c>
      <c r="C2282" t="str">
        <f>_xlfn.CONCAT(Table13[[#This Row],[STATE]],"-",Table13[[#This Row],[Year]])</f>
        <v>Haryana-2006</v>
      </c>
      <c r="D2282" t="s">
        <v>77</v>
      </c>
      <c r="E2282" t="s">
        <v>78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f>SUM(Table13[[#This Row],[Rank_All_Ranks_Total]:[Rank_SSPSPAddlSPCommandant]])</f>
        <v>0</v>
      </c>
    </row>
    <row r="2283" spans="1:18" x14ac:dyDescent="0.3">
      <c r="A2283" t="s">
        <v>14</v>
      </c>
      <c r="B2283">
        <v>2006</v>
      </c>
      <c r="C2283" t="str">
        <f>_xlfn.CONCAT(Table13[[#This Row],[STATE]],"-",Table13[[#This Row],[Year]])</f>
        <v>Himachal Pradesh-2006</v>
      </c>
      <c r="D2283" t="s">
        <v>77</v>
      </c>
      <c r="E2283" t="s">
        <v>78</v>
      </c>
      <c r="F2283">
        <v>6</v>
      </c>
      <c r="G2283">
        <v>0</v>
      </c>
      <c r="H2283">
        <v>0</v>
      </c>
      <c r="I2283">
        <v>0</v>
      </c>
      <c r="J2283">
        <v>5</v>
      </c>
      <c r="K2283">
        <v>0</v>
      </c>
      <c r="L2283">
        <v>0</v>
      </c>
      <c r="M2283">
        <v>1</v>
      </c>
      <c r="N2283">
        <v>0</v>
      </c>
      <c r="O2283">
        <v>0</v>
      </c>
      <c r="P2283">
        <v>0</v>
      </c>
      <c r="Q2283">
        <v>0</v>
      </c>
      <c r="R2283">
        <f>SUM(Table13[[#This Row],[Rank_All_Ranks_Total]:[Rank_SSPSPAddlSPCommandant]])</f>
        <v>12</v>
      </c>
    </row>
    <row r="2284" spans="1:18" x14ac:dyDescent="0.3">
      <c r="A2284" t="s">
        <v>15</v>
      </c>
      <c r="B2284">
        <v>2006</v>
      </c>
      <c r="C2284" t="str">
        <f>_xlfn.CONCAT(Table13[[#This Row],[STATE]],"-",Table13[[#This Row],[Year]])</f>
        <v>Jammu &amp; Kashmir-2006</v>
      </c>
      <c r="D2284" t="s">
        <v>77</v>
      </c>
      <c r="E2284" t="s">
        <v>78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f>SUM(Table13[[#This Row],[Rank_All_Ranks_Total]:[Rank_SSPSPAddlSPCommandant]])</f>
        <v>0</v>
      </c>
    </row>
    <row r="2285" spans="1:18" x14ac:dyDescent="0.3">
      <c r="A2285" t="s">
        <v>16</v>
      </c>
      <c r="B2285">
        <v>2006</v>
      </c>
      <c r="C2285" t="str">
        <f>_xlfn.CONCAT(Table13[[#This Row],[STATE]],"-",Table13[[#This Row],[Year]])</f>
        <v>Jharkhand-2006</v>
      </c>
      <c r="D2285" t="s">
        <v>77</v>
      </c>
      <c r="E2285" t="s">
        <v>78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f>SUM(Table13[[#This Row],[Rank_All_Ranks_Total]:[Rank_SSPSPAddlSPCommandant]])</f>
        <v>0</v>
      </c>
    </row>
    <row r="2286" spans="1:18" x14ac:dyDescent="0.3">
      <c r="A2286" t="s">
        <v>17</v>
      </c>
      <c r="B2286">
        <v>2006</v>
      </c>
      <c r="C2286" t="str">
        <f>_xlfn.CONCAT(Table13[[#This Row],[STATE]],"-",Table13[[#This Row],[Year]])</f>
        <v>Karnataka-2006</v>
      </c>
      <c r="D2286" t="s">
        <v>77</v>
      </c>
      <c r="E2286" t="s">
        <v>78</v>
      </c>
      <c r="F2286">
        <v>1312</v>
      </c>
      <c r="G2286">
        <v>37</v>
      </c>
      <c r="H2286">
        <v>2</v>
      </c>
      <c r="I2286">
        <v>0</v>
      </c>
      <c r="J2286">
        <v>1025</v>
      </c>
      <c r="K2286">
        <v>0</v>
      </c>
      <c r="L2286">
        <v>0</v>
      </c>
      <c r="M2286">
        <v>222</v>
      </c>
      <c r="N2286">
        <v>0</v>
      </c>
      <c r="O2286">
        <v>7</v>
      </c>
      <c r="P2286">
        <v>19</v>
      </c>
      <c r="Q2286">
        <v>0</v>
      </c>
      <c r="R2286">
        <f>SUM(Table13[[#This Row],[Rank_All_Ranks_Total]:[Rank_SSPSPAddlSPCommandant]])</f>
        <v>2624</v>
      </c>
    </row>
    <row r="2287" spans="1:18" x14ac:dyDescent="0.3">
      <c r="A2287" t="s">
        <v>18</v>
      </c>
      <c r="B2287">
        <v>2006</v>
      </c>
      <c r="C2287" t="str">
        <f>_xlfn.CONCAT(Table13[[#This Row],[STATE]],"-",Table13[[#This Row],[Year]])</f>
        <v>Kerala-2006</v>
      </c>
      <c r="D2287" t="s">
        <v>77</v>
      </c>
      <c r="E2287" t="s">
        <v>78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f>SUM(Table13[[#This Row],[Rank_All_Ranks_Total]:[Rank_SSPSPAddlSPCommandant]])</f>
        <v>0</v>
      </c>
    </row>
    <row r="2288" spans="1:18" x14ac:dyDescent="0.3">
      <c r="A2288" t="s">
        <v>39</v>
      </c>
      <c r="B2288">
        <v>2006</v>
      </c>
      <c r="C2288" t="str">
        <f>_xlfn.CONCAT(Table13[[#This Row],[STATE]],"-",Table13[[#This Row],[Year]])</f>
        <v>Lakshadweep-2006</v>
      </c>
      <c r="D2288" t="s">
        <v>77</v>
      </c>
      <c r="E2288" t="s">
        <v>78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f>SUM(Table13[[#This Row],[Rank_All_Ranks_Total]:[Rank_SSPSPAddlSPCommandant]])</f>
        <v>0</v>
      </c>
    </row>
    <row r="2289" spans="1:18" x14ac:dyDescent="0.3">
      <c r="A2289" t="s">
        <v>19</v>
      </c>
      <c r="B2289">
        <v>2006</v>
      </c>
      <c r="C2289" t="str">
        <f>_xlfn.CONCAT(Table13[[#This Row],[STATE]],"-",Table13[[#This Row],[Year]])</f>
        <v>Madhya Pradesh-2006</v>
      </c>
      <c r="D2289" t="s">
        <v>77</v>
      </c>
      <c r="E2289" t="s">
        <v>78</v>
      </c>
      <c r="F2289">
        <v>119</v>
      </c>
      <c r="G2289">
        <v>3</v>
      </c>
      <c r="H2289">
        <v>6</v>
      </c>
      <c r="I2289">
        <v>0</v>
      </c>
      <c r="J2289">
        <v>84</v>
      </c>
      <c r="K2289">
        <v>0</v>
      </c>
      <c r="L2289">
        <v>1</v>
      </c>
      <c r="M2289">
        <v>19</v>
      </c>
      <c r="N2289">
        <v>0</v>
      </c>
      <c r="O2289">
        <v>2</v>
      </c>
      <c r="P2289">
        <v>2</v>
      </c>
      <c r="Q2289">
        <v>2</v>
      </c>
      <c r="R2289">
        <f>SUM(Table13[[#This Row],[Rank_All_Ranks_Total]:[Rank_SSPSPAddlSPCommandant]])</f>
        <v>238</v>
      </c>
    </row>
    <row r="2290" spans="1:18" x14ac:dyDescent="0.3">
      <c r="A2290" t="s">
        <v>20</v>
      </c>
      <c r="B2290">
        <v>2006</v>
      </c>
      <c r="C2290" t="str">
        <f>_xlfn.CONCAT(Table13[[#This Row],[STATE]],"-",Table13[[#This Row],[Year]])</f>
        <v>Maharashtra-2006</v>
      </c>
      <c r="D2290" t="s">
        <v>77</v>
      </c>
      <c r="E2290" t="s">
        <v>78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f>SUM(Table13[[#This Row],[Rank_All_Ranks_Total]:[Rank_SSPSPAddlSPCommandant]])</f>
        <v>0</v>
      </c>
    </row>
    <row r="2291" spans="1:18" x14ac:dyDescent="0.3">
      <c r="A2291" t="s">
        <v>21</v>
      </c>
      <c r="B2291">
        <v>2006</v>
      </c>
      <c r="C2291" t="str">
        <f>_xlfn.CONCAT(Table13[[#This Row],[STATE]],"-",Table13[[#This Row],[Year]])</f>
        <v>Manipur-2006</v>
      </c>
      <c r="D2291" t="s">
        <v>77</v>
      </c>
      <c r="E2291" t="s">
        <v>78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f>SUM(Table13[[#This Row],[Rank_All_Ranks_Total]:[Rank_SSPSPAddlSPCommandant]])</f>
        <v>0</v>
      </c>
    </row>
    <row r="2292" spans="1:18" x14ac:dyDescent="0.3">
      <c r="A2292" t="s">
        <v>22</v>
      </c>
      <c r="B2292">
        <v>2006</v>
      </c>
      <c r="C2292" t="str">
        <f>_xlfn.CONCAT(Table13[[#This Row],[STATE]],"-",Table13[[#This Row],[Year]])</f>
        <v>Meghalaya-2006</v>
      </c>
      <c r="D2292" t="s">
        <v>77</v>
      </c>
      <c r="E2292" t="s">
        <v>78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f>SUM(Table13[[#This Row],[Rank_All_Ranks_Total]:[Rank_SSPSPAddlSPCommandant]])</f>
        <v>0</v>
      </c>
    </row>
    <row r="2293" spans="1:18" x14ac:dyDescent="0.3">
      <c r="A2293" t="s">
        <v>23</v>
      </c>
      <c r="B2293">
        <v>2006</v>
      </c>
      <c r="C2293" t="str">
        <f>_xlfn.CONCAT(Table13[[#This Row],[STATE]],"-",Table13[[#This Row],[Year]])</f>
        <v>Mizoram-2006</v>
      </c>
      <c r="D2293" t="s">
        <v>77</v>
      </c>
      <c r="E2293" t="s">
        <v>78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f>SUM(Table13[[#This Row],[Rank_All_Ranks_Total]:[Rank_SSPSPAddlSPCommandant]])</f>
        <v>0</v>
      </c>
    </row>
    <row r="2294" spans="1:18" x14ac:dyDescent="0.3">
      <c r="A2294" t="s">
        <v>24</v>
      </c>
      <c r="B2294">
        <v>2006</v>
      </c>
      <c r="C2294" t="str">
        <f>_xlfn.CONCAT(Table13[[#This Row],[STATE]],"-",Table13[[#This Row],[Year]])</f>
        <v>Nagaland-2006</v>
      </c>
      <c r="D2294" t="s">
        <v>77</v>
      </c>
      <c r="E2294" t="s">
        <v>78</v>
      </c>
      <c r="F2294">
        <v>1</v>
      </c>
      <c r="G2294">
        <v>0</v>
      </c>
      <c r="H2294">
        <v>1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f>SUM(Table13[[#This Row],[Rank_All_Ranks_Total]:[Rank_SSPSPAddlSPCommandant]])</f>
        <v>2</v>
      </c>
    </row>
    <row r="2295" spans="1:18" x14ac:dyDescent="0.3">
      <c r="A2295" t="s">
        <v>63</v>
      </c>
      <c r="B2295">
        <v>2006</v>
      </c>
      <c r="C2295" t="str">
        <f>_xlfn.CONCAT(Table13[[#This Row],[STATE]],"-",Table13[[#This Row],[Year]])</f>
        <v>Odisha-2006</v>
      </c>
      <c r="D2295" t="s">
        <v>77</v>
      </c>
      <c r="E2295" t="s">
        <v>78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f>SUM(Table13[[#This Row],[Rank_All_Ranks_Total]:[Rank_SSPSPAddlSPCommandant]])</f>
        <v>0</v>
      </c>
    </row>
    <row r="2296" spans="1:18" x14ac:dyDescent="0.3">
      <c r="A2296" t="s">
        <v>64</v>
      </c>
      <c r="B2296">
        <v>2006</v>
      </c>
      <c r="C2296" t="str">
        <f>_xlfn.CONCAT(Table13[[#This Row],[STATE]],"-",Table13[[#This Row],[Year]])</f>
        <v>Puducherry-2006</v>
      </c>
      <c r="D2296" t="s">
        <v>77</v>
      </c>
      <c r="E2296" t="s">
        <v>78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f>SUM(Table13[[#This Row],[Rank_All_Ranks_Total]:[Rank_SSPSPAddlSPCommandant]])</f>
        <v>0</v>
      </c>
    </row>
    <row r="2297" spans="1:18" x14ac:dyDescent="0.3">
      <c r="A2297" t="s">
        <v>26</v>
      </c>
      <c r="B2297">
        <v>2006</v>
      </c>
      <c r="C2297" t="str">
        <f>_xlfn.CONCAT(Table13[[#This Row],[STATE]],"-",Table13[[#This Row],[Year]])</f>
        <v>Punjab-2006</v>
      </c>
      <c r="D2297" t="s">
        <v>77</v>
      </c>
      <c r="E2297" t="s">
        <v>78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f>SUM(Table13[[#This Row],[Rank_All_Ranks_Total]:[Rank_SSPSPAddlSPCommandant]])</f>
        <v>0</v>
      </c>
    </row>
    <row r="2298" spans="1:18" x14ac:dyDescent="0.3">
      <c r="A2298" t="s">
        <v>27</v>
      </c>
      <c r="B2298">
        <v>2006</v>
      </c>
      <c r="C2298" t="str">
        <f>_xlfn.CONCAT(Table13[[#This Row],[STATE]],"-",Table13[[#This Row],[Year]])</f>
        <v>Rajasthan-2006</v>
      </c>
      <c r="D2298" t="s">
        <v>77</v>
      </c>
      <c r="E2298" t="s">
        <v>78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f>SUM(Table13[[#This Row],[Rank_All_Ranks_Total]:[Rank_SSPSPAddlSPCommandant]])</f>
        <v>0</v>
      </c>
    </row>
    <row r="2299" spans="1:18" x14ac:dyDescent="0.3">
      <c r="A2299" t="s">
        <v>28</v>
      </c>
      <c r="B2299">
        <v>2006</v>
      </c>
      <c r="C2299" t="str">
        <f>_xlfn.CONCAT(Table13[[#This Row],[STATE]],"-",Table13[[#This Row],[Year]])</f>
        <v>Sikkim-2006</v>
      </c>
      <c r="D2299" t="s">
        <v>77</v>
      </c>
      <c r="E2299" t="s">
        <v>78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f>SUM(Table13[[#This Row],[Rank_All_Ranks_Total]:[Rank_SSPSPAddlSPCommandant]])</f>
        <v>0</v>
      </c>
    </row>
    <row r="2300" spans="1:18" x14ac:dyDescent="0.3">
      <c r="A2300" t="s">
        <v>42</v>
      </c>
      <c r="B2300">
        <v>2006</v>
      </c>
      <c r="C2300" t="str">
        <f>_xlfn.CONCAT(Table13[[#This Row],[STATE]],"-",Table13[[#This Row],[Year]])</f>
        <v>Tamil Nadu-2006</v>
      </c>
      <c r="D2300" t="s">
        <v>77</v>
      </c>
      <c r="E2300" t="s">
        <v>78</v>
      </c>
      <c r="F2300">
        <v>1415</v>
      </c>
      <c r="G2300">
        <v>0</v>
      </c>
      <c r="H2300">
        <v>0</v>
      </c>
      <c r="I2300">
        <v>0</v>
      </c>
      <c r="J2300">
        <v>1180</v>
      </c>
      <c r="K2300">
        <v>0</v>
      </c>
      <c r="L2300">
        <v>0</v>
      </c>
      <c r="M2300">
        <v>196</v>
      </c>
      <c r="N2300">
        <v>0</v>
      </c>
      <c r="O2300">
        <v>8</v>
      </c>
      <c r="P2300">
        <v>30</v>
      </c>
      <c r="Q2300">
        <v>1</v>
      </c>
      <c r="R2300">
        <f>SUM(Table13[[#This Row],[Rank_All_Ranks_Total]:[Rank_SSPSPAddlSPCommandant]])</f>
        <v>2830</v>
      </c>
    </row>
    <row r="2301" spans="1:18" x14ac:dyDescent="0.3">
      <c r="A2301" t="s">
        <v>30</v>
      </c>
      <c r="B2301">
        <v>2006</v>
      </c>
      <c r="C2301" t="str">
        <f>_xlfn.CONCAT(Table13[[#This Row],[STATE]],"-",Table13[[#This Row],[Year]])</f>
        <v>Tripura-2006</v>
      </c>
      <c r="D2301" t="s">
        <v>77</v>
      </c>
      <c r="E2301" t="s">
        <v>78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f>SUM(Table13[[#This Row],[Rank_All_Ranks_Total]:[Rank_SSPSPAddlSPCommandant]])</f>
        <v>0</v>
      </c>
    </row>
    <row r="2302" spans="1:18" x14ac:dyDescent="0.3">
      <c r="A2302" t="s">
        <v>31</v>
      </c>
      <c r="B2302">
        <v>2006</v>
      </c>
      <c r="C2302" t="str">
        <f>_xlfn.CONCAT(Table13[[#This Row],[STATE]],"-",Table13[[#This Row],[Year]])</f>
        <v>Uttar Pradesh-2006</v>
      </c>
      <c r="D2302" t="s">
        <v>77</v>
      </c>
      <c r="E2302" t="s">
        <v>78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f>SUM(Table13[[#This Row],[Rank_All_Ranks_Total]:[Rank_SSPSPAddlSPCommandant]])</f>
        <v>0</v>
      </c>
    </row>
    <row r="2303" spans="1:18" x14ac:dyDescent="0.3">
      <c r="A2303" t="s">
        <v>65</v>
      </c>
      <c r="B2303">
        <v>2006</v>
      </c>
      <c r="C2303" t="str">
        <f>_xlfn.CONCAT(Table13[[#This Row],[STATE]],"-",Table13[[#This Row],[Year]])</f>
        <v>Uttarakhand-2006</v>
      </c>
      <c r="D2303" t="s">
        <v>77</v>
      </c>
      <c r="E2303" t="s">
        <v>78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f>SUM(Table13[[#This Row],[Rank_All_Ranks_Total]:[Rank_SSPSPAddlSPCommandant]])</f>
        <v>0</v>
      </c>
    </row>
    <row r="2304" spans="1:18" x14ac:dyDescent="0.3">
      <c r="A2304" t="s">
        <v>33</v>
      </c>
      <c r="B2304">
        <v>2006</v>
      </c>
      <c r="C2304" t="str">
        <f>_xlfn.CONCAT(Table13[[#This Row],[STATE]],"-",Table13[[#This Row],[Year]])</f>
        <v>West Bengal-2006</v>
      </c>
      <c r="D2304" t="s">
        <v>77</v>
      </c>
      <c r="E2304" t="s">
        <v>78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f>SUM(Table13[[#This Row],[Rank_All_Ranks_Total]:[Rank_SSPSPAddlSPCommandant]])</f>
        <v>0</v>
      </c>
    </row>
    <row r="2305" spans="1:18" x14ac:dyDescent="0.3">
      <c r="A2305" t="s">
        <v>59</v>
      </c>
      <c r="B2305">
        <v>2007</v>
      </c>
      <c r="C2305" t="str">
        <f>_xlfn.CONCAT(Table13[[#This Row],[STATE]],"-",Table13[[#This Row],[Year]])</f>
        <v>Andaman &amp; Nicobar Islands-2007</v>
      </c>
      <c r="D2305" t="s">
        <v>77</v>
      </c>
      <c r="E2305" t="s">
        <v>78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f>SUM(Table13[[#This Row],[Rank_All_Ranks_Total]:[Rank_SSPSPAddlSPCommandant]])</f>
        <v>0</v>
      </c>
    </row>
    <row r="2306" spans="1:18" x14ac:dyDescent="0.3">
      <c r="A2306" t="s">
        <v>6</v>
      </c>
      <c r="B2306">
        <v>2007</v>
      </c>
      <c r="C2306" t="str">
        <f>_xlfn.CONCAT(Table13[[#This Row],[STATE]],"-",Table13[[#This Row],[Year]])</f>
        <v>Andhra Pradesh-2007</v>
      </c>
      <c r="D2306" t="s">
        <v>77</v>
      </c>
      <c r="E2306" t="s">
        <v>78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f>SUM(Table13[[#This Row],[Rank_All_Ranks_Total]:[Rank_SSPSPAddlSPCommandant]])</f>
        <v>0</v>
      </c>
    </row>
    <row r="2307" spans="1:18" x14ac:dyDescent="0.3">
      <c r="A2307" t="s">
        <v>7</v>
      </c>
      <c r="B2307">
        <v>2007</v>
      </c>
      <c r="C2307" t="str">
        <f>_xlfn.CONCAT(Table13[[#This Row],[STATE]],"-",Table13[[#This Row],[Year]])</f>
        <v>Arunachal Pradesh-2007</v>
      </c>
      <c r="D2307" t="s">
        <v>77</v>
      </c>
      <c r="E2307" t="s">
        <v>78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f>SUM(Table13[[#This Row],[Rank_All_Ranks_Total]:[Rank_SSPSPAddlSPCommandant]])</f>
        <v>0</v>
      </c>
    </row>
    <row r="2308" spans="1:18" x14ac:dyDescent="0.3">
      <c r="A2308" t="s">
        <v>8</v>
      </c>
      <c r="B2308">
        <v>2007</v>
      </c>
      <c r="C2308" t="str">
        <f>_xlfn.CONCAT(Table13[[#This Row],[STATE]],"-",Table13[[#This Row],[Year]])</f>
        <v>Assam-2007</v>
      </c>
      <c r="D2308" t="s">
        <v>77</v>
      </c>
      <c r="E2308" t="s">
        <v>78</v>
      </c>
      <c r="F2308">
        <v>165</v>
      </c>
      <c r="G2308">
        <v>0</v>
      </c>
      <c r="H2308">
        <v>0</v>
      </c>
      <c r="I2308">
        <v>8</v>
      </c>
      <c r="J2308">
        <v>146</v>
      </c>
      <c r="K2308">
        <v>0</v>
      </c>
      <c r="L2308">
        <v>0</v>
      </c>
      <c r="M2308">
        <v>8</v>
      </c>
      <c r="N2308">
        <v>0</v>
      </c>
      <c r="O2308">
        <v>0</v>
      </c>
      <c r="P2308">
        <v>3</v>
      </c>
      <c r="Q2308">
        <v>0</v>
      </c>
      <c r="R2308">
        <f>SUM(Table13[[#This Row],[Rank_All_Ranks_Total]:[Rank_SSPSPAddlSPCommandant]])</f>
        <v>330</v>
      </c>
    </row>
    <row r="2309" spans="1:18" x14ac:dyDescent="0.3">
      <c r="A2309" t="s">
        <v>9</v>
      </c>
      <c r="B2309">
        <v>2007</v>
      </c>
      <c r="C2309" t="str">
        <f>_xlfn.CONCAT(Table13[[#This Row],[STATE]],"-",Table13[[#This Row],[Year]])</f>
        <v>Bihar-2007</v>
      </c>
      <c r="D2309" t="s">
        <v>77</v>
      </c>
      <c r="E2309" t="s">
        <v>78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f>SUM(Table13[[#This Row],[Rank_All_Ranks_Total]:[Rank_SSPSPAddlSPCommandant]])</f>
        <v>0</v>
      </c>
    </row>
    <row r="2310" spans="1:18" x14ac:dyDescent="0.3">
      <c r="A2310" t="s">
        <v>35</v>
      </c>
      <c r="B2310">
        <v>2007</v>
      </c>
      <c r="C2310" t="str">
        <f>_xlfn.CONCAT(Table13[[#This Row],[STATE]],"-",Table13[[#This Row],[Year]])</f>
        <v>Chandigarh-2007</v>
      </c>
      <c r="D2310" t="s">
        <v>77</v>
      </c>
      <c r="E2310" t="s">
        <v>78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f>SUM(Table13[[#This Row],[Rank_All_Ranks_Total]:[Rank_SSPSPAddlSPCommandant]])</f>
        <v>0</v>
      </c>
    </row>
    <row r="2311" spans="1:18" x14ac:dyDescent="0.3">
      <c r="A2311" t="s">
        <v>10</v>
      </c>
      <c r="B2311">
        <v>2007</v>
      </c>
      <c r="C2311" t="str">
        <f>_xlfn.CONCAT(Table13[[#This Row],[STATE]],"-",Table13[[#This Row],[Year]])</f>
        <v>Chhattisgarh-2007</v>
      </c>
      <c r="D2311" t="s">
        <v>77</v>
      </c>
      <c r="E2311" t="s">
        <v>78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f>SUM(Table13[[#This Row],[Rank_All_Ranks_Total]:[Rank_SSPSPAddlSPCommandant]])</f>
        <v>0</v>
      </c>
    </row>
    <row r="2312" spans="1:18" x14ac:dyDescent="0.3">
      <c r="A2312" t="s">
        <v>62</v>
      </c>
      <c r="B2312">
        <v>2007</v>
      </c>
      <c r="C2312" t="str">
        <f>_xlfn.CONCAT(Table13[[#This Row],[STATE]],"-",Table13[[#This Row],[Year]])</f>
        <v>Dadra &amp; Nagar Haveli-2007</v>
      </c>
      <c r="D2312" t="s">
        <v>77</v>
      </c>
      <c r="E2312" t="s">
        <v>78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f>SUM(Table13[[#This Row],[Rank_All_Ranks_Total]:[Rank_SSPSPAddlSPCommandant]])</f>
        <v>0</v>
      </c>
    </row>
    <row r="2313" spans="1:18" x14ac:dyDescent="0.3">
      <c r="A2313" t="s">
        <v>37</v>
      </c>
      <c r="B2313">
        <v>2007</v>
      </c>
      <c r="C2313" t="str">
        <f>_xlfn.CONCAT(Table13[[#This Row],[STATE]],"-",Table13[[#This Row],[Year]])</f>
        <v>Daman &amp; Diu-2007</v>
      </c>
      <c r="D2313" t="s">
        <v>77</v>
      </c>
      <c r="E2313" t="s">
        <v>78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f>SUM(Table13[[#This Row],[Rank_All_Ranks_Total]:[Rank_SSPSPAddlSPCommandant]])</f>
        <v>0</v>
      </c>
    </row>
    <row r="2314" spans="1:18" x14ac:dyDescent="0.3">
      <c r="A2314" t="s">
        <v>38</v>
      </c>
      <c r="B2314">
        <v>2007</v>
      </c>
      <c r="C2314" t="str">
        <f>_xlfn.CONCAT(Table13[[#This Row],[STATE]],"-",Table13[[#This Row],[Year]])</f>
        <v>Delhi-2007</v>
      </c>
      <c r="D2314" t="s">
        <v>77</v>
      </c>
      <c r="E2314" t="s">
        <v>78</v>
      </c>
      <c r="F2314">
        <v>435</v>
      </c>
      <c r="G2314">
        <v>0</v>
      </c>
      <c r="H2314">
        <v>0</v>
      </c>
      <c r="I2314">
        <v>0</v>
      </c>
      <c r="J2314">
        <v>403</v>
      </c>
      <c r="K2314">
        <v>0</v>
      </c>
      <c r="L2314">
        <v>0</v>
      </c>
      <c r="M2314">
        <v>31</v>
      </c>
      <c r="N2314">
        <v>0</v>
      </c>
      <c r="O2314">
        <v>0</v>
      </c>
      <c r="P2314">
        <v>1</v>
      </c>
      <c r="Q2314">
        <v>0</v>
      </c>
      <c r="R2314">
        <f>SUM(Table13[[#This Row],[Rank_All_Ranks_Total]:[Rank_SSPSPAddlSPCommandant]])</f>
        <v>870</v>
      </c>
    </row>
    <row r="2315" spans="1:18" x14ac:dyDescent="0.3">
      <c r="A2315" t="s">
        <v>11</v>
      </c>
      <c r="B2315">
        <v>2007</v>
      </c>
      <c r="C2315" t="str">
        <f>_xlfn.CONCAT(Table13[[#This Row],[STATE]],"-",Table13[[#This Row],[Year]])</f>
        <v>Goa-2007</v>
      </c>
      <c r="D2315" t="s">
        <v>77</v>
      </c>
      <c r="E2315" t="s">
        <v>78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f>SUM(Table13[[#This Row],[Rank_All_Ranks_Total]:[Rank_SSPSPAddlSPCommandant]])</f>
        <v>0</v>
      </c>
    </row>
    <row r="2316" spans="1:18" x14ac:dyDescent="0.3">
      <c r="A2316" t="s">
        <v>12</v>
      </c>
      <c r="B2316">
        <v>2007</v>
      </c>
      <c r="C2316" t="str">
        <f>_xlfn.CONCAT(Table13[[#This Row],[STATE]],"-",Table13[[#This Row],[Year]])</f>
        <v>Gujarat-2007</v>
      </c>
      <c r="D2316" t="s">
        <v>77</v>
      </c>
      <c r="E2316" t="s">
        <v>78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f>SUM(Table13[[#This Row],[Rank_All_Ranks_Total]:[Rank_SSPSPAddlSPCommandant]])</f>
        <v>0</v>
      </c>
    </row>
    <row r="2317" spans="1:18" x14ac:dyDescent="0.3">
      <c r="A2317" t="s">
        <v>13</v>
      </c>
      <c r="B2317">
        <v>2007</v>
      </c>
      <c r="C2317" t="str">
        <f>_xlfn.CONCAT(Table13[[#This Row],[STATE]],"-",Table13[[#This Row],[Year]])</f>
        <v>Haryana-2007</v>
      </c>
      <c r="D2317" t="s">
        <v>77</v>
      </c>
      <c r="E2317" t="s">
        <v>78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f>SUM(Table13[[#This Row],[Rank_All_Ranks_Total]:[Rank_SSPSPAddlSPCommandant]])</f>
        <v>0</v>
      </c>
    </row>
    <row r="2318" spans="1:18" x14ac:dyDescent="0.3">
      <c r="A2318" t="s">
        <v>14</v>
      </c>
      <c r="B2318">
        <v>2007</v>
      </c>
      <c r="C2318" t="str">
        <f>_xlfn.CONCAT(Table13[[#This Row],[STATE]],"-",Table13[[#This Row],[Year]])</f>
        <v>Himachal Pradesh-2007</v>
      </c>
      <c r="D2318" t="s">
        <v>77</v>
      </c>
      <c r="E2318" t="s">
        <v>78</v>
      </c>
      <c r="F2318">
        <v>6</v>
      </c>
      <c r="G2318">
        <v>0</v>
      </c>
      <c r="H2318">
        <v>0</v>
      </c>
      <c r="I2318">
        <v>0</v>
      </c>
      <c r="J2318">
        <v>5</v>
      </c>
      <c r="K2318">
        <v>0</v>
      </c>
      <c r="L2318">
        <v>0</v>
      </c>
      <c r="M2318">
        <v>1</v>
      </c>
      <c r="N2318">
        <v>0</v>
      </c>
      <c r="O2318">
        <v>0</v>
      </c>
      <c r="P2318">
        <v>0</v>
      </c>
      <c r="Q2318">
        <v>0</v>
      </c>
      <c r="R2318">
        <f>SUM(Table13[[#This Row],[Rank_All_Ranks_Total]:[Rank_SSPSPAddlSPCommandant]])</f>
        <v>12</v>
      </c>
    </row>
    <row r="2319" spans="1:18" x14ac:dyDescent="0.3">
      <c r="A2319" t="s">
        <v>15</v>
      </c>
      <c r="B2319">
        <v>2007</v>
      </c>
      <c r="C2319" t="str">
        <f>_xlfn.CONCAT(Table13[[#This Row],[STATE]],"-",Table13[[#This Row],[Year]])</f>
        <v>Jammu &amp; Kashmir-2007</v>
      </c>
      <c r="D2319" t="s">
        <v>77</v>
      </c>
      <c r="E2319" t="s">
        <v>78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f>SUM(Table13[[#This Row],[Rank_All_Ranks_Total]:[Rank_SSPSPAddlSPCommandant]])</f>
        <v>0</v>
      </c>
    </row>
    <row r="2320" spans="1:18" x14ac:dyDescent="0.3">
      <c r="A2320" t="s">
        <v>16</v>
      </c>
      <c r="B2320">
        <v>2007</v>
      </c>
      <c r="C2320" t="str">
        <f>_xlfn.CONCAT(Table13[[#This Row],[STATE]],"-",Table13[[#This Row],[Year]])</f>
        <v>Jharkhand-2007</v>
      </c>
      <c r="D2320" t="s">
        <v>77</v>
      </c>
      <c r="E2320" t="s">
        <v>78</v>
      </c>
      <c r="F2320">
        <v>771</v>
      </c>
      <c r="G2320">
        <v>10</v>
      </c>
      <c r="H2320">
        <v>1</v>
      </c>
      <c r="I2320">
        <v>0</v>
      </c>
      <c r="J2320">
        <v>637</v>
      </c>
      <c r="K2320">
        <v>0</v>
      </c>
      <c r="L2320">
        <v>0</v>
      </c>
      <c r="M2320">
        <v>102</v>
      </c>
      <c r="N2320">
        <v>0</v>
      </c>
      <c r="O2320">
        <v>4</v>
      </c>
      <c r="P2320">
        <v>16</v>
      </c>
      <c r="Q2320">
        <v>1</v>
      </c>
      <c r="R2320">
        <f>SUM(Table13[[#This Row],[Rank_All_Ranks_Total]:[Rank_SSPSPAddlSPCommandant]])</f>
        <v>1542</v>
      </c>
    </row>
    <row r="2321" spans="1:18" x14ac:dyDescent="0.3">
      <c r="A2321" t="s">
        <v>17</v>
      </c>
      <c r="B2321">
        <v>2007</v>
      </c>
      <c r="C2321" t="str">
        <f>_xlfn.CONCAT(Table13[[#This Row],[STATE]],"-",Table13[[#This Row],[Year]])</f>
        <v>Karnataka-2007</v>
      </c>
      <c r="D2321" t="s">
        <v>77</v>
      </c>
      <c r="E2321" t="s">
        <v>78</v>
      </c>
      <c r="F2321">
        <v>846</v>
      </c>
      <c r="G2321">
        <v>26</v>
      </c>
      <c r="H2321">
        <v>1</v>
      </c>
      <c r="I2321">
        <v>0</v>
      </c>
      <c r="J2321">
        <v>661</v>
      </c>
      <c r="K2321">
        <v>0</v>
      </c>
      <c r="L2321">
        <v>0</v>
      </c>
      <c r="M2321">
        <v>141</v>
      </c>
      <c r="N2321">
        <v>0</v>
      </c>
      <c r="O2321">
        <v>5</v>
      </c>
      <c r="P2321">
        <v>12</v>
      </c>
      <c r="Q2321">
        <v>0</v>
      </c>
      <c r="R2321">
        <f>SUM(Table13[[#This Row],[Rank_All_Ranks_Total]:[Rank_SSPSPAddlSPCommandant]])</f>
        <v>1692</v>
      </c>
    </row>
    <row r="2322" spans="1:18" x14ac:dyDescent="0.3">
      <c r="A2322" t="s">
        <v>18</v>
      </c>
      <c r="B2322">
        <v>2007</v>
      </c>
      <c r="C2322" t="str">
        <f>_xlfn.CONCAT(Table13[[#This Row],[STATE]],"-",Table13[[#This Row],[Year]])</f>
        <v>Kerala-2007</v>
      </c>
      <c r="D2322" t="s">
        <v>77</v>
      </c>
      <c r="E2322" t="s">
        <v>78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f>SUM(Table13[[#This Row],[Rank_All_Ranks_Total]:[Rank_SSPSPAddlSPCommandant]])</f>
        <v>0</v>
      </c>
    </row>
    <row r="2323" spans="1:18" x14ac:dyDescent="0.3">
      <c r="A2323" t="s">
        <v>39</v>
      </c>
      <c r="B2323">
        <v>2007</v>
      </c>
      <c r="C2323" t="str">
        <f>_xlfn.CONCAT(Table13[[#This Row],[STATE]],"-",Table13[[#This Row],[Year]])</f>
        <v>Lakshadweep-2007</v>
      </c>
      <c r="D2323" t="s">
        <v>77</v>
      </c>
      <c r="E2323" t="s">
        <v>78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f>SUM(Table13[[#This Row],[Rank_All_Ranks_Total]:[Rank_SSPSPAddlSPCommandant]])</f>
        <v>0</v>
      </c>
    </row>
    <row r="2324" spans="1:18" x14ac:dyDescent="0.3">
      <c r="A2324" t="s">
        <v>19</v>
      </c>
      <c r="B2324">
        <v>2007</v>
      </c>
      <c r="C2324" t="str">
        <f>_xlfn.CONCAT(Table13[[#This Row],[STATE]],"-",Table13[[#This Row],[Year]])</f>
        <v>Madhya Pradesh-2007</v>
      </c>
      <c r="D2324" t="s">
        <v>77</v>
      </c>
      <c r="E2324" t="s">
        <v>78</v>
      </c>
      <c r="F2324">
        <v>119</v>
      </c>
      <c r="G2324">
        <v>3</v>
      </c>
      <c r="H2324">
        <v>6</v>
      </c>
      <c r="I2324">
        <v>0</v>
      </c>
      <c r="J2324">
        <v>84</v>
      </c>
      <c r="K2324">
        <v>0</v>
      </c>
      <c r="L2324">
        <v>1</v>
      </c>
      <c r="M2324">
        <v>19</v>
      </c>
      <c r="N2324">
        <v>0</v>
      </c>
      <c r="O2324">
        <v>2</v>
      </c>
      <c r="P2324">
        <v>2</v>
      </c>
      <c r="Q2324">
        <v>2</v>
      </c>
      <c r="R2324">
        <f>SUM(Table13[[#This Row],[Rank_All_Ranks_Total]:[Rank_SSPSPAddlSPCommandant]])</f>
        <v>238</v>
      </c>
    </row>
    <row r="2325" spans="1:18" x14ac:dyDescent="0.3">
      <c r="A2325" t="s">
        <v>20</v>
      </c>
      <c r="B2325">
        <v>2007</v>
      </c>
      <c r="C2325" t="str">
        <f>_xlfn.CONCAT(Table13[[#This Row],[STATE]],"-",Table13[[#This Row],[Year]])</f>
        <v>Maharashtra-2007</v>
      </c>
      <c r="D2325" t="s">
        <v>77</v>
      </c>
      <c r="E2325" t="s">
        <v>78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f>SUM(Table13[[#This Row],[Rank_All_Ranks_Total]:[Rank_SSPSPAddlSPCommandant]])</f>
        <v>0</v>
      </c>
    </row>
    <row r="2326" spans="1:18" x14ac:dyDescent="0.3">
      <c r="A2326" t="s">
        <v>21</v>
      </c>
      <c r="B2326">
        <v>2007</v>
      </c>
      <c r="C2326" t="str">
        <f>_xlfn.CONCAT(Table13[[#This Row],[STATE]],"-",Table13[[#This Row],[Year]])</f>
        <v>Manipur-2007</v>
      </c>
      <c r="D2326" t="s">
        <v>77</v>
      </c>
      <c r="E2326" t="s">
        <v>78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f>SUM(Table13[[#This Row],[Rank_All_Ranks_Total]:[Rank_SSPSPAddlSPCommandant]])</f>
        <v>0</v>
      </c>
    </row>
    <row r="2327" spans="1:18" x14ac:dyDescent="0.3">
      <c r="A2327" t="s">
        <v>22</v>
      </c>
      <c r="B2327">
        <v>2007</v>
      </c>
      <c r="C2327" t="str">
        <f>_xlfn.CONCAT(Table13[[#This Row],[STATE]],"-",Table13[[#This Row],[Year]])</f>
        <v>Meghalaya-2007</v>
      </c>
      <c r="D2327" t="s">
        <v>77</v>
      </c>
      <c r="E2327" t="s">
        <v>78</v>
      </c>
      <c r="F2327">
        <v>100</v>
      </c>
      <c r="G2327">
        <v>0</v>
      </c>
      <c r="H2327">
        <v>0</v>
      </c>
      <c r="I2327">
        <v>0</v>
      </c>
      <c r="J2327">
        <v>100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f>SUM(Table13[[#This Row],[Rank_All_Ranks_Total]:[Rank_SSPSPAddlSPCommandant]])</f>
        <v>200</v>
      </c>
    </row>
    <row r="2328" spans="1:18" x14ac:dyDescent="0.3">
      <c r="A2328" t="s">
        <v>23</v>
      </c>
      <c r="B2328">
        <v>2007</v>
      </c>
      <c r="C2328" t="str">
        <f>_xlfn.CONCAT(Table13[[#This Row],[STATE]],"-",Table13[[#This Row],[Year]])</f>
        <v>Mizoram-2007</v>
      </c>
      <c r="D2328" t="s">
        <v>77</v>
      </c>
      <c r="E2328" t="s">
        <v>78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f>SUM(Table13[[#This Row],[Rank_All_Ranks_Total]:[Rank_SSPSPAddlSPCommandant]])</f>
        <v>0</v>
      </c>
    </row>
    <row r="2329" spans="1:18" x14ac:dyDescent="0.3">
      <c r="A2329" t="s">
        <v>24</v>
      </c>
      <c r="B2329">
        <v>2007</v>
      </c>
      <c r="C2329" t="str">
        <f>_xlfn.CONCAT(Table13[[#This Row],[STATE]],"-",Table13[[#This Row],[Year]])</f>
        <v>Nagaland-2007</v>
      </c>
      <c r="D2329" t="s">
        <v>77</v>
      </c>
      <c r="E2329" t="s">
        <v>78</v>
      </c>
      <c r="F2329">
        <v>1</v>
      </c>
      <c r="G2329">
        <v>0</v>
      </c>
      <c r="H2329">
        <v>1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f>SUM(Table13[[#This Row],[Rank_All_Ranks_Total]:[Rank_SSPSPAddlSPCommandant]])</f>
        <v>2</v>
      </c>
    </row>
    <row r="2330" spans="1:18" x14ac:dyDescent="0.3">
      <c r="A2330" t="s">
        <v>63</v>
      </c>
      <c r="B2330">
        <v>2007</v>
      </c>
      <c r="C2330" t="str">
        <f>_xlfn.CONCAT(Table13[[#This Row],[STATE]],"-",Table13[[#This Row],[Year]])</f>
        <v>Odisha-2007</v>
      </c>
      <c r="D2330" t="s">
        <v>77</v>
      </c>
      <c r="E2330" t="s">
        <v>78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f>SUM(Table13[[#This Row],[Rank_All_Ranks_Total]:[Rank_SSPSPAddlSPCommandant]])</f>
        <v>0</v>
      </c>
    </row>
    <row r="2331" spans="1:18" x14ac:dyDescent="0.3">
      <c r="A2331" t="s">
        <v>64</v>
      </c>
      <c r="B2331">
        <v>2007</v>
      </c>
      <c r="C2331" t="str">
        <f>_xlfn.CONCAT(Table13[[#This Row],[STATE]],"-",Table13[[#This Row],[Year]])</f>
        <v>Puducherry-2007</v>
      </c>
      <c r="D2331" t="s">
        <v>77</v>
      </c>
      <c r="E2331" t="s">
        <v>78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f>SUM(Table13[[#This Row],[Rank_All_Ranks_Total]:[Rank_SSPSPAddlSPCommandant]])</f>
        <v>0</v>
      </c>
    </row>
    <row r="2332" spans="1:18" x14ac:dyDescent="0.3">
      <c r="A2332" t="s">
        <v>26</v>
      </c>
      <c r="B2332">
        <v>2007</v>
      </c>
      <c r="C2332" t="str">
        <f>_xlfn.CONCAT(Table13[[#This Row],[STATE]],"-",Table13[[#This Row],[Year]])</f>
        <v>Punjab-2007</v>
      </c>
      <c r="D2332" t="s">
        <v>77</v>
      </c>
      <c r="E2332" t="s">
        <v>78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f>SUM(Table13[[#This Row],[Rank_All_Ranks_Total]:[Rank_SSPSPAddlSPCommandant]])</f>
        <v>0</v>
      </c>
    </row>
    <row r="2333" spans="1:18" x14ac:dyDescent="0.3">
      <c r="A2333" t="s">
        <v>27</v>
      </c>
      <c r="B2333">
        <v>2007</v>
      </c>
      <c r="C2333" t="str">
        <f>_xlfn.CONCAT(Table13[[#This Row],[STATE]],"-",Table13[[#This Row],[Year]])</f>
        <v>Rajasthan-2007</v>
      </c>
      <c r="D2333" t="s">
        <v>77</v>
      </c>
      <c r="E2333" t="s">
        <v>78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f>SUM(Table13[[#This Row],[Rank_All_Ranks_Total]:[Rank_SSPSPAddlSPCommandant]])</f>
        <v>0</v>
      </c>
    </row>
    <row r="2334" spans="1:18" x14ac:dyDescent="0.3">
      <c r="A2334" t="s">
        <v>28</v>
      </c>
      <c r="B2334">
        <v>2007</v>
      </c>
      <c r="C2334" t="str">
        <f>_xlfn.CONCAT(Table13[[#This Row],[STATE]],"-",Table13[[#This Row],[Year]])</f>
        <v>Sikkim-2007</v>
      </c>
      <c r="D2334" t="s">
        <v>77</v>
      </c>
      <c r="E2334" t="s">
        <v>78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f>SUM(Table13[[#This Row],[Rank_All_Ranks_Total]:[Rank_SSPSPAddlSPCommandant]])</f>
        <v>0</v>
      </c>
    </row>
    <row r="2335" spans="1:18" x14ac:dyDescent="0.3">
      <c r="A2335" t="s">
        <v>42</v>
      </c>
      <c r="B2335">
        <v>2007</v>
      </c>
      <c r="C2335" t="str">
        <f>_xlfn.CONCAT(Table13[[#This Row],[STATE]],"-",Table13[[#This Row],[Year]])</f>
        <v>Tamil Nadu-2007</v>
      </c>
      <c r="D2335" t="s">
        <v>77</v>
      </c>
      <c r="E2335" t="s">
        <v>78</v>
      </c>
      <c r="F2335">
        <v>1415</v>
      </c>
      <c r="G2335">
        <v>0</v>
      </c>
      <c r="H2335">
        <v>0</v>
      </c>
      <c r="I2335">
        <v>0</v>
      </c>
      <c r="J2335">
        <v>1180</v>
      </c>
      <c r="K2335">
        <v>0</v>
      </c>
      <c r="L2335">
        <v>0</v>
      </c>
      <c r="M2335">
        <v>196</v>
      </c>
      <c r="N2335">
        <v>0</v>
      </c>
      <c r="O2335">
        <v>8</v>
      </c>
      <c r="P2335">
        <v>30</v>
      </c>
      <c r="Q2335">
        <v>1</v>
      </c>
      <c r="R2335">
        <f>SUM(Table13[[#This Row],[Rank_All_Ranks_Total]:[Rank_SSPSPAddlSPCommandant]])</f>
        <v>2830</v>
      </c>
    </row>
    <row r="2336" spans="1:18" x14ac:dyDescent="0.3">
      <c r="A2336" t="s">
        <v>30</v>
      </c>
      <c r="B2336">
        <v>2007</v>
      </c>
      <c r="C2336" t="str">
        <f>_xlfn.CONCAT(Table13[[#This Row],[STATE]],"-",Table13[[#This Row],[Year]])</f>
        <v>Tripura-2007</v>
      </c>
      <c r="D2336" t="s">
        <v>77</v>
      </c>
      <c r="E2336" t="s">
        <v>78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f>SUM(Table13[[#This Row],[Rank_All_Ranks_Total]:[Rank_SSPSPAddlSPCommandant]])</f>
        <v>0</v>
      </c>
    </row>
    <row r="2337" spans="1:18" x14ac:dyDescent="0.3">
      <c r="A2337" t="s">
        <v>31</v>
      </c>
      <c r="B2337">
        <v>2007</v>
      </c>
      <c r="C2337" t="str">
        <f>_xlfn.CONCAT(Table13[[#This Row],[STATE]],"-",Table13[[#This Row],[Year]])</f>
        <v>Uttar Pradesh-2007</v>
      </c>
      <c r="D2337" t="s">
        <v>77</v>
      </c>
      <c r="E2337" t="s">
        <v>78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f>SUM(Table13[[#This Row],[Rank_All_Ranks_Total]:[Rank_SSPSPAddlSPCommandant]])</f>
        <v>0</v>
      </c>
    </row>
    <row r="2338" spans="1:18" x14ac:dyDescent="0.3">
      <c r="A2338" t="s">
        <v>65</v>
      </c>
      <c r="B2338">
        <v>2007</v>
      </c>
      <c r="C2338" t="str">
        <f>_xlfn.CONCAT(Table13[[#This Row],[STATE]],"-",Table13[[#This Row],[Year]])</f>
        <v>Uttarakhand-2007</v>
      </c>
      <c r="D2338" t="s">
        <v>77</v>
      </c>
      <c r="E2338" t="s">
        <v>78</v>
      </c>
      <c r="F2338">
        <v>220</v>
      </c>
      <c r="G2338">
        <v>0</v>
      </c>
      <c r="H2338">
        <v>0</v>
      </c>
      <c r="I2338">
        <v>0</v>
      </c>
      <c r="J2338">
        <v>194</v>
      </c>
      <c r="K2338">
        <v>0</v>
      </c>
      <c r="L2338">
        <v>0</v>
      </c>
      <c r="M2338">
        <v>22</v>
      </c>
      <c r="N2338">
        <v>0</v>
      </c>
      <c r="O2338">
        <v>1</v>
      </c>
      <c r="P2338">
        <v>3</v>
      </c>
      <c r="Q2338">
        <v>0</v>
      </c>
      <c r="R2338">
        <f>SUM(Table13[[#This Row],[Rank_All_Ranks_Total]:[Rank_SSPSPAddlSPCommandant]])</f>
        <v>440</v>
      </c>
    </row>
    <row r="2339" spans="1:18" x14ac:dyDescent="0.3">
      <c r="A2339" t="s">
        <v>33</v>
      </c>
      <c r="B2339">
        <v>2007</v>
      </c>
      <c r="C2339" t="str">
        <f>_xlfn.CONCAT(Table13[[#This Row],[STATE]],"-",Table13[[#This Row],[Year]])</f>
        <v>West Bengal-2007</v>
      </c>
      <c r="D2339" t="s">
        <v>77</v>
      </c>
      <c r="E2339" t="s">
        <v>78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f>SUM(Table13[[#This Row],[Rank_All_Ranks_Total]:[Rank_SSPSPAddlSPCommandant]])</f>
        <v>0</v>
      </c>
    </row>
    <row r="2340" spans="1:18" x14ac:dyDescent="0.3">
      <c r="A2340" t="s">
        <v>59</v>
      </c>
      <c r="B2340">
        <v>2008</v>
      </c>
      <c r="C2340" t="str">
        <f>_xlfn.CONCAT(Table13[[#This Row],[STATE]],"-",Table13[[#This Row],[Year]])</f>
        <v>Andaman &amp; Nicobar Islands-2008</v>
      </c>
      <c r="D2340" t="s">
        <v>77</v>
      </c>
      <c r="E2340" t="s">
        <v>78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f>SUM(Table13[[#This Row],[Rank_All_Ranks_Total]:[Rank_SSPSPAddlSPCommandant]])</f>
        <v>0</v>
      </c>
    </row>
    <row r="2341" spans="1:18" x14ac:dyDescent="0.3">
      <c r="A2341" t="s">
        <v>6</v>
      </c>
      <c r="B2341">
        <v>2008</v>
      </c>
      <c r="C2341" t="str">
        <f>_xlfn.CONCAT(Table13[[#This Row],[STATE]],"-",Table13[[#This Row],[Year]])</f>
        <v>Andhra Pradesh-2008</v>
      </c>
      <c r="D2341" t="s">
        <v>77</v>
      </c>
      <c r="E2341" t="s">
        <v>78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f>SUM(Table13[[#This Row],[Rank_All_Ranks_Total]:[Rank_SSPSPAddlSPCommandant]])</f>
        <v>0</v>
      </c>
    </row>
    <row r="2342" spans="1:18" x14ac:dyDescent="0.3">
      <c r="A2342" t="s">
        <v>7</v>
      </c>
      <c r="B2342">
        <v>2008</v>
      </c>
      <c r="C2342" t="str">
        <f>_xlfn.CONCAT(Table13[[#This Row],[STATE]],"-",Table13[[#This Row],[Year]])</f>
        <v>Arunachal Pradesh-2008</v>
      </c>
      <c r="D2342" t="s">
        <v>77</v>
      </c>
      <c r="E2342" t="s">
        <v>78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f>SUM(Table13[[#This Row],[Rank_All_Ranks_Total]:[Rank_SSPSPAddlSPCommandant]])</f>
        <v>0</v>
      </c>
    </row>
    <row r="2343" spans="1:18" x14ac:dyDescent="0.3">
      <c r="A2343" t="s">
        <v>8</v>
      </c>
      <c r="B2343">
        <v>2008</v>
      </c>
      <c r="C2343" t="str">
        <f>_xlfn.CONCAT(Table13[[#This Row],[STATE]],"-",Table13[[#This Row],[Year]])</f>
        <v>Assam-2008</v>
      </c>
      <c r="D2343" t="s">
        <v>77</v>
      </c>
      <c r="E2343" t="s">
        <v>78</v>
      </c>
      <c r="F2343">
        <v>193</v>
      </c>
      <c r="G2343">
        <v>9</v>
      </c>
      <c r="H2343">
        <v>0</v>
      </c>
      <c r="I2343">
        <v>8</v>
      </c>
      <c r="J2343">
        <v>158</v>
      </c>
      <c r="K2343">
        <v>0</v>
      </c>
      <c r="L2343">
        <v>0</v>
      </c>
      <c r="M2343">
        <v>12</v>
      </c>
      <c r="N2343">
        <v>0</v>
      </c>
      <c r="O2343">
        <v>0</v>
      </c>
      <c r="P2343">
        <v>6</v>
      </c>
      <c r="Q2343">
        <v>0</v>
      </c>
      <c r="R2343">
        <f>SUM(Table13[[#This Row],[Rank_All_Ranks_Total]:[Rank_SSPSPAddlSPCommandant]])</f>
        <v>386</v>
      </c>
    </row>
    <row r="2344" spans="1:18" x14ac:dyDescent="0.3">
      <c r="A2344" t="s">
        <v>9</v>
      </c>
      <c r="B2344">
        <v>2008</v>
      </c>
      <c r="C2344" t="str">
        <f>_xlfn.CONCAT(Table13[[#This Row],[STATE]],"-",Table13[[#This Row],[Year]])</f>
        <v>Bihar-2008</v>
      </c>
      <c r="D2344" t="s">
        <v>77</v>
      </c>
      <c r="E2344" t="s">
        <v>78</v>
      </c>
      <c r="F2344">
        <v>914</v>
      </c>
      <c r="G2344">
        <v>18</v>
      </c>
      <c r="H2344">
        <v>10</v>
      </c>
      <c r="I2344">
        <v>0</v>
      </c>
      <c r="J2344">
        <v>689</v>
      </c>
      <c r="K2344">
        <v>0</v>
      </c>
      <c r="L2344">
        <v>0</v>
      </c>
      <c r="M2344">
        <v>164</v>
      </c>
      <c r="N2344">
        <v>0</v>
      </c>
      <c r="O2344">
        <v>7</v>
      </c>
      <c r="P2344">
        <v>25</v>
      </c>
      <c r="Q2344">
        <v>1</v>
      </c>
      <c r="R2344">
        <f>SUM(Table13[[#This Row],[Rank_All_Ranks_Total]:[Rank_SSPSPAddlSPCommandant]])</f>
        <v>1828</v>
      </c>
    </row>
    <row r="2345" spans="1:18" x14ac:dyDescent="0.3">
      <c r="A2345" t="s">
        <v>35</v>
      </c>
      <c r="B2345">
        <v>2008</v>
      </c>
      <c r="C2345" t="str">
        <f>_xlfn.CONCAT(Table13[[#This Row],[STATE]],"-",Table13[[#This Row],[Year]])</f>
        <v>Chandigarh-2008</v>
      </c>
      <c r="D2345" t="s">
        <v>77</v>
      </c>
      <c r="E2345" t="s">
        <v>78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f>SUM(Table13[[#This Row],[Rank_All_Ranks_Total]:[Rank_SSPSPAddlSPCommandant]])</f>
        <v>0</v>
      </c>
    </row>
    <row r="2346" spans="1:18" x14ac:dyDescent="0.3">
      <c r="A2346" t="s">
        <v>10</v>
      </c>
      <c r="B2346">
        <v>2008</v>
      </c>
      <c r="C2346" t="str">
        <f>_xlfn.CONCAT(Table13[[#This Row],[STATE]],"-",Table13[[#This Row],[Year]])</f>
        <v>Chhattisgarh-2008</v>
      </c>
      <c r="D2346" t="s">
        <v>77</v>
      </c>
      <c r="E2346" t="s">
        <v>78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f>SUM(Table13[[#This Row],[Rank_All_Ranks_Total]:[Rank_SSPSPAddlSPCommandant]])</f>
        <v>0</v>
      </c>
    </row>
    <row r="2347" spans="1:18" x14ac:dyDescent="0.3">
      <c r="A2347" t="s">
        <v>62</v>
      </c>
      <c r="B2347">
        <v>2008</v>
      </c>
      <c r="C2347" t="str">
        <f>_xlfn.CONCAT(Table13[[#This Row],[STATE]],"-",Table13[[#This Row],[Year]])</f>
        <v>Dadra &amp; Nagar Haveli-2008</v>
      </c>
      <c r="D2347" t="s">
        <v>77</v>
      </c>
      <c r="E2347" t="s">
        <v>78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f>SUM(Table13[[#This Row],[Rank_All_Ranks_Total]:[Rank_SSPSPAddlSPCommandant]])</f>
        <v>0</v>
      </c>
    </row>
    <row r="2348" spans="1:18" x14ac:dyDescent="0.3">
      <c r="A2348" t="s">
        <v>37</v>
      </c>
      <c r="B2348">
        <v>2008</v>
      </c>
      <c r="C2348" t="str">
        <f>_xlfn.CONCAT(Table13[[#This Row],[STATE]],"-",Table13[[#This Row],[Year]])</f>
        <v>Daman &amp; Diu-2008</v>
      </c>
      <c r="D2348" t="s">
        <v>77</v>
      </c>
      <c r="E2348" t="s">
        <v>78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f>SUM(Table13[[#This Row],[Rank_All_Ranks_Total]:[Rank_SSPSPAddlSPCommandant]])</f>
        <v>0</v>
      </c>
    </row>
    <row r="2349" spans="1:18" x14ac:dyDescent="0.3">
      <c r="A2349" t="s">
        <v>38</v>
      </c>
      <c r="B2349">
        <v>2008</v>
      </c>
      <c r="C2349" t="str">
        <f>_xlfn.CONCAT(Table13[[#This Row],[STATE]],"-",Table13[[#This Row],[Year]])</f>
        <v>Delhi-2008</v>
      </c>
      <c r="D2349" t="s">
        <v>77</v>
      </c>
      <c r="E2349" t="s">
        <v>78</v>
      </c>
      <c r="F2349">
        <v>435</v>
      </c>
      <c r="G2349">
        <v>0</v>
      </c>
      <c r="H2349">
        <v>0</v>
      </c>
      <c r="I2349">
        <v>0</v>
      </c>
      <c r="J2349">
        <v>403</v>
      </c>
      <c r="K2349">
        <v>0</v>
      </c>
      <c r="L2349">
        <v>0</v>
      </c>
      <c r="M2349">
        <v>31</v>
      </c>
      <c r="N2349">
        <v>0</v>
      </c>
      <c r="O2349">
        <v>0</v>
      </c>
      <c r="P2349">
        <v>1</v>
      </c>
      <c r="Q2349">
        <v>0</v>
      </c>
      <c r="R2349">
        <f>SUM(Table13[[#This Row],[Rank_All_Ranks_Total]:[Rank_SSPSPAddlSPCommandant]])</f>
        <v>870</v>
      </c>
    </row>
    <row r="2350" spans="1:18" x14ac:dyDescent="0.3">
      <c r="A2350" t="s">
        <v>11</v>
      </c>
      <c r="B2350">
        <v>2008</v>
      </c>
      <c r="C2350" t="str">
        <f>_xlfn.CONCAT(Table13[[#This Row],[STATE]],"-",Table13[[#This Row],[Year]])</f>
        <v>Goa-2008</v>
      </c>
      <c r="D2350" t="s">
        <v>77</v>
      </c>
      <c r="E2350" t="s">
        <v>78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f>SUM(Table13[[#This Row],[Rank_All_Ranks_Total]:[Rank_SSPSPAddlSPCommandant]])</f>
        <v>0</v>
      </c>
    </row>
    <row r="2351" spans="1:18" x14ac:dyDescent="0.3">
      <c r="A2351" t="s">
        <v>12</v>
      </c>
      <c r="B2351">
        <v>2008</v>
      </c>
      <c r="C2351" t="str">
        <f>_xlfn.CONCAT(Table13[[#This Row],[STATE]],"-",Table13[[#This Row],[Year]])</f>
        <v>Gujarat-2008</v>
      </c>
      <c r="D2351" t="s">
        <v>77</v>
      </c>
      <c r="E2351" t="s">
        <v>78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f>SUM(Table13[[#This Row],[Rank_All_Ranks_Total]:[Rank_SSPSPAddlSPCommandant]])</f>
        <v>0</v>
      </c>
    </row>
    <row r="2352" spans="1:18" x14ac:dyDescent="0.3">
      <c r="A2352" t="s">
        <v>13</v>
      </c>
      <c r="B2352">
        <v>2008</v>
      </c>
      <c r="C2352" t="str">
        <f>_xlfn.CONCAT(Table13[[#This Row],[STATE]],"-",Table13[[#This Row],[Year]])</f>
        <v>Haryana-2008</v>
      </c>
      <c r="D2352" t="s">
        <v>77</v>
      </c>
      <c r="E2352" t="s">
        <v>78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f>SUM(Table13[[#This Row],[Rank_All_Ranks_Total]:[Rank_SSPSPAddlSPCommandant]])</f>
        <v>0</v>
      </c>
    </row>
    <row r="2353" spans="1:18" x14ac:dyDescent="0.3">
      <c r="A2353" t="s">
        <v>14</v>
      </c>
      <c r="B2353">
        <v>2008</v>
      </c>
      <c r="C2353" t="str">
        <f>_xlfn.CONCAT(Table13[[#This Row],[STATE]],"-",Table13[[#This Row],[Year]])</f>
        <v>Himachal Pradesh-2008</v>
      </c>
      <c r="D2353" t="s">
        <v>77</v>
      </c>
      <c r="E2353" t="s">
        <v>78</v>
      </c>
      <c r="F2353">
        <v>933</v>
      </c>
      <c r="G2353">
        <v>18</v>
      </c>
      <c r="H2353">
        <v>7</v>
      </c>
      <c r="I2353">
        <v>0</v>
      </c>
      <c r="J2353">
        <v>706</v>
      </c>
      <c r="K2353">
        <v>0</v>
      </c>
      <c r="L2353">
        <v>0</v>
      </c>
      <c r="M2353">
        <v>165</v>
      </c>
      <c r="N2353">
        <v>0</v>
      </c>
      <c r="O2353">
        <v>8</v>
      </c>
      <c r="P2353">
        <v>25</v>
      </c>
      <c r="Q2353">
        <v>4</v>
      </c>
      <c r="R2353">
        <f>SUM(Table13[[#This Row],[Rank_All_Ranks_Total]:[Rank_SSPSPAddlSPCommandant]])</f>
        <v>1866</v>
      </c>
    </row>
    <row r="2354" spans="1:18" x14ac:dyDescent="0.3">
      <c r="A2354" t="s">
        <v>15</v>
      </c>
      <c r="B2354">
        <v>2008</v>
      </c>
      <c r="C2354" t="str">
        <f>_xlfn.CONCAT(Table13[[#This Row],[STATE]],"-",Table13[[#This Row],[Year]])</f>
        <v>Jammu &amp; Kashmir-2008</v>
      </c>
      <c r="D2354" t="s">
        <v>77</v>
      </c>
      <c r="E2354" t="s">
        <v>78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f>SUM(Table13[[#This Row],[Rank_All_Ranks_Total]:[Rank_SSPSPAddlSPCommandant]])</f>
        <v>0</v>
      </c>
    </row>
    <row r="2355" spans="1:18" x14ac:dyDescent="0.3">
      <c r="A2355" t="s">
        <v>16</v>
      </c>
      <c r="B2355">
        <v>2008</v>
      </c>
      <c r="C2355" t="str">
        <f>_xlfn.CONCAT(Table13[[#This Row],[STATE]],"-",Table13[[#This Row],[Year]])</f>
        <v>Jharkhand-2008</v>
      </c>
      <c r="D2355" t="s">
        <v>77</v>
      </c>
      <c r="E2355" t="s">
        <v>78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f>SUM(Table13[[#This Row],[Rank_All_Ranks_Total]:[Rank_SSPSPAddlSPCommandant]])</f>
        <v>0</v>
      </c>
    </row>
    <row r="2356" spans="1:18" x14ac:dyDescent="0.3">
      <c r="A2356" t="s">
        <v>17</v>
      </c>
      <c r="B2356">
        <v>2008</v>
      </c>
      <c r="C2356" t="str">
        <f>_xlfn.CONCAT(Table13[[#This Row],[STATE]],"-",Table13[[#This Row],[Year]])</f>
        <v>Karnataka-2008</v>
      </c>
      <c r="D2356" t="s">
        <v>77</v>
      </c>
      <c r="E2356" t="s">
        <v>78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f>SUM(Table13[[#This Row],[Rank_All_Ranks_Total]:[Rank_SSPSPAddlSPCommandant]])</f>
        <v>0</v>
      </c>
    </row>
    <row r="2357" spans="1:18" x14ac:dyDescent="0.3">
      <c r="A2357" t="s">
        <v>18</v>
      </c>
      <c r="B2357">
        <v>2008</v>
      </c>
      <c r="C2357" t="str">
        <f>_xlfn.CONCAT(Table13[[#This Row],[STATE]],"-",Table13[[#This Row],[Year]])</f>
        <v>Kerala-2008</v>
      </c>
      <c r="D2357" t="s">
        <v>77</v>
      </c>
      <c r="E2357" t="s">
        <v>78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f>SUM(Table13[[#This Row],[Rank_All_Ranks_Total]:[Rank_SSPSPAddlSPCommandant]])</f>
        <v>0</v>
      </c>
    </row>
    <row r="2358" spans="1:18" x14ac:dyDescent="0.3">
      <c r="A2358" t="s">
        <v>39</v>
      </c>
      <c r="B2358">
        <v>2008</v>
      </c>
      <c r="C2358" t="str">
        <f>_xlfn.CONCAT(Table13[[#This Row],[STATE]],"-",Table13[[#This Row],[Year]])</f>
        <v>Lakshadweep-2008</v>
      </c>
      <c r="D2358" t="s">
        <v>77</v>
      </c>
      <c r="E2358" t="s">
        <v>78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f>SUM(Table13[[#This Row],[Rank_All_Ranks_Total]:[Rank_SSPSPAddlSPCommandant]])</f>
        <v>0</v>
      </c>
    </row>
    <row r="2359" spans="1:18" x14ac:dyDescent="0.3">
      <c r="A2359" t="s">
        <v>19</v>
      </c>
      <c r="B2359">
        <v>2008</v>
      </c>
      <c r="C2359" t="str">
        <f>_xlfn.CONCAT(Table13[[#This Row],[STATE]],"-",Table13[[#This Row],[Year]])</f>
        <v>Madhya Pradesh-2008</v>
      </c>
      <c r="D2359" t="s">
        <v>77</v>
      </c>
      <c r="E2359" t="s">
        <v>78</v>
      </c>
      <c r="F2359">
        <v>132</v>
      </c>
      <c r="G2359">
        <v>22</v>
      </c>
      <c r="H2359">
        <v>0</v>
      </c>
      <c r="I2359">
        <v>0</v>
      </c>
      <c r="J2359">
        <v>9</v>
      </c>
      <c r="K2359">
        <v>0</v>
      </c>
      <c r="L2359">
        <v>0</v>
      </c>
      <c r="M2359">
        <v>87</v>
      </c>
      <c r="N2359">
        <v>0</v>
      </c>
      <c r="O2359">
        <v>5</v>
      </c>
      <c r="P2359">
        <v>9</v>
      </c>
      <c r="Q2359">
        <v>0</v>
      </c>
      <c r="R2359">
        <f>SUM(Table13[[#This Row],[Rank_All_Ranks_Total]:[Rank_SSPSPAddlSPCommandant]])</f>
        <v>264</v>
      </c>
    </row>
    <row r="2360" spans="1:18" x14ac:dyDescent="0.3">
      <c r="A2360" t="s">
        <v>20</v>
      </c>
      <c r="B2360">
        <v>2008</v>
      </c>
      <c r="C2360" t="str">
        <f>_xlfn.CONCAT(Table13[[#This Row],[STATE]],"-",Table13[[#This Row],[Year]])</f>
        <v>Maharashtra-2008</v>
      </c>
      <c r="D2360" t="s">
        <v>77</v>
      </c>
      <c r="E2360" t="s">
        <v>78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f>SUM(Table13[[#This Row],[Rank_All_Ranks_Total]:[Rank_SSPSPAddlSPCommandant]])</f>
        <v>0</v>
      </c>
    </row>
    <row r="2361" spans="1:18" x14ac:dyDescent="0.3">
      <c r="A2361" t="s">
        <v>21</v>
      </c>
      <c r="B2361">
        <v>2008</v>
      </c>
      <c r="C2361" t="str">
        <f>_xlfn.CONCAT(Table13[[#This Row],[STATE]],"-",Table13[[#This Row],[Year]])</f>
        <v>Manipur-2008</v>
      </c>
      <c r="D2361" t="s">
        <v>77</v>
      </c>
      <c r="E2361" t="s">
        <v>78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f>SUM(Table13[[#This Row],[Rank_All_Ranks_Total]:[Rank_SSPSPAddlSPCommandant]])</f>
        <v>0</v>
      </c>
    </row>
    <row r="2362" spans="1:18" x14ac:dyDescent="0.3">
      <c r="A2362" t="s">
        <v>22</v>
      </c>
      <c r="B2362">
        <v>2008</v>
      </c>
      <c r="C2362" t="str">
        <f>_xlfn.CONCAT(Table13[[#This Row],[STATE]],"-",Table13[[#This Row],[Year]])</f>
        <v>Meghalaya-2008</v>
      </c>
      <c r="D2362" t="s">
        <v>77</v>
      </c>
      <c r="E2362" t="s">
        <v>78</v>
      </c>
      <c r="F2362">
        <v>100</v>
      </c>
      <c r="G2362">
        <v>0</v>
      </c>
      <c r="H2362">
        <v>0</v>
      </c>
      <c r="I2362">
        <v>0</v>
      </c>
      <c r="J2362">
        <v>100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f>SUM(Table13[[#This Row],[Rank_All_Ranks_Total]:[Rank_SSPSPAddlSPCommandant]])</f>
        <v>200</v>
      </c>
    </row>
    <row r="2363" spans="1:18" x14ac:dyDescent="0.3">
      <c r="A2363" t="s">
        <v>23</v>
      </c>
      <c r="B2363">
        <v>2008</v>
      </c>
      <c r="C2363" t="str">
        <f>_xlfn.CONCAT(Table13[[#This Row],[STATE]],"-",Table13[[#This Row],[Year]])</f>
        <v>Mizoram-2008</v>
      </c>
      <c r="D2363" t="s">
        <v>77</v>
      </c>
      <c r="E2363" t="s">
        <v>78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f>SUM(Table13[[#This Row],[Rank_All_Ranks_Total]:[Rank_SSPSPAddlSPCommandant]])</f>
        <v>0</v>
      </c>
    </row>
    <row r="2364" spans="1:18" x14ac:dyDescent="0.3">
      <c r="A2364" t="s">
        <v>24</v>
      </c>
      <c r="B2364">
        <v>2008</v>
      </c>
      <c r="C2364" t="str">
        <f>_xlfn.CONCAT(Table13[[#This Row],[STATE]],"-",Table13[[#This Row],[Year]])</f>
        <v>Nagaland-2008</v>
      </c>
      <c r="D2364" t="s">
        <v>77</v>
      </c>
      <c r="E2364" t="s">
        <v>78</v>
      </c>
      <c r="F2364">
        <v>14</v>
      </c>
      <c r="G2364">
        <v>0</v>
      </c>
      <c r="H2364">
        <v>1</v>
      </c>
      <c r="I2364">
        <v>0</v>
      </c>
      <c r="J2364">
        <v>13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f>SUM(Table13[[#This Row],[Rank_All_Ranks_Total]:[Rank_SSPSPAddlSPCommandant]])</f>
        <v>28</v>
      </c>
    </row>
    <row r="2365" spans="1:18" x14ac:dyDescent="0.3">
      <c r="A2365" t="s">
        <v>63</v>
      </c>
      <c r="B2365">
        <v>2008</v>
      </c>
      <c r="C2365" t="str">
        <f>_xlfn.CONCAT(Table13[[#This Row],[STATE]],"-",Table13[[#This Row],[Year]])</f>
        <v>Odisha-2008</v>
      </c>
      <c r="D2365" t="s">
        <v>77</v>
      </c>
      <c r="E2365" t="s">
        <v>78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f>SUM(Table13[[#This Row],[Rank_All_Ranks_Total]:[Rank_SSPSPAddlSPCommandant]])</f>
        <v>0</v>
      </c>
    </row>
    <row r="2366" spans="1:18" x14ac:dyDescent="0.3">
      <c r="A2366" t="s">
        <v>64</v>
      </c>
      <c r="B2366">
        <v>2008</v>
      </c>
      <c r="C2366" t="str">
        <f>_xlfn.CONCAT(Table13[[#This Row],[STATE]],"-",Table13[[#This Row],[Year]])</f>
        <v>Puducherry-2008</v>
      </c>
      <c r="D2366" t="s">
        <v>77</v>
      </c>
      <c r="E2366" t="s">
        <v>78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f>SUM(Table13[[#This Row],[Rank_All_Ranks_Total]:[Rank_SSPSPAddlSPCommandant]])</f>
        <v>0</v>
      </c>
    </row>
    <row r="2367" spans="1:18" x14ac:dyDescent="0.3">
      <c r="A2367" t="s">
        <v>26</v>
      </c>
      <c r="B2367">
        <v>2008</v>
      </c>
      <c r="C2367" t="str">
        <f>_xlfn.CONCAT(Table13[[#This Row],[STATE]],"-",Table13[[#This Row],[Year]])</f>
        <v>Punjab-2008</v>
      </c>
      <c r="D2367" t="s">
        <v>77</v>
      </c>
      <c r="E2367" t="s">
        <v>78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f>SUM(Table13[[#This Row],[Rank_All_Ranks_Total]:[Rank_SSPSPAddlSPCommandant]])</f>
        <v>0</v>
      </c>
    </row>
    <row r="2368" spans="1:18" x14ac:dyDescent="0.3">
      <c r="A2368" t="s">
        <v>27</v>
      </c>
      <c r="B2368">
        <v>2008</v>
      </c>
      <c r="C2368" t="str">
        <f>_xlfn.CONCAT(Table13[[#This Row],[STATE]],"-",Table13[[#This Row],[Year]])</f>
        <v>Rajasthan-2008</v>
      </c>
      <c r="D2368" t="s">
        <v>77</v>
      </c>
      <c r="E2368" t="s">
        <v>78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f>SUM(Table13[[#This Row],[Rank_All_Ranks_Total]:[Rank_SSPSPAddlSPCommandant]])</f>
        <v>0</v>
      </c>
    </row>
    <row r="2369" spans="1:18" x14ac:dyDescent="0.3">
      <c r="A2369" t="s">
        <v>28</v>
      </c>
      <c r="B2369">
        <v>2008</v>
      </c>
      <c r="C2369" t="str">
        <f>_xlfn.CONCAT(Table13[[#This Row],[STATE]],"-",Table13[[#This Row],[Year]])</f>
        <v>Sikkim-2008</v>
      </c>
      <c r="D2369" t="s">
        <v>77</v>
      </c>
      <c r="E2369" t="s">
        <v>78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f>SUM(Table13[[#This Row],[Rank_All_Ranks_Total]:[Rank_SSPSPAddlSPCommandant]])</f>
        <v>0</v>
      </c>
    </row>
    <row r="2370" spans="1:18" x14ac:dyDescent="0.3">
      <c r="A2370" t="s">
        <v>42</v>
      </c>
      <c r="B2370">
        <v>2008</v>
      </c>
      <c r="C2370" t="str">
        <f>_xlfn.CONCAT(Table13[[#This Row],[STATE]],"-",Table13[[#This Row],[Year]])</f>
        <v>Tamil Nadu-2008</v>
      </c>
      <c r="D2370" t="s">
        <v>77</v>
      </c>
      <c r="E2370" t="s">
        <v>78</v>
      </c>
      <c r="F2370">
        <v>1415</v>
      </c>
      <c r="G2370">
        <v>0</v>
      </c>
      <c r="H2370">
        <v>0</v>
      </c>
      <c r="I2370">
        <v>0</v>
      </c>
      <c r="J2370">
        <v>1180</v>
      </c>
      <c r="K2370">
        <v>0</v>
      </c>
      <c r="L2370">
        <v>0</v>
      </c>
      <c r="M2370">
        <v>196</v>
      </c>
      <c r="N2370">
        <v>0</v>
      </c>
      <c r="O2370">
        <v>8</v>
      </c>
      <c r="P2370">
        <v>30</v>
      </c>
      <c r="Q2370">
        <v>1</v>
      </c>
      <c r="R2370">
        <f>SUM(Table13[[#This Row],[Rank_All_Ranks_Total]:[Rank_SSPSPAddlSPCommandant]])</f>
        <v>2830</v>
      </c>
    </row>
    <row r="2371" spans="1:18" x14ac:dyDescent="0.3">
      <c r="A2371" t="s">
        <v>30</v>
      </c>
      <c r="B2371">
        <v>2008</v>
      </c>
      <c r="C2371" t="str">
        <f>_xlfn.CONCAT(Table13[[#This Row],[STATE]],"-",Table13[[#This Row],[Year]])</f>
        <v>Tripura-2008</v>
      </c>
      <c r="D2371" t="s">
        <v>77</v>
      </c>
      <c r="E2371" t="s">
        <v>78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f>SUM(Table13[[#This Row],[Rank_All_Ranks_Total]:[Rank_SSPSPAddlSPCommandant]])</f>
        <v>0</v>
      </c>
    </row>
    <row r="2372" spans="1:18" x14ac:dyDescent="0.3">
      <c r="A2372" t="s">
        <v>31</v>
      </c>
      <c r="B2372">
        <v>2008</v>
      </c>
      <c r="C2372" t="str">
        <f>_xlfn.CONCAT(Table13[[#This Row],[STATE]],"-",Table13[[#This Row],[Year]])</f>
        <v>Uttar Pradesh-2008</v>
      </c>
      <c r="D2372" t="s">
        <v>77</v>
      </c>
      <c r="E2372" t="s">
        <v>78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f>SUM(Table13[[#This Row],[Rank_All_Ranks_Total]:[Rank_SSPSPAddlSPCommandant]])</f>
        <v>0</v>
      </c>
    </row>
    <row r="2373" spans="1:18" x14ac:dyDescent="0.3">
      <c r="A2373" t="s">
        <v>65</v>
      </c>
      <c r="B2373">
        <v>2008</v>
      </c>
      <c r="C2373" t="str">
        <f>_xlfn.CONCAT(Table13[[#This Row],[STATE]],"-",Table13[[#This Row],[Year]])</f>
        <v>Uttarakhand-2008</v>
      </c>
      <c r="D2373" t="s">
        <v>77</v>
      </c>
      <c r="E2373" t="s">
        <v>78</v>
      </c>
      <c r="F2373">
        <v>244</v>
      </c>
      <c r="G2373">
        <v>0</v>
      </c>
      <c r="H2373">
        <v>0</v>
      </c>
      <c r="I2373">
        <v>0</v>
      </c>
      <c r="J2373">
        <v>194</v>
      </c>
      <c r="K2373">
        <v>0</v>
      </c>
      <c r="L2373">
        <v>0</v>
      </c>
      <c r="M2373">
        <v>44</v>
      </c>
      <c r="N2373">
        <v>0</v>
      </c>
      <c r="O2373">
        <v>0</v>
      </c>
      <c r="P2373">
        <v>6</v>
      </c>
      <c r="Q2373">
        <v>0</v>
      </c>
      <c r="R2373">
        <f>SUM(Table13[[#This Row],[Rank_All_Ranks_Total]:[Rank_SSPSPAddlSPCommandant]])</f>
        <v>488</v>
      </c>
    </row>
    <row r="2374" spans="1:18" x14ac:dyDescent="0.3">
      <c r="A2374" t="s">
        <v>33</v>
      </c>
      <c r="B2374">
        <v>2008</v>
      </c>
      <c r="C2374" t="str">
        <f>_xlfn.CONCAT(Table13[[#This Row],[STATE]],"-",Table13[[#This Row],[Year]])</f>
        <v>West Bengal-2008</v>
      </c>
      <c r="D2374" t="s">
        <v>77</v>
      </c>
      <c r="E2374" t="s">
        <v>78</v>
      </c>
      <c r="F2374">
        <v>1</v>
      </c>
      <c r="G2374">
        <v>0</v>
      </c>
      <c r="H2374">
        <v>1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f>SUM(Table13[[#This Row],[Rank_All_Ranks_Total]:[Rank_SSPSPAddlSPCommandant]])</f>
        <v>2</v>
      </c>
    </row>
    <row r="2375" spans="1:18" x14ac:dyDescent="0.3">
      <c r="A2375" t="s">
        <v>59</v>
      </c>
      <c r="B2375">
        <v>2009</v>
      </c>
      <c r="C2375" t="str">
        <f>_xlfn.CONCAT(Table13[[#This Row],[STATE]],"-",Table13[[#This Row],[Year]])</f>
        <v>Andaman &amp; Nicobar Islands-2009</v>
      </c>
      <c r="D2375" t="s">
        <v>77</v>
      </c>
      <c r="E2375" t="s">
        <v>78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f>SUM(Table13[[#This Row],[Rank_All_Ranks_Total]:[Rank_SSPSPAddlSPCommandant]])</f>
        <v>0</v>
      </c>
    </row>
    <row r="2376" spans="1:18" x14ac:dyDescent="0.3">
      <c r="A2376" t="s">
        <v>6</v>
      </c>
      <c r="B2376">
        <v>2009</v>
      </c>
      <c r="C2376" t="str">
        <f>_xlfn.CONCAT(Table13[[#This Row],[STATE]],"-",Table13[[#This Row],[Year]])</f>
        <v>Andhra Pradesh-2009</v>
      </c>
      <c r="D2376" t="s">
        <v>77</v>
      </c>
      <c r="E2376" t="s">
        <v>78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f>SUM(Table13[[#This Row],[Rank_All_Ranks_Total]:[Rank_SSPSPAddlSPCommandant]])</f>
        <v>0</v>
      </c>
    </row>
    <row r="2377" spans="1:18" x14ac:dyDescent="0.3">
      <c r="A2377" t="s">
        <v>7</v>
      </c>
      <c r="B2377">
        <v>2009</v>
      </c>
      <c r="C2377" t="str">
        <f>_xlfn.CONCAT(Table13[[#This Row],[STATE]],"-",Table13[[#This Row],[Year]])</f>
        <v>Arunachal Pradesh-2009</v>
      </c>
      <c r="D2377" t="s">
        <v>77</v>
      </c>
      <c r="E2377" t="s">
        <v>78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f>SUM(Table13[[#This Row],[Rank_All_Ranks_Total]:[Rank_SSPSPAddlSPCommandant]])</f>
        <v>0</v>
      </c>
    </row>
    <row r="2378" spans="1:18" x14ac:dyDescent="0.3">
      <c r="A2378" t="s">
        <v>8</v>
      </c>
      <c r="B2378">
        <v>2009</v>
      </c>
      <c r="C2378" t="str">
        <f>_xlfn.CONCAT(Table13[[#This Row],[STATE]],"-",Table13[[#This Row],[Year]])</f>
        <v>Assam-2009</v>
      </c>
      <c r="D2378" t="s">
        <v>77</v>
      </c>
      <c r="E2378" t="s">
        <v>78</v>
      </c>
      <c r="F2378">
        <v>198</v>
      </c>
      <c r="G2378">
        <v>16</v>
      </c>
      <c r="H2378">
        <v>0</v>
      </c>
      <c r="I2378">
        <v>8</v>
      </c>
      <c r="J2378">
        <v>163</v>
      </c>
      <c r="K2378">
        <v>0</v>
      </c>
      <c r="L2378">
        <v>0</v>
      </c>
      <c r="M2378">
        <v>8</v>
      </c>
      <c r="N2378">
        <v>0</v>
      </c>
      <c r="O2378">
        <v>0</v>
      </c>
      <c r="P2378">
        <v>3</v>
      </c>
      <c r="Q2378">
        <v>0</v>
      </c>
      <c r="R2378">
        <f>SUM(Table13[[#This Row],[Rank_All_Ranks_Total]:[Rank_SSPSPAddlSPCommandant]])</f>
        <v>396</v>
      </c>
    </row>
    <row r="2379" spans="1:18" x14ac:dyDescent="0.3">
      <c r="A2379" t="s">
        <v>9</v>
      </c>
      <c r="B2379">
        <v>2009</v>
      </c>
      <c r="C2379" t="str">
        <f>_xlfn.CONCAT(Table13[[#This Row],[STATE]],"-",Table13[[#This Row],[Year]])</f>
        <v>Bihar-2009</v>
      </c>
      <c r="D2379" t="s">
        <v>77</v>
      </c>
      <c r="E2379" t="s">
        <v>78</v>
      </c>
      <c r="F2379">
        <v>913</v>
      </c>
      <c r="G2379">
        <v>18</v>
      </c>
      <c r="H2379">
        <v>10</v>
      </c>
      <c r="I2379">
        <v>0</v>
      </c>
      <c r="J2379">
        <v>689</v>
      </c>
      <c r="K2379">
        <v>0</v>
      </c>
      <c r="L2379">
        <v>0</v>
      </c>
      <c r="M2379">
        <v>164</v>
      </c>
      <c r="N2379">
        <v>0</v>
      </c>
      <c r="O2379">
        <v>7</v>
      </c>
      <c r="P2379">
        <v>24</v>
      </c>
      <c r="Q2379">
        <v>1</v>
      </c>
      <c r="R2379">
        <f>SUM(Table13[[#This Row],[Rank_All_Ranks_Total]:[Rank_SSPSPAddlSPCommandant]])</f>
        <v>1826</v>
      </c>
    </row>
    <row r="2380" spans="1:18" x14ac:dyDescent="0.3">
      <c r="A2380" t="s">
        <v>35</v>
      </c>
      <c r="B2380">
        <v>2009</v>
      </c>
      <c r="C2380" t="str">
        <f>_xlfn.CONCAT(Table13[[#This Row],[STATE]],"-",Table13[[#This Row],[Year]])</f>
        <v>Chandigarh-2009</v>
      </c>
      <c r="D2380" t="s">
        <v>77</v>
      </c>
      <c r="E2380" t="s">
        <v>78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f>SUM(Table13[[#This Row],[Rank_All_Ranks_Total]:[Rank_SSPSPAddlSPCommandant]])</f>
        <v>0</v>
      </c>
    </row>
    <row r="2381" spans="1:18" x14ac:dyDescent="0.3">
      <c r="A2381" t="s">
        <v>10</v>
      </c>
      <c r="B2381">
        <v>2009</v>
      </c>
      <c r="C2381" t="str">
        <f>_xlfn.CONCAT(Table13[[#This Row],[STATE]],"-",Table13[[#This Row],[Year]])</f>
        <v>Chhattisgarh-2009</v>
      </c>
      <c r="D2381" t="s">
        <v>77</v>
      </c>
      <c r="E2381" t="s">
        <v>78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f>SUM(Table13[[#This Row],[Rank_All_Ranks_Total]:[Rank_SSPSPAddlSPCommandant]])</f>
        <v>0</v>
      </c>
    </row>
    <row r="2382" spans="1:18" x14ac:dyDescent="0.3">
      <c r="A2382" t="s">
        <v>62</v>
      </c>
      <c r="B2382">
        <v>2009</v>
      </c>
      <c r="C2382" t="str">
        <f>_xlfn.CONCAT(Table13[[#This Row],[STATE]],"-",Table13[[#This Row],[Year]])</f>
        <v>Dadra &amp; Nagar Haveli-2009</v>
      </c>
      <c r="D2382" t="s">
        <v>77</v>
      </c>
      <c r="E2382" t="s">
        <v>78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f>SUM(Table13[[#This Row],[Rank_All_Ranks_Total]:[Rank_SSPSPAddlSPCommandant]])</f>
        <v>0</v>
      </c>
    </row>
    <row r="2383" spans="1:18" x14ac:dyDescent="0.3">
      <c r="A2383" t="s">
        <v>37</v>
      </c>
      <c r="B2383">
        <v>2009</v>
      </c>
      <c r="C2383" t="str">
        <f>_xlfn.CONCAT(Table13[[#This Row],[STATE]],"-",Table13[[#This Row],[Year]])</f>
        <v>Daman &amp; Diu-2009</v>
      </c>
      <c r="D2383" t="s">
        <v>77</v>
      </c>
      <c r="E2383" t="s">
        <v>78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f>SUM(Table13[[#This Row],[Rank_All_Ranks_Total]:[Rank_SSPSPAddlSPCommandant]])</f>
        <v>0</v>
      </c>
    </row>
    <row r="2384" spans="1:18" x14ac:dyDescent="0.3">
      <c r="A2384" t="s">
        <v>38</v>
      </c>
      <c r="B2384">
        <v>2009</v>
      </c>
      <c r="C2384" t="str">
        <f>_xlfn.CONCAT(Table13[[#This Row],[STATE]],"-",Table13[[#This Row],[Year]])</f>
        <v>Delhi-2009</v>
      </c>
      <c r="D2384" t="s">
        <v>77</v>
      </c>
      <c r="E2384" t="s">
        <v>78</v>
      </c>
      <c r="F2384">
        <v>412</v>
      </c>
      <c r="G2384">
        <v>1</v>
      </c>
      <c r="H2384">
        <v>0</v>
      </c>
      <c r="I2384">
        <v>0</v>
      </c>
      <c r="J2384">
        <v>372</v>
      </c>
      <c r="K2384">
        <v>0</v>
      </c>
      <c r="L2384">
        <v>0</v>
      </c>
      <c r="M2384">
        <v>36</v>
      </c>
      <c r="N2384">
        <v>0</v>
      </c>
      <c r="O2384">
        <v>0</v>
      </c>
      <c r="P2384">
        <v>3</v>
      </c>
      <c r="Q2384">
        <v>0</v>
      </c>
      <c r="R2384">
        <f>SUM(Table13[[#This Row],[Rank_All_Ranks_Total]:[Rank_SSPSPAddlSPCommandant]])</f>
        <v>824</v>
      </c>
    </row>
    <row r="2385" spans="1:18" x14ac:dyDescent="0.3">
      <c r="A2385" t="s">
        <v>11</v>
      </c>
      <c r="B2385">
        <v>2009</v>
      </c>
      <c r="C2385" t="str">
        <f>_xlfn.CONCAT(Table13[[#This Row],[STATE]],"-",Table13[[#This Row],[Year]])</f>
        <v>Goa-2009</v>
      </c>
      <c r="D2385" t="s">
        <v>77</v>
      </c>
      <c r="E2385" t="s">
        <v>78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f>SUM(Table13[[#This Row],[Rank_All_Ranks_Total]:[Rank_SSPSPAddlSPCommandant]])</f>
        <v>0</v>
      </c>
    </row>
    <row r="2386" spans="1:18" x14ac:dyDescent="0.3">
      <c r="A2386" t="s">
        <v>12</v>
      </c>
      <c r="B2386">
        <v>2009</v>
      </c>
      <c r="C2386" t="str">
        <f>_xlfn.CONCAT(Table13[[#This Row],[STATE]],"-",Table13[[#This Row],[Year]])</f>
        <v>Gujarat-2009</v>
      </c>
      <c r="D2386" t="s">
        <v>77</v>
      </c>
      <c r="E2386" t="s">
        <v>78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f>SUM(Table13[[#This Row],[Rank_All_Ranks_Total]:[Rank_SSPSPAddlSPCommandant]])</f>
        <v>0</v>
      </c>
    </row>
    <row r="2387" spans="1:18" x14ac:dyDescent="0.3">
      <c r="A2387" t="s">
        <v>13</v>
      </c>
      <c r="B2387">
        <v>2009</v>
      </c>
      <c r="C2387" t="str">
        <f>_xlfn.CONCAT(Table13[[#This Row],[STATE]],"-",Table13[[#This Row],[Year]])</f>
        <v>Haryana-2009</v>
      </c>
      <c r="D2387" t="s">
        <v>77</v>
      </c>
      <c r="E2387" t="s">
        <v>78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f>SUM(Table13[[#This Row],[Rank_All_Ranks_Total]:[Rank_SSPSPAddlSPCommandant]])</f>
        <v>0</v>
      </c>
    </row>
    <row r="2388" spans="1:18" x14ac:dyDescent="0.3">
      <c r="A2388" t="s">
        <v>14</v>
      </c>
      <c r="B2388">
        <v>2009</v>
      </c>
      <c r="C2388" t="str">
        <f>_xlfn.CONCAT(Table13[[#This Row],[STATE]],"-",Table13[[#This Row],[Year]])</f>
        <v>Himachal Pradesh-2009</v>
      </c>
      <c r="D2388" t="s">
        <v>77</v>
      </c>
      <c r="E2388" t="s">
        <v>78</v>
      </c>
      <c r="F2388">
        <v>933</v>
      </c>
      <c r="G2388">
        <v>18</v>
      </c>
      <c r="H2388">
        <v>7</v>
      </c>
      <c r="I2388">
        <v>0</v>
      </c>
      <c r="J2388">
        <v>706</v>
      </c>
      <c r="K2388">
        <v>0</v>
      </c>
      <c r="L2388">
        <v>0</v>
      </c>
      <c r="M2388">
        <v>165</v>
      </c>
      <c r="N2388">
        <v>0</v>
      </c>
      <c r="O2388">
        <v>8</v>
      </c>
      <c r="P2388">
        <v>25</v>
      </c>
      <c r="Q2388">
        <v>4</v>
      </c>
      <c r="R2388">
        <f>SUM(Table13[[#This Row],[Rank_All_Ranks_Total]:[Rank_SSPSPAddlSPCommandant]])</f>
        <v>1866</v>
      </c>
    </row>
    <row r="2389" spans="1:18" x14ac:dyDescent="0.3">
      <c r="A2389" t="s">
        <v>15</v>
      </c>
      <c r="B2389">
        <v>2009</v>
      </c>
      <c r="C2389" t="str">
        <f>_xlfn.CONCAT(Table13[[#This Row],[STATE]],"-",Table13[[#This Row],[Year]])</f>
        <v>Jammu &amp; Kashmir-2009</v>
      </c>
      <c r="D2389" t="s">
        <v>77</v>
      </c>
      <c r="E2389" t="s">
        <v>78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f>SUM(Table13[[#This Row],[Rank_All_Ranks_Total]:[Rank_SSPSPAddlSPCommandant]])</f>
        <v>0</v>
      </c>
    </row>
    <row r="2390" spans="1:18" x14ac:dyDescent="0.3">
      <c r="A2390" t="s">
        <v>16</v>
      </c>
      <c r="B2390">
        <v>2009</v>
      </c>
      <c r="C2390" t="str">
        <f>_xlfn.CONCAT(Table13[[#This Row],[STATE]],"-",Table13[[#This Row],[Year]])</f>
        <v>Jharkhand-2009</v>
      </c>
      <c r="D2390" t="s">
        <v>77</v>
      </c>
      <c r="E2390" t="s">
        <v>78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f>SUM(Table13[[#This Row],[Rank_All_Ranks_Total]:[Rank_SSPSPAddlSPCommandant]])</f>
        <v>0</v>
      </c>
    </row>
    <row r="2391" spans="1:18" x14ac:dyDescent="0.3">
      <c r="A2391" t="s">
        <v>17</v>
      </c>
      <c r="B2391">
        <v>2009</v>
      </c>
      <c r="C2391" t="str">
        <f>_xlfn.CONCAT(Table13[[#This Row],[STATE]],"-",Table13[[#This Row],[Year]])</f>
        <v>Karnataka-2009</v>
      </c>
      <c r="D2391" t="s">
        <v>77</v>
      </c>
      <c r="E2391" t="s">
        <v>78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f>SUM(Table13[[#This Row],[Rank_All_Ranks_Total]:[Rank_SSPSPAddlSPCommandant]])</f>
        <v>0</v>
      </c>
    </row>
    <row r="2392" spans="1:18" x14ac:dyDescent="0.3">
      <c r="A2392" t="s">
        <v>18</v>
      </c>
      <c r="B2392">
        <v>2009</v>
      </c>
      <c r="C2392" t="str">
        <f>_xlfn.CONCAT(Table13[[#This Row],[STATE]],"-",Table13[[#This Row],[Year]])</f>
        <v>Kerala-2009</v>
      </c>
      <c r="D2392" t="s">
        <v>77</v>
      </c>
      <c r="E2392" t="s">
        <v>78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f>SUM(Table13[[#This Row],[Rank_All_Ranks_Total]:[Rank_SSPSPAddlSPCommandant]])</f>
        <v>0</v>
      </c>
    </row>
    <row r="2393" spans="1:18" x14ac:dyDescent="0.3">
      <c r="A2393" t="s">
        <v>39</v>
      </c>
      <c r="B2393">
        <v>2009</v>
      </c>
      <c r="C2393" t="str">
        <f>_xlfn.CONCAT(Table13[[#This Row],[STATE]],"-",Table13[[#This Row],[Year]])</f>
        <v>Lakshadweep-2009</v>
      </c>
      <c r="D2393" t="s">
        <v>77</v>
      </c>
      <c r="E2393" t="s">
        <v>78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f>SUM(Table13[[#This Row],[Rank_All_Ranks_Total]:[Rank_SSPSPAddlSPCommandant]])</f>
        <v>0</v>
      </c>
    </row>
    <row r="2394" spans="1:18" x14ac:dyDescent="0.3">
      <c r="A2394" t="s">
        <v>19</v>
      </c>
      <c r="B2394">
        <v>2009</v>
      </c>
      <c r="C2394" t="str">
        <f>_xlfn.CONCAT(Table13[[#This Row],[STATE]],"-",Table13[[#This Row],[Year]])</f>
        <v>Madhya Pradesh-2009</v>
      </c>
      <c r="D2394" t="s">
        <v>77</v>
      </c>
      <c r="E2394" t="s">
        <v>78</v>
      </c>
      <c r="F2394">
        <v>132</v>
      </c>
      <c r="G2394">
        <v>22</v>
      </c>
      <c r="H2394">
        <v>0</v>
      </c>
      <c r="I2394">
        <v>0</v>
      </c>
      <c r="J2394">
        <v>9</v>
      </c>
      <c r="K2394">
        <v>0</v>
      </c>
      <c r="L2394">
        <v>0</v>
      </c>
      <c r="M2394">
        <v>87</v>
      </c>
      <c r="N2394">
        <v>0</v>
      </c>
      <c r="O2394">
        <v>5</v>
      </c>
      <c r="P2394">
        <v>9</v>
      </c>
      <c r="Q2394">
        <v>0</v>
      </c>
      <c r="R2394">
        <f>SUM(Table13[[#This Row],[Rank_All_Ranks_Total]:[Rank_SSPSPAddlSPCommandant]])</f>
        <v>264</v>
      </c>
    </row>
    <row r="2395" spans="1:18" x14ac:dyDescent="0.3">
      <c r="A2395" t="s">
        <v>20</v>
      </c>
      <c r="B2395">
        <v>2009</v>
      </c>
      <c r="C2395" t="str">
        <f>_xlfn.CONCAT(Table13[[#This Row],[STATE]],"-",Table13[[#This Row],[Year]])</f>
        <v>Maharashtra-2009</v>
      </c>
      <c r="D2395" t="s">
        <v>77</v>
      </c>
      <c r="E2395" t="s">
        <v>78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f>SUM(Table13[[#This Row],[Rank_All_Ranks_Total]:[Rank_SSPSPAddlSPCommandant]])</f>
        <v>0</v>
      </c>
    </row>
    <row r="2396" spans="1:18" x14ac:dyDescent="0.3">
      <c r="A2396" t="s">
        <v>21</v>
      </c>
      <c r="B2396">
        <v>2009</v>
      </c>
      <c r="C2396" t="str">
        <f>_xlfn.CONCAT(Table13[[#This Row],[STATE]],"-",Table13[[#This Row],[Year]])</f>
        <v>Manipur-2009</v>
      </c>
      <c r="D2396" t="s">
        <v>77</v>
      </c>
      <c r="E2396" t="s">
        <v>78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f>SUM(Table13[[#This Row],[Rank_All_Ranks_Total]:[Rank_SSPSPAddlSPCommandant]])</f>
        <v>0</v>
      </c>
    </row>
    <row r="2397" spans="1:18" x14ac:dyDescent="0.3">
      <c r="A2397" t="s">
        <v>22</v>
      </c>
      <c r="B2397">
        <v>2009</v>
      </c>
      <c r="C2397" t="str">
        <f>_xlfn.CONCAT(Table13[[#This Row],[STATE]],"-",Table13[[#This Row],[Year]])</f>
        <v>Meghalaya-2009</v>
      </c>
      <c r="D2397" t="s">
        <v>77</v>
      </c>
      <c r="E2397" t="s">
        <v>78</v>
      </c>
      <c r="F2397">
        <v>100</v>
      </c>
      <c r="G2397">
        <v>0</v>
      </c>
      <c r="H2397">
        <v>0</v>
      </c>
      <c r="I2397">
        <v>0</v>
      </c>
      <c r="J2397">
        <v>100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f>SUM(Table13[[#This Row],[Rank_All_Ranks_Total]:[Rank_SSPSPAddlSPCommandant]])</f>
        <v>200</v>
      </c>
    </row>
    <row r="2398" spans="1:18" x14ac:dyDescent="0.3">
      <c r="A2398" t="s">
        <v>23</v>
      </c>
      <c r="B2398">
        <v>2009</v>
      </c>
      <c r="C2398" t="str">
        <f>_xlfn.CONCAT(Table13[[#This Row],[STATE]],"-",Table13[[#This Row],[Year]])</f>
        <v>Mizoram-2009</v>
      </c>
      <c r="D2398" t="s">
        <v>77</v>
      </c>
      <c r="E2398" t="s">
        <v>78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f>SUM(Table13[[#This Row],[Rank_All_Ranks_Total]:[Rank_SSPSPAddlSPCommandant]])</f>
        <v>0</v>
      </c>
    </row>
    <row r="2399" spans="1:18" x14ac:dyDescent="0.3">
      <c r="A2399" t="s">
        <v>24</v>
      </c>
      <c r="B2399">
        <v>2009</v>
      </c>
      <c r="C2399" t="str">
        <f>_xlfn.CONCAT(Table13[[#This Row],[STATE]],"-",Table13[[#This Row],[Year]])</f>
        <v>Nagaland-2009</v>
      </c>
      <c r="D2399" t="s">
        <v>77</v>
      </c>
      <c r="E2399" t="s">
        <v>78</v>
      </c>
      <c r="F2399">
        <v>14</v>
      </c>
      <c r="G2399">
        <v>0</v>
      </c>
      <c r="H2399">
        <v>1</v>
      </c>
      <c r="I2399">
        <v>0</v>
      </c>
      <c r="J2399">
        <v>13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f>SUM(Table13[[#This Row],[Rank_All_Ranks_Total]:[Rank_SSPSPAddlSPCommandant]])</f>
        <v>28</v>
      </c>
    </row>
    <row r="2400" spans="1:18" x14ac:dyDescent="0.3">
      <c r="A2400" t="s">
        <v>63</v>
      </c>
      <c r="B2400">
        <v>2009</v>
      </c>
      <c r="C2400" t="str">
        <f>_xlfn.CONCAT(Table13[[#This Row],[STATE]],"-",Table13[[#This Row],[Year]])</f>
        <v>Odisha-2009</v>
      </c>
      <c r="D2400" t="s">
        <v>77</v>
      </c>
      <c r="E2400" t="s">
        <v>78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f>SUM(Table13[[#This Row],[Rank_All_Ranks_Total]:[Rank_SSPSPAddlSPCommandant]])</f>
        <v>0</v>
      </c>
    </row>
    <row r="2401" spans="1:18" x14ac:dyDescent="0.3">
      <c r="A2401" t="s">
        <v>64</v>
      </c>
      <c r="B2401">
        <v>2009</v>
      </c>
      <c r="C2401" t="str">
        <f>_xlfn.CONCAT(Table13[[#This Row],[STATE]],"-",Table13[[#This Row],[Year]])</f>
        <v>Puducherry-2009</v>
      </c>
      <c r="D2401" t="s">
        <v>77</v>
      </c>
      <c r="E2401" t="s">
        <v>78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f>SUM(Table13[[#This Row],[Rank_All_Ranks_Total]:[Rank_SSPSPAddlSPCommandant]])</f>
        <v>0</v>
      </c>
    </row>
    <row r="2402" spans="1:18" x14ac:dyDescent="0.3">
      <c r="A2402" t="s">
        <v>26</v>
      </c>
      <c r="B2402">
        <v>2009</v>
      </c>
      <c r="C2402" t="str">
        <f>_xlfn.CONCAT(Table13[[#This Row],[STATE]],"-",Table13[[#This Row],[Year]])</f>
        <v>Punjab-2009</v>
      </c>
      <c r="D2402" t="s">
        <v>77</v>
      </c>
      <c r="E2402" t="s">
        <v>78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f>SUM(Table13[[#This Row],[Rank_All_Ranks_Total]:[Rank_SSPSPAddlSPCommandant]])</f>
        <v>0</v>
      </c>
    </row>
    <row r="2403" spans="1:18" x14ac:dyDescent="0.3">
      <c r="A2403" t="s">
        <v>27</v>
      </c>
      <c r="B2403">
        <v>2009</v>
      </c>
      <c r="C2403" t="str">
        <f>_xlfn.CONCAT(Table13[[#This Row],[STATE]],"-",Table13[[#This Row],[Year]])</f>
        <v>Rajasthan-2009</v>
      </c>
      <c r="D2403" t="s">
        <v>77</v>
      </c>
      <c r="E2403" t="s">
        <v>78</v>
      </c>
      <c r="F2403">
        <v>904</v>
      </c>
      <c r="G2403">
        <v>0</v>
      </c>
      <c r="H2403">
        <v>6</v>
      </c>
      <c r="I2403">
        <v>0</v>
      </c>
      <c r="J2403">
        <v>701</v>
      </c>
      <c r="K2403">
        <v>0</v>
      </c>
      <c r="L2403">
        <v>0</v>
      </c>
      <c r="M2403">
        <v>164</v>
      </c>
      <c r="N2403">
        <v>0</v>
      </c>
      <c r="O2403">
        <v>8</v>
      </c>
      <c r="P2403">
        <v>25</v>
      </c>
      <c r="Q2403">
        <v>0</v>
      </c>
      <c r="R2403">
        <f>SUM(Table13[[#This Row],[Rank_All_Ranks_Total]:[Rank_SSPSPAddlSPCommandant]])</f>
        <v>1808</v>
      </c>
    </row>
    <row r="2404" spans="1:18" x14ac:dyDescent="0.3">
      <c r="A2404" t="s">
        <v>28</v>
      </c>
      <c r="B2404">
        <v>2009</v>
      </c>
      <c r="C2404" t="str">
        <f>_xlfn.CONCAT(Table13[[#This Row],[STATE]],"-",Table13[[#This Row],[Year]])</f>
        <v>Sikkim-2009</v>
      </c>
      <c r="D2404" t="s">
        <v>77</v>
      </c>
      <c r="E2404" t="s">
        <v>78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f>SUM(Table13[[#This Row],[Rank_All_Ranks_Total]:[Rank_SSPSPAddlSPCommandant]])</f>
        <v>0</v>
      </c>
    </row>
    <row r="2405" spans="1:18" x14ac:dyDescent="0.3">
      <c r="A2405" t="s">
        <v>42</v>
      </c>
      <c r="B2405">
        <v>2009</v>
      </c>
      <c r="C2405" t="str">
        <f>_xlfn.CONCAT(Table13[[#This Row],[STATE]],"-",Table13[[#This Row],[Year]])</f>
        <v>Tamil Nadu-2009</v>
      </c>
      <c r="D2405" t="s">
        <v>77</v>
      </c>
      <c r="E2405" t="s">
        <v>78</v>
      </c>
      <c r="F2405">
        <v>1398</v>
      </c>
      <c r="G2405">
        <v>0</v>
      </c>
      <c r="H2405">
        <v>0</v>
      </c>
      <c r="I2405">
        <v>0</v>
      </c>
      <c r="J2405">
        <v>1171</v>
      </c>
      <c r="K2405">
        <v>0</v>
      </c>
      <c r="L2405">
        <v>0</v>
      </c>
      <c r="M2405">
        <v>196</v>
      </c>
      <c r="N2405">
        <v>0</v>
      </c>
      <c r="O2405">
        <v>0</v>
      </c>
      <c r="P2405">
        <v>30</v>
      </c>
      <c r="Q2405">
        <v>1</v>
      </c>
      <c r="R2405">
        <f>SUM(Table13[[#This Row],[Rank_All_Ranks_Total]:[Rank_SSPSPAddlSPCommandant]])</f>
        <v>2796</v>
      </c>
    </row>
    <row r="2406" spans="1:18" x14ac:dyDescent="0.3">
      <c r="A2406" t="s">
        <v>30</v>
      </c>
      <c r="B2406">
        <v>2009</v>
      </c>
      <c r="C2406" t="str">
        <f>_xlfn.CONCAT(Table13[[#This Row],[STATE]],"-",Table13[[#This Row],[Year]])</f>
        <v>Tripura-2009</v>
      </c>
      <c r="D2406" t="s">
        <v>77</v>
      </c>
      <c r="E2406" t="s">
        <v>78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f>SUM(Table13[[#This Row],[Rank_All_Ranks_Total]:[Rank_SSPSPAddlSPCommandant]])</f>
        <v>0</v>
      </c>
    </row>
    <row r="2407" spans="1:18" x14ac:dyDescent="0.3">
      <c r="A2407" t="s">
        <v>31</v>
      </c>
      <c r="B2407">
        <v>2009</v>
      </c>
      <c r="C2407" t="str">
        <f>_xlfn.CONCAT(Table13[[#This Row],[STATE]],"-",Table13[[#This Row],[Year]])</f>
        <v>Uttar Pradesh-2009</v>
      </c>
      <c r="D2407" t="s">
        <v>77</v>
      </c>
      <c r="E2407" t="s">
        <v>78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f>SUM(Table13[[#This Row],[Rank_All_Ranks_Total]:[Rank_SSPSPAddlSPCommandant]])</f>
        <v>0</v>
      </c>
    </row>
    <row r="2408" spans="1:18" x14ac:dyDescent="0.3">
      <c r="A2408" t="s">
        <v>65</v>
      </c>
      <c r="B2408">
        <v>2009</v>
      </c>
      <c r="C2408" t="str">
        <f>_xlfn.CONCAT(Table13[[#This Row],[STATE]],"-",Table13[[#This Row],[Year]])</f>
        <v>Uttarakhand-2009</v>
      </c>
      <c r="D2408" t="s">
        <v>77</v>
      </c>
      <c r="E2408" t="s">
        <v>78</v>
      </c>
      <c r="F2408">
        <v>247</v>
      </c>
      <c r="G2408">
        <v>0</v>
      </c>
      <c r="H2408">
        <v>0</v>
      </c>
      <c r="I2408">
        <v>0</v>
      </c>
      <c r="J2408">
        <v>197</v>
      </c>
      <c r="K2408">
        <v>0</v>
      </c>
      <c r="L2408">
        <v>0</v>
      </c>
      <c r="M2408">
        <v>44</v>
      </c>
      <c r="N2408">
        <v>0</v>
      </c>
      <c r="O2408">
        <v>0</v>
      </c>
      <c r="P2408">
        <v>6</v>
      </c>
      <c r="Q2408">
        <v>0</v>
      </c>
      <c r="R2408">
        <f>SUM(Table13[[#This Row],[Rank_All_Ranks_Total]:[Rank_SSPSPAddlSPCommandant]])</f>
        <v>494</v>
      </c>
    </row>
    <row r="2409" spans="1:18" x14ac:dyDescent="0.3">
      <c r="A2409" t="s">
        <v>33</v>
      </c>
      <c r="B2409">
        <v>2009</v>
      </c>
      <c r="C2409" t="str">
        <f>_xlfn.CONCAT(Table13[[#This Row],[STATE]],"-",Table13[[#This Row],[Year]])</f>
        <v>West Bengal-2009</v>
      </c>
      <c r="D2409" t="s">
        <v>77</v>
      </c>
      <c r="E2409" t="s">
        <v>78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f>SUM(Table13[[#This Row],[Rank_All_Ranks_Total]:[Rank_SSPSPAddlSPCommandant]])</f>
        <v>0</v>
      </c>
    </row>
    <row r="2410" spans="1:18" x14ac:dyDescent="0.3">
      <c r="A2410" t="s">
        <v>59</v>
      </c>
      <c r="B2410">
        <v>2010</v>
      </c>
      <c r="C2410" t="str">
        <f>_xlfn.CONCAT(Table13[[#This Row],[STATE]],"-",Table13[[#This Row],[Year]])</f>
        <v>Andaman &amp; Nicobar Islands-2010</v>
      </c>
      <c r="D2410" t="s">
        <v>77</v>
      </c>
      <c r="E2410" t="s">
        <v>78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f>SUM(Table13[[#This Row],[Rank_All_Ranks_Total]:[Rank_SSPSPAddlSPCommandant]])</f>
        <v>0</v>
      </c>
    </row>
    <row r="2411" spans="1:18" x14ac:dyDescent="0.3">
      <c r="A2411" t="s">
        <v>6</v>
      </c>
      <c r="B2411">
        <v>2010</v>
      </c>
      <c r="C2411" t="str">
        <f>_xlfn.CONCAT(Table13[[#This Row],[STATE]],"-",Table13[[#This Row],[Year]])</f>
        <v>Andhra Pradesh-2010</v>
      </c>
      <c r="D2411" t="s">
        <v>77</v>
      </c>
      <c r="E2411" t="s">
        <v>78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f>SUM(Table13[[#This Row],[Rank_All_Ranks_Total]:[Rank_SSPSPAddlSPCommandant]])</f>
        <v>0</v>
      </c>
    </row>
    <row r="2412" spans="1:18" x14ac:dyDescent="0.3">
      <c r="A2412" t="s">
        <v>7</v>
      </c>
      <c r="B2412">
        <v>2010</v>
      </c>
      <c r="C2412" t="str">
        <f>_xlfn.CONCAT(Table13[[#This Row],[STATE]],"-",Table13[[#This Row],[Year]])</f>
        <v>Arunachal Pradesh-2010</v>
      </c>
      <c r="D2412" t="s">
        <v>77</v>
      </c>
      <c r="E2412" t="s">
        <v>78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f>SUM(Table13[[#This Row],[Rank_All_Ranks_Total]:[Rank_SSPSPAddlSPCommandant]])</f>
        <v>0</v>
      </c>
    </row>
    <row r="2413" spans="1:18" x14ac:dyDescent="0.3">
      <c r="A2413" t="s">
        <v>8</v>
      </c>
      <c r="B2413">
        <v>2010</v>
      </c>
      <c r="C2413" t="str">
        <f>_xlfn.CONCAT(Table13[[#This Row],[STATE]],"-",Table13[[#This Row],[Year]])</f>
        <v>Assam-2010</v>
      </c>
      <c r="D2413" t="s">
        <v>77</v>
      </c>
      <c r="E2413" t="s">
        <v>78</v>
      </c>
      <c r="F2413">
        <v>198</v>
      </c>
      <c r="G2413">
        <v>16</v>
      </c>
      <c r="H2413">
        <v>0</v>
      </c>
      <c r="I2413">
        <v>8</v>
      </c>
      <c r="J2413">
        <v>163</v>
      </c>
      <c r="K2413">
        <v>0</v>
      </c>
      <c r="L2413">
        <v>0</v>
      </c>
      <c r="M2413">
        <v>8</v>
      </c>
      <c r="N2413">
        <v>0</v>
      </c>
      <c r="O2413">
        <v>0</v>
      </c>
      <c r="P2413">
        <v>3</v>
      </c>
      <c r="Q2413">
        <v>0</v>
      </c>
      <c r="R2413">
        <f>SUM(Table13[[#This Row],[Rank_All_Ranks_Total]:[Rank_SSPSPAddlSPCommandant]])</f>
        <v>396</v>
      </c>
    </row>
    <row r="2414" spans="1:18" x14ac:dyDescent="0.3">
      <c r="A2414" t="s">
        <v>9</v>
      </c>
      <c r="B2414">
        <v>2010</v>
      </c>
      <c r="C2414" t="str">
        <f>_xlfn.CONCAT(Table13[[#This Row],[STATE]],"-",Table13[[#This Row],[Year]])</f>
        <v>Bihar-2010</v>
      </c>
      <c r="D2414" t="s">
        <v>77</v>
      </c>
      <c r="E2414" t="s">
        <v>78</v>
      </c>
      <c r="F2414">
        <v>913</v>
      </c>
      <c r="G2414">
        <v>18</v>
      </c>
      <c r="H2414">
        <v>10</v>
      </c>
      <c r="I2414">
        <v>0</v>
      </c>
      <c r="J2414">
        <v>689</v>
      </c>
      <c r="K2414">
        <v>0</v>
      </c>
      <c r="L2414">
        <v>0</v>
      </c>
      <c r="M2414">
        <v>164</v>
      </c>
      <c r="N2414">
        <v>0</v>
      </c>
      <c r="O2414">
        <v>7</v>
      </c>
      <c r="P2414">
        <v>24</v>
      </c>
      <c r="Q2414">
        <v>1</v>
      </c>
      <c r="R2414">
        <f>SUM(Table13[[#This Row],[Rank_All_Ranks_Total]:[Rank_SSPSPAddlSPCommandant]])</f>
        <v>1826</v>
      </c>
    </row>
    <row r="2415" spans="1:18" x14ac:dyDescent="0.3">
      <c r="A2415" t="s">
        <v>35</v>
      </c>
      <c r="B2415">
        <v>2010</v>
      </c>
      <c r="C2415" t="str">
        <f>_xlfn.CONCAT(Table13[[#This Row],[STATE]],"-",Table13[[#This Row],[Year]])</f>
        <v>Chandigarh-2010</v>
      </c>
      <c r="D2415" t="s">
        <v>77</v>
      </c>
      <c r="E2415" t="s">
        <v>78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f>SUM(Table13[[#This Row],[Rank_All_Ranks_Total]:[Rank_SSPSPAddlSPCommandant]])</f>
        <v>0</v>
      </c>
    </row>
    <row r="2416" spans="1:18" x14ac:dyDescent="0.3">
      <c r="A2416" t="s">
        <v>10</v>
      </c>
      <c r="B2416">
        <v>2010</v>
      </c>
      <c r="C2416" t="str">
        <f>_xlfn.CONCAT(Table13[[#This Row],[STATE]],"-",Table13[[#This Row],[Year]])</f>
        <v>Chhattisgarh-2010</v>
      </c>
      <c r="D2416" t="s">
        <v>77</v>
      </c>
      <c r="E2416" t="s">
        <v>78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f>SUM(Table13[[#This Row],[Rank_All_Ranks_Total]:[Rank_SSPSPAddlSPCommandant]])</f>
        <v>0</v>
      </c>
    </row>
    <row r="2417" spans="1:18" x14ac:dyDescent="0.3">
      <c r="A2417" t="s">
        <v>62</v>
      </c>
      <c r="B2417">
        <v>2010</v>
      </c>
      <c r="C2417" t="str">
        <f>_xlfn.CONCAT(Table13[[#This Row],[STATE]],"-",Table13[[#This Row],[Year]])</f>
        <v>Dadra &amp; Nagar Haveli-2010</v>
      </c>
      <c r="D2417" t="s">
        <v>77</v>
      </c>
      <c r="E2417" t="s">
        <v>78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f>SUM(Table13[[#This Row],[Rank_All_Ranks_Total]:[Rank_SSPSPAddlSPCommandant]])</f>
        <v>0</v>
      </c>
    </row>
    <row r="2418" spans="1:18" x14ac:dyDescent="0.3">
      <c r="A2418" t="s">
        <v>37</v>
      </c>
      <c r="B2418">
        <v>2010</v>
      </c>
      <c r="C2418" t="str">
        <f>_xlfn.CONCAT(Table13[[#This Row],[STATE]],"-",Table13[[#This Row],[Year]])</f>
        <v>Daman &amp; Diu-2010</v>
      </c>
      <c r="D2418" t="s">
        <v>77</v>
      </c>
      <c r="E2418" t="s">
        <v>78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f>SUM(Table13[[#This Row],[Rank_All_Ranks_Total]:[Rank_SSPSPAddlSPCommandant]])</f>
        <v>0</v>
      </c>
    </row>
    <row r="2419" spans="1:18" x14ac:dyDescent="0.3">
      <c r="A2419" t="s">
        <v>38</v>
      </c>
      <c r="B2419">
        <v>2010</v>
      </c>
      <c r="C2419" t="str">
        <f>_xlfn.CONCAT(Table13[[#This Row],[STATE]],"-",Table13[[#This Row],[Year]])</f>
        <v>Delhi-2010</v>
      </c>
      <c r="D2419" t="s">
        <v>77</v>
      </c>
      <c r="E2419" t="s">
        <v>78</v>
      </c>
      <c r="F2419">
        <v>174</v>
      </c>
      <c r="G2419">
        <v>1</v>
      </c>
      <c r="H2419">
        <v>0</v>
      </c>
      <c r="I2419">
        <v>0</v>
      </c>
      <c r="J2419">
        <v>134</v>
      </c>
      <c r="K2419">
        <v>0</v>
      </c>
      <c r="L2419">
        <v>0</v>
      </c>
      <c r="M2419">
        <v>36</v>
      </c>
      <c r="N2419">
        <v>0</v>
      </c>
      <c r="O2419">
        <v>0</v>
      </c>
      <c r="P2419">
        <v>3</v>
      </c>
      <c r="Q2419">
        <v>0</v>
      </c>
      <c r="R2419">
        <f>SUM(Table13[[#This Row],[Rank_All_Ranks_Total]:[Rank_SSPSPAddlSPCommandant]])</f>
        <v>348</v>
      </c>
    </row>
    <row r="2420" spans="1:18" x14ac:dyDescent="0.3">
      <c r="A2420" t="s">
        <v>11</v>
      </c>
      <c r="B2420">
        <v>2010</v>
      </c>
      <c r="C2420" t="str">
        <f>_xlfn.CONCAT(Table13[[#This Row],[STATE]],"-",Table13[[#This Row],[Year]])</f>
        <v>Goa-2010</v>
      </c>
      <c r="D2420" t="s">
        <v>77</v>
      </c>
      <c r="E2420" t="s">
        <v>78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f>SUM(Table13[[#This Row],[Rank_All_Ranks_Total]:[Rank_SSPSPAddlSPCommandant]])</f>
        <v>0</v>
      </c>
    </row>
    <row r="2421" spans="1:18" x14ac:dyDescent="0.3">
      <c r="A2421" t="s">
        <v>12</v>
      </c>
      <c r="B2421">
        <v>2010</v>
      </c>
      <c r="C2421" t="str">
        <f>_xlfn.CONCAT(Table13[[#This Row],[STATE]],"-",Table13[[#This Row],[Year]])</f>
        <v>Gujarat-2010</v>
      </c>
      <c r="D2421" t="s">
        <v>77</v>
      </c>
      <c r="E2421" t="s">
        <v>78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f>SUM(Table13[[#This Row],[Rank_All_Ranks_Total]:[Rank_SSPSPAddlSPCommandant]])</f>
        <v>0</v>
      </c>
    </row>
    <row r="2422" spans="1:18" x14ac:dyDescent="0.3">
      <c r="A2422" t="s">
        <v>13</v>
      </c>
      <c r="B2422">
        <v>2010</v>
      </c>
      <c r="C2422" t="str">
        <f>_xlfn.CONCAT(Table13[[#This Row],[STATE]],"-",Table13[[#This Row],[Year]])</f>
        <v>Haryana-2010</v>
      </c>
      <c r="D2422" t="s">
        <v>77</v>
      </c>
      <c r="E2422" t="s">
        <v>78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f>SUM(Table13[[#This Row],[Rank_All_Ranks_Total]:[Rank_SSPSPAddlSPCommandant]])</f>
        <v>0</v>
      </c>
    </row>
    <row r="2423" spans="1:18" x14ac:dyDescent="0.3">
      <c r="A2423" t="s">
        <v>14</v>
      </c>
      <c r="B2423">
        <v>2010</v>
      </c>
      <c r="C2423" t="str">
        <f>_xlfn.CONCAT(Table13[[#This Row],[STATE]],"-",Table13[[#This Row],[Year]])</f>
        <v>Himachal Pradesh-2010</v>
      </c>
      <c r="D2423" t="s">
        <v>77</v>
      </c>
      <c r="E2423" t="s">
        <v>78</v>
      </c>
      <c r="F2423">
        <v>933</v>
      </c>
      <c r="G2423">
        <v>18</v>
      </c>
      <c r="H2423">
        <v>7</v>
      </c>
      <c r="I2423">
        <v>0</v>
      </c>
      <c r="J2423">
        <v>706</v>
      </c>
      <c r="K2423">
        <v>0</v>
      </c>
      <c r="L2423">
        <v>0</v>
      </c>
      <c r="M2423">
        <v>165</v>
      </c>
      <c r="N2423">
        <v>0</v>
      </c>
      <c r="O2423">
        <v>8</v>
      </c>
      <c r="P2423">
        <v>25</v>
      </c>
      <c r="Q2423">
        <v>4</v>
      </c>
      <c r="R2423">
        <f>SUM(Table13[[#This Row],[Rank_All_Ranks_Total]:[Rank_SSPSPAddlSPCommandant]])</f>
        <v>1866</v>
      </c>
    </row>
    <row r="2424" spans="1:18" x14ac:dyDescent="0.3">
      <c r="A2424" t="s">
        <v>15</v>
      </c>
      <c r="B2424">
        <v>2010</v>
      </c>
      <c r="C2424" t="str">
        <f>_xlfn.CONCAT(Table13[[#This Row],[STATE]],"-",Table13[[#This Row],[Year]])</f>
        <v>Jammu &amp; Kashmir-2010</v>
      </c>
      <c r="D2424" t="s">
        <v>77</v>
      </c>
      <c r="E2424" t="s">
        <v>78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f>SUM(Table13[[#This Row],[Rank_All_Ranks_Total]:[Rank_SSPSPAddlSPCommandant]])</f>
        <v>0</v>
      </c>
    </row>
    <row r="2425" spans="1:18" x14ac:dyDescent="0.3">
      <c r="A2425" t="s">
        <v>16</v>
      </c>
      <c r="B2425">
        <v>2010</v>
      </c>
      <c r="C2425" t="str">
        <f>_xlfn.CONCAT(Table13[[#This Row],[STATE]],"-",Table13[[#This Row],[Year]])</f>
        <v>Jharkhand-2010</v>
      </c>
      <c r="D2425" t="s">
        <v>77</v>
      </c>
      <c r="E2425" t="s">
        <v>78</v>
      </c>
      <c r="F2425">
        <v>1373</v>
      </c>
      <c r="G2425">
        <v>17</v>
      </c>
      <c r="H2425">
        <v>13</v>
      </c>
      <c r="I2425">
        <v>0</v>
      </c>
      <c r="J2425">
        <v>1032</v>
      </c>
      <c r="K2425">
        <v>0</v>
      </c>
      <c r="L2425">
        <v>0</v>
      </c>
      <c r="M2425">
        <v>256</v>
      </c>
      <c r="N2425">
        <v>0</v>
      </c>
      <c r="O2425">
        <v>11</v>
      </c>
      <c r="P2425">
        <v>44</v>
      </c>
      <c r="Q2425">
        <v>0</v>
      </c>
      <c r="R2425">
        <f>SUM(Table13[[#This Row],[Rank_All_Ranks_Total]:[Rank_SSPSPAddlSPCommandant]])</f>
        <v>2746</v>
      </c>
    </row>
    <row r="2426" spans="1:18" x14ac:dyDescent="0.3">
      <c r="A2426" t="s">
        <v>17</v>
      </c>
      <c r="B2426">
        <v>2010</v>
      </c>
      <c r="C2426" t="str">
        <f>_xlfn.CONCAT(Table13[[#This Row],[STATE]],"-",Table13[[#This Row],[Year]])</f>
        <v>Karnataka-2010</v>
      </c>
      <c r="D2426" t="s">
        <v>77</v>
      </c>
      <c r="E2426" t="s">
        <v>78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f>SUM(Table13[[#This Row],[Rank_All_Ranks_Total]:[Rank_SSPSPAddlSPCommandant]])</f>
        <v>0</v>
      </c>
    </row>
    <row r="2427" spans="1:18" x14ac:dyDescent="0.3">
      <c r="A2427" t="s">
        <v>18</v>
      </c>
      <c r="B2427">
        <v>2010</v>
      </c>
      <c r="C2427" t="str">
        <f>_xlfn.CONCAT(Table13[[#This Row],[STATE]],"-",Table13[[#This Row],[Year]])</f>
        <v>Kerala-2010</v>
      </c>
      <c r="D2427" t="s">
        <v>77</v>
      </c>
      <c r="E2427" t="s">
        <v>78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f>SUM(Table13[[#This Row],[Rank_All_Ranks_Total]:[Rank_SSPSPAddlSPCommandant]])</f>
        <v>0</v>
      </c>
    </row>
    <row r="2428" spans="1:18" x14ac:dyDescent="0.3">
      <c r="A2428" t="s">
        <v>39</v>
      </c>
      <c r="B2428">
        <v>2010</v>
      </c>
      <c r="C2428" t="str">
        <f>_xlfn.CONCAT(Table13[[#This Row],[STATE]],"-",Table13[[#This Row],[Year]])</f>
        <v>Lakshadweep-2010</v>
      </c>
      <c r="D2428" t="s">
        <v>77</v>
      </c>
      <c r="E2428" t="s">
        <v>78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f>SUM(Table13[[#This Row],[Rank_All_Ranks_Total]:[Rank_SSPSPAddlSPCommandant]])</f>
        <v>0</v>
      </c>
    </row>
    <row r="2429" spans="1:18" x14ac:dyDescent="0.3">
      <c r="A2429" t="s">
        <v>19</v>
      </c>
      <c r="B2429">
        <v>2010</v>
      </c>
      <c r="C2429" t="str">
        <f>_xlfn.CONCAT(Table13[[#This Row],[STATE]],"-",Table13[[#This Row],[Year]])</f>
        <v>Madhya Pradesh-2010</v>
      </c>
      <c r="D2429" t="s">
        <v>77</v>
      </c>
      <c r="E2429" t="s">
        <v>78</v>
      </c>
      <c r="F2429">
        <v>132</v>
      </c>
      <c r="G2429">
        <v>9</v>
      </c>
      <c r="H2429">
        <v>0</v>
      </c>
      <c r="I2429">
        <v>0</v>
      </c>
      <c r="J2429">
        <v>96</v>
      </c>
      <c r="K2429">
        <v>0</v>
      </c>
      <c r="L2429">
        <v>0</v>
      </c>
      <c r="M2429">
        <v>22</v>
      </c>
      <c r="N2429">
        <v>0</v>
      </c>
      <c r="O2429">
        <v>1</v>
      </c>
      <c r="P2429">
        <v>4</v>
      </c>
      <c r="Q2429">
        <v>0</v>
      </c>
      <c r="R2429">
        <f>SUM(Table13[[#This Row],[Rank_All_Ranks_Total]:[Rank_SSPSPAddlSPCommandant]])</f>
        <v>264</v>
      </c>
    </row>
    <row r="2430" spans="1:18" x14ac:dyDescent="0.3">
      <c r="A2430" t="s">
        <v>20</v>
      </c>
      <c r="B2430">
        <v>2010</v>
      </c>
      <c r="C2430" t="str">
        <f>_xlfn.CONCAT(Table13[[#This Row],[STATE]],"-",Table13[[#This Row],[Year]])</f>
        <v>Maharashtra-2010</v>
      </c>
      <c r="D2430" t="s">
        <v>77</v>
      </c>
      <c r="E2430" t="s">
        <v>78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f>SUM(Table13[[#This Row],[Rank_All_Ranks_Total]:[Rank_SSPSPAddlSPCommandant]])</f>
        <v>0</v>
      </c>
    </row>
    <row r="2431" spans="1:18" x14ac:dyDescent="0.3">
      <c r="A2431" t="s">
        <v>21</v>
      </c>
      <c r="B2431">
        <v>2010</v>
      </c>
      <c r="C2431" t="str">
        <f>_xlfn.CONCAT(Table13[[#This Row],[STATE]],"-",Table13[[#This Row],[Year]])</f>
        <v>Manipur-2010</v>
      </c>
      <c r="D2431" t="s">
        <v>77</v>
      </c>
      <c r="E2431" t="s">
        <v>78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f>SUM(Table13[[#This Row],[Rank_All_Ranks_Total]:[Rank_SSPSPAddlSPCommandant]])</f>
        <v>0</v>
      </c>
    </row>
    <row r="2432" spans="1:18" x14ac:dyDescent="0.3">
      <c r="A2432" t="s">
        <v>22</v>
      </c>
      <c r="B2432">
        <v>2010</v>
      </c>
      <c r="C2432" t="str">
        <f>_xlfn.CONCAT(Table13[[#This Row],[STATE]],"-",Table13[[#This Row],[Year]])</f>
        <v>Meghalaya-2010</v>
      </c>
      <c r="D2432" t="s">
        <v>77</v>
      </c>
      <c r="E2432" t="s">
        <v>78</v>
      </c>
      <c r="F2432">
        <v>100</v>
      </c>
      <c r="G2432">
        <v>0</v>
      </c>
      <c r="H2432">
        <v>0</v>
      </c>
      <c r="I2432">
        <v>0</v>
      </c>
      <c r="J2432">
        <v>100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f>SUM(Table13[[#This Row],[Rank_All_Ranks_Total]:[Rank_SSPSPAddlSPCommandant]])</f>
        <v>200</v>
      </c>
    </row>
    <row r="2433" spans="1:18" x14ac:dyDescent="0.3">
      <c r="A2433" t="s">
        <v>23</v>
      </c>
      <c r="B2433">
        <v>2010</v>
      </c>
      <c r="C2433" t="str">
        <f>_xlfn.CONCAT(Table13[[#This Row],[STATE]],"-",Table13[[#This Row],[Year]])</f>
        <v>Mizoram-2010</v>
      </c>
      <c r="D2433" t="s">
        <v>77</v>
      </c>
      <c r="E2433" t="s">
        <v>78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f>SUM(Table13[[#This Row],[Rank_All_Ranks_Total]:[Rank_SSPSPAddlSPCommandant]])</f>
        <v>0</v>
      </c>
    </row>
    <row r="2434" spans="1:18" x14ac:dyDescent="0.3">
      <c r="A2434" t="s">
        <v>24</v>
      </c>
      <c r="B2434">
        <v>2010</v>
      </c>
      <c r="C2434" t="str">
        <f>_xlfn.CONCAT(Table13[[#This Row],[STATE]],"-",Table13[[#This Row],[Year]])</f>
        <v>Nagaland-2010</v>
      </c>
      <c r="D2434" t="s">
        <v>77</v>
      </c>
      <c r="E2434" t="s">
        <v>78</v>
      </c>
      <c r="F2434">
        <v>14</v>
      </c>
      <c r="G2434">
        <v>0</v>
      </c>
      <c r="H2434">
        <v>1</v>
      </c>
      <c r="I2434">
        <v>0</v>
      </c>
      <c r="J2434">
        <v>13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f>SUM(Table13[[#This Row],[Rank_All_Ranks_Total]:[Rank_SSPSPAddlSPCommandant]])</f>
        <v>28</v>
      </c>
    </row>
    <row r="2435" spans="1:18" x14ac:dyDescent="0.3">
      <c r="A2435" t="s">
        <v>63</v>
      </c>
      <c r="B2435">
        <v>2010</v>
      </c>
      <c r="C2435" t="str">
        <f>_xlfn.CONCAT(Table13[[#This Row],[STATE]],"-",Table13[[#This Row],[Year]])</f>
        <v>Odisha-2010</v>
      </c>
      <c r="D2435" t="s">
        <v>77</v>
      </c>
      <c r="E2435" t="s">
        <v>78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f>SUM(Table13[[#This Row],[Rank_All_Ranks_Total]:[Rank_SSPSPAddlSPCommandant]])</f>
        <v>0</v>
      </c>
    </row>
    <row r="2436" spans="1:18" x14ac:dyDescent="0.3">
      <c r="A2436" t="s">
        <v>64</v>
      </c>
      <c r="B2436">
        <v>2010</v>
      </c>
      <c r="C2436" t="str">
        <f>_xlfn.CONCAT(Table13[[#This Row],[STATE]],"-",Table13[[#This Row],[Year]])</f>
        <v>Puducherry-2010</v>
      </c>
      <c r="D2436" t="s">
        <v>77</v>
      </c>
      <c r="E2436" t="s">
        <v>78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f>SUM(Table13[[#This Row],[Rank_All_Ranks_Total]:[Rank_SSPSPAddlSPCommandant]])</f>
        <v>0</v>
      </c>
    </row>
    <row r="2437" spans="1:18" x14ac:dyDescent="0.3">
      <c r="A2437" t="s">
        <v>26</v>
      </c>
      <c r="B2437">
        <v>2010</v>
      </c>
      <c r="C2437" t="str">
        <f>_xlfn.CONCAT(Table13[[#This Row],[STATE]],"-",Table13[[#This Row],[Year]])</f>
        <v>Punjab-2010</v>
      </c>
      <c r="D2437" t="s">
        <v>77</v>
      </c>
      <c r="E2437" t="s">
        <v>78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f>SUM(Table13[[#This Row],[Rank_All_Ranks_Total]:[Rank_SSPSPAddlSPCommandant]])</f>
        <v>0</v>
      </c>
    </row>
    <row r="2438" spans="1:18" x14ac:dyDescent="0.3">
      <c r="A2438" t="s">
        <v>27</v>
      </c>
      <c r="B2438">
        <v>2010</v>
      </c>
      <c r="C2438" t="str">
        <f>_xlfn.CONCAT(Table13[[#This Row],[STATE]],"-",Table13[[#This Row],[Year]])</f>
        <v>Rajasthan-2010</v>
      </c>
      <c r="D2438" t="s">
        <v>77</v>
      </c>
      <c r="E2438" t="s">
        <v>78</v>
      </c>
      <c r="F2438">
        <v>5</v>
      </c>
      <c r="G2438">
        <v>0</v>
      </c>
      <c r="H2438">
        <v>4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1</v>
      </c>
      <c r="R2438">
        <f>SUM(Table13[[#This Row],[Rank_All_Ranks_Total]:[Rank_SSPSPAddlSPCommandant]])</f>
        <v>10</v>
      </c>
    </row>
    <row r="2439" spans="1:18" x14ac:dyDescent="0.3">
      <c r="A2439" t="s">
        <v>28</v>
      </c>
      <c r="B2439">
        <v>2010</v>
      </c>
      <c r="C2439" t="str">
        <f>_xlfn.CONCAT(Table13[[#This Row],[STATE]],"-",Table13[[#This Row],[Year]])</f>
        <v>Sikkim-2010</v>
      </c>
      <c r="D2439" t="s">
        <v>77</v>
      </c>
      <c r="E2439" t="s">
        <v>78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f>SUM(Table13[[#This Row],[Rank_All_Ranks_Total]:[Rank_SSPSPAddlSPCommandant]])</f>
        <v>0</v>
      </c>
    </row>
    <row r="2440" spans="1:18" x14ac:dyDescent="0.3">
      <c r="A2440" t="s">
        <v>42</v>
      </c>
      <c r="B2440">
        <v>2010</v>
      </c>
      <c r="C2440" t="str">
        <f>_xlfn.CONCAT(Table13[[#This Row],[STATE]],"-",Table13[[#This Row],[Year]])</f>
        <v>Tamil Nadu-2010</v>
      </c>
      <c r="D2440" t="s">
        <v>77</v>
      </c>
      <c r="E2440" t="s">
        <v>78</v>
      </c>
      <c r="F2440">
        <v>4114</v>
      </c>
      <c r="G2440">
        <v>0</v>
      </c>
      <c r="H2440">
        <v>0</v>
      </c>
      <c r="I2440">
        <v>0</v>
      </c>
      <c r="J2440">
        <v>4114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f>SUM(Table13[[#This Row],[Rank_All_Ranks_Total]:[Rank_SSPSPAddlSPCommandant]])</f>
        <v>8228</v>
      </c>
    </row>
    <row r="2441" spans="1:18" x14ac:dyDescent="0.3">
      <c r="A2441" t="s">
        <v>30</v>
      </c>
      <c r="B2441">
        <v>2010</v>
      </c>
      <c r="C2441" t="str">
        <f>_xlfn.CONCAT(Table13[[#This Row],[STATE]],"-",Table13[[#This Row],[Year]])</f>
        <v>Tripura-2010</v>
      </c>
      <c r="D2441" t="s">
        <v>77</v>
      </c>
      <c r="E2441" t="s">
        <v>78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f>SUM(Table13[[#This Row],[Rank_All_Ranks_Total]:[Rank_SSPSPAddlSPCommandant]])</f>
        <v>0</v>
      </c>
    </row>
    <row r="2442" spans="1:18" x14ac:dyDescent="0.3">
      <c r="A2442" t="s">
        <v>31</v>
      </c>
      <c r="B2442">
        <v>2010</v>
      </c>
      <c r="C2442" t="str">
        <f>_xlfn.CONCAT(Table13[[#This Row],[STATE]],"-",Table13[[#This Row],[Year]])</f>
        <v>Uttar Pradesh-2010</v>
      </c>
      <c r="D2442" t="s">
        <v>77</v>
      </c>
      <c r="E2442" t="s">
        <v>78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f>SUM(Table13[[#This Row],[Rank_All_Ranks_Total]:[Rank_SSPSPAddlSPCommandant]])</f>
        <v>0</v>
      </c>
    </row>
    <row r="2443" spans="1:18" x14ac:dyDescent="0.3">
      <c r="A2443" t="s">
        <v>65</v>
      </c>
      <c r="B2443">
        <v>2010</v>
      </c>
      <c r="C2443" t="str">
        <f>_xlfn.CONCAT(Table13[[#This Row],[STATE]],"-",Table13[[#This Row],[Year]])</f>
        <v>Uttarakhand-2010</v>
      </c>
      <c r="D2443" t="s">
        <v>77</v>
      </c>
      <c r="E2443" t="s">
        <v>78</v>
      </c>
      <c r="F2443">
        <v>247</v>
      </c>
      <c r="G2443">
        <v>0</v>
      </c>
      <c r="H2443">
        <v>0</v>
      </c>
      <c r="I2443">
        <v>0</v>
      </c>
      <c r="J2443">
        <v>197</v>
      </c>
      <c r="K2443">
        <v>0</v>
      </c>
      <c r="L2443">
        <v>0</v>
      </c>
      <c r="M2443">
        <v>44</v>
      </c>
      <c r="N2443">
        <v>0</v>
      </c>
      <c r="O2443">
        <v>0</v>
      </c>
      <c r="P2443">
        <v>6</v>
      </c>
      <c r="Q2443">
        <v>0</v>
      </c>
      <c r="R2443">
        <f>SUM(Table13[[#This Row],[Rank_All_Ranks_Total]:[Rank_SSPSPAddlSPCommandant]])</f>
        <v>494</v>
      </c>
    </row>
    <row r="2444" spans="1:18" x14ac:dyDescent="0.3">
      <c r="A2444" t="s">
        <v>33</v>
      </c>
      <c r="B2444">
        <v>2010</v>
      </c>
      <c r="C2444" t="str">
        <f>_xlfn.CONCAT(Table13[[#This Row],[STATE]],"-",Table13[[#This Row],[Year]])</f>
        <v>West Bengal-2010</v>
      </c>
      <c r="D2444" t="s">
        <v>77</v>
      </c>
      <c r="E2444" t="s">
        <v>78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f>SUM(Table13[[#This Row],[Rank_All_Ranks_Total]:[Rank_SSPSPAddlSPCommandant]])</f>
        <v>0</v>
      </c>
    </row>
    <row r="2445" spans="1:18" x14ac:dyDescent="0.3">
      <c r="A2445" t="s">
        <v>59</v>
      </c>
      <c r="B2445">
        <v>2001</v>
      </c>
      <c r="C2445" t="str">
        <f>_xlfn.CONCAT(Table13[[#This Row],[STATE]],"-",Table13[[#This Row],[Year]])</f>
        <v>Andaman &amp; Nicobar Islands-2001</v>
      </c>
      <c r="D2445" t="s">
        <v>79</v>
      </c>
      <c r="E2445" t="s">
        <v>80</v>
      </c>
      <c r="F2445">
        <v>16</v>
      </c>
      <c r="G2445">
        <v>0</v>
      </c>
      <c r="H2445">
        <v>0</v>
      </c>
      <c r="I2445">
        <v>0</v>
      </c>
      <c r="J2445">
        <v>10</v>
      </c>
      <c r="K2445">
        <v>0</v>
      </c>
      <c r="L2445">
        <v>0</v>
      </c>
      <c r="M2445">
        <v>4</v>
      </c>
      <c r="N2445">
        <v>0</v>
      </c>
      <c r="O2445">
        <v>0</v>
      </c>
      <c r="P2445">
        <v>2</v>
      </c>
      <c r="Q2445">
        <v>0</v>
      </c>
      <c r="R2445">
        <f>SUM(Table13[[#This Row],[Rank_All_Ranks_Total]:[Rank_SSPSPAddlSPCommandant]])</f>
        <v>32</v>
      </c>
    </row>
    <row r="2446" spans="1:18" x14ac:dyDescent="0.3">
      <c r="A2446" t="s">
        <v>6</v>
      </c>
      <c r="B2446">
        <v>2001</v>
      </c>
      <c r="C2446" t="str">
        <f>_xlfn.CONCAT(Table13[[#This Row],[STATE]],"-",Table13[[#This Row],[Year]])</f>
        <v>Andhra Pradesh-2001</v>
      </c>
      <c r="D2446" t="s">
        <v>79</v>
      </c>
      <c r="E2446" t="s">
        <v>80</v>
      </c>
      <c r="F2446">
        <v>1265</v>
      </c>
      <c r="G2446">
        <v>0</v>
      </c>
      <c r="H2446">
        <v>0</v>
      </c>
      <c r="I2446">
        <v>0</v>
      </c>
      <c r="J2446">
        <v>1178</v>
      </c>
      <c r="K2446">
        <v>0</v>
      </c>
      <c r="L2446">
        <v>0</v>
      </c>
      <c r="M2446">
        <v>51</v>
      </c>
      <c r="N2446">
        <v>0</v>
      </c>
      <c r="O2446">
        <v>0</v>
      </c>
      <c r="P2446">
        <v>36</v>
      </c>
      <c r="Q2446">
        <v>0</v>
      </c>
      <c r="R2446">
        <f>SUM(Table13[[#This Row],[Rank_All_Ranks_Total]:[Rank_SSPSPAddlSPCommandant]])</f>
        <v>2530</v>
      </c>
    </row>
    <row r="2447" spans="1:18" x14ac:dyDescent="0.3">
      <c r="A2447" t="s">
        <v>7</v>
      </c>
      <c r="B2447">
        <v>2001</v>
      </c>
      <c r="C2447" t="str">
        <f>_xlfn.CONCAT(Table13[[#This Row],[STATE]],"-",Table13[[#This Row],[Year]])</f>
        <v>Arunachal Pradesh-2001</v>
      </c>
      <c r="D2447" t="s">
        <v>79</v>
      </c>
      <c r="E2447" t="s">
        <v>80</v>
      </c>
      <c r="F2447">
        <v>65</v>
      </c>
      <c r="G2447">
        <v>4</v>
      </c>
      <c r="H2447">
        <v>0</v>
      </c>
      <c r="I2447">
        <v>0</v>
      </c>
      <c r="J2447">
        <v>40</v>
      </c>
      <c r="K2447">
        <v>0</v>
      </c>
      <c r="L2447">
        <v>0</v>
      </c>
      <c r="M2447">
        <v>12</v>
      </c>
      <c r="N2447">
        <v>0</v>
      </c>
      <c r="O2447">
        <v>0</v>
      </c>
      <c r="P2447">
        <v>9</v>
      </c>
      <c r="Q2447">
        <v>0</v>
      </c>
      <c r="R2447">
        <f>SUM(Table13[[#This Row],[Rank_All_Ranks_Total]:[Rank_SSPSPAddlSPCommandant]])</f>
        <v>130</v>
      </c>
    </row>
    <row r="2448" spans="1:18" x14ac:dyDescent="0.3">
      <c r="A2448" t="s">
        <v>8</v>
      </c>
      <c r="B2448">
        <v>2001</v>
      </c>
      <c r="C2448" t="str">
        <f>_xlfn.CONCAT(Table13[[#This Row],[STATE]],"-",Table13[[#This Row],[Year]])</f>
        <v>Assam-2001</v>
      </c>
      <c r="D2448" t="s">
        <v>79</v>
      </c>
      <c r="E2448" t="s">
        <v>80</v>
      </c>
      <c r="F2448">
        <v>223</v>
      </c>
      <c r="G2448">
        <v>5</v>
      </c>
      <c r="H2448">
        <v>0</v>
      </c>
      <c r="I2448">
        <v>8</v>
      </c>
      <c r="J2448">
        <v>185</v>
      </c>
      <c r="K2448">
        <v>0</v>
      </c>
      <c r="L2448">
        <v>0</v>
      </c>
      <c r="M2448">
        <v>8</v>
      </c>
      <c r="N2448">
        <v>0</v>
      </c>
      <c r="O2448">
        <v>0</v>
      </c>
      <c r="P2448">
        <v>17</v>
      </c>
      <c r="Q2448">
        <v>0</v>
      </c>
      <c r="R2448">
        <f>SUM(Table13[[#This Row],[Rank_All_Ranks_Total]:[Rank_SSPSPAddlSPCommandant]])</f>
        <v>446</v>
      </c>
    </row>
    <row r="2449" spans="1:18" x14ac:dyDescent="0.3">
      <c r="A2449" t="s">
        <v>9</v>
      </c>
      <c r="B2449">
        <v>2001</v>
      </c>
      <c r="C2449" t="str">
        <f>_xlfn.CONCAT(Table13[[#This Row],[STATE]],"-",Table13[[#This Row],[Year]])</f>
        <v>Bihar-2001</v>
      </c>
      <c r="D2449" t="s">
        <v>79</v>
      </c>
      <c r="E2449" t="s">
        <v>80</v>
      </c>
      <c r="F2449">
        <v>834</v>
      </c>
      <c r="G2449">
        <v>10</v>
      </c>
      <c r="H2449">
        <v>1</v>
      </c>
      <c r="I2449">
        <v>8</v>
      </c>
      <c r="J2449">
        <v>734</v>
      </c>
      <c r="K2449">
        <v>0</v>
      </c>
      <c r="L2449">
        <v>0</v>
      </c>
      <c r="M2449">
        <v>29</v>
      </c>
      <c r="N2449">
        <v>0</v>
      </c>
      <c r="O2449">
        <v>1</v>
      </c>
      <c r="P2449">
        <v>50</v>
      </c>
      <c r="Q2449">
        <v>1</v>
      </c>
      <c r="R2449">
        <f>SUM(Table13[[#This Row],[Rank_All_Ranks_Total]:[Rank_SSPSPAddlSPCommandant]])</f>
        <v>1668</v>
      </c>
    </row>
    <row r="2450" spans="1:18" x14ac:dyDescent="0.3">
      <c r="A2450" t="s">
        <v>35</v>
      </c>
      <c r="B2450">
        <v>2001</v>
      </c>
      <c r="C2450" t="str">
        <f>_xlfn.CONCAT(Table13[[#This Row],[STATE]],"-",Table13[[#This Row],[Year]])</f>
        <v>Chandigarh-2001</v>
      </c>
      <c r="D2450" t="s">
        <v>79</v>
      </c>
      <c r="E2450" t="s">
        <v>80</v>
      </c>
      <c r="F2450">
        <v>35</v>
      </c>
      <c r="G2450">
        <v>1</v>
      </c>
      <c r="H2450">
        <v>0</v>
      </c>
      <c r="I2450">
        <v>0</v>
      </c>
      <c r="J2450">
        <v>31</v>
      </c>
      <c r="K2450">
        <v>0</v>
      </c>
      <c r="L2450">
        <v>0</v>
      </c>
      <c r="M2450">
        <v>2</v>
      </c>
      <c r="N2450">
        <v>0</v>
      </c>
      <c r="O2450">
        <v>0</v>
      </c>
      <c r="P2450">
        <v>1</v>
      </c>
      <c r="Q2450">
        <v>0</v>
      </c>
      <c r="R2450">
        <f>SUM(Table13[[#This Row],[Rank_All_Ranks_Total]:[Rank_SSPSPAddlSPCommandant]])</f>
        <v>70</v>
      </c>
    </row>
    <row r="2451" spans="1:18" x14ac:dyDescent="0.3">
      <c r="A2451" t="s">
        <v>10</v>
      </c>
      <c r="B2451">
        <v>2001</v>
      </c>
      <c r="C2451" t="str">
        <f>_xlfn.CONCAT(Table13[[#This Row],[STATE]],"-",Table13[[#This Row],[Year]])</f>
        <v>Chhattisgarh-2001</v>
      </c>
      <c r="D2451" t="s">
        <v>79</v>
      </c>
      <c r="E2451" t="s">
        <v>80</v>
      </c>
      <c r="F2451">
        <v>606</v>
      </c>
      <c r="G2451">
        <v>32</v>
      </c>
      <c r="H2451">
        <v>3</v>
      </c>
      <c r="I2451">
        <v>0</v>
      </c>
      <c r="J2451">
        <v>415</v>
      </c>
      <c r="K2451">
        <v>0</v>
      </c>
      <c r="L2451">
        <v>0</v>
      </c>
      <c r="M2451">
        <v>105</v>
      </c>
      <c r="N2451">
        <v>0</v>
      </c>
      <c r="O2451">
        <v>7</v>
      </c>
      <c r="P2451">
        <v>43</v>
      </c>
      <c r="Q2451">
        <v>1</v>
      </c>
      <c r="R2451">
        <f>SUM(Table13[[#This Row],[Rank_All_Ranks_Total]:[Rank_SSPSPAddlSPCommandant]])</f>
        <v>1212</v>
      </c>
    </row>
    <row r="2452" spans="1:18" x14ac:dyDescent="0.3">
      <c r="A2452" t="s">
        <v>62</v>
      </c>
      <c r="B2452">
        <v>2001</v>
      </c>
      <c r="C2452" t="str">
        <f>_xlfn.CONCAT(Table13[[#This Row],[STATE]],"-",Table13[[#This Row],[Year]])</f>
        <v>Dadra &amp; Nagar Haveli-2001</v>
      </c>
      <c r="D2452" t="s">
        <v>79</v>
      </c>
      <c r="E2452" t="s">
        <v>80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f>SUM(Table13[[#This Row],[Rank_All_Ranks_Total]:[Rank_SSPSPAddlSPCommandant]])</f>
        <v>0</v>
      </c>
    </row>
    <row r="2453" spans="1:18" x14ac:dyDescent="0.3">
      <c r="A2453" t="s">
        <v>37</v>
      </c>
      <c r="B2453">
        <v>2001</v>
      </c>
      <c r="C2453" t="str">
        <f>_xlfn.CONCAT(Table13[[#This Row],[STATE]],"-",Table13[[#This Row],[Year]])</f>
        <v>Daman &amp; Diu-2001</v>
      </c>
      <c r="D2453" t="s">
        <v>79</v>
      </c>
      <c r="E2453" t="s">
        <v>80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f>SUM(Table13[[#This Row],[Rank_All_Ranks_Total]:[Rank_SSPSPAddlSPCommandant]])</f>
        <v>0</v>
      </c>
    </row>
    <row r="2454" spans="1:18" x14ac:dyDescent="0.3">
      <c r="A2454" t="s">
        <v>38</v>
      </c>
      <c r="B2454">
        <v>2001</v>
      </c>
      <c r="C2454" t="str">
        <f>_xlfn.CONCAT(Table13[[#This Row],[STATE]],"-",Table13[[#This Row],[Year]])</f>
        <v>Delhi-2001</v>
      </c>
      <c r="D2454" t="s">
        <v>79</v>
      </c>
      <c r="E2454" t="s">
        <v>80</v>
      </c>
      <c r="F2454">
        <v>1800</v>
      </c>
      <c r="G2454">
        <v>246</v>
      </c>
      <c r="H2454">
        <v>1</v>
      </c>
      <c r="I2454">
        <v>0</v>
      </c>
      <c r="J2454">
        <v>966</v>
      </c>
      <c r="K2454">
        <v>0</v>
      </c>
      <c r="L2454">
        <v>0</v>
      </c>
      <c r="M2454">
        <v>355</v>
      </c>
      <c r="N2454">
        <v>0</v>
      </c>
      <c r="O2454">
        <v>62</v>
      </c>
      <c r="P2454">
        <v>170</v>
      </c>
      <c r="Q2454">
        <v>0</v>
      </c>
      <c r="R2454">
        <f>SUM(Table13[[#This Row],[Rank_All_Ranks_Total]:[Rank_SSPSPAddlSPCommandant]])</f>
        <v>3600</v>
      </c>
    </row>
    <row r="2455" spans="1:18" x14ac:dyDescent="0.3">
      <c r="A2455" t="s">
        <v>11</v>
      </c>
      <c r="B2455">
        <v>2001</v>
      </c>
      <c r="C2455" t="str">
        <f>_xlfn.CONCAT(Table13[[#This Row],[STATE]],"-",Table13[[#This Row],[Year]])</f>
        <v>Goa-2001</v>
      </c>
      <c r="D2455" t="s">
        <v>79</v>
      </c>
      <c r="E2455" t="s">
        <v>80</v>
      </c>
      <c r="F2455">
        <v>197</v>
      </c>
      <c r="G2455">
        <v>1</v>
      </c>
      <c r="H2455">
        <v>0</v>
      </c>
      <c r="I2455">
        <v>0</v>
      </c>
      <c r="J2455">
        <v>187</v>
      </c>
      <c r="K2455">
        <v>0</v>
      </c>
      <c r="L2455">
        <v>0</v>
      </c>
      <c r="M2455">
        <v>6</v>
      </c>
      <c r="N2455">
        <v>0</v>
      </c>
      <c r="O2455">
        <v>0</v>
      </c>
      <c r="P2455">
        <v>3</v>
      </c>
      <c r="Q2455">
        <v>0</v>
      </c>
      <c r="R2455">
        <f>SUM(Table13[[#This Row],[Rank_All_Ranks_Total]:[Rank_SSPSPAddlSPCommandant]])</f>
        <v>394</v>
      </c>
    </row>
    <row r="2456" spans="1:18" x14ac:dyDescent="0.3">
      <c r="A2456" t="s">
        <v>12</v>
      </c>
      <c r="B2456">
        <v>2001</v>
      </c>
      <c r="C2456" t="str">
        <f>_xlfn.CONCAT(Table13[[#This Row],[STATE]],"-",Table13[[#This Row],[Year]])</f>
        <v>Gujarat-2001</v>
      </c>
      <c r="D2456" t="s">
        <v>79</v>
      </c>
      <c r="E2456" t="s">
        <v>80</v>
      </c>
      <c r="F2456">
        <v>2311</v>
      </c>
      <c r="G2456">
        <v>226</v>
      </c>
      <c r="H2456">
        <v>1</v>
      </c>
      <c r="I2456">
        <v>0</v>
      </c>
      <c r="J2456">
        <v>1703</v>
      </c>
      <c r="K2456">
        <v>0</v>
      </c>
      <c r="L2456">
        <v>1</v>
      </c>
      <c r="M2456">
        <v>322</v>
      </c>
      <c r="N2456">
        <v>1</v>
      </c>
      <c r="O2456">
        <v>11</v>
      </c>
      <c r="P2456">
        <v>45</v>
      </c>
      <c r="Q2456">
        <v>1</v>
      </c>
      <c r="R2456">
        <f>SUM(Table13[[#This Row],[Rank_All_Ranks_Total]:[Rank_SSPSPAddlSPCommandant]])</f>
        <v>4622</v>
      </c>
    </row>
    <row r="2457" spans="1:18" x14ac:dyDescent="0.3">
      <c r="A2457" t="s">
        <v>13</v>
      </c>
      <c r="B2457">
        <v>2001</v>
      </c>
      <c r="C2457" t="str">
        <f>_xlfn.CONCAT(Table13[[#This Row],[STATE]],"-",Table13[[#This Row],[Year]])</f>
        <v>Haryana-2001</v>
      </c>
      <c r="D2457" t="s">
        <v>79</v>
      </c>
      <c r="E2457" t="s">
        <v>80</v>
      </c>
      <c r="F2457">
        <v>503</v>
      </c>
      <c r="G2457">
        <v>36</v>
      </c>
      <c r="H2457">
        <v>0</v>
      </c>
      <c r="I2457">
        <v>0</v>
      </c>
      <c r="J2457">
        <v>368</v>
      </c>
      <c r="K2457">
        <v>0</v>
      </c>
      <c r="L2457">
        <v>0</v>
      </c>
      <c r="M2457">
        <v>75</v>
      </c>
      <c r="N2457">
        <v>0</v>
      </c>
      <c r="O2457">
        <v>4</v>
      </c>
      <c r="P2457">
        <v>20</v>
      </c>
      <c r="Q2457">
        <v>0</v>
      </c>
      <c r="R2457">
        <f>SUM(Table13[[#This Row],[Rank_All_Ranks_Total]:[Rank_SSPSPAddlSPCommandant]])</f>
        <v>1006</v>
      </c>
    </row>
    <row r="2458" spans="1:18" x14ac:dyDescent="0.3">
      <c r="A2458" t="s">
        <v>14</v>
      </c>
      <c r="B2458">
        <v>2001</v>
      </c>
      <c r="C2458" t="str">
        <f>_xlfn.CONCAT(Table13[[#This Row],[STATE]],"-",Table13[[#This Row],[Year]])</f>
        <v>Himachal Pradesh-2001</v>
      </c>
      <c r="D2458" t="s">
        <v>79</v>
      </c>
      <c r="E2458" t="s">
        <v>80</v>
      </c>
      <c r="F2458">
        <v>146</v>
      </c>
      <c r="G2458">
        <v>1</v>
      </c>
      <c r="H2458">
        <v>0</v>
      </c>
      <c r="I2458">
        <v>0</v>
      </c>
      <c r="J2458">
        <v>135</v>
      </c>
      <c r="K2458">
        <v>0</v>
      </c>
      <c r="L2458">
        <v>0</v>
      </c>
      <c r="M2458">
        <v>8</v>
      </c>
      <c r="N2458">
        <v>0</v>
      </c>
      <c r="O2458">
        <v>0</v>
      </c>
      <c r="P2458">
        <v>2</v>
      </c>
      <c r="Q2458">
        <v>0</v>
      </c>
      <c r="R2458">
        <f>SUM(Table13[[#This Row],[Rank_All_Ranks_Total]:[Rank_SSPSPAddlSPCommandant]])</f>
        <v>292</v>
      </c>
    </row>
    <row r="2459" spans="1:18" x14ac:dyDescent="0.3">
      <c r="A2459" t="s">
        <v>15</v>
      </c>
      <c r="B2459">
        <v>2001</v>
      </c>
      <c r="C2459" t="str">
        <f>_xlfn.CONCAT(Table13[[#This Row],[STATE]],"-",Table13[[#This Row],[Year]])</f>
        <v>Jammu &amp; Kashmir-2001</v>
      </c>
      <c r="D2459" t="s">
        <v>79</v>
      </c>
      <c r="E2459" t="s">
        <v>80</v>
      </c>
      <c r="F2459">
        <v>1432</v>
      </c>
      <c r="G2459">
        <v>13</v>
      </c>
      <c r="H2459">
        <v>6</v>
      </c>
      <c r="I2459">
        <v>0</v>
      </c>
      <c r="J2459">
        <v>1374</v>
      </c>
      <c r="K2459">
        <v>0</v>
      </c>
      <c r="L2459">
        <v>1</v>
      </c>
      <c r="M2459">
        <v>9</v>
      </c>
      <c r="N2459">
        <v>0</v>
      </c>
      <c r="O2459">
        <v>9</v>
      </c>
      <c r="P2459">
        <v>18</v>
      </c>
      <c r="Q2459">
        <v>2</v>
      </c>
      <c r="R2459">
        <f>SUM(Table13[[#This Row],[Rank_All_Ranks_Total]:[Rank_SSPSPAddlSPCommandant]])</f>
        <v>2864</v>
      </c>
    </row>
    <row r="2460" spans="1:18" x14ac:dyDescent="0.3">
      <c r="A2460" t="s">
        <v>17</v>
      </c>
      <c r="B2460">
        <v>2001</v>
      </c>
      <c r="C2460" t="str">
        <f>_xlfn.CONCAT(Table13[[#This Row],[STATE]],"-",Table13[[#This Row],[Year]])</f>
        <v>Karnataka-2001</v>
      </c>
      <c r="D2460" t="s">
        <v>79</v>
      </c>
      <c r="E2460" t="s">
        <v>80</v>
      </c>
      <c r="F2460">
        <v>2530</v>
      </c>
      <c r="G2460">
        <v>61</v>
      </c>
      <c r="H2460">
        <v>3</v>
      </c>
      <c r="I2460">
        <v>0</v>
      </c>
      <c r="J2460">
        <v>1786</v>
      </c>
      <c r="K2460">
        <v>0</v>
      </c>
      <c r="L2460">
        <v>0</v>
      </c>
      <c r="M2460">
        <v>599</v>
      </c>
      <c r="N2460">
        <v>0</v>
      </c>
      <c r="O2460">
        <v>15</v>
      </c>
      <c r="P2460">
        <v>65</v>
      </c>
      <c r="Q2460">
        <v>1</v>
      </c>
      <c r="R2460">
        <f>SUM(Table13[[#This Row],[Rank_All_Ranks_Total]:[Rank_SSPSPAddlSPCommandant]])</f>
        <v>5060</v>
      </c>
    </row>
    <row r="2461" spans="1:18" x14ac:dyDescent="0.3">
      <c r="A2461" t="s">
        <v>18</v>
      </c>
      <c r="B2461">
        <v>2001</v>
      </c>
      <c r="C2461" t="str">
        <f>_xlfn.CONCAT(Table13[[#This Row],[STATE]],"-",Table13[[#This Row],[Year]])</f>
        <v>Kerala-2001</v>
      </c>
      <c r="D2461" t="s">
        <v>79</v>
      </c>
      <c r="E2461" t="s">
        <v>80</v>
      </c>
      <c r="F2461">
        <v>480</v>
      </c>
      <c r="G2461">
        <v>0</v>
      </c>
      <c r="H2461">
        <v>1</v>
      </c>
      <c r="I2461">
        <v>0</v>
      </c>
      <c r="J2461">
        <v>417</v>
      </c>
      <c r="K2461">
        <v>0</v>
      </c>
      <c r="L2461">
        <v>0</v>
      </c>
      <c r="M2461">
        <v>0</v>
      </c>
      <c r="N2461">
        <v>0</v>
      </c>
      <c r="O2461">
        <v>11</v>
      </c>
      <c r="P2461">
        <v>51</v>
      </c>
      <c r="Q2461">
        <v>0</v>
      </c>
      <c r="R2461">
        <f>SUM(Table13[[#This Row],[Rank_All_Ranks_Total]:[Rank_SSPSPAddlSPCommandant]])</f>
        <v>960</v>
      </c>
    </row>
    <row r="2462" spans="1:18" x14ac:dyDescent="0.3">
      <c r="A2462" t="s">
        <v>39</v>
      </c>
      <c r="B2462">
        <v>2001</v>
      </c>
      <c r="C2462" t="str">
        <f>_xlfn.CONCAT(Table13[[#This Row],[STATE]],"-",Table13[[#This Row],[Year]])</f>
        <v>Lakshadweep-2001</v>
      </c>
      <c r="D2462" t="s">
        <v>79</v>
      </c>
      <c r="E2462" t="s">
        <v>80</v>
      </c>
      <c r="F2462">
        <v>18</v>
      </c>
      <c r="G2462">
        <v>0</v>
      </c>
      <c r="H2462">
        <v>0</v>
      </c>
      <c r="I2462">
        <v>0</v>
      </c>
      <c r="J2462">
        <v>16</v>
      </c>
      <c r="K2462">
        <v>0</v>
      </c>
      <c r="L2462">
        <v>0</v>
      </c>
      <c r="M2462">
        <v>1</v>
      </c>
      <c r="N2462">
        <v>0</v>
      </c>
      <c r="O2462">
        <v>0</v>
      </c>
      <c r="P2462">
        <v>1</v>
      </c>
      <c r="Q2462">
        <v>0</v>
      </c>
      <c r="R2462">
        <f>SUM(Table13[[#This Row],[Rank_All_Ranks_Total]:[Rank_SSPSPAddlSPCommandant]])</f>
        <v>36</v>
      </c>
    </row>
    <row r="2463" spans="1:18" x14ac:dyDescent="0.3">
      <c r="A2463" t="s">
        <v>19</v>
      </c>
      <c r="B2463">
        <v>2001</v>
      </c>
      <c r="C2463" t="str">
        <f>_xlfn.CONCAT(Table13[[#This Row],[STATE]],"-",Table13[[#This Row],[Year]])</f>
        <v>Madhya Pradesh-2001</v>
      </c>
      <c r="D2463" t="s">
        <v>79</v>
      </c>
      <c r="E2463" t="s">
        <v>80</v>
      </c>
      <c r="F2463">
        <v>1192</v>
      </c>
      <c r="G2463">
        <v>64</v>
      </c>
      <c r="H2463">
        <v>1</v>
      </c>
      <c r="I2463">
        <v>841</v>
      </c>
      <c r="J2463">
        <v>9</v>
      </c>
      <c r="K2463">
        <v>0</v>
      </c>
      <c r="L2463">
        <v>0</v>
      </c>
      <c r="M2463">
        <v>194</v>
      </c>
      <c r="N2463">
        <v>0</v>
      </c>
      <c r="O2463">
        <v>14</v>
      </c>
      <c r="P2463">
        <v>69</v>
      </c>
      <c r="Q2463">
        <v>0</v>
      </c>
      <c r="R2463">
        <f>SUM(Table13[[#This Row],[Rank_All_Ranks_Total]:[Rank_SSPSPAddlSPCommandant]])</f>
        <v>2384</v>
      </c>
    </row>
    <row r="2464" spans="1:18" x14ac:dyDescent="0.3">
      <c r="A2464" t="s">
        <v>20</v>
      </c>
      <c r="B2464">
        <v>2001</v>
      </c>
      <c r="C2464" t="str">
        <f>_xlfn.CONCAT(Table13[[#This Row],[STATE]],"-",Table13[[#This Row],[Year]])</f>
        <v>Maharashtra-2001</v>
      </c>
      <c r="D2464" t="s">
        <v>79</v>
      </c>
      <c r="E2464" t="s">
        <v>80</v>
      </c>
      <c r="F2464">
        <v>3507</v>
      </c>
      <c r="G2464">
        <v>31</v>
      </c>
      <c r="H2464">
        <v>3</v>
      </c>
      <c r="I2464">
        <v>0</v>
      </c>
      <c r="J2464">
        <v>2954</v>
      </c>
      <c r="K2464">
        <v>0</v>
      </c>
      <c r="L2464">
        <v>0</v>
      </c>
      <c r="M2464">
        <v>334</v>
      </c>
      <c r="N2464">
        <v>0</v>
      </c>
      <c r="O2464">
        <v>17</v>
      </c>
      <c r="P2464">
        <v>168</v>
      </c>
      <c r="Q2464">
        <v>0</v>
      </c>
      <c r="R2464">
        <f>SUM(Table13[[#This Row],[Rank_All_Ranks_Total]:[Rank_SSPSPAddlSPCommandant]])</f>
        <v>7014</v>
      </c>
    </row>
    <row r="2465" spans="1:18" x14ac:dyDescent="0.3">
      <c r="A2465" t="s">
        <v>21</v>
      </c>
      <c r="B2465">
        <v>2001</v>
      </c>
      <c r="C2465" t="str">
        <f>_xlfn.CONCAT(Table13[[#This Row],[STATE]],"-",Table13[[#This Row],[Year]])</f>
        <v>Manipur-2001</v>
      </c>
      <c r="D2465" t="s">
        <v>79</v>
      </c>
      <c r="E2465" t="s">
        <v>80</v>
      </c>
      <c r="F2465">
        <v>253</v>
      </c>
      <c r="G2465">
        <v>0</v>
      </c>
      <c r="H2465">
        <v>0</v>
      </c>
      <c r="I2465">
        <v>3</v>
      </c>
      <c r="J2465">
        <v>243</v>
      </c>
      <c r="K2465">
        <v>0</v>
      </c>
      <c r="L2465">
        <v>0</v>
      </c>
      <c r="M2465">
        <v>3</v>
      </c>
      <c r="N2465">
        <v>0</v>
      </c>
      <c r="O2465">
        <v>0</v>
      </c>
      <c r="P2465">
        <v>4</v>
      </c>
      <c r="Q2465">
        <v>0</v>
      </c>
      <c r="R2465">
        <f>SUM(Table13[[#This Row],[Rank_All_Ranks_Total]:[Rank_SSPSPAddlSPCommandant]])</f>
        <v>506</v>
      </c>
    </row>
    <row r="2466" spans="1:18" x14ac:dyDescent="0.3">
      <c r="A2466" t="s">
        <v>22</v>
      </c>
      <c r="B2466">
        <v>2001</v>
      </c>
      <c r="C2466" t="str">
        <f>_xlfn.CONCAT(Table13[[#This Row],[STATE]],"-",Table13[[#This Row],[Year]])</f>
        <v>Meghalaya-2001</v>
      </c>
      <c r="D2466" t="s">
        <v>79</v>
      </c>
      <c r="E2466" t="s">
        <v>80</v>
      </c>
      <c r="F2466">
        <v>44</v>
      </c>
      <c r="G2466">
        <v>4</v>
      </c>
      <c r="H2466">
        <v>0</v>
      </c>
      <c r="I2466">
        <v>0</v>
      </c>
      <c r="J2466">
        <v>40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f>SUM(Table13[[#This Row],[Rank_All_Ranks_Total]:[Rank_SSPSPAddlSPCommandant]])</f>
        <v>88</v>
      </c>
    </row>
    <row r="2467" spans="1:18" x14ac:dyDescent="0.3">
      <c r="A2467" t="s">
        <v>23</v>
      </c>
      <c r="B2467">
        <v>2001</v>
      </c>
      <c r="C2467" t="str">
        <f>_xlfn.CONCAT(Table13[[#This Row],[STATE]],"-",Table13[[#This Row],[Year]])</f>
        <v>Mizoram-2001</v>
      </c>
      <c r="D2467" t="s">
        <v>79</v>
      </c>
      <c r="E2467" t="s">
        <v>80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f>SUM(Table13[[#This Row],[Rank_All_Ranks_Total]:[Rank_SSPSPAddlSPCommandant]])</f>
        <v>0</v>
      </c>
    </row>
    <row r="2468" spans="1:18" x14ac:dyDescent="0.3">
      <c r="A2468" t="s">
        <v>24</v>
      </c>
      <c r="B2468">
        <v>2001</v>
      </c>
      <c r="C2468" t="str">
        <f>_xlfn.CONCAT(Table13[[#This Row],[STATE]],"-",Table13[[#This Row],[Year]])</f>
        <v>Nagaland-2001</v>
      </c>
      <c r="D2468" t="s">
        <v>79</v>
      </c>
      <c r="E2468" t="s">
        <v>80</v>
      </c>
      <c r="F2468">
        <v>837</v>
      </c>
      <c r="G2468">
        <v>30</v>
      </c>
      <c r="H2468">
        <v>4</v>
      </c>
      <c r="I2468">
        <v>99</v>
      </c>
      <c r="J2468">
        <v>593</v>
      </c>
      <c r="K2468">
        <v>0</v>
      </c>
      <c r="L2468">
        <v>0</v>
      </c>
      <c r="M2468">
        <v>69</v>
      </c>
      <c r="N2468">
        <v>0</v>
      </c>
      <c r="O2468">
        <v>7</v>
      </c>
      <c r="P2468">
        <v>33</v>
      </c>
      <c r="Q2468">
        <v>2</v>
      </c>
      <c r="R2468">
        <f>SUM(Table13[[#This Row],[Rank_All_Ranks_Total]:[Rank_SSPSPAddlSPCommandant]])</f>
        <v>1674</v>
      </c>
    </row>
    <row r="2469" spans="1:18" x14ac:dyDescent="0.3">
      <c r="A2469" t="s">
        <v>63</v>
      </c>
      <c r="B2469">
        <v>2001</v>
      </c>
      <c r="C2469" t="str">
        <f>_xlfn.CONCAT(Table13[[#This Row],[STATE]],"-",Table13[[#This Row],[Year]])</f>
        <v>Odisha-2001</v>
      </c>
      <c r="D2469" t="s">
        <v>79</v>
      </c>
      <c r="E2469" t="s">
        <v>80</v>
      </c>
      <c r="F2469">
        <v>332</v>
      </c>
      <c r="G2469">
        <v>45</v>
      </c>
      <c r="H2469">
        <v>1</v>
      </c>
      <c r="I2469">
        <v>0</v>
      </c>
      <c r="J2469">
        <v>234</v>
      </c>
      <c r="K2469">
        <v>0</v>
      </c>
      <c r="L2469">
        <v>0</v>
      </c>
      <c r="M2469">
        <v>0</v>
      </c>
      <c r="N2469">
        <v>0</v>
      </c>
      <c r="O2469">
        <v>12</v>
      </c>
      <c r="P2469">
        <v>40</v>
      </c>
      <c r="Q2469">
        <v>0</v>
      </c>
      <c r="R2469">
        <f>SUM(Table13[[#This Row],[Rank_All_Ranks_Total]:[Rank_SSPSPAddlSPCommandant]])</f>
        <v>664</v>
      </c>
    </row>
    <row r="2470" spans="1:18" x14ac:dyDescent="0.3">
      <c r="A2470" t="s">
        <v>64</v>
      </c>
      <c r="B2470">
        <v>2001</v>
      </c>
      <c r="C2470" t="str">
        <f>_xlfn.CONCAT(Table13[[#This Row],[STATE]],"-",Table13[[#This Row],[Year]])</f>
        <v>Puducherry-2001</v>
      </c>
      <c r="D2470" t="s">
        <v>79</v>
      </c>
      <c r="E2470" t="s">
        <v>80</v>
      </c>
      <c r="F2470">
        <v>80</v>
      </c>
      <c r="G2470">
        <v>1</v>
      </c>
      <c r="H2470">
        <v>0</v>
      </c>
      <c r="I2470">
        <v>0</v>
      </c>
      <c r="J2470">
        <v>70</v>
      </c>
      <c r="K2470">
        <v>0</v>
      </c>
      <c r="L2470">
        <v>0</v>
      </c>
      <c r="M2470">
        <v>6</v>
      </c>
      <c r="N2470">
        <v>0</v>
      </c>
      <c r="O2470">
        <v>1</v>
      </c>
      <c r="P2470">
        <v>2</v>
      </c>
      <c r="Q2470">
        <v>0</v>
      </c>
      <c r="R2470">
        <f>SUM(Table13[[#This Row],[Rank_All_Ranks_Total]:[Rank_SSPSPAddlSPCommandant]])</f>
        <v>160</v>
      </c>
    </row>
    <row r="2471" spans="1:18" x14ac:dyDescent="0.3">
      <c r="A2471" t="s">
        <v>26</v>
      </c>
      <c r="B2471">
        <v>2001</v>
      </c>
      <c r="C2471" t="str">
        <f>_xlfn.CONCAT(Table13[[#This Row],[STATE]],"-",Table13[[#This Row],[Year]])</f>
        <v>Punjab-2001</v>
      </c>
      <c r="D2471" t="s">
        <v>79</v>
      </c>
      <c r="E2471" t="s">
        <v>80</v>
      </c>
      <c r="F2471">
        <v>393</v>
      </c>
      <c r="G2471">
        <v>5</v>
      </c>
      <c r="H2471">
        <v>0</v>
      </c>
      <c r="I2471">
        <v>0</v>
      </c>
      <c r="J2471">
        <v>326</v>
      </c>
      <c r="K2471">
        <v>0</v>
      </c>
      <c r="L2471">
        <v>0</v>
      </c>
      <c r="M2471">
        <v>46</v>
      </c>
      <c r="N2471">
        <v>0</v>
      </c>
      <c r="O2471">
        <v>7</v>
      </c>
      <c r="P2471">
        <v>9</v>
      </c>
      <c r="Q2471">
        <v>0</v>
      </c>
      <c r="R2471">
        <f>SUM(Table13[[#This Row],[Rank_All_Ranks_Total]:[Rank_SSPSPAddlSPCommandant]])</f>
        <v>786</v>
      </c>
    </row>
    <row r="2472" spans="1:18" x14ac:dyDescent="0.3">
      <c r="A2472" t="s">
        <v>27</v>
      </c>
      <c r="B2472">
        <v>2001</v>
      </c>
      <c r="C2472" t="str">
        <f>_xlfn.CONCAT(Table13[[#This Row],[STATE]],"-",Table13[[#This Row],[Year]])</f>
        <v>Rajasthan-2001</v>
      </c>
      <c r="D2472" t="s">
        <v>79</v>
      </c>
      <c r="E2472" t="s">
        <v>80</v>
      </c>
      <c r="F2472">
        <v>722</v>
      </c>
      <c r="G2472">
        <v>17</v>
      </c>
      <c r="H2472">
        <v>2</v>
      </c>
      <c r="I2472">
        <v>0</v>
      </c>
      <c r="J2472">
        <v>640</v>
      </c>
      <c r="K2472">
        <v>0</v>
      </c>
      <c r="L2472">
        <v>0</v>
      </c>
      <c r="M2472">
        <v>23</v>
      </c>
      <c r="N2472">
        <v>0</v>
      </c>
      <c r="O2472">
        <v>2</v>
      </c>
      <c r="P2472">
        <v>36</v>
      </c>
      <c r="Q2472">
        <v>2</v>
      </c>
      <c r="R2472">
        <f>SUM(Table13[[#This Row],[Rank_All_Ranks_Total]:[Rank_SSPSPAddlSPCommandant]])</f>
        <v>1444</v>
      </c>
    </row>
    <row r="2473" spans="1:18" x14ac:dyDescent="0.3">
      <c r="A2473" t="s">
        <v>28</v>
      </c>
      <c r="B2473">
        <v>2001</v>
      </c>
      <c r="C2473" t="str">
        <f>_xlfn.CONCAT(Table13[[#This Row],[STATE]],"-",Table13[[#This Row],[Year]])</f>
        <v>Sikkim-2001</v>
      </c>
      <c r="D2473" t="s">
        <v>79</v>
      </c>
      <c r="E2473" t="s">
        <v>80</v>
      </c>
      <c r="F2473">
        <v>108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88</v>
      </c>
      <c r="N2473">
        <v>0</v>
      </c>
      <c r="O2473">
        <v>0</v>
      </c>
      <c r="P2473">
        <v>19</v>
      </c>
      <c r="Q2473">
        <v>1</v>
      </c>
      <c r="R2473">
        <f>SUM(Table13[[#This Row],[Rank_All_Ranks_Total]:[Rank_SSPSPAddlSPCommandant]])</f>
        <v>216</v>
      </c>
    </row>
    <row r="2474" spans="1:18" x14ac:dyDescent="0.3">
      <c r="A2474" t="s">
        <v>42</v>
      </c>
      <c r="B2474">
        <v>2001</v>
      </c>
      <c r="C2474" t="str">
        <f>_xlfn.CONCAT(Table13[[#This Row],[STATE]],"-",Table13[[#This Row],[Year]])</f>
        <v>Tamil Nadu-2001</v>
      </c>
      <c r="D2474" t="s">
        <v>79</v>
      </c>
      <c r="E2474" t="s">
        <v>80</v>
      </c>
      <c r="F2474">
        <v>11775</v>
      </c>
      <c r="G2474">
        <v>0</v>
      </c>
      <c r="H2474">
        <v>26</v>
      </c>
      <c r="I2474">
        <v>1375</v>
      </c>
      <c r="J2474">
        <v>7489</v>
      </c>
      <c r="K2474">
        <v>2</v>
      </c>
      <c r="L2474">
        <v>1</v>
      </c>
      <c r="M2474">
        <v>1324</v>
      </c>
      <c r="N2474">
        <v>1</v>
      </c>
      <c r="O2474">
        <v>180</v>
      </c>
      <c r="P2474">
        <v>1371</v>
      </c>
      <c r="Q2474">
        <v>6</v>
      </c>
      <c r="R2474">
        <f>SUM(Table13[[#This Row],[Rank_All_Ranks_Total]:[Rank_SSPSPAddlSPCommandant]])</f>
        <v>23550</v>
      </c>
    </row>
    <row r="2475" spans="1:18" x14ac:dyDescent="0.3">
      <c r="A2475" t="s">
        <v>30</v>
      </c>
      <c r="B2475">
        <v>2001</v>
      </c>
      <c r="C2475" t="str">
        <f>_xlfn.CONCAT(Table13[[#This Row],[STATE]],"-",Table13[[#This Row],[Year]])</f>
        <v>Tripura-2001</v>
      </c>
      <c r="D2475" t="s">
        <v>79</v>
      </c>
      <c r="E2475" t="s">
        <v>80</v>
      </c>
      <c r="F2475">
        <v>219</v>
      </c>
      <c r="G2475">
        <v>21</v>
      </c>
      <c r="H2475">
        <v>2</v>
      </c>
      <c r="I2475">
        <v>0</v>
      </c>
      <c r="J2475">
        <v>175</v>
      </c>
      <c r="K2475">
        <v>0</v>
      </c>
      <c r="L2475">
        <v>0</v>
      </c>
      <c r="M2475">
        <v>0</v>
      </c>
      <c r="N2475">
        <v>0</v>
      </c>
      <c r="O2475">
        <v>1</v>
      </c>
      <c r="P2475">
        <v>19</v>
      </c>
      <c r="Q2475">
        <v>1</v>
      </c>
      <c r="R2475">
        <f>SUM(Table13[[#This Row],[Rank_All_Ranks_Total]:[Rank_SSPSPAddlSPCommandant]])</f>
        <v>438</v>
      </c>
    </row>
    <row r="2476" spans="1:18" x14ac:dyDescent="0.3">
      <c r="A2476" t="s">
        <v>31</v>
      </c>
      <c r="B2476">
        <v>2001</v>
      </c>
      <c r="C2476" t="str">
        <f>_xlfn.CONCAT(Table13[[#This Row],[STATE]],"-",Table13[[#This Row],[Year]])</f>
        <v>Uttar Pradesh-2001</v>
      </c>
      <c r="D2476" t="s">
        <v>79</v>
      </c>
      <c r="E2476" t="s">
        <v>80</v>
      </c>
      <c r="F2476">
        <v>1877</v>
      </c>
      <c r="G2476">
        <v>0</v>
      </c>
      <c r="H2476">
        <v>0</v>
      </c>
      <c r="I2476">
        <v>0</v>
      </c>
      <c r="J2476">
        <v>1541</v>
      </c>
      <c r="K2476">
        <v>0</v>
      </c>
      <c r="L2476">
        <v>0</v>
      </c>
      <c r="M2476">
        <v>142</v>
      </c>
      <c r="N2476">
        <v>0</v>
      </c>
      <c r="O2476">
        <v>11</v>
      </c>
      <c r="P2476">
        <v>183</v>
      </c>
      <c r="Q2476">
        <v>0</v>
      </c>
      <c r="R2476">
        <f>SUM(Table13[[#This Row],[Rank_All_Ranks_Total]:[Rank_SSPSPAddlSPCommandant]])</f>
        <v>3754</v>
      </c>
    </row>
    <row r="2477" spans="1:18" x14ac:dyDescent="0.3">
      <c r="A2477" t="s">
        <v>65</v>
      </c>
      <c r="B2477">
        <v>2001</v>
      </c>
      <c r="C2477" t="str">
        <f>_xlfn.CONCAT(Table13[[#This Row],[STATE]],"-",Table13[[#This Row],[Year]])</f>
        <v>Uttarakhand-2001</v>
      </c>
      <c r="D2477" t="s">
        <v>79</v>
      </c>
      <c r="E2477" t="s">
        <v>80</v>
      </c>
      <c r="F2477">
        <v>186</v>
      </c>
      <c r="G2477">
        <v>0</v>
      </c>
      <c r="H2477">
        <v>0</v>
      </c>
      <c r="I2477">
        <v>0</v>
      </c>
      <c r="J2477">
        <v>164</v>
      </c>
      <c r="K2477">
        <v>0</v>
      </c>
      <c r="L2477">
        <v>0</v>
      </c>
      <c r="M2477">
        <v>13</v>
      </c>
      <c r="N2477">
        <v>0</v>
      </c>
      <c r="O2477">
        <v>0</v>
      </c>
      <c r="P2477">
        <v>9</v>
      </c>
      <c r="Q2477">
        <v>0</v>
      </c>
      <c r="R2477">
        <f>SUM(Table13[[#This Row],[Rank_All_Ranks_Total]:[Rank_SSPSPAddlSPCommandant]])</f>
        <v>372</v>
      </c>
    </row>
    <row r="2478" spans="1:18" x14ac:dyDescent="0.3">
      <c r="A2478" t="s">
        <v>33</v>
      </c>
      <c r="B2478">
        <v>2001</v>
      </c>
      <c r="C2478" t="str">
        <f>_xlfn.CONCAT(Table13[[#This Row],[STATE]],"-",Table13[[#This Row],[Year]])</f>
        <v>West Bengal-2001</v>
      </c>
      <c r="D2478" t="s">
        <v>79</v>
      </c>
      <c r="E2478" t="s">
        <v>80</v>
      </c>
      <c r="F2478">
        <v>1172</v>
      </c>
      <c r="G2478">
        <v>108</v>
      </c>
      <c r="H2478">
        <v>1</v>
      </c>
      <c r="I2478">
        <v>0</v>
      </c>
      <c r="J2478">
        <v>887</v>
      </c>
      <c r="K2478">
        <v>0</v>
      </c>
      <c r="L2478">
        <v>0</v>
      </c>
      <c r="M2478">
        <v>6</v>
      </c>
      <c r="N2478">
        <v>0</v>
      </c>
      <c r="O2478">
        <v>12</v>
      </c>
      <c r="P2478">
        <v>158</v>
      </c>
      <c r="Q2478">
        <v>0</v>
      </c>
      <c r="R2478">
        <f>SUM(Table13[[#This Row],[Rank_All_Ranks_Total]:[Rank_SSPSPAddlSPCommandant]])</f>
        <v>2344</v>
      </c>
    </row>
    <row r="2479" spans="1:18" x14ac:dyDescent="0.3">
      <c r="A2479" t="s">
        <v>59</v>
      </c>
      <c r="B2479">
        <v>2002</v>
      </c>
      <c r="C2479" t="str">
        <f>_xlfn.CONCAT(Table13[[#This Row],[STATE]],"-",Table13[[#This Row],[Year]])</f>
        <v>Andaman &amp; Nicobar Islands-2002</v>
      </c>
      <c r="D2479" t="s">
        <v>79</v>
      </c>
      <c r="E2479" t="s">
        <v>80</v>
      </c>
      <c r="F2479">
        <v>16</v>
      </c>
      <c r="G2479">
        <v>0</v>
      </c>
      <c r="H2479">
        <v>0</v>
      </c>
      <c r="I2479">
        <v>0</v>
      </c>
      <c r="J2479">
        <v>10</v>
      </c>
      <c r="K2479">
        <v>0</v>
      </c>
      <c r="L2479">
        <v>0</v>
      </c>
      <c r="M2479">
        <v>4</v>
      </c>
      <c r="N2479">
        <v>0</v>
      </c>
      <c r="O2479">
        <v>0</v>
      </c>
      <c r="P2479">
        <v>2</v>
      </c>
      <c r="Q2479">
        <v>0</v>
      </c>
      <c r="R2479">
        <f>SUM(Table13[[#This Row],[Rank_All_Ranks_Total]:[Rank_SSPSPAddlSPCommandant]])</f>
        <v>32</v>
      </c>
    </row>
    <row r="2480" spans="1:18" x14ac:dyDescent="0.3">
      <c r="A2480" t="s">
        <v>6</v>
      </c>
      <c r="B2480">
        <v>2002</v>
      </c>
      <c r="C2480" t="str">
        <f>_xlfn.CONCAT(Table13[[#This Row],[STATE]],"-",Table13[[#This Row],[Year]])</f>
        <v>Andhra Pradesh-2002</v>
      </c>
      <c r="D2480" t="s">
        <v>79</v>
      </c>
      <c r="E2480" t="s">
        <v>80</v>
      </c>
      <c r="F2480">
        <v>1388</v>
      </c>
      <c r="G2480">
        <v>0</v>
      </c>
      <c r="H2480">
        <v>0</v>
      </c>
      <c r="I2480">
        <v>0</v>
      </c>
      <c r="J2480">
        <v>1300</v>
      </c>
      <c r="K2480">
        <v>0</v>
      </c>
      <c r="L2480">
        <v>0</v>
      </c>
      <c r="M2480">
        <v>51</v>
      </c>
      <c r="N2480">
        <v>0</v>
      </c>
      <c r="O2480">
        <v>0</v>
      </c>
      <c r="P2480">
        <v>37</v>
      </c>
      <c r="Q2480">
        <v>0</v>
      </c>
      <c r="R2480">
        <f>SUM(Table13[[#This Row],[Rank_All_Ranks_Total]:[Rank_SSPSPAddlSPCommandant]])</f>
        <v>2776</v>
      </c>
    </row>
    <row r="2481" spans="1:18" x14ac:dyDescent="0.3">
      <c r="A2481" t="s">
        <v>7</v>
      </c>
      <c r="B2481">
        <v>2002</v>
      </c>
      <c r="C2481" t="str">
        <f>_xlfn.CONCAT(Table13[[#This Row],[STATE]],"-",Table13[[#This Row],[Year]])</f>
        <v>Arunachal Pradesh-2002</v>
      </c>
      <c r="D2481" t="s">
        <v>79</v>
      </c>
      <c r="E2481" t="s">
        <v>80</v>
      </c>
      <c r="F2481">
        <v>65</v>
      </c>
      <c r="G2481">
        <v>4</v>
      </c>
      <c r="H2481">
        <v>0</v>
      </c>
      <c r="I2481">
        <v>0</v>
      </c>
      <c r="J2481">
        <v>40</v>
      </c>
      <c r="K2481">
        <v>0</v>
      </c>
      <c r="L2481">
        <v>0</v>
      </c>
      <c r="M2481">
        <v>12</v>
      </c>
      <c r="N2481">
        <v>0</v>
      </c>
      <c r="O2481">
        <v>0</v>
      </c>
      <c r="P2481">
        <v>9</v>
      </c>
      <c r="Q2481">
        <v>0</v>
      </c>
      <c r="R2481">
        <f>SUM(Table13[[#This Row],[Rank_All_Ranks_Total]:[Rank_SSPSPAddlSPCommandant]])</f>
        <v>130</v>
      </c>
    </row>
    <row r="2482" spans="1:18" x14ac:dyDescent="0.3">
      <c r="A2482" t="s">
        <v>8</v>
      </c>
      <c r="B2482">
        <v>2002</v>
      </c>
      <c r="C2482" t="str">
        <f>_xlfn.CONCAT(Table13[[#This Row],[STATE]],"-",Table13[[#This Row],[Year]])</f>
        <v>Assam-2002</v>
      </c>
      <c r="D2482" t="s">
        <v>79</v>
      </c>
      <c r="E2482" t="s">
        <v>80</v>
      </c>
      <c r="F2482">
        <v>223</v>
      </c>
      <c r="G2482">
        <v>5</v>
      </c>
      <c r="H2482">
        <v>0</v>
      </c>
      <c r="I2482">
        <v>8</v>
      </c>
      <c r="J2482">
        <v>185</v>
      </c>
      <c r="K2482">
        <v>0</v>
      </c>
      <c r="L2482">
        <v>0</v>
      </c>
      <c r="M2482">
        <v>8</v>
      </c>
      <c r="N2482">
        <v>0</v>
      </c>
      <c r="O2482">
        <v>0</v>
      </c>
      <c r="P2482">
        <v>17</v>
      </c>
      <c r="Q2482">
        <v>0</v>
      </c>
      <c r="R2482">
        <f>SUM(Table13[[#This Row],[Rank_All_Ranks_Total]:[Rank_SSPSPAddlSPCommandant]])</f>
        <v>446</v>
      </c>
    </row>
    <row r="2483" spans="1:18" x14ac:dyDescent="0.3">
      <c r="A2483" t="s">
        <v>9</v>
      </c>
      <c r="B2483">
        <v>2002</v>
      </c>
      <c r="C2483" t="str">
        <f>_xlfn.CONCAT(Table13[[#This Row],[STATE]],"-",Table13[[#This Row],[Year]])</f>
        <v>Bihar-2002</v>
      </c>
      <c r="D2483" t="s">
        <v>79</v>
      </c>
      <c r="E2483" t="s">
        <v>80</v>
      </c>
      <c r="F2483">
        <v>901</v>
      </c>
      <c r="G2483">
        <v>11</v>
      </c>
      <c r="H2483">
        <v>4</v>
      </c>
      <c r="I2483">
        <v>0</v>
      </c>
      <c r="J2483">
        <v>805</v>
      </c>
      <c r="K2483">
        <v>0</v>
      </c>
      <c r="L2483">
        <v>0</v>
      </c>
      <c r="M2483">
        <v>25</v>
      </c>
      <c r="N2483">
        <v>0</v>
      </c>
      <c r="O2483">
        <v>1</v>
      </c>
      <c r="P2483">
        <v>51</v>
      </c>
      <c r="Q2483">
        <v>4</v>
      </c>
      <c r="R2483">
        <f>SUM(Table13[[#This Row],[Rank_All_Ranks_Total]:[Rank_SSPSPAddlSPCommandant]])</f>
        <v>1802</v>
      </c>
    </row>
    <row r="2484" spans="1:18" x14ac:dyDescent="0.3">
      <c r="A2484" t="s">
        <v>35</v>
      </c>
      <c r="B2484">
        <v>2002</v>
      </c>
      <c r="C2484" t="str">
        <f>_xlfn.CONCAT(Table13[[#This Row],[STATE]],"-",Table13[[#This Row],[Year]])</f>
        <v>Chandigarh-2002</v>
      </c>
      <c r="D2484" t="s">
        <v>79</v>
      </c>
      <c r="E2484" t="s">
        <v>80</v>
      </c>
      <c r="F2484">
        <v>35</v>
      </c>
      <c r="G2484">
        <v>1</v>
      </c>
      <c r="H2484">
        <v>0</v>
      </c>
      <c r="I2484">
        <v>0</v>
      </c>
      <c r="J2484">
        <v>31</v>
      </c>
      <c r="K2484">
        <v>0</v>
      </c>
      <c r="L2484">
        <v>0</v>
      </c>
      <c r="M2484">
        <v>2</v>
      </c>
      <c r="N2484">
        <v>0</v>
      </c>
      <c r="O2484">
        <v>0</v>
      </c>
      <c r="P2484">
        <v>1</v>
      </c>
      <c r="Q2484">
        <v>0</v>
      </c>
      <c r="R2484">
        <f>SUM(Table13[[#This Row],[Rank_All_Ranks_Total]:[Rank_SSPSPAddlSPCommandant]])</f>
        <v>70</v>
      </c>
    </row>
    <row r="2485" spans="1:18" x14ac:dyDescent="0.3">
      <c r="A2485" t="s">
        <v>10</v>
      </c>
      <c r="B2485">
        <v>2002</v>
      </c>
      <c r="C2485" t="str">
        <f>_xlfn.CONCAT(Table13[[#This Row],[STATE]],"-",Table13[[#This Row],[Year]])</f>
        <v>Chhattisgarh-2002</v>
      </c>
      <c r="D2485" t="s">
        <v>79</v>
      </c>
      <c r="E2485" t="s">
        <v>80</v>
      </c>
      <c r="F2485">
        <v>606</v>
      </c>
      <c r="G2485">
        <v>32</v>
      </c>
      <c r="H2485">
        <v>3</v>
      </c>
      <c r="I2485">
        <v>0</v>
      </c>
      <c r="J2485">
        <v>415</v>
      </c>
      <c r="K2485">
        <v>0</v>
      </c>
      <c r="L2485">
        <v>0</v>
      </c>
      <c r="M2485">
        <v>105</v>
      </c>
      <c r="N2485">
        <v>0</v>
      </c>
      <c r="O2485">
        <v>7</v>
      </c>
      <c r="P2485">
        <v>43</v>
      </c>
      <c r="Q2485">
        <v>1</v>
      </c>
      <c r="R2485">
        <f>SUM(Table13[[#This Row],[Rank_All_Ranks_Total]:[Rank_SSPSPAddlSPCommandant]])</f>
        <v>1212</v>
      </c>
    </row>
    <row r="2486" spans="1:18" x14ac:dyDescent="0.3">
      <c r="A2486" t="s">
        <v>62</v>
      </c>
      <c r="B2486">
        <v>2002</v>
      </c>
      <c r="C2486" t="str">
        <f>_xlfn.CONCAT(Table13[[#This Row],[STATE]],"-",Table13[[#This Row],[Year]])</f>
        <v>Dadra &amp; Nagar Haveli-2002</v>
      </c>
      <c r="D2486" t="s">
        <v>79</v>
      </c>
      <c r="E2486" t="s">
        <v>80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f>SUM(Table13[[#This Row],[Rank_All_Ranks_Total]:[Rank_SSPSPAddlSPCommandant]])</f>
        <v>0</v>
      </c>
    </row>
    <row r="2487" spans="1:18" x14ac:dyDescent="0.3">
      <c r="A2487" t="s">
        <v>37</v>
      </c>
      <c r="B2487">
        <v>2002</v>
      </c>
      <c r="C2487" t="str">
        <f>_xlfn.CONCAT(Table13[[#This Row],[STATE]],"-",Table13[[#This Row],[Year]])</f>
        <v>Daman &amp; Diu-2002</v>
      </c>
      <c r="D2487" t="s">
        <v>79</v>
      </c>
      <c r="E2487" t="s">
        <v>80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f>SUM(Table13[[#This Row],[Rank_All_Ranks_Total]:[Rank_SSPSPAddlSPCommandant]])</f>
        <v>0</v>
      </c>
    </row>
    <row r="2488" spans="1:18" x14ac:dyDescent="0.3">
      <c r="A2488" t="s">
        <v>38</v>
      </c>
      <c r="B2488">
        <v>2002</v>
      </c>
      <c r="C2488" t="str">
        <f>_xlfn.CONCAT(Table13[[#This Row],[STATE]],"-",Table13[[#This Row],[Year]])</f>
        <v>Delhi-2002</v>
      </c>
      <c r="D2488" t="s">
        <v>79</v>
      </c>
      <c r="E2488" t="s">
        <v>80</v>
      </c>
      <c r="F2488">
        <v>1800</v>
      </c>
      <c r="G2488">
        <v>246</v>
      </c>
      <c r="H2488">
        <v>1</v>
      </c>
      <c r="I2488">
        <v>0</v>
      </c>
      <c r="J2488">
        <v>966</v>
      </c>
      <c r="K2488">
        <v>0</v>
      </c>
      <c r="L2488">
        <v>0</v>
      </c>
      <c r="M2488">
        <v>355</v>
      </c>
      <c r="N2488">
        <v>0</v>
      </c>
      <c r="O2488">
        <v>62</v>
      </c>
      <c r="P2488">
        <v>170</v>
      </c>
      <c r="Q2488">
        <v>0</v>
      </c>
      <c r="R2488">
        <f>SUM(Table13[[#This Row],[Rank_All_Ranks_Total]:[Rank_SSPSPAddlSPCommandant]])</f>
        <v>3600</v>
      </c>
    </row>
    <row r="2489" spans="1:18" x14ac:dyDescent="0.3">
      <c r="A2489" t="s">
        <v>11</v>
      </c>
      <c r="B2489">
        <v>2002</v>
      </c>
      <c r="C2489" t="str">
        <f>_xlfn.CONCAT(Table13[[#This Row],[STATE]],"-",Table13[[#This Row],[Year]])</f>
        <v>Goa-2002</v>
      </c>
      <c r="D2489" t="s">
        <v>79</v>
      </c>
      <c r="E2489" t="s">
        <v>80</v>
      </c>
      <c r="F2489">
        <v>197</v>
      </c>
      <c r="G2489">
        <v>1</v>
      </c>
      <c r="H2489">
        <v>0</v>
      </c>
      <c r="I2489">
        <v>0</v>
      </c>
      <c r="J2489">
        <v>187</v>
      </c>
      <c r="K2489">
        <v>0</v>
      </c>
      <c r="L2489">
        <v>0</v>
      </c>
      <c r="M2489">
        <v>6</v>
      </c>
      <c r="N2489">
        <v>0</v>
      </c>
      <c r="O2489">
        <v>0</v>
      </c>
      <c r="P2489">
        <v>3</v>
      </c>
      <c r="Q2489">
        <v>0</v>
      </c>
      <c r="R2489">
        <f>SUM(Table13[[#This Row],[Rank_All_Ranks_Total]:[Rank_SSPSPAddlSPCommandant]])</f>
        <v>394</v>
      </c>
    </row>
    <row r="2490" spans="1:18" x14ac:dyDescent="0.3">
      <c r="A2490" t="s">
        <v>12</v>
      </c>
      <c r="B2490">
        <v>2002</v>
      </c>
      <c r="C2490" t="str">
        <f>_xlfn.CONCAT(Table13[[#This Row],[STATE]],"-",Table13[[#This Row],[Year]])</f>
        <v>Gujarat-2002</v>
      </c>
      <c r="D2490" t="s">
        <v>79</v>
      </c>
      <c r="E2490" t="s">
        <v>80</v>
      </c>
      <c r="F2490">
        <v>2333</v>
      </c>
      <c r="G2490">
        <v>226</v>
      </c>
      <c r="H2490">
        <v>1</v>
      </c>
      <c r="I2490">
        <v>0</v>
      </c>
      <c r="J2490">
        <v>1703</v>
      </c>
      <c r="K2490">
        <v>0</v>
      </c>
      <c r="L2490">
        <v>1</v>
      </c>
      <c r="M2490">
        <v>344</v>
      </c>
      <c r="N2490">
        <v>1</v>
      </c>
      <c r="O2490">
        <v>11</v>
      </c>
      <c r="P2490">
        <v>45</v>
      </c>
      <c r="Q2490">
        <v>1</v>
      </c>
      <c r="R2490">
        <f>SUM(Table13[[#This Row],[Rank_All_Ranks_Total]:[Rank_SSPSPAddlSPCommandant]])</f>
        <v>4666</v>
      </c>
    </row>
    <row r="2491" spans="1:18" x14ac:dyDescent="0.3">
      <c r="A2491" t="s">
        <v>13</v>
      </c>
      <c r="B2491">
        <v>2002</v>
      </c>
      <c r="C2491" t="str">
        <f>_xlfn.CONCAT(Table13[[#This Row],[STATE]],"-",Table13[[#This Row],[Year]])</f>
        <v>Haryana-2002</v>
      </c>
      <c r="D2491" t="s">
        <v>79</v>
      </c>
      <c r="E2491" t="s">
        <v>80</v>
      </c>
      <c r="F2491">
        <v>569</v>
      </c>
      <c r="G2491">
        <v>36</v>
      </c>
      <c r="H2491">
        <v>0</v>
      </c>
      <c r="I2491">
        <v>0</v>
      </c>
      <c r="J2491">
        <v>461</v>
      </c>
      <c r="K2491">
        <v>0</v>
      </c>
      <c r="L2491">
        <v>0</v>
      </c>
      <c r="M2491">
        <v>48</v>
      </c>
      <c r="N2491">
        <v>0</v>
      </c>
      <c r="O2491">
        <v>4</v>
      </c>
      <c r="P2491">
        <v>20</v>
      </c>
      <c r="Q2491">
        <v>0</v>
      </c>
      <c r="R2491">
        <f>SUM(Table13[[#This Row],[Rank_All_Ranks_Total]:[Rank_SSPSPAddlSPCommandant]])</f>
        <v>1138</v>
      </c>
    </row>
    <row r="2492" spans="1:18" x14ac:dyDescent="0.3">
      <c r="A2492" t="s">
        <v>14</v>
      </c>
      <c r="B2492">
        <v>2002</v>
      </c>
      <c r="C2492" t="str">
        <f>_xlfn.CONCAT(Table13[[#This Row],[STATE]],"-",Table13[[#This Row],[Year]])</f>
        <v>Himachal Pradesh-2002</v>
      </c>
      <c r="D2492" t="s">
        <v>79</v>
      </c>
      <c r="E2492" t="s">
        <v>80</v>
      </c>
      <c r="F2492">
        <v>146</v>
      </c>
      <c r="G2492">
        <v>1</v>
      </c>
      <c r="H2492">
        <v>0</v>
      </c>
      <c r="I2492">
        <v>0</v>
      </c>
      <c r="J2492">
        <v>135</v>
      </c>
      <c r="K2492">
        <v>0</v>
      </c>
      <c r="L2492">
        <v>0</v>
      </c>
      <c r="M2492">
        <v>8</v>
      </c>
      <c r="N2492">
        <v>0</v>
      </c>
      <c r="O2492">
        <v>0</v>
      </c>
      <c r="P2492">
        <v>2</v>
      </c>
      <c r="Q2492">
        <v>0</v>
      </c>
      <c r="R2492">
        <f>SUM(Table13[[#This Row],[Rank_All_Ranks_Total]:[Rank_SSPSPAddlSPCommandant]])</f>
        <v>292</v>
      </c>
    </row>
    <row r="2493" spans="1:18" x14ac:dyDescent="0.3">
      <c r="A2493" t="s">
        <v>15</v>
      </c>
      <c r="B2493">
        <v>2002</v>
      </c>
      <c r="C2493" t="str">
        <f>_xlfn.CONCAT(Table13[[#This Row],[STATE]],"-",Table13[[#This Row],[Year]])</f>
        <v>Jammu &amp; Kashmir-2002</v>
      </c>
      <c r="D2493" t="s">
        <v>79</v>
      </c>
      <c r="E2493" t="s">
        <v>80</v>
      </c>
      <c r="F2493">
        <v>1432</v>
      </c>
      <c r="G2493">
        <v>13</v>
      </c>
      <c r="H2493">
        <v>6</v>
      </c>
      <c r="I2493">
        <v>0</v>
      </c>
      <c r="J2493">
        <v>1374</v>
      </c>
      <c r="K2493">
        <v>0</v>
      </c>
      <c r="L2493">
        <v>1</v>
      </c>
      <c r="M2493">
        <v>9</v>
      </c>
      <c r="N2493">
        <v>0</v>
      </c>
      <c r="O2493">
        <v>9</v>
      </c>
      <c r="P2493">
        <v>18</v>
      </c>
      <c r="Q2493">
        <v>2</v>
      </c>
      <c r="R2493">
        <f>SUM(Table13[[#This Row],[Rank_All_Ranks_Total]:[Rank_SSPSPAddlSPCommandant]])</f>
        <v>2864</v>
      </c>
    </row>
    <row r="2494" spans="1:18" x14ac:dyDescent="0.3">
      <c r="A2494" t="s">
        <v>16</v>
      </c>
      <c r="B2494">
        <v>2002</v>
      </c>
      <c r="C2494" t="str">
        <f>_xlfn.CONCAT(Table13[[#This Row],[STATE]],"-",Table13[[#This Row],[Year]])</f>
        <v>Jharkhand-2002</v>
      </c>
      <c r="D2494" t="s">
        <v>79</v>
      </c>
      <c r="E2494" t="s">
        <v>80</v>
      </c>
      <c r="F2494">
        <v>3</v>
      </c>
      <c r="G2494">
        <v>1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2</v>
      </c>
      <c r="Q2494">
        <v>0</v>
      </c>
      <c r="R2494">
        <f>SUM(Table13[[#This Row],[Rank_All_Ranks_Total]:[Rank_SSPSPAddlSPCommandant]])</f>
        <v>6</v>
      </c>
    </row>
    <row r="2495" spans="1:18" x14ac:dyDescent="0.3">
      <c r="A2495" t="s">
        <v>17</v>
      </c>
      <c r="B2495">
        <v>2002</v>
      </c>
      <c r="C2495" t="str">
        <f>_xlfn.CONCAT(Table13[[#This Row],[STATE]],"-",Table13[[#This Row],[Year]])</f>
        <v>Karnataka-2002</v>
      </c>
      <c r="D2495" t="s">
        <v>79</v>
      </c>
      <c r="E2495" t="s">
        <v>80</v>
      </c>
      <c r="F2495">
        <v>2792</v>
      </c>
      <c r="G2495">
        <v>72</v>
      </c>
      <c r="H2495">
        <v>3</v>
      </c>
      <c r="I2495">
        <v>0</v>
      </c>
      <c r="J2495">
        <v>1963</v>
      </c>
      <c r="K2495">
        <v>0</v>
      </c>
      <c r="L2495">
        <v>0</v>
      </c>
      <c r="M2495">
        <v>668</v>
      </c>
      <c r="N2495">
        <v>0</v>
      </c>
      <c r="O2495">
        <v>15</v>
      </c>
      <c r="P2495">
        <v>70</v>
      </c>
      <c r="Q2495">
        <v>1</v>
      </c>
      <c r="R2495">
        <f>SUM(Table13[[#This Row],[Rank_All_Ranks_Total]:[Rank_SSPSPAddlSPCommandant]])</f>
        <v>5584</v>
      </c>
    </row>
    <row r="2496" spans="1:18" x14ac:dyDescent="0.3">
      <c r="A2496" t="s">
        <v>18</v>
      </c>
      <c r="B2496">
        <v>2002</v>
      </c>
      <c r="C2496" t="str">
        <f>_xlfn.CONCAT(Table13[[#This Row],[STATE]],"-",Table13[[#This Row],[Year]])</f>
        <v>Kerala-2002</v>
      </c>
      <c r="D2496" t="s">
        <v>79</v>
      </c>
      <c r="E2496" t="s">
        <v>80</v>
      </c>
      <c r="F2496">
        <v>623</v>
      </c>
      <c r="G2496">
        <v>0</v>
      </c>
      <c r="H2496">
        <v>1</v>
      </c>
      <c r="I2496">
        <v>0</v>
      </c>
      <c r="J2496">
        <v>417</v>
      </c>
      <c r="K2496">
        <v>0</v>
      </c>
      <c r="L2496">
        <v>0</v>
      </c>
      <c r="M2496">
        <v>135</v>
      </c>
      <c r="N2496">
        <v>0</v>
      </c>
      <c r="O2496">
        <v>16</v>
      </c>
      <c r="P2496">
        <v>54</v>
      </c>
      <c r="Q2496">
        <v>0</v>
      </c>
      <c r="R2496">
        <f>SUM(Table13[[#This Row],[Rank_All_Ranks_Total]:[Rank_SSPSPAddlSPCommandant]])</f>
        <v>1246</v>
      </c>
    </row>
    <row r="2497" spans="1:18" x14ac:dyDescent="0.3">
      <c r="A2497" t="s">
        <v>39</v>
      </c>
      <c r="B2497">
        <v>2002</v>
      </c>
      <c r="C2497" t="str">
        <f>_xlfn.CONCAT(Table13[[#This Row],[STATE]],"-",Table13[[#This Row],[Year]])</f>
        <v>Lakshadweep-2002</v>
      </c>
      <c r="D2497" t="s">
        <v>79</v>
      </c>
      <c r="E2497" t="s">
        <v>80</v>
      </c>
      <c r="F2497">
        <v>18</v>
      </c>
      <c r="G2497">
        <v>0</v>
      </c>
      <c r="H2497">
        <v>0</v>
      </c>
      <c r="I2497">
        <v>0</v>
      </c>
      <c r="J2497">
        <v>16</v>
      </c>
      <c r="K2497">
        <v>0</v>
      </c>
      <c r="L2497">
        <v>0</v>
      </c>
      <c r="M2497">
        <v>1</v>
      </c>
      <c r="N2497">
        <v>0</v>
      </c>
      <c r="O2497">
        <v>0</v>
      </c>
      <c r="P2497">
        <v>1</v>
      </c>
      <c r="Q2497">
        <v>0</v>
      </c>
      <c r="R2497">
        <f>SUM(Table13[[#This Row],[Rank_All_Ranks_Total]:[Rank_SSPSPAddlSPCommandant]])</f>
        <v>36</v>
      </c>
    </row>
    <row r="2498" spans="1:18" x14ac:dyDescent="0.3">
      <c r="A2498" t="s">
        <v>19</v>
      </c>
      <c r="B2498">
        <v>2002</v>
      </c>
      <c r="C2498" t="str">
        <f>_xlfn.CONCAT(Table13[[#This Row],[STATE]],"-",Table13[[#This Row],[Year]])</f>
        <v>Madhya Pradesh-2002</v>
      </c>
      <c r="D2498" t="s">
        <v>79</v>
      </c>
      <c r="E2498" t="s">
        <v>80</v>
      </c>
      <c r="F2498">
        <v>2008</v>
      </c>
      <c r="G2498">
        <v>45</v>
      </c>
      <c r="H2498">
        <v>39</v>
      </c>
      <c r="I2498">
        <v>0</v>
      </c>
      <c r="J2498">
        <v>1018</v>
      </c>
      <c r="K2498">
        <v>0</v>
      </c>
      <c r="L2498">
        <v>2</v>
      </c>
      <c r="M2498">
        <v>734</v>
      </c>
      <c r="N2498">
        <v>1</v>
      </c>
      <c r="O2498">
        <v>10</v>
      </c>
      <c r="P2498">
        <v>151</v>
      </c>
      <c r="Q2498">
        <v>8</v>
      </c>
      <c r="R2498">
        <f>SUM(Table13[[#This Row],[Rank_All_Ranks_Total]:[Rank_SSPSPAddlSPCommandant]])</f>
        <v>4016</v>
      </c>
    </row>
    <row r="2499" spans="1:18" x14ac:dyDescent="0.3">
      <c r="A2499" t="s">
        <v>20</v>
      </c>
      <c r="B2499">
        <v>2002</v>
      </c>
      <c r="C2499" t="str">
        <f>_xlfn.CONCAT(Table13[[#This Row],[STATE]],"-",Table13[[#This Row],[Year]])</f>
        <v>Maharashtra-2002</v>
      </c>
      <c r="D2499" t="s">
        <v>79</v>
      </c>
      <c r="E2499" t="s">
        <v>80</v>
      </c>
      <c r="F2499">
        <v>3507</v>
      </c>
      <c r="G2499">
        <v>199</v>
      </c>
      <c r="H2499">
        <v>3</v>
      </c>
      <c r="I2499">
        <v>0</v>
      </c>
      <c r="J2499">
        <v>2954</v>
      </c>
      <c r="K2499">
        <v>0</v>
      </c>
      <c r="L2499">
        <v>0</v>
      </c>
      <c r="M2499">
        <v>334</v>
      </c>
      <c r="N2499">
        <v>0</v>
      </c>
      <c r="O2499">
        <v>17</v>
      </c>
      <c r="P2499">
        <v>0</v>
      </c>
      <c r="Q2499">
        <v>0</v>
      </c>
      <c r="R2499">
        <f>SUM(Table13[[#This Row],[Rank_All_Ranks_Total]:[Rank_SSPSPAddlSPCommandant]])</f>
        <v>7014</v>
      </c>
    </row>
    <row r="2500" spans="1:18" x14ac:dyDescent="0.3">
      <c r="A2500" t="s">
        <v>21</v>
      </c>
      <c r="B2500">
        <v>2002</v>
      </c>
      <c r="C2500" t="str">
        <f>_xlfn.CONCAT(Table13[[#This Row],[STATE]],"-",Table13[[#This Row],[Year]])</f>
        <v>Manipur-2002</v>
      </c>
      <c r="D2500" t="s">
        <v>79</v>
      </c>
      <c r="E2500" t="s">
        <v>80</v>
      </c>
      <c r="F2500">
        <v>253</v>
      </c>
      <c r="G2500">
        <v>0</v>
      </c>
      <c r="H2500">
        <v>0</v>
      </c>
      <c r="I2500">
        <v>3</v>
      </c>
      <c r="J2500">
        <v>243</v>
      </c>
      <c r="K2500">
        <v>0</v>
      </c>
      <c r="L2500">
        <v>0</v>
      </c>
      <c r="M2500">
        <v>3</v>
      </c>
      <c r="N2500">
        <v>0</v>
      </c>
      <c r="O2500">
        <v>0</v>
      </c>
      <c r="P2500">
        <v>4</v>
      </c>
      <c r="Q2500">
        <v>0</v>
      </c>
      <c r="R2500">
        <f>SUM(Table13[[#This Row],[Rank_All_Ranks_Total]:[Rank_SSPSPAddlSPCommandant]])</f>
        <v>506</v>
      </c>
    </row>
    <row r="2501" spans="1:18" x14ac:dyDescent="0.3">
      <c r="A2501" t="s">
        <v>22</v>
      </c>
      <c r="B2501">
        <v>2002</v>
      </c>
      <c r="C2501" t="str">
        <f>_xlfn.CONCAT(Table13[[#This Row],[STATE]],"-",Table13[[#This Row],[Year]])</f>
        <v>Meghalaya-2002</v>
      </c>
      <c r="D2501" t="s">
        <v>79</v>
      </c>
      <c r="E2501" t="s">
        <v>80</v>
      </c>
      <c r="F2501">
        <v>44</v>
      </c>
      <c r="G2501">
        <v>0</v>
      </c>
      <c r="H2501">
        <v>0</v>
      </c>
      <c r="I2501">
        <v>0</v>
      </c>
      <c r="J2501">
        <v>40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4</v>
      </c>
      <c r="Q2501">
        <v>0</v>
      </c>
      <c r="R2501">
        <f>SUM(Table13[[#This Row],[Rank_All_Ranks_Total]:[Rank_SSPSPAddlSPCommandant]])</f>
        <v>88</v>
      </c>
    </row>
    <row r="2502" spans="1:18" x14ac:dyDescent="0.3">
      <c r="A2502" t="s">
        <v>23</v>
      </c>
      <c r="B2502">
        <v>2002</v>
      </c>
      <c r="C2502" t="str">
        <f>_xlfn.CONCAT(Table13[[#This Row],[STATE]],"-",Table13[[#This Row],[Year]])</f>
        <v>Mizoram-2002</v>
      </c>
      <c r="D2502" t="s">
        <v>79</v>
      </c>
      <c r="E2502" t="s">
        <v>80</v>
      </c>
      <c r="F2502">
        <v>375</v>
      </c>
      <c r="G2502">
        <v>38</v>
      </c>
      <c r="H2502">
        <v>1</v>
      </c>
      <c r="I2502">
        <v>0</v>
      </c>
      <c r="J2502">
        <v>250</v>
      </c>
      <c r="K2502">
        <v>0</v>
      </c>
      <c r="L2502">
        <v>0</v>
      </c>
      <c r="M2502">
        <v>41</v>
      </c>
      <c r="N2502">
        <v>0</v>
      </c>
      <c r="O2502">
        <v>11</v>
      </c>
      <c r="P2502">
        <v>33</v>
      </c>
      <c r="Q2502">
        <v>1</v>
      </c>
      <c r="R2502">
        <f>SUM(Table13[[#This Row],[Rank_All_Ranks_Total]:[Rank_SSPSPAddlSPCommandant]])</f>
        <v>750</v>
      </c>
    </row>
    <row r="2503" spans="1:18" x14ac:dyDescent="0.3">
      <c r="A2503" t="s">
        <v>24</v>
      </c>
      <c r="B2503">
        <v>2002</v>
      </c>
      <c r="C2503" t="str">
        <f>_xlfn.CONCAT(Table13[[#This Row],[STATE]],"-",Table13[[#This Row],[Year]])</f>
        <v>Nagaland-2002</v>
      </c>
      <c r="D2503" t="s">
        <v>79</v>
      </c>
      <c r="E2503" t="s">
        <v>80</v>
      </c>
      <c r="F2503">
        <v>1365</v>
      </c>
      <c r="G2503">
        <v>50</v>
      </c>
      <c r="H2503">
        <v>6</v>
      </c>
      <c r="I2503">
        <v>148</v>
      </c>
      <c r="J2503">
        <v>977</v>
      </c>
      <c r="K2503">
        <v>0</v>
      </c>
      <c r="L2503">
        <v>0</v>
      </c>
      <c r="M2503">
        <v>112</v>
      </c>
      <c r="N2503">
        <v>0</v>
      </c>
      <c r="O2503">
        <v>12</v>
      </c>
      <c r="P2503">
        <v>56</v>
      </c>
      <c r="Q2503">
        <v>4</v>
      </c>
      <c r="R2503">
        <f>SUM(Table13[[#This Row],[Rank_All_Ranks_Total]:[Rank_SSPSPAddlSPCommandant]])</f>
        <v>2730</v>
      </c>
    </row>
    <row r="2504" spans="1:18" x14ac:dyDescent="0.3">
      <c r="A2504" t="s">
        <v>63</v>
      </c>
      <c r="B2504">
        <v>2002</v>
      </c>
      <c r="C2504" t="str">
        <f>_xlfn.CONCAT(Table13[[#This Row],[STATE]],"-",Table13[[#This Row],[Year]])</f>
        <v>Odisha-2002</v>
      </c>
      <c r="D2504" t="s">
        <v>79</v>
      </c>
      <c r="E2504" t="s">
        <v>80</v>
      </c>
      <c r="F2504">
        <v>342</v>
      </c>
      <c r="G2504">
        <v>47</v>
      </c>
      <c r="H2504">
        <v>1</v>
      </c>
      <c r="I2504">
        <v>0</v>
      </c>
      <c r="J2504">
        <v>241</v>
      </c>
      <c r="K2504">
        <v>0</v>
      </c>
      <c r="L2504">
        <v>0</v>
      </c>
      <c r="M2504">
        <v>0</v>
      </c>
      <c r="N2504">
        <v>0</v>
      </c>
      <c r="O2504">
        <v>12</v>
      </c>
      <c r="P2504">
        <v>41</v>
      </c>
      <c r="Q2504">
        <v>0</v>
      </c>
      <c r="R2504">
        <f>SUM(Table13[[#This Row],[Rank_All_Ranks_Total]:[Rank_SSPSPAddlSPCommandant]])</f>
        <v>684</v>
      </c>
    </row>
    <row r="2505" spans="1:18" x14ac:dyDescent="0.3">
      <c r="A2505" t="s">
        <v>64</v>
      </c>
      <c r="B2505">
        <v>2002</v>
      </c>
      <c r="C2505" t="str">
        <f>_xlfn.CONCAT(Table13[[#This Row],[STATE]],"-",Table13[[#This Row],[Year]])</f>
        <v>Puducherry-2002</v>
      </c>
      <c r="D2505" t="s">
        <v>79</v>
      </c>
      <c r="E2505" t="s">
        <v>80</v>
      </c>
      <c r="F2505">
        <v>80</v>
      </c>
      <c r="G2505">
        <v>1</v>
      </c>
      <c r="H2505">
        <v>0</v>
      </c>
      <c r="I2505">
        <v>0</v>
      </c>
      <c r="J2505">
        <v>70</v>
      </c>
      <c r="K2505">
        <v>0</v>
      </c>
      <c r="L2505">
        <v>0</v>
      </c>
      <c r="M2505">
        <v>6</v>
      </c>
      <c r="N2505">
        <v>0</v>
      </c>
      <c r="O2505">
        <v>1</v>
      </c>
      <c r="P2505">
        <v>2</v>
      </c>
      <c r="Q2505">
        <v>0</v>
      </c>
      <c r="R2505">
        <f>SUM(Table13[[#This Row],[Rank_All_Ranks_Total]:[Rank_SSPSPAddlSPCommandant]])</f>
        <v>160</v>
      </c>
    </row>
    <row r="2506" spans="1:18" x14ac:dyDescent="0.3">
      <c r="A2506" t="s">
        <v>26</v>
      </c>
      <c r="B2506">
        <v>2002</v>
      </c>
      <c r="C2506" t="str">
        <f>_xlfn.CONCAT(Table13[[#This Row],[STATE]],"-",Table13[[#This Row],[Year]])</f>
        <v>Punjab-2002</v>
      </c>
      <c r="D2506" t="s">
        <v>79</v>
      </c>
      <c r="E2506" t="s">
        <v>80</v>
      </c>
      <c r="F2506">
        <v>393</v>
      </c>
      <c r="G2506">
        <v>5</v>
      </c>
      <c r="H2506">
        <v>0</v>
      </c>
      <c r="I2506">
        <v>0</v>
      </c>
      <c r="J2506">
        <v>326</v>
      </c>
      <c r="K2506">
        <v>0</v>
      </c>
      <c r="L2506">
        <v>0</v>
      </c>
      <c r="M2506">
        <v>46</v>
      </c>
      <c r="N2506">
        <v>0</v>
      </c>
      <c r="O2506">
        <v>7</v>
      </c>
      <c r="P2506">
        <v>9</v>
      </c>
      <c r="Q2506">
        <v>0</v>
      </c>
      <c r="R2506">
        <f>SUM(Table13[[#This Row],[Rank_All_Ranks_Total]:[Rank_SSPSPAddlSPCommandant]])</f>
        <v>786</v>
      </c>
    </row>
    <row r="2507" spans="1:18" x14ac:dyDescent="0.3">
      <c r="A2507" t="s">
        <v>27</v>
      </c>
      <c r="B2507">
        <v>2002</v>
      </c>
      <c r="C2507" t="str">
        <f>_xlfn.CONCAT(Table13[[#This Row],[STATE]],"-",Table13[[#This Row],[Year]])</f>
        <v>Rajasthan-2002</v>
      </c>
      <c r="D2507" t="s">
        <v>79</v>
      </c>
      <c r="E2507" t="s">
        <v>80</v>
      </c>
      <c r="F2507">
        <v>722</v>
      </c>
      <c r="G2507">
        <v>17</v>
      </c>
      <c r="H2507">
        <v>2</v>
      </c>
      <c r="I2507">
        <v>0</v>
      </c>
      <c r="J2507">
        <v>640</v>
      </c>
      <c r="K2507">
        <v>0</v>
      </c>
      <c r="L2507">
        <v>0</v>
      </c>
      <c r="M2507">
        <v>23</v>
      </c>
      <c r="N2507">
        <v>0</v>
      </c>
      <c r="O2507">
        <v>2</v>
      </c>
      <c r="P2507">
        <v>36</v>
      </c>
      <c r="Q2507">
        <v>2</v>
      </c>
      <c r="R2507">
        <f>SUM(Table13[[#This Row],[Rank_All_Ranks_Total]:[Rank_SSPSPAddlSPCommandant]])</f>
        <v>1444</v>
      </c>
    </row>
    <row r="2508" spans="1:18" x14ac:dyDescent="0.3">
      <c r="A2508" t="s">
        <v>28</v>
      </c>
      <c r="B2508">
        <v>2002</v>
      </c>
      <c r="C2508" t="str">
        <f>_xlfn.CONCAT(Table13[[#This Row],[STATE]],"-",Table13[[#This Row],[Year]])</f>
        <v>Sikkim-2002</v>
      </c>
      <c r="D2508" t="s">
        <v>79</v>
      </c>
      <c r="E2508" t="s">
        <v>80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f>SUM(Table13[[#This Row],[Rank_All_Ranks_Total]:[Rank_SSPSPAddlSPCommandant]])</f>
        <v>0</v>
      </c>
    </row>
    <row r="2509" spans="1:18" x14ac:dyDescent="0.3">
      <c r="A2509" t="s">
        <v>42</v>
      </c>
      <c r="B2509">
        <v>2002</v>
      </c>
      <c r="C2509" t="str">
        <f>_xlfn.CONCAT(Table13[[#This Row],[STATE]],"-",Table13[[#This Row],[Year]])</f>
        <v>Tamil Nadu-2002</v>
      </c>
      <c r="D2509" t="s">
        <v>79</v>
      </c>
      <c r="E2509" t="s">
        <v>80</v>
      </c>
      <c r="F2509">
        <v>11474</v>
      </c>
      <c r="G2509">
        <v>0</v>
      </c>
      <c r="H2509">
        <v>31</v>
      </c>
      <c r="I2509">
        <v>1547</v>
      </c>
      <c r="J2509">
        <v>7638</v>
      </c>
      <c r="K2509">
        <v>2</v>
      </c>
      <c r="L2509">
        <v>1</v>
      </c>
      <c r="M2509">
        <v>933</v>
      </c>
      <c r="N2509">
        <v>1</v>
      </c>
      <c r="O2509">
        <v>180</v>
      </c>
      <c r="P2509">
        <v>1137</v>
      </c>
      <c r="Q2509">
        <v>4</v>
      </c>
      <c r="R2509">
        <f>SUM(Table13[[#This Row],[Rank_All_Ranks_Total]:[Rank_SSPSPAddlSPCommandant]])</f>
        <v>22948</v>
      </c>
    </row>
    <row r="2510" spans="1:18" x14ac:dyDescent="0.3">
      <c r="A2510" t="s">
        <v>30</v>
      </c>
      <c r="B2510">
        <v>2002</v>
      </c>
      <c r="C2510" t="str">
        <f>_xlfn.CONCAT(Table13[[#This Row],[STATE]],"-",Table13[[#This Row],[Year]])</f>
        <v>Tripura-2002</v>
      </c>
      <c r="D2510" t="s">
        <v>79</v>
      </c>
      <c r="E2510" t="s">
        <v>80</v>
      </c>
      <c r="F2510">
        <v>237</v>
      </c>
      <c r="G2510">
        <v>21</v>
      </c>
      <c r="H2510">
        <v>2</v>
      </c>
      <c r="I2510">
        <v>0</v>
      </c>
      <c r="J2510">
        <v>193</v>
      </c>
      <c r="K2510">
        <v>0</v>
      </c>
      <c r="L2510">
        <v>0</v>
      </c>
      <c r="M2510">
        <v>0</v>
      </c>
      <c r="N2510">
        <v>0</v>
      </c>
      <c r="O2510">
        <v>1</v>
      </c>
      <c r="P2510">
        <v>19</v>
      </c>
      <c r="Q2510">
        <v>1</v>
      </c>
      <c r="R2510">
        <f>SUM(Table13[[#This Row],[Rank_All_Ranks_Total]:[Rank_SSPSPAddlSPCommandant]])</f>
        <v>474</v>
      </c>
    </row>
    <row r="2511" spans="1:18" x14ac:dyDescent="0.3">
      <c r="A2511" t="s">
        <v>31</v>
      </c>
      <c r="B2511">
        <v>2002</v>
      </c>
      <c r="C2511" t="str">
        <f>_xlfn.CONCAT(Table13[[#This Row],[STATE]],"-",Table13[[#This Row],[Year]])</f>
        <v>Uttar Pradesh-2002</v>
      </c>
      <c r="D2511" t="s">
        <v>79</v>
      </c>
      <c r="E2511" t="s">
        <v>80</v>
      </c>
      <c r="F2511">
        <v>1877</v>
      </c>
      <c r="G2511">
        <v>0</v>
      </c>
      <c r="H2511">
        <v>0</v>
      </c>
      <c r="I2511">
        <v>0</v>
      </c>
      <c r="J2511">
        <v>1541</v>
      </c>
      <c r="K2511">
        <v>0</v>
      </c>
      <c r="L2511">
        <v>0</v>
      </c>
      <c r="M2511">
        <v>142</v>
      </c>
      <c r="N2511">
        <v>0</v>
      </c>
      <c r="O2511">
        <v>11</v>
      </c>
      <c r="P2511">
        <v>183</v>
      </c>
      <c r="Q2511">
        <v>0</v>
      </c>
      <c r="R2511">
        <f>SUM(Table13[[#This Row],[Rank_All_Ranks_Total]:[Rank_SSPSPAddlSPCommandant]])</f>
        <v>3754</v>
      </c>
    </row>
    <row r="2512" spans="1:18" x14ac:dyDescent="0.3">
      <c r="A2512" t="s">
        <v>65</v>
      </c>
      <c r="B2512">
        <v>2002</v>
      </c>
      <c r="C2512" t="str">
        <f>_xlfn.CONCAT(Table13[[#This Row],[STATE]],"-",Table13[[#This Row],[Year]])</f>
        <v>Uttarakhand-2002</v>
      </c>
      <c r="D2512" t="s">
        <v>79</v>
      </c>
      <c r="E2512" t="s">
        <v>80</v>
      </c>
      <c r="F2512">
        <v>186</v>
      </c>
      <c r="G2512">
        <v>0</v>
      </c>
      <c r="H2512">
        <v>0</v>
      </c>
      <c r="I2512">
        <v>0</v>
      </c>
      <c r="J2512">
        <v>164</v>
      </c>
      <c r="K2512">
        <v>0</v>
      </c>
      <c r="L2512">
        <v>0</v>
      </c>
      <c r="M2512">
        <v>13</v>
      </c>
      <c r="N2512">
        <v>0</v>
      </c>
      <c r="O2512">
        <v>0</v>
      </c>
      <c r="P2512">
        <v>9</v>
      </c>
      <c r="Q2512">
        <v>0</v>
      </c>
      <c r="R2512">
        <f>SUM(Table13[[#This Row],[Rank_All_Ranks_Total]:[Rank_SSPSPAddlSPCommandant]])</f>
        <v>372</v>
      </c>
    </row>
    <row r="2513" spans="1:18" x14ac:dyDescent="0.3">
      <c r="A2513" t="s">
        <v>33</v>
      </c>
      <c r="B2513">
        <v>2002</v>
      </c>
      <c r="C2513" t="str">
        <f>_xlfn.CONCAT(Table13[[#This Row],[STATE]],"-",Table13[[#This Row],[Year]])</f>
        <v>West Bengal-2002</v>
      </c>
      <c r="D2513" t="s">
        <v>79</v>
      </c>
      <c r="E2513" t="s">
        <v>80</v>
      </c>
      <c r="F2513">
        <v>1224</v>
      </c>
      <c r="G2513">
        <v>114</v>
      </c>
      <c r="H2513">
        <v>10</v>
      </c>
      <c r="I2513">
        <v>0</v>
      </c>
      <c r="J2513">
        <v>909</v>
      </c>
      <c r="K2513">
        <v>0</v>
      </c>
      <c r="L2513">
        <v>1</v>
      </c>
      <c r="M2513">
        <v>6</v>
      </c>
      <c r="N2513">
        <v>0</v>
      </c>
      <c r="O2513">
        <v>17</v>
      </c>
      <c r="P2513">
        <v>165</v>
      </c>
      <c r="Q2513">
        <v>2</v>
      </c>
      <c r="R2513">
        <f>SUM(Table13[[#This Row],[Rank_All_Ranks_Total]:[Rank_SSPSPAddlSPCommandant]])</f>
        <v>2448</v>
      </c>
    </row>
    <row r="2514" spans="1:18" x14ac:dyDescent="0.3">
      <c r="A2514" t="s">
        <v>59</v>
      </c>
      <c r="B2514">
        <v>2003</v>
      </c>
      <c r="C2514" t="str">
        <f>_xlfn.CONCAT(Table13[[#This Row],[STATE]],"-",Table13[[#This Row],[Year]])</f>
        <v>Andaman &amp; Nicobar Islands-2003</v>
      </c>
      <c r="D2514" t="s">
        <v>79</v>
      </c>
      <c r="E2514" t="s">
        <v>80</v>
      </c>
      <c r="F2514">
        <v>16</v>
      </c>
      <c r="G2514">
        <v>0</v>
      </c>
      <c r="H2514">
        <v>0</v>
      </c>
      <c r="I2514">
        <v>0</v>
      </c>
      <c r="J2514">
        <v>10</v>
      </c>
      <c r="K2514">
        <v>0</v>
      </c>
      <c r="L2514">
        <v>0</v>
      </c>
      <c r="M2514">
        <v>4</v>
      </c>
      <c r="N2514">
        <v>0</v>
      </c>
      <c r="O2514">
        <v>0</v>
      </c>
      <c r="P2514">
        <v>2</v>
      </c>
      <c r="Q2514">
        <v>0</v>
      </c>
      <c r="R2514">
        <f>SUM(Table13[[#This Row],[Rank_All_Ranks_Total]:[Rank_SSPSPAddlSPCommandant]])</f>
        <v>32</v>
      </c>
    </row>
    <row r="2515" spans="1:18" x14ac:dyDescent="0.3">
      <c r="A2515" t="s">
        <v>6</v>
      </c>
      <c r="B2515">
        <v>2003</v>
      </c>
      <c r="C2515" t="str">
        <f>_xlfn.CONCAT(Table13[[#This Row],[STATE]],"-",Table13[[#This Row],[Year]])</f>
        <v>Andhra Pradesh-2003</v>
      </c>
      <c r="D2515" t="s">
        <v>79</v>
      </c>
      <c r="E2515" t="s">
        <v>80</v>
      </c>
      <c r="F2515">
        <v>1401</v>
      </c>
      <c r="G2515">
        <v>0</v>
      </c>
      <c r="H2515">
        <v>0</v>
      </c>
      <c r="I2515">
        <v>0</v>
      </c>
      <c r="J2515">
        <v>1312</v>
      </c>
      <c r="K2515">
        <v>0</v>
      </c>
      <c r="L2515">
        <v>0</v>
      </c>
      <c r="M2515">
        <v>51</v>
      </c>
      <c r="N2515">
        <v>0</v>
      </c>
      <c r="O2515">
        <v>0</v>
      </c>
      <c r="P2515">
        <v>38</v>
      </c>
      <c r="Q2515">
        <v>0</v>
      </c>
      <c r="R2515">
        <f>SUM(Table13[[#This Row],[Rank_All_Ranks_Total]:[Rank_SSPSPAddlSPCommandant]])</f>
        <v>2802</v>
      </c>
    </row>
    <row r="2516" spans="1:18" x14ac:dyDescent="0.3">
      <c r="A2516" t="s">
        <v>7</v>
      </c>
      <c r="B2516">
        <v>2003</v>
      </c>
      <c r="C2516" t="str">
        <f>_xlfn.CONCAT(Table13[[#This Row],[STATE]],"-",Table13[[#This Row],[Year]])</f>
        <v>Arunachal Pradesh-2003</v>
      </c>
      <c r="D2516" t="s">
        <v>79</v>
      </c>
      <c r="E2516" t="s">
        <v>80</v>
      </c>
      <c r="F2516">
        <v>65</v>
      </c>
      <c r="G2516">
        <v>4</v>
      </c>
      <c r="H2516">
        <v>0</v>
      </c>
      <c r="I2516">
        <v>0</v>
      </c>
      <c r="J2516">
        <v>40</v>
      </c>
      <c r="K2516">
        <v>0</v>
      </c>
      <c r="L2516">
        <v>0</v>
      </c>
      <c r="M2516">
        <v>12</v>
      </c>
      <c r="N2516">
        <v>0</v>
      </c>
      <c r="O2516">
        <v>0</v>
      </c>
      <c r="P2516">
        <v>9</v>
      </c>
      <c r="Q2516">
        <v>0</v>
      </c>
      <c r="R2516">
        <f>SUM(Table13[[#This Row],[Rank_All_Ranks_Total]:[Rank_SSPSPAddlSPCommandant]])</f>
        <v>130</v>
      </c>
    </row>
    <row r="2517" spans="1:18" x14ac:dyDescent="0.3">
      <c r="A2517" t="s">
        <v>8</v>
      </c>
      <c r="B2517">
        <v>2003</v>
      </c>
      <c r="C2517" t="str">
        <f>_xlfn.CONCAT(Table13[[#This Row],[STATE]],"-",Table13[[#This Row],[Year]])</f>
        <v>Assam-2003</v>
      </c>
      <c r="D2517" t="s">
        <v>79</v>
      </c>
      <c r="E2517" t="s">
        <v>80</v>
      </c>
      <c r="F2517">
        <v>223</v>
      </c>
      <c r="G2517">
        <v>5</v>
      </c>
      <c r="H2517">
        <v>0</v>
      </c>
      <c r="I2517">
        <v>8</v>
      </c>
      <c r="J2517">
        <v>185</v>
      </c>
      <c r="K2517">
        <v>0</v>
      </c>
      <c r="L2517">
        <v>0</v>
      </c>
      <c r="M2517">
        <v>8</v>
      </c>
      <c r="N2517">
        <v>0</v>
      </c>
      <c r="O2517">
        <v>0</v>
      </c>
      <c r="P2517">
        <v>17</v>
      </c>
      <c r="Q2517">
        <v>0</v>
      </c>
      <c r="R2517">
        <f>SUM(Table13[[#This Row],[Rank_All_Ranks_Total]:[Rank_SSPSPAddlSPCommandant]])</f>
        <v>446</v>
      </c>
    </row>
    <row r="2518" spans="1:18" x14ac:dyDescent="0.3">
      <c r="A2518" t="s">
        <v>9</v>
      </c>
      <c r="B2518">
        <v>2003</v>
      </c>
      <c r="C2518" t="str">
        <f>_xlfn.CONCAT(Table13[[#This Row],[STATE]],"-",Table13[[#This Row],[Year]])</f>
        <v>Bihar-2003</v>
      </c>
      <c r="D2518" t="s">
        <v>79</v>
      </c>
      <c r="E2518" t="s">
        <v>80</v>
      </c>
      <c r="F2518">
        <v>890</v>
      </c>
      <c r="G2518">
        <v>10</v>
      </c>
      <c r="H2518">
        <v>3</v>
      </c>
      <c r="I2518">
        <v>0</v>
      </c>
      <c r="J2518">
        <v>800</v>
      </c>
      <c r="K2518">
        <v>0</v>
      </c>
      <c r="L2518">
        <v>0</v>
      </c>
      <c r="M2518">
        <v>22</v>
      </c>
      <c r="N2518">
        <v>0</v>
      </c>
      <c r="O2518">
        <v>1</v>
      </c>
      <c r="P2518">
        <v>50</v>
      </c>
      <c r="Q2518">
        <v>4</v>
      </c>
      <c r="R2518">
        <f>SUM(Table13[[#This Row],[Rank_All_Ranks_Total]:[Rank_SSPSPAddlSPCommandant]])</f>
        <v>1780</v>
      </c>
    </row>
    <row r="2519" spans="1:18" x14ac:dyDescent="0.3">
      <c r="A2519" t="s">
        <v>35</v>
      </c>
      <c r="B2519">
        <v>2003</v>
      </c>
      <c r="C2519" t="str">
        <f>_xlfn.CONCAT(Table13[[#This Row],[STATE]],"-",Table13[[#This Row],[Year]])</f>
        <v>Chandigarh-2003</v>
      </c>
      <c r="D2519" t="s">
        <v>79</v>
      </c>
      <c r="E2519" t="s">
        <v>80</v>
      </c>
      <c r="F2519">
        <v>35</v>
      </c>
      <c r="G2519">
        <v>1</v>
      </c>
      <c r="H2519">
        <v>0</v>
      </c>
      <c r="I2519">
        <v>0</v>
      </c>
      <c r="J2519">
        <v>31</v>
      </c>
      <c r="K2519">
        <v>0</v>
      </c>
      <c r="L2519">
        <v>0</v>
      </c>
      <c r="M2519">
        <v>2</v>
      </c>
      <c r="N2519">
        <v>0</v>
      </c>
      <c r="O2519">
        <v>0</v>
      </c>
      <c r="P2519">
        <v>1</v>
      </c>
      <c r="Q2519">
        <v>0</v>
      </c>
      <c r="R2519">
        <f>SUM(Table13[[#This Row],[Rank_All_Ranks_Total]:[Rank_SSPSPAddlSPCommandant]])</f>
        <v>70</v>
      </c>
    </row>
    <row r="2520" spans="1:18" x14ac:dyDescent="0.3">
      <c r="A2520" t="s">
        <v>10</v>
      </c>
      <c r="B2520">
        <v>2003</v>
      </c>
      <c r="C2520" t="str">
        <f>_xlfn.CONCAT(Table13[[#This Row],[STATE]],"-",Table13[[#This Row],[Year]])</f>
        <v>Chhattisgarh-2003</v>
      </c>
      <c r="D2520" t="s">
        <v>79</v>
      </c>
      <c r="E2520" t="s">
        <v>80</v>
      </c>
      <c r="F2520">
        <v>95</v>
      </c>
      <c r="G2520">
        <v>0</v>
      </c>
      <c r="H2520">
        <v>0</v>
      </c>
      <c r="I2520">
        <v>0</v>
      </c>
      <c r="J2520">
        <v>87</v>
      </c>
      <c r="K2520">
        <v>0</v>
      </c>
      <c r="L2520">
        <v>0</v>
      </c>
      <c r="M2520">
        <v>0</v>
      </c>
      <c r="N2520">
        <v>0</v>
      </c>
      <c r="O2520">
        <v>3</v>
      </c>
      <c r="P2520">
        <v>5</v>
      </c>
      <c r="Q2520">
        <v>0</v>
      </c>
      <c r="R2520">
        <f>SUM(Table13[[#This Row],[Rank_All_Ranks_Total]:[Rank_SSPSPAddlSPCommandant]])</f>
        <v>190</v>
      </c>
    </row>
    <row r="2521" spans="1:18" x14ac:dyDescent="0.3">
      <c r="A2521" t="s">
        <v>62</v>
      </c>
      <c r="B2521">
        <v>2003</v>
      </c>
      <c r="C2521" t="str">
        <f>_xlfn.CONCAT(Table13[[#This Row],[STATE]],"-",Table13[[#This Row],[Year]])</f>
        <v>Dadra &amp; Nagar Haveli-2003</v>
      </c>
      <c r="D2521" t="s">
        <v>79</v>
      </c>
      <c r="E2521" t="s">
        <v>80</v>
      </c>
      <c r="F2521">
        <v>9</v>
      </c>
      <c r="G2521">
        <v>0</v>
      </c>
      <c r="H2521">
        <v>0</v>
      </c>
      <c r="I2521">
        <v>0</v>
      </c>
      <c r="J2521">
        <v>4</v>
      </c>
      <c r="K2521">
        <v>0</v>
      </c>
      <c r="L2521">
        <v>0</v>
      </c>
      <c r="M2521">
        <v>3</v>
      </c>
      <c r="N2521">
        <v>0</v>
      </c>
      <c r="O2521">
        <v>0</v>
      </c>
      <c r="P2521">
        <v>2</v>
      </c>
      <c r="Q2521">
        <v>0</v>
      </c>
      <c r="R2521">
        <f>SUM(Table13[[#This Row],[Rank_All_Ranks_Total]:[Rank_SSPSPAddlSPCommandant]])</f>
        <v>18</v>
      </c>
    </row>
    <row r="2522" spans="1:18" x14ac:dyDescent="0.3">
      <c r="A2522" t="s">
        <v>37</v>
      </c>
      <c r="B2522">
        <v>2003</v>
      </c>
      <c r="C2522" t="str">
        <f>_xlfn.CONCAT(Table13[[#This Row],[STATE]],"-",Table13[[#This Row],[Year]])</f>
        <v>Daman &amp; Diu-2003</v>
      </c>
      <c r="D2522" t="s">
        <v>79</v>
      </c>
      <c r="E2522" t="s">
        <v>80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f>SUM(Table13[[#This Row],[Rank_All_Ranks_Total]:[Rank_SSPSPAddlSPCommandant]])</f>
        <v>0</v>
      </c>
    </row>
    <row r="2523" spans="1:18" x14ac:dyDescent="0.3">
      <c r="A2523" t="s">
        <v>38</v>
      </c>
      <c r="B2523">
        <v>2003</v>
      </c>
      <c r="C2523" t="str">
        <f>_xlfn.CONCAT(Table13[[#This Row],[STATE]],"-",Table13[[#This Row],[Year]])</f>
        <v>Delhi-2003</v>
      </c>
      <c r="D2523" t="s">
        <v>79</v>
      </c>
      <c r="E2523" t="s">
        <v>80</v>
      </c>
      <c r="F2523">
        <v>2199</v>
      </c>
      <c r="G2523">
        <v>282</v>
      </c>
      <c r="H2523">
        <v>1</v>
      </c>
      <c r="I2523">
        <v>0</v>
      </c>
      <c r="J2523">
        <v>1178</v>
      </c>
      <c r="K2523">
        <v>0</v>
      </c>
      <c r="L2523">
        <v>0</v>
      </c>
      <c r="M2523">
        <v>461</v>
      </c>
      <c r="N2523">
        <v>0</v>
      </c>
      <c r="O2523">
        <v>71</v>
      </c>
      <c r="P2523">
        <v>206</v>
      </c>
      <c r="Q2523">
        <v>0</v>
      </c>
      <c r="R2523">
        <f>SUM(Table13[[#This Row],[Rank_All_Ranks_Total]:[Rank_SSPSPAddlSPCommandant]])</f>
        <v>4398</v>
      </c>
    </row>
    <row r="2524" spans="1:18" x14ac:dyDescent="0.3">
      <c r="A2524" t="s">
        <v>11</v>
      </c>
      <c r="B2524">
        <v>2003</v>
      </c>
      <c r="C2524" t="str">
        <f>_xlfn.CONCAT(Table13[[#This Row],[STATE]],"-",Table13[[#This Row],[Year]])</f>
        <v>Goa-2003</v>
      </c>
      <c r="D2524" t="s">
        <v>79</v>
      </c>
      <c r="E2524" t="s">
        <v>80</v>
      </c>
      <c r="F2524">
        <v>197</v>
      </c>
      <c r="G2524">
        <v>1</v>
      </c>
      <c r="H2524">
        <v>0</v>
      </c>
      <c r="I2524">
        <v>0</v>
      </c>
      <c r="J2524">
        <v>187</v>
      </c>
      <c r="K2524">
        <v>0</v>
      </c>
      <c r="L2524">
        <v>0</v>
      </c>
      <c r="M2524">
        <v>6</v>
      </c>
      <c r="N2524">
        <v>0</v>
      </c>
      <c r="O2524">
        <v>0</v>
      </c>
      <c r="P2524">
        <v>3</v>
      </c>
      <c r="Q2524">
        <v>0</v>
      </c>
      <c r="R2524">
        <f>SUM(Table13[[#This Row],[Rank_All_Ranks_Total]:[Rank_SSPSPAddlSPCommandant]])</f>
        <v>394</v>
      </c>
    </row>
    <row r="2525" spans="1:18" x14ac:dyDescent="0.3">
      <c r="A2525" t="s">
        <v>12</v>
      </c>
      <c r="B2525">
        <v>2003</v>
      </c>
      <c r="C2525" t="str">
        <f>_xlfn.CONCAT(Table13[[#This Row],[STATE]],"-",Table13[[#This Row],[Year]])</f>
        <v>Gujarat-2003</v>
      </c>
      <c r="D2525" t="s">
        <v>79</v>
      </c>
      <c r="E2525" t="s">
        <v>80</v>
      </c>
      <c r="F2525">
        <v>2333</v>
      </c>
      <c r="G2525">
        <v>226</v>
      </c>
      <c r="H2525">
        <v>1</v>
      </c>
      <c r="I2525">
        <v>0</v>
      </c>
      <c r="J2525">
        <v>1703</v>
      </c>
      <c r="K2525">
        <v>0</v>
      </c>
      <c r="L2525">
        <v>1</v>
      </c>
      <c r="M2525">
        <v>344</v>
      </c>
      <c r="N2525">
        <v>1</v>
      </c>
      <c r="O2525">
        <v>11</v>
      </c>
      <c r="P2525">
        <v>45</v>
      </c>
      <c r="Q2525">
        <v>1</v>
      </c>
      <c r="R2525">
        <f>SUM(Table13[[#This Row],[Rank_All_Ranks_Total]:[Rank_SSPSPAddlSPCommandant]])</f>
        <v>4666</v>
      </c>
    </row>
    <row r="2526" spans="1:18" x14ac:dyDescent="0.3">
      <c r="A2526" t="s">
        <v>13</v>
      </c>
      <c r="B2526">
        <v>2003</v>
      </c>
      <c r="C2526" t="str">
        <f>_xlfn.CONCAT(Table13[[#This Row],[STATE]],"-",Table13[[#This Row],[Year]])</f>
        <v>Haryana-2003</v>
      </c>
      <c r="D2526" t="s">
        <v>79</v>
      </c>
      <c r="E2526" t="s">
        <v>80</v>
      </c>
      <c r="F2526">
        <v>503</v>
      </c>
      <c r="G2526">
        <v>36</v>
      </c>
      <c r="H2526">
        <v>0</v>
      </c>
      <c r="I2526">
        <v>0</v>
      </c>
      <c r="J2526">
        <v>368</v>
      </c>
      <c r="K2526">
        <v>0</v>
      </c>
      <c r="L2526">
        <v>0</v>
      </c>
      <c r="M2526">
        <v>75</v>
      </c>
      <c r="N2526">
        <v>0</v>
      </c>
      <c r="O2526">
        <v>4</v>
      </c>
      <c r="P2526">
        <v>20</v>
      </c>
      <c r="Q2526">
        <v>0</v>
      </c>
      <c r="R2526">
        <f>SUM(Table13[[#This Row],[Rank_All_Ranks_Total]:[Rank_SSPSPAddlSPCommandant]])</f>
        <v>1006</v>
      </c>
    </row>
    <row r="2527" spans="1:18" x14ac:dyDescent="0.3">
      <c r="A2527" t="s">
        <v>14</v>
      </c>
      <c r="B2527">
        <v>2003</v>
      </c>
      <c r="C2527" t="str">
        <f>_xlfn.CONCAT(Table13[[#This Row],[STATE]],"-",Table13[[#This Row],[Year]])</f>
        <v>Himachal Pradesh-2003</v>
      </c>
      <c r="D2527" t="s">
        <v>79</v>
      </c>
      <c r="E2527" t="s">
        <v>80</v>
      </c>
      <c r="F2527">
        <v>140</v>
      </c>
      <c r="G2527">
        <v>1</v>
      </c>
      <c r="H2527">
        <v>0</v>
      </c>
      <c r="I2527">
        <v>0</v>
      </c>
      <c r="J2527">
        <v>130</v>
      </c>
      <c r="K2527">
        <v>0</v>
      </c>
      <c r="L2527">
        <v>0</v>
      </c>
      <c r="M2527">
        <v>7</v>
      </c>
      <c r="N2527">
        <v>0</v>
      </c>
      <c r="O2527">
        <v>0</v>
      </c>
      <c r="P2527">
        <v>2</v>
      </c>
      <c r="Q2527">
        <v>0</v>
      </c>
      <c r="R2527">
        <f>SUM(Table13[[#This Row],[Rank_All_Ranks_Total]:[Rank_SSPSPAddlSPCommandant]])</f>
        <v>280</v>
      </c>
    </row>
    <row r="2528" spans="1:18" x14ac:dyDescent="0.3">
      <c r="A2528" t="s">
        <v>15</v>
      </c>
      <c r="B2528">
        <v>2003</v>
      </c>
      <c r="C2528" t="str">
        <f>_xlfn.CONCAT(Table13[[#This Row],[STATE]],"-",Table13[[#This Row],[Year]])</f>
        <v>Jammu &amp; Kashmir-2003</v>
      </c>
      <c r="D2528" t="s">
        <v>79</v>
      </c>
      <c r="E2528" t="s">
        <v>80</v>
      </c>
      <c r="F2528">
        <v>1432</v>
      </c>
      <c r="G2528">
        <v>13</v>
      </c>
      <c r="H2528">
        <v>6</v>
      </c>
      <c r="I2528">
        <v>0</v>
      </c>
      <c r="J2528">
        <v>1374</v>
      </c>
      <c r="K2528">
        <v>0</v>
      </c>
      <c r="L2528">
        <v>1</v>
      </c>
      <c r="M2528">
        <v>9</v>
      </c>
      <c r="N2528">
        <v>0</v>
      </c>
      <c r="O2528">
        <v>9</v>
      </c>
      <c r="P2528">
        <v>18</v>
      </c>
      <c r="Q2528">
        <v>2</v>
      </c>
      <c r="R2528">
        <f>SUM(Table13[[#This Row],[Rank_All_Ranks_Total]:[Rank_SSPSPAddlSPCommandant]])</f>
        <v>2864</v>
      </c>
    </row>
    <row r="2529" spans="1:18" x14ac:dyDescent="0.3">
      <c r="A2529" t="s">
        <v>16</v>
      </c>
      <c r="B2529">
        <v>2003</v>
      </c>
      <c r="C2529" t="str">
        <f>_xlfn.CONCAT(Table13[[#This Row],[STATE]],"-",Table13[[#This Row],[Year]])</f>
        <v>Jharkhand-2003</v>
      </c>
      <c r="D2529" t="s">
        <v>79</v>
      </c>
      <c r="E2529" t="s">
        <v>80</v>
      </c>
      <c r="F2529">
        <v>158</v>
      </c>
      <c r="G2529">
        <v>1</v>
      </c>
      <c r="H2529">
        <v>0</v>
      </c>
      <c r="I2529">
        <v>0</v>
      </c>
      <c r="J2529">
        <v>155</v>
      </c>
      <c r="K2529">
        <v>0</v>
      </c>
      <c r="L2529">
        <v>0</v>
      </c>
      <c r="M2529">
        <v>2</v>
      </c>
      <c r="N2529">
        <v>0</v>
      </c>
      <c r="O2529">
        <v>0</v>
      </c>
      <c r="P2529">
        <v>0</v>
      </c>
      <c r="Q2529">
        <v>0</v>
      </c>
      <c r="R2529">
        <f>SUM(Table13[[#This Row],[Rank_All_Ranks_Total]:[Rank_SSPSPAddlSPCommandant]])</f>
        <v>316</v>
      </c>
    </row>
    <row r="2530" spans="1:18" x14ac:dyDescent="0.3">
      <c r="A2530" t="s">
        <v>17</v>
      </c>
      <c r="B2530">
        <v>2003</v>
      </c>
      <c r="C2530" t="str">
        <f>_xlfn.CONCAT(Table13[[#This Row],[STATE]],"-",Table13[[#This Row],[Year]])</f>
        <v>Karnataka-2003</v>
      </c>
      <c r="D2530" t="s">
        <v>79</v>
      </c>
      <c r="E2530" t="s">
        <v>80</v>
      </c>
      <c r="F2530">
        <v>4787</v>
      </c>
      <c r="G2530">
        <v>194</v>
      </c>
      <c r="H2530">
        <v>7</v>
      </c>
      <c r="I2530">
        <v>0</v>
      </c>
      <c r="J2530">
        <v>3295</v>
      </c>
      <c r="K2530">
        <v>0</v>
      </c>
      <c r="L2530">
        <v>0</v>
      </c>
      <c r="M2530">
        <v>1114</v>
      </c>
      <c r="N2530">
        <v>0</v>
      </c>
      <c r="O2530">
        <v>33</v>
      </c>
      <c r="P2530">
        <v>141</v>
      </c>
      <c r="Q2530">
        <v>3</v>
      </c>
      <c r="R2530">
        <f>SUM(Table13[[#This Row],[Rank_All_Ranks_Total]:[Rank_SSPSPAddlSPCommandant]])</f>
        <v>9574</v>
      </c>
    </row>
    <row r="2531" spans="1:18" x14ac:dyDescent="0.3">
      <c r="A2531" t="s">
        <v>18</v>
      </c>
      <c r="B2531">
        <v>2003</v>
      </c>
      <c r="C2531" t="str">
        <f>_xlfn.CONCAT(Table13[[#This Row],[STATE]],"-",Table13[[#This Row],[Year]])</f>
        <v>Kerala-2003</v>
      </c>
      <c r="D2531" t="s">
        <v>79</v>
      </c>
      <c r="E2531" t="s">
        <v>80</v>
      </c>
      <c r="F2531">
        <v>2756</v>
      </c>
      <c r="G2531">
        <v>0</v>
      </c>
      <c r="H2531">
        <v>1</v>
      </c>
      <c r="I2531">
        <v>0</v>
      </c>
      <c r="J2531">
        <v>2484</v>
      </c>
      <c r="K2531">
        <v>0</v>
      </c>
      <c r="L2531">
        <v>0</v>
      </c>
      <c r="M2531">
        <v>194</v>
      </c>
      <c r="N2531">
        <v>0</v>
      </c>
      <c r="O2531">
        <v>18</v>
      </c>
      <c r="P2531">
        <v>58</v>
      </c>
      <c r="Q2531">
        <v>1</v>
      </c>
      <c r="R2531">
        <f>SUM(Table13[[#This Row],[Rank_All_Ranks_Total]:[Rank_SSPSPAddlSPCommandant]])</f>
        <v>5512</v>
      </c>
    </row>
    <row r="2532" spans="1:18" x14ac:dyDescent="0.3">
      <c r="A2532" t="s">
        <v>39</v>
      </c>
      <c r="B2532">
        <v>2003</v>
      </c>
      <c r="C2532" t="str">
        <f>_xlfn.CONCAT(Table13[[#This Row],[STATE]],"-",Table13[[#This Row],[Year]])</f>
        <v>Lakshadweep-2003</v>
      </c>
      <c r="D2532" t="s">
        <v>79</v>
      </c>
      <c r="E2532" t="s">
        <v>80</v>
      </c>
      <c r="F2532">
        <v>18</v>
      </c>
      <c r="G2532">
        <v>0</v>
      </c>
      <c r="H2532">
        <v>0</v>
      </c>
      <c r="I2532">
        <v>0</v>
      </c>
      <c r="J2532">
        <v>16</v>
      </c>
      <c r="K2532">
        <v>0</v>
      </c>
      <c r="L2532">
        <v>0</v>
      </c>
      <c r="M2532">
        <v>1</v>
      </c>
      <c r="N2532">
        <v>0</v>
      </c>
      <c r="O2532">
        <v>0</v>
      </c>
      <c r="P2532">
        <v>1</v>
      </c>
      <c r="Q2532">
        <v>0</v>
      </c>
      <c r="R2532">
        <f>SUM(Table13[[#This Row],[Rank_All_Ranks_Total]:[Rank_SSPSPAddlSPCommandant]])</f>
        <v>36</v>
      </c>
    </row>
    <row r="2533" spans="1:18" x14ac:dyDescent="0.3">
      <c r="A2533" t="s">
        <v>19</v>
      </c>
      <c r="B2533">
        <v>2003</v>
      </c>
      <c r="C2533" t="str">
        <f>_xlfn.CONCAT(Table13[[#This Row],[STATE]],"-",Table13[[#This Row],[Year]])</f>
        <v>Madhya Pradesh-2003</v>
      </c>
      <c r="D2533" t="s">
        <v>79</v>
      </c>
      <c r="E2533" t="s">
        <v>80</v>
      </c>
      <c r="F2533">
        <v>203</v>
      </c>
      <c r="G2533">
        <v>47</v>
      </c>
      <c r="H2533">
        <v>36</v>
      </c>
      <c r="I2533">
        <v>0</v>
      </c>
      <c r="J2533">
        <v>0</v>
      </c>
      <c r="K2533">
        <v>0</v>
      </c>
      <c r="L2533">
        <v>1</v>
      </c>
      <c r="M2533">
        <v>0</v>
      </c>
      <c r="N2533">
        <v>1</v>
      </c>
      <c r="O2533">
        <v>14</v>
      </c>
      <c r="P2533">
        <v>100</v>
      </c>
      <c r="Q2533">
        <v>4</v>
      </c>
      <c r="R2533">
        <f>SUM(Table13[[#This Row],[Rank_All_Ranks_Total]:[Rank_SSPSPAddlSPCommandant]])</f>
        <v>406</v>
      </c>
    </row>
    <row r="2534" spans="1:18" x14ac:dyDescent="0.3">
      <c r="A2534" t="s">
        <v>20</v>
      </c>
      <c r="B2534">
        <v>2003</v>
      </c>
      <c r="C2534" t="str">
        <f>_xlfn.CONCAT(Table13[[#This Row],[STATE]],"-",Table13[[#This Row],[Year]])</f>
        <v>Maharashtra-2003</v>
      </c>
      <c r="D2534" t="s">
        <v>79</v>
      </c>
      <c r="E2534" t="s">
        <v>80</v>
      </c>
      <c r="F2534">
        <v>3497</v>
      </c>
      <c r="G2534">
        <v>31</v>
      </c>
      <c r="H2534">
        <v>3</v>
      </c>
      <c r="I2534">
        <v>0</v>
      </c>
      <c r="J2534">
        <v>2944</v>
      </c>
      <c r="K2534">
        <v>0</v>
      </c>
      <c r="L2534">
        <v>0</v>
      </c>
      <c r="M2534">
        <v>334</v>
      </c>
      <c r="N2534">
        <v>0</v>
      </c>
      <c r="O2534">
        <v>17</v>
      </c>
      <c r="P2534">
        <v>168</v>
      </c>
      <c r="Q2534">
        <v>0</v>
      </c>
      <c r="R2534">
        <f>SUM(Table13[[#This Row],[Rank_All_Ranks_Total]:[Rank_SSPSPAddlSPCommandant]])</f>
        <v>6994</v>
      </c>
    </row>
    <row r="2535" spans="1:18" x14ac:dyDescent="0.3">
      <c r="A2535" t="s">
        <v>21</v>
      </c>
      <c r="B2535">
        <v>2003</v>
      </c>
      <c r="C2535" t="str">
        <f>_xlfn.CONCAT(Table13[[#This Row],[STATE]],"-",Table13[[#This Row],[Year]])</f>
        <v>Manipur-2003</v>
      </c>
      <c r="D2535" t="s">
        <v>79</v>
      </c>
      <c r="E2535" t="s">
        <v>80</v>
      </c>
      <c r="F2535">
        <v>264</v>
      </c>
      <c r="G2535">
        <v>2</v>
      </c>
      <c r="H2535">
        <v>0</v>
      </c>
      <c r="I2535">
        <v>3</v>
      </c>
      <c r="J2535">
        <v>253</v>
      </c>
      <c r="K2535">
        <v>0</v>
      </c>
      <c r="L2535">
        <v>0</v>
      </c>
      <c r="M2535">
        <v>3</v>
      </c>
      <c r="N2535">
        <v>0</v>
      </c>
      <c r="O2535">
        <v>0</v>
      </c>
      <c r="P2535">
        <v>3</v>
      </c>
      <c r="Q2535">
        <v>0</v>
      </c>
      <c r="R2535">
        <f>SUM(Table13[[#This Row],[Rank_All_Ranks_Total]:[Rank_SSPSPAddlSPCommandant]])</f>
        <v>528</v>
      </c>
    </row>
    <row r="2536" spans="1:18" x14ac:dyDescent="0.3">
      <c r="A2536" t="s">
        <v>22</v>
      </c>
      <c r="B2536">
        <v>2003</v>
      </c>
      <c r="C2536" t="str">
        <f>_xlfn.CONCAT(Table13[[#This Row],[STATE]],"-",Table13[[#This Row],[Year]])</f>
        <v>Meghalaya-2003</v>
      </c>
      <c r="D2536" t="s">
        <v>79</v>
      </c>
      <c r="E2536" t="s">
        <v>80</v>
      </c>
      <c r="F2536">
        <v>44</v>
      </c>
      <c r="G2536">
        <v>0</v>
      </c>
      <c r="H2536">
        <v>0</v>
      </c>
      <c r="I2536">
        <v>0</v>
      </c>
      <c r="J2536">
        <v>40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4</v>
      </c>
      <c r="Q2536">
        <v>0</v>
      </c>
      <c r="R2536">
        <f>SUM(Table13[[#This Row],[Rank_All_Ranks_Total]:[Rank_SSPSPAddlSPCommandant]])</f>
        <v>88</v>
      </c>
    </row>
    <row r="2537" spans="1:18" x14ac:dyDescent="0.3">
      <c r="A2537" t="s">
        <v>23</v>
      </c>
      <c r="B2537">
        <v>2003</v>
      </c>
      <c r="C2537" t="str">
        <f>_xlfn.CONCAT(Table13[[#This Row],[STATE]],"-",Table13[[#This Row],[Year]])</f>
        <v>Mizoram-2003</v>
      </c>
      <c r="D2537" t="s">
        <v>79</v>
      </c>
      <c r="E2537" t="s">
        <v>80</v>
      </c>
      <c r="F2537">
        <v>6</v>
      </c>
      <c r="G2537">
        <v>0</v>
      </c>
      <c r="H2537">
        <v>0</v>
      </c>
      <c r="I2537">
        <v>0</v>
      </c>
      <c r="J2537">
        <v>6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f>SUM(Table13[[#This Row],[Rank_All_Ranks_Total]:[Rank_SSPSPAddlSPCommandant]])</f>
        <v>12</v>
      </c>
    </row>
    <row r="2538" spans="1:18" x14ac:dyDescent="0.3">
      <c r="A2538" t="s">
        <v>24</v>
      </c>
      <c r="B2538">
        <v>2003</v>
      </c>
      <c r="C2538" t="str">
        <f>_xlfn.CONCAT(Table13[[#This Row],[STATE]],"-",Table13[[#This Row],[Year]])</f>
        <v>Nagaland-2003</v>
      </c>
      <c r="D2538" t="s">
        <v>79</v>
      </c>
      <c r="E2538" t="s">
        <v>80</v>
      </c>
      <c r="F2538">
        <v>76</v>
      </c>
      <c r="G2538">
        <v>6</v>
      </c>
      <c r="H2538">
        <v>1</v>
      </c>
      <c r="I2538">
        <v>0</v>
      </c>
      <c r="J2538">
        <v>63</v>
      </c>
      <c r="K2538">
        <v>0</v>
      </c>
      <c r="L2538">
        <v>0</v>
      </c>
      <c r="M2538">
        <v>0</v>
      </c>
      <c r="N2538">
        <v>0</v>
      </c>
      <c r="O2538">
        <v>1</v>
      </c>
      <c r="P2538">
        <v>5</v>
      </c>
      <c r="Q2538">
        <v>0</v>
      </c>
      <c r="R2538">
        <f>SUM(Table13[[#This Row],[Rank_All_Ranks_Total]:[Rank_SSPSPAddlSPCommandant]])</f>
        <v>152</v>
      </c>
    </row>
    <row r="2539" spans="1:18" x14ac:dyDescent="0.3">
      <c r="A2539" t="s">
        <v>63</v>
      </c>
      <c r="B2539">
        <v>2003</v>
      </c>
      <c r="C2539" t="str">
        <f>_xlfn.CONCAT(Table13[[#This Row],[STATE]],"-",Table13[[#This Row],[Year]])</f>
        <v>Odisha-2003</v>
      </c>
      <c r="D2539" t="s">
        <v>79</v>
      </c>
      <c r="E2539" t="s">
        <v>80</v>
      </c>
      <c r="F2539">
        <v>342</v>
      </c>
      <c r="G2539">
        <v>47</v>
      </c>
      <c r="H2539">
        <v>1</v>
      </c>
      <c r="I2539">
        <v>0</v>
      </c>
      <c r="J2539">
        <v>241</v>
      </c>
      <c r="K2539">
        <v>0</v>
      </c>
      <c r="L2539">
        <v>0</v>
      </c>
      <c r="M2539">
        <v>0</v>
      </c>
      <c r="N2539">
        <v>0</v>
      </c>
      <c r="O2539">
        <v>12</v>
      </c>
      <c r="P2539">
        <v>41</v>
      </c>
      <c r="Q2539">
        <v>0</v>
      </c>
      <c r="R2539">
        <f>SUM(Table13[[#This Row],[Rank_All_Ranks_Total]:[Rank_SSPSPAddlSPCommandant]])</f>
        <v>684</v>
      </c>
    </row>
    <row r="2540" spans="1:18" x14ac:dyDescent="0.3">
      <c r="A2540" t="s">
        <v>64</v>
      </c>
      <c r="B2540">
        <v>2003</v>
      </c>
      <c r="C2540" t="str">
        <f>_xlfn.CONCAT(Table13[[#This Row],[STATE]],"-",Table13[[#This Row],[Year]])</f>
        <v>Puducherry-2003</v>
      </c>
      <c r="D2540" t="s">
        <v>79</v>
      </c>
      <c r="E2540" t="s">
        <v>80</v>
      </c>
      <c r="F2540">
        <v>80</v>
      </c>
      <c r="G2540">
        <v>1</v>
      </c>
      <c r="H2540">
        <v>0</v>
      </c>
      <c r="I2540">
        <v>0</v>
      </c>
      <c r="J2540">
        <v>70</v>
      </c>
      <c r="K2540">
        <v>0</v>
      </c>
      <c r="L2540">
        <v>0</v>
      </c>
      <c r="M2540">
        <v>6</v>
      </c>
      <c r="N2540">
        <v>0</v>
      </c>
      <c r="O2540">
        <v>1</v>
      </c>
      <c r="P2540">
        <v>2</v>
      </c>
      <c r="Q2540">
        <v>0</v>
      </c>
      <c r="R2540">
        <f>SUM(Table13[[#This Row],[Rank_All_Ranks_Total]:[Rank_SSPSPAddlSPCommandant]])</f>
        <v>160</v>
      </c>
    </row>
    <row r="2541" spans="1:18" x14ac:dyDescent="0.3">
      <c r="A2541" t="s">
        <v>26</v>
      </c>
      <c r="B2541">
        <v>2003</v>
      </c>
      <c r="C2541" t="str">
        <f>_xlfn.CONCAT(Table13[[#This Row],[STATE]],"-",Table13[[#This Row],[Year]])</f>
        <v>Punjab-2003</v>
      </c>
      <c r="D2541" t="s">
        <v>79</v>
      </c>
      <c r="E2541" t="s">
        <v>80</v>
      </c>
      <c r="F2541">
        <v>393</v>
      </c>
      <c r="G2541">
        <v>5</v>
      </c>
      <c r="H2541">
        <v>0</v>
      </c>
      <c r="I2541">
        <v>0</v>
      </c>
      <c r="J2541">
        <v>326</v>
      </c>
      <c r="K2541">
        <v>0</v>
      </c>
      <c r="L2541">
        <v>0</v>
      </c>
      <c r="M2541">
        <v>46</v>
      </c>
      <c r="N2541">
        <v>0</v>
      </c>
      <c r="O2541">
        <v>7</v>
      </c>
      <c r="P2541">
        <v>9</v>
      </c>
      <c r="Q2541">
        <v>0</v>
      </c>
      <c r="R2541">
        <f>SUM(Table13[[#This Row],[Rank_All_Ranks_Total]:[Rank_SSPSPAddlSPCommandant]])</f>
        <v>786</v>
      </c>
    </row>
    <row r="2542" spans="1:18" x14ac:dyDescent="0.3">
      <c r="A2542" t="s">
        <v>27</v>
      </c>
      <c r="B2542">
        <v>2003</v>
      </c>
      <c r="C2542" t="str">
        <f>_xlfn.CONCAT(Table13[[#This Row],[STATE]],"-",Table13[[#This Row],[Year]])</f>
        <v>Rajasthan-2003</v>
      </c>
      <c r="D2542" t="s">
        <v>79</v>
      </c>
      <c r="E2542" t="s">
        <v>80</v>
      </c>
      <c r="F2542">
        <v>722</v>
      </c>
      <c r="G2542">
        <v>17</v>
      </c>
      <c r="H2542">
        <v>2</v>
      </c>
      <c r="I2542">
        <v>0</v>
      </c>
      <c r="J2542">
        <v>640</v>
      </c>
      <c r="K2542">
        <v>0</v>
      </c>
      <c r="L2542">
        <v>0</v>
      </c>
      <c r="M2542">
        <v>23</v>
      </c>
      <c r="N2542">
        <v>0</v>
      </c>
      <c r="O2542">
        <v>2</v>
      </c>
      <c r="P2542">
        <v>36</v>
      </c>
      <c r="Q2542">
        <v>2</v>
      </c>
      <c r="R2542">
        <f>SUM(Table13[[#This Row],[Rank_All_Ranks_Total]:[Rank_SSPSPAddlSPCommandant]])</f>
        <v>1444</v>
      </c>
    </row>
    <row r="2543" spans="1:18" x14ac:dyDescent="0.3">
      <c r="A2543" t="s">
        <v>28</v>
      </c>
      <c r="B2543">
        <v>2003</v>
      </c>
      <c r="C2543" t="str">
        <f>_xlfn.CONCAT(Table13[[#This Row],[STATE]],"-",Table13[[#This Row],[Year]])</f>
        <v>Sikkim-2003</v>
      </c>
      <c r="D2543" t="s">
        <v>79</v>
      </c>
      <c r="E2543" t="s">
        <v>80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f>SUM(Table13[[#This Row],[Rank_All_Ranks_Total]:[Rank_SSPSPAddlSPCommandant]])</f>
        <v>0</v>
      </c>
    </row>
    <row r="2544" spans="1:18" x14ac:dyDescent="0.3">
      <c r="A2544" t="s">
        <v>42</v>
      </c>
      <c r="B2544">
        <v>2003</v>
      </c>
      <c r="C2544" t="str">
        <f>_xlfn.CONCAT(Table13[[#This Row],[STATE]],"-",Table13[[#This Row],[Year]])</f>
        <v>Tamil Nadu-2003</v>
      </c>
      <c r="D2544" t="s">
        <v>79</v>
      </c>
      <c r="E2544" t="s">
        <v>80</v>
      </c>
      <c r="F2544">
        <v>7559</v>
      </c>
      <c r="G2544">
        <v>0</v>
      </c>
      <c r="H2544">
        <v>31</v>
      </c>
      <c r="I2544">
        <v>42</v>
      </c>
      <c r="J2544">
        <v>4937</v>
      </c>
      <c r="K2544">
        <v>2</v>
      </c>
      <c r="L2544">
        <v>1</v>
      </c>
      <c r="M2544">
        <v>990</v>
      </c>
      <c r="N2544">
        <v>1</v>
      </c>
      <c r="O2544">
        <v>180</v>
      </c>
      <c r="P2544">
        <v>1371</v>
      </c>
      <c r="Q2544">
        <v>4</v>
      </c>
      <c r="R2544">
        <f>SUM(Table13[[#This Row],[Rank_All_Ranks_Total]:[Rank_SSPSPAddlSPCommandant]])</f>
        <v>15118</v>
      </c>
    </row>
    <row r="2545" spans="1:18" x14ac:dyDescent="0.3">
      <c r="A2545" t="s">
        <v>30</v>
      </c>
      <c r="B2545">
        <v>2003</v>
      </c>
      <c r="C2545" t="str">
        <f>_xlfn.CONCAT(Table13[[#This Row],[STATE]],"-",Table13[[#This Row],[Year]])</f>
        <v>Tripura-2003</v>
      </c>
      <c r="D2545" t="s">
        <v>79</v>
      </c>
      <c r="E2545" t="s">
        <v>80</v>
      </c>
      <c r="F2545">
        <v>237</v>
      </c>
      <c r="G2545">
        <v>21</v>
      </c>
      <c r="H2545">
        <v>2</v>
      </c>
      <c r="I2545">
        <v>0</v>
      </c>
      <c r="J2545">
        <v>193</v>
      </c>
      <c r="K2545">
        <v>0</v>
      </c>
      <c r="L2545">
        <v>0</v>
      </c>
      <c r="M2545">
        <v>0</v>
      </c>
      <c r="N2545">
        <v>0</v>
      </c>
      <c r="O2545">
        <v>1</v>
      </c>
      <c r="P2545">
        <v>19</v>
      </c>
      <c r="Q2545">
        <v>1</v>
      </c>
      <c r="R2545">
        <f>SUM(Table13[[#This Row],[Rank_All_Ranks_Total]:[Rank_SSPSPAddlSPCommandant]])</f>
        <v>474</v>
      </c>
    </row>
    <row r="2546" spans="1:18" x14ac:dyDescent="0.3">
      <c r="A2546" t="s">
        <v>31</v>
      </c>
      <c r="B2546">
        <v>2003</v>
      </c>
      <c r="C2546" t="str">
        <f>_xlfn.CONCAT(Table13[[#This Row],[STATE]],"-",Table13[[#This Row],[Year]])</f>
        <v>Uttar Pradesh-2003</v>
      </c>
      <c r="D2546" t="s">
        <v>79</v>
      </c>
      <c r="E2546" t="s">
        <v>80</v>
      </c>
      <c r="F2546">
        <v>1877</v>
      </c>
      <c r="G2546">
        <v>0</v>
      </c>
      <c r="H2546">
        <v>0</v>
      </c>
      <c r="I2546">
        <v>0</v>
      </c>
      <c r="J2546">
        <v>1541</v>
      </c>
      <c r="K2546">
        <v>0</v>
      </c>
      <c r="L2546">
        <v>0</v>
      </c>
      <c r="M2546">
        <v>142</v>
      </c>
      <c r="N2546">
        <v>0</v>
      </c>
      <c r="O2546">
        <v>11</v>
      </c>
      <c r="P2546">
        <v>183</v>
      </c>
      <c r="Q2546">
        <v>0</v>
      </c>
      <c r="R2546">
        <f>SUM(Table13[[#This Row],[Rank_All_Ranks_Total]:[Rank_SSPSPAddlSPCommandant]])</f>
        <v>3754</v>
      </c>
    </row>
    <row r="2547" spans="1:18" x14ac:dyDescent="0.3">
      <c r="A2547" t="s">
        <v>65</v>
      </c>
      <c r="B2547">
        <v>2003</v>
      </c>
      <c r="C2547" t="str">
        <f>_xlfn.CONCAT(Table13[[#This Row],[STATE]],"-",Table13[[#This Row],[Year]])</f>
        <v>Uttarakhand-2003</v>
      </c>
      <c r="D2547" t="s">
        <v>79</v>
      </c>
      <c r="E2547" t="s">
        <v>80</v>
      </c>
      <c r="F2547">
        <v>186</v>
      </c>
      <c r="G2547">
        <v>0</v>
      </c>
      <c r="H2547">
        <v>0</v>
      </c>
      <c r="I2547">
        <v>0</v>
      </c>
      <c r="J2547">
        <v>164</v>
      </c>
      <c r="K2547">
        <v>0</v>
      </c>
      <c r="L2547">
        <v>0</v>
      </c>
      <c r="M2547">
        <v>13</v>
      </c>
      <c r="N2547">
        <v>0</v>
      </c>
      <c r="O2547">
        <v>0</v>
      </c>
      <c r="P2547">
        <v>9</v>
      </c>
      <c r="Q2547">
        <v>0</v>
      </c>
      <c r="R2547">
        <f>SUM(Table13[[#This Row],[Rank_All_Ranks_Total]:[Rank_SSPSPAddlSPCommandant]])</f>
        <v>372</v>
      </c>
    </row>
    <row r="2548" spans="1:18" x14ac:dyDescent="0.3">
      <c r="A2548" t="s">
        <v>33</v>
      </c>
      <c r="B2548">
        <v>2003</v>
      </c>
      <c r="C2548" t="str">
        <f>_xlfn.CONCAT(Table13[[#This Row],[STATE]],"-",Table13[[#This Row],[Year]])</f>
        <v>West Bengal-2003</v>
      </c>
      <c r="D2548" t="s">
        <v>79</v>
      </c>
      <c r="E2548" t="s">
        <v>80</v>
      </c>
      <c r="F2548">
        <v>1230</v>
      </c>
      <c r="G2548">
        <v>114</v>
      </c>
      <c r="H2548">
        <v>10</v>
      </c>
      <c r="I2548">
        <v>0</v>
      </c>
      <c r="J2548">
        <v>914</v>
      </c>
      <c r="K2548">
        <v>0</v>
      </c>
      <c r="L2548">
        <v>2</v>
      </c>
      <c r="M2548">
        <v>7</v>
      </c>
      <c r="N2548">
        <v>0</v>
      </c>
      <c r="O2548">
        <v>17</v>
      </c>
      <c r="P2548">
        <v>165</v>
      </c>
      <c r="Q2548">
        <v>1</v>
      </c>
      <c r="R2548">
        <f>SUM(Table13[[#This Row],[Rank_All_Ranks_Total]:[Rank_SSPSPAddlSPCommandant]])</f>
        <v>2460</v>
      </c>
    </row>
    <row r="2549" spans="1:18" x14ac:dyDescent="0.3">
      <c r="A2549" t="s">
        <v>59</v>
      </c>
      <c r="B2549">
        <v>2004</v>
      </c>
      <c r="C2549" t="str">
        <f>_xlfn.CONCAT(Table13[[#This Row],[STATE]],"-",Table13[[#This Row],[Year]])</f>
        <v>Andaman &amp; Nicobar Islands-2004</v>
      </c>
      <c r="D2549" t="s">
        <v>79</v>
      </c>
      <c r="E2549" t="s">
        <v>80</v>
      </c>
      <c r="F2549">
        <v>16</v>
      </c>
      <c r="G2549">
        <v>0</v>
      </c>
      <c r="H2549">
        <v>0</v>
      </c>
      <c r="I2549">
        <v>0</v>
      </c>
      <c r="J2549">
        <v>10</v>
      </c>
      <c r="K2549">
        <v>0</v>
      </c>
      <c r="L2549">
        <v>0</v>
      </c>
      <c r="M2549">
        <v>4</v>
      </c>
      <c r="N2549">
        <v>0</v>
      </c>
      <c r="O2549">
        <v>0</v>
      </c>
      <c r="P2549">
        <v>2</v>
      </c>
      <c r="Q2549">
        <v>0</v>
      </c>
      <c r="R2549">
        <f>SUM(Table13[[#This Row],[Rank_All_Ranks_Total]:[Rank_SSPSPAddlSPCommandant]])</f>
        <v>32</v>
      </c>
    </row>
    <row r="2550" spans="1:18" x14ac:dyDescent="0.3">
      <c r="A2550" t="s">
        <v>6</v>
      </c>
      <c r="B2550">
        <v>2004</v>
      </c>
      <c r="C2550" t="str">
        <f>_xlfn.CONCAT(Table13[[#This Row],[STATE]],"-",Table13[[#This Row],[Year]])</f>
        <v>Andhra Pradesh-2004</v>
      </c>
      <c r="D2550" t="s">
        <v>79</v>
      </c>
      <c r="E2550" t="s">
        <v>80</v>
      </c>
      <c r="F2550">
        <v>1414</v>
      </c>
      <c r="G2550">
        <v>0</v>
      </c>
      <c r="H2550">
        <v>0</v>
      </c>
      <c r="I2550">
        <v>0</v>
      </c>
      <c r="J2550">
        <v>1323</v>
      </c>
      <c r="K2550">
        <v>0</v>
      </c>
      <c r="L2550">
        <v>0</v>
      </c>
      <c r="M2550">
        <v>51</v>
      </c>
      <c r="N2550">
        <v>0</v>
      </c>
      <c r="O2550">
        <v>0</v>
      </c>
      <c r="P2550">
        <v>40</v>
      </c>
      <c r="Q2550">
        <v>0</v>
      </c>
      <c r="R2550">
        <f>SUM(Table13[[#This Row],[Rank_All_Ranks_Total]:[Rank_SSPSPAddlSPCommandant]])</f>
        <v>2828</v>
      </c>
    </row>
    <row r="2551" spans="1:18" x14ac:dyDescent="0.3">
      <c r="A2551" t="s">
        <v>7</v>
      </c>
      <c r="B2551">
        <v>2004</v>
      </c>
      <c r="C2551" t="str">
        <f>_xlfn.CONCAT(Table13[[#This Row],[STATE]],"-",Table13[[#This Row],[Year]])</f>
        <v>Arunachal Pradesh-2004</v>
      </c>
      <c r="D2551" t="s">
        <v>79</v>
      </c>
      <c r="E2551" t="s">
        <v>80</v>
      </c>
      <c r="F2551">
        <v>65</v>
      </c>
      <c r="G2551">
        <v>4</v>
      </c>
      <c r="H2551">
        <v>0</v>
      </c>
      <c r="I2551">
        <v>0</v>
      </c>
      <c r="J2551">
        <v>40</v>
      </c>
      <c r="K2551">
        <v>0</v>
      </c>
      <c r="L2551">
        <v>0</v>
      </c>
      <c r="M2551">
        <v>12</v>
      </c>
      <c r="N2551">
        <v>0</v>
      </c>
      <c r="O2551">
        <v>0</v>
      </c>
      <c r="P2551">
        <v>9</v>
      </c>
      <c r="Q2551">
        <v>0</v>
      </c>
      <c r="R2551">
        <f>SUM(Table13[[#This Row],[Rank_All_Ranks_Total]:[Rank_SSPSPAddlSPCommandant]])</f>
        <v>130</v>
      </c>
    </row>
    <row r="2552" spans="1:18" x14ac:dyDescent="0.3">
      <c r="A2552" t="s">
        <v>8</v>
      </c>
      <c r="B2552">
        <v>2004</v>
      </c>
      <c r="C2552" t="str">
        <f>_xlfn.CONCAT(Table13[[#This Row],[STATE]],"-",Table13[[#This Row],[Year]])</f>
        <v>Assam-2004</v>
      </c>
      <c r="D2552" t="s">
        <v>79</v>
      </c>
      <c r="E2552" t="s">
        <v>80</v>
      </c>
      <c r="F2552">
        <v>223</v>
      </c>
      <c r="G2552">
        <v>5</v>
      </c>
      <c r="H2552">
        <v>0</v>
      </c>
      <c r="I2552">
        <v>8</v>
      </c>
      <c r="J2552">
        <v>185</v>
      </c>
      <c r="K2552">
        <v>0</v>
      </c>
      <c r="L2552">
        <v>0</v>
      </c>
      <c r="M2552">
        <v>8</v>
      </c>
      <c r="N2552">
        <v>0</v>
      </c>
      <c r="O2552">
        <v>0</v>
      </c>
      <c r="P2552">
        <v>17</v>
      </c>
      <c r="Q2552">
        <v>0</v>
      </c>
      <c r="R2552">
        <f>SUM(Table13[[#This Row],[Rank_All_Ranks_Total]:[Rank_SSPSPAddlSPCommandant]])</f>
        <v>446</v>
      </c>
    </row>
    <row r="2553" spans="1:18" x14ac:dyDescent="0.3">
      <c r="A2553" t="s">
        <v>9</v>
      </c>
      <c r="B2553">
        <v>2004</v>
      </c>
      <c r="C2553" t="str">
        <f>_xlfn.CONCAT(Table13[[#This Row],[STATE]],"-",Table13[[#This Row],[Year]])</f>
        <v>Bihar-2004</v>
      </c>
      <c r="D2553" t="s">
        <v>79</v>
      </c>
      <c r="E2553" t="s">
        <v>80</v>
      </c>
      <c r="F2553">
        <v>890</v>
      </c>
      <c r="G2553">
        <v>10</v>
      </c>
      <c r="H2553">
        <v>3</v>
      </c>
      <c r="I2553">
        <v>0</v>
      </c>
      <c r="J2553">
        <v>800</v>
      </c>
      <c r="K2553">
        <v>0</v>
      </c>
      <c r="L2553">
        <v>0</v>
      </c>
      <c r="M2553">
        <v>22</v>
      </c>
      <c r="N2553">
        <v>0</v>
      </c>
      <c r="O2553">
        <v>1</v>
      </c>
      <c r="P2553">
        <v>50</v>
      </c>
      <c r="Q2553">
        <v>4</v>
      </c>
      <c r="R2553">
        <f>SUM(Table13[[#This Row],[Rank_All_Ranks_Total]:[Rank_SSPSPAddlSPCommandant]])</f>
        <v>1780</v>
      </c>
    </row>
    <row r="2554" spans="1:18" x14ac:dyDescent="0.3">
      <c r="A2554" t="s">
        <v>35</v>
      </c>
      <c r="B2554">
        <v>2004</v>
      </c>
      <c r="C2554" t="str">
        <f>_xlfn.CONCAT(Table13[[#This Row],[STATE]],"-",Table13[[#This Row],[Year]])</f>
        <v>Chandigarh-2004</v>
      </c>
      <c r="D2554" t="s">
        <v>79</v>
      </c>
      <c r="E2554" t="s">
        <v>80</v>
      </c>
      <c r="F2554">
        <v>35</v>
      </c>
      <c r="G2554">
        <v>1</v>
      </c>
      <c r="H2554">
        <v>0</v>
      </c>
      <c r="I2554">
        <v>0</v>
      </c>
      <c r="J2554">
        <v>31</v>
      </c>
      <c r="K2554">
        <v>0</v>
      </c>
      <c r="L2554">
        <v>0</v>
      </c>
      <c r="M2554">
        <v>2</v>
      </c>
      <c r="N2554">
        <v>0</v>
      </c>
      <c r="O2554">
        <v>0</v>
      </c>
      <c r="P2554">
        <v>1</v>
      </c>
      <c r="Q2554">
        <v>0</v>
      </c>
      <c r="R2554">
        <f>SUM(Table13[[#This Row],[Rank_All_Ranks_Total]:[Rank_SSPSPAddlSPCommandant]])</f>
        <v>70</v>
      </c>
    </row>
    <row r="2555" spans="1:18" x14ac:dyDescent="0.3">
      <c r="A2555" t="s">
        <v>10</v>
      </c>
      <c r="B2555">
        <v>2004</v>
      </c>
      <c r="C2555" t="str">
        <f>_xlfn.CONCAT(Table13[[#This Row],[STATE]],"-",Table13[[#This Row],[Year]])</f>
        <v>Chhattisgarh-2004</v>
      </c>
      <c r="D2555" t="s">
        <v>79</v>
      </c>
      <c r="E2555" t="s">
        <v>80</v>
      </c>
      <c r="F2555">
        <v>95</v>
      </c>
      <c r="G2555">
        <v>0</v>
      </c>
      <c r="H2555">
        <v>0</v>
      </c>
      <c r="I2555">
        <v>0</v>
      </c>
      <c r="J2555">
        <v>87</v>
      </c>
      <c r="K2555">
        <v>0</v>
      </c>
      <c r="L2555">
        <v>0</v>
      </c>
      <c r="M2555">
        <v>0</v>
      </c>
      <c r="N2555">
        <v>0</v>
      </c>
      <c r="O2555">
        <v>3</v>
      </c>
      <c r="P2555">
        <v>5</v>
      </c>
      <c r="Q2555">
        <v>0</v>
      </c>
      <c r="R2555">
        <f>SUM(Table13[[#This Row],[Rank_All_Ranks_Total]:[Rank_SSPSPAddlSPCommandant]])</f>
        <v>190</v>
      </c>
    </row>
    <row r="2556" spans="1:18" x14ac:dyDescent="0.3">
      <c r="A2556" t="s">
        <v>62</v>
      </c>
      <c r="B2556">
        <v>2004</v>
      </c>
      <c r="C2556" t="str">
        <f>_xlfn.CONCAT(Table13[[#This Row],[STATE]],"-",Table13[[#This Row],[Year]])</f>
        <v>Dadra &amp; Nagar Haveli-2004</v>
      </c>
      <c r="D2556" t="s">
        <v>79</v>
      </c>
      <c r="E2556" t="s">
        <v>80</v>
      </c>
      <c r="F2556">
        <v>9</v>
      </c>
      <c r="G2556">
        <v>0</v>
      </c>
      <c r="H2556">
        <v>0</v>
      </c>
      <c r="I2556">
        <v>0</v>
      </c>
      <c r="J2556">
        <v>4</v>
      </c>
      <c r="K2556">
        <v>0</v>
      </c>
      <c r="L2556">
        <v>0</v>
      </c>
      <c r="M2556">
        <v>3</v>
      </c>
      <c r="N2556">
        <v>0</v>
      </c>
      <c r="O2556">
        <v>0</v>
      </c>
      <c r="P2556">
        <v>2</v>
      </c>
      <c r="Q2556">
        <v>0</v>
      </c>
      <c r="R2556">
        <f>SUM(Table13[[#This Row],[Rank_All_Ranks_Total]:[Rank_SSPSPAddlSPCommandant]])</f>
        <v>18</v>
      </c>
    </row>
    <row r="2557" spans="1:18" x14ac:dyDescent="0.3">
      <c r="A2557" t="s">
        <v>37</v>
      </c>
      <c r="B2557">
        <v>2004</v>
      </c>
      <c r="C2557" t="str">
        <f>_xlfn.CONCAT(Table13[[#This Row],[STATE]],"-",Table13[[#This Row],[Year]])</f>
        <v>Daman &amp; Diu-2004</v>
      </c>
      <c r="D2557" t="s">
        <v>79</v>
      </c>
      <c r="E2557" t="s">
        <v>80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f>SUM(Table13[[#This Row],[Rank_All_Ranks_Total]:[Rank_SSPSPAddlSPCommandant]])</f>
        <v>0</v>
      </c>
    </row>
    <row r="2558" spans="1:18" x14ac:dyDescent="0.3">
      <c r="A2558" t="s">
        <v>38</v>
      </c>
      <c r="B2558">
        <v>2004</v>
      </c>
      <c r="C2558" t="str">
        <f>_xlfn.CONCAT(Table13[[#This Row],[STATE]],"-",Table13[[#This Row],[Year]])</f>
        <v>Delhi-2004</v>
      </c>
      <c r="D2558" t="s">
        <v>79</v>
      </c>
      <c r="E2558" t="s">
        <v>80</v>
      </c>
      <c r="F2558">
        <v>2199</v>
      </c>
      <c r="G2558">
        <v>282</v>
      </c>
      <c r="H2558">
        <v>1</v>
      </c>
      <c r="I2558">
        <v>0</v>
      </c>
      <c r="J2558">
        <v>1178</v>
      </c>
      <c r="K2558">
        <v>0</v>
      </c>
      <c r="L2558">
        <v>0</v>
      </c>
      <c r="M2558">
        <v>461</v>
      </c>
      <c r="N2558">
        <v>0</v>
      </c>
      <c r="O2558">
        <v>71</v>
      </c>
      <c r="P2558">
        <v>206</v>
      </c>
      <c r="Q2558">
        <v>0</v>
      </c>
      <c r="R2558">
        <f>SUM(Table13[[#This Row],[Rank_All_Ranks_Total]:[Rank_SSPSPAddlSPCommandant]])</f>
        <v>4398</v>
      </c>
    </row>
    <row r="2559" spans="1:18" x14ac:dyDescent="0.3">
      <c r="A2559" t="s">
        <v>11</v>
      </c>
      <c r="B2559">
        <v>2004</v>
      </c>
      <c r="C2559" t="str">
        <f>_xlfn.CONCAT(Table13[[#This Row],[STATE]],"-",Table13[[#This Row],[Year]])</f>
        <v>Goa-2004</v>
      </c>
      <c r="D2559" t="s">
        <v>79</v>
      </c>
      <c r="E2559" t="s">
        <v>80</v>
      </c>
      <c r="F2559">
        <v>197</v>
      </c>
      <c r="G2559">
        <v>1</v>
      </c>
      <c r="H2559">
        <v>0</v>
      </c>
      <c r="I2559">
        <v>0</v>
      </c>
      <c r="J2559">
        <v>187</v>
      </c>
      <c r="K2559">
        <v>0</v>
      </c>
      <c r="L2559">
        <v>0</v>
      </c>
      <c r="M2559">
        <v>6</v>
      </c>
      <c r="N2559">
        <v>0</v>
      </c>
      <c r="O2559">
        <v>0</v>
      </c>
      <c r="P2559">
        <v>3</v>
      </c>
      <c r="Q2559">
        <v>0</v>
      </c>
      <c r="R2559">
        <f>SUM(Table13[[#This Row],[Rank_All_Ranks_Total]:[Rank_SSPSPAddlSPCommandant]])</f>
        <v>394</v>
      </c>
    </row>
    <row r="2560" spans="1:18" x14ac:dyDescent="0.3">
      <c r="A2560" t="s">
        <v>12</v>
      </c>
      <c r="B2560">
        <v>2004</v>
      </c>
      <c r="C2560" t="str">
        <f>_xlfn.CONCAT(Table13[[#This Row],[STATE]],"-",Table13[[#This Row],[Year]])</f>
        <v>Gujarat-2004</v>
      </c>
      <c r="D2560" t="s">
        <v>79</v>
      </c>
      <c r="E2560" t="s">
        <v>80</v>
      </c>
      <c r="F2560">
        <v>2329</v>
      </c>
      <c r="G2560">
        <v>226</v>
      </c>
      <c r="H2560">
        <v>0</v>
      </c>
      <c r="I2560">
        <v>0</v>
      </c>
      <c r="J2560">
        <v>1703</v>
      </c>
      <c r="K2560">
        <v>0</v>
      </c>
      <c r="L2560">
        <v>0</v>
      </c>
      <c r="M2560">
        <v>344</v>
      </c>
      <c r="N2560">
        <v>0</v>
      </c>
      <c r="O2560">
        <v>11</v>
      </c>
      <c r="P2560">
        <v>45</v>
      </c>
      <c r="Q2560">
        <v>0</v>
      </c>
      <c r="R2560">
        <f>SUM(Table13[[#This Row],[Rank_All_Ranks_Total]:[Rank_SSPSPAddlSPCommandant]])</f>
        <v>4658</v>
      </c>
    </row>
    <row r="2561" spans="1:18" x14ac:dyDescent="0.3">
      <c r="A2561" t="s">
        <v>13</v>
      </c>
      <c r="B2561">
        <v>2004</v>
      </c>
      <c r="C2561" t="str">
        <f>_xlfn.CONCAT(Table13[[#This Row],[STATE]],"-",Table13[[#This Row],[Year]])</f>
        <v>Haryana-2004</v>
      </c>
      <c r="D2561" t="s">
        <v>79</v>
      </c>
      <c r="E2561" t="s">
        <v>80</v>
      </c>
      <c r="F2561">
        <v>883</v>
      </c>
      <c r="G2561">
        <v>36</v>
      </c>
      <c r="H2561">
        <v>0</v>
      </c>
      <c r="I2561">
        <v>0</v>
      </c>
      <c r="J2561">
        <v>748</v>
      </c>
      <c r="K2561">
        <v>0</v>
      </c>
      <c r="L2561">
        <v>0</v>
      </c>
      <c r="M2561">
        <v>75</v>
      </c>
      <c r="N2561">
        <v>0</v>
      </c>
      <c r="O2561">
        <v>4</v>
      </c>
      <c r="P2561">
        <v>20</v>
      </c>
      <c r="Q2561">
        <v>0</v>
      </c>
      <c r="R2561">
        <f>SUM(Table13[[#This Row],[Rank_All_Ranks_Total]:[Rank_SSPSPAddlSPCommandant]])</f>
        <v>1766</v>
      </c>
    </row>
    <row r="2562" spans="1:18" x14ac:dyDescent="0.3">
      <c r="A2562" t="s">
        <v>14</v>
      </c>
      <c r="B2562">
        <v>2004</v>
      </c>
      <c r="C2562" t="str">
        <f>_xlfn.CONCAT(Table13[[#This Row],[STATE]],"-",Table13[[#This Row],[Year]])</f>
        <v>Himachal Pradesh-2004</v>
      </c>
      <c r="D2562" t="s">
        <v>79</v>
      </c>
      <c r="E2562" t="s">
        <v>80</v>
      </c>
      <c r="F2562">
        <v>140</v>
      </c>
      <c r="G2562">
        <v>1</v>
      </c>
      <c r="H2562">
        <v>0</v>
      </c>
      <c r="I2562">
        <v>0</v>
      </c>
      <c r="J2562">
        <v>130</v>
      </c>
      <c r="K2562">
        <v>0</v>
      </c>
      <c r="L2562">
        <v>0</v>
      </c>
      <c r="M2562">
        <v>7</v>
      </c>
      <c r="N2562">
        <v>0</v>
      </c>
      <c r="O2562">
        <v>0</v>
      </c>
      <c r="P2562">
        <v>2</v>
      </c>
      <c r="Q2562">
        <v>0</v>
      </c>
      <c r="R2562">
        <f>SUM(Table13[[#This Row],[Rank_All_Ranks_Total]:[Rank_SSPSPAddlSPCommandant]])</f>
        <v>280</v>
      </c>
    </row>
    <row r="2563" spans="1:18" x14ac:dyDescent="0.3">
      <c r="A2563" t="s">
        <v>15</v>
      </c>
      <c r="B2563">
        <v>2004</v>
      </c>
      <c r="C2563" t="str">
        <f>_xlfn.CONCAT(Table13[[#This Row],[STATE]],"-",Table13[[#This Row],[Year]])</f>
        <v>Jammu &amp; Kashmir-2004</v>
      </c>
      <c r="D2563" t="s">
        <v>79</v>
      </c>
      <c r="E2563" t="s">
        <v>80</v>
      </c>
      <c r="F2563">
        <v>1432</v>
      </c>
      <c r="G2563">
        <v>13</v>
      </c>
      <c r="H2563">
        <v>6</v>
      </c>
      <c r="I2563">
        <v>0</v>
      </c>
      <c r="J2563">
        <v>1374</v>
      </c>
      <c r="K2563">
        <v>0</v>
      </c>
      <c r="L2563">
        <v>1</v>
      </c>
      <c r="M2563">
        <v>9</v>
      </c>
      <c r="N2563">
        <v>0</v>
      </c>
      <c r="O2563">
        <v>9</v>
      </c>
      <c r="P2563">
        <v>18</v>
      </c>
      <c r="Q2563">
        <v>2</v>
      </c>
      <c r="R2563">
        <f>SUM(Table13[[#This Row],[Rank_All_Ranks_Total]:[Rank_SSPSPAddlSPCommandant]])</f>
        <v>2864</v>
      </c>
    </row>
    <row r="2564" spans="1:18" x14ac:dyDescent="0.3">
      <c r="A2564" t="s">
        <v>16</v>
      </c>
      <c r="B2564">
        <v>2004</v>
      </c>
      <c r="C2564" t="str">
        <f>_xlfn.CONCAT(Table13[[#This Row],[STATE]],"-",Table13[[#This Row],[Year]])</f>
        <v>Jharkhand-2004</v>
      </c>
      <c r="D2564" t="s">
        <v>79</v>
      </c>
      <c r="E2564" t="s">
        <v>80</v>
      </c>
      <c r="F2564">
        <v>158</v>
      </c>
      <c r="G2564">
        <v>1</v>
      </c>
      <c r="H2564">
        <v>0</v>
      </c>
      <c r="I2564">
        <v>0</v>
      </c>
      <c r="J2564">
        <v>155</v>
      </c>
      <c r="K2564">
        <v>0</v>
      </c>
      <c r="L2564">
        <v>0</v>
      </c>
      <c r="M2564">
        <v>2</v>
      </c>
      <c r="N2564">
        <v>0</v>
      </c>
      <c r="O2564">
        <v>0</v>
      </c>
      <c r="P2564">
        <v>0</v>
      </c>
      <c r="Q2564">
        <v>0</v>
      </c>
      <c r="R2564">
        <f>SUM(Table13[[#This Row],[Rank_All_Ranks_Total]:[Rank_SSPSPAddlSPCommandant]])</f>
        <v>316</v>
      </c>
    </row>
    <row r="2565" spans="1:18" x14ac:dyDescent="0.3">
      <c r="A2565" t="s">
        <v>17</v>
      </c>
      <c r="B2565">
        <v>2004</v>
      </c>
      <c r="C2565" t="str">
        <f>_xlfn.CONCAT(Table13[[#This Row],[STATE]],"-",Table13[[#This Row],[Year]])</f>
        <v>Karnataka-2004</v>
      </c>
      <c r="D2565" t="s">
        <v>79</v>
      </c>
      <c r="E2565" t="s">
        <v>80</v>
      </c>
      <c r="F2565">
        <v>6475</v>
      </c>
      <c r="G2565">
        <v>283</v>
      </c>
      <c r="H2565">
        <v>11</v>
      </c>
      <c r="I2565">
        <v>0</v>
      </c>
      <c r="J2565">
        <v>4430</v>
      </c>
      <c r="K2565">
        <v>0</v>
      </c>
      <c r="L2565">
        <v>0</v>
      </c>
      <c r="M2565">
        <v>1498</v>
      </c>
      <c r="N2565">
        <v>0</v>
      </c>
      <c r="O2565">
        <v>51</v>
      </c>
      <c r="P2565">
        <v>197</v>
      </c>
      <c r="Q2565">
        <v>5</v>
      </c>
      <c r="R2565">
        <f>SUM(Table13[[#This Row],[Rank_All_Ranks_Total]:[Rank_SSPSPAddlSPCommandant]])</f>
        <v>12950</v>
      </c>
    </row>
    <row r="2566" spans="1:18" x14ac:dyDescent="0.3">
      <c r="A2566" t="s">
        <v>18</v>
      </c>
      <c r="B2566">
        <v>2004</v>
      </c>
      <c r="C2566" t="str">
        <f>_xlfn.CONCAT(Table13[[#This Row],[STATE]],"-",Table13[[#This Row],[Year]])</f>
        <v>Kerala-2004</v>
      </c>
      <c r="D2566" t="s">
        <v>79</v>
      </c>
      <c r="E2566" t="s">
        <v>80</v>
      </c>
      <c r="F2566">
        <v>2775</v>
      </c>
      <c r="G2566">
        <v>0</v>
      </c>
      <c r="H2566">
        <v>1</v>
      </c>
      <c r="I2566">
        <v>0</v>
      </c>
      <c r="J2566">
        <v>2484</v>
      </c>
      <c r="K2566">
        <v>0</v>
      </c>
      <c r="L2566">
        <v>0</v>
      </c>
      <c r="M2566">
        <v>194</v>
      </c>
      <c r="N2566">
        <v>0</v>
      </c>
      <c r="O2566">
        <v>21</v>
      </c>
      <c r="P2566">
        <v>75</v>
      </c>
      <c r="Q2566">
        <v>0</v>
      </c>
      <c r="R2566">
        <f>SUM(Table13[[#This Row],[Rank_All_Ranks_Total]:[Rank_SSPSPAddlSPCommandant]])</f>
        <v>5550</v>
      </c>
    </row>
    <row r="2567" spans="1:18" x14ac:dyDescent="0.3">
      <c r="A2567" t="s">
        <v>39</v>
      </c>
      <c r="B2567">
        <v>2004</v>
      </c>
      <c r="C2567" t="str">
        <f>_xlfn.CONCAT(Table13[[#This Row],[STATE]],"-",Table13[[#This Row],[Year]])</f>
        <v>Lakshadweep-2004</v>
      </c>
      <c r="D2567" t="s">
        <v>79</v>
      </c>
      <c r="E2567" t="s">
        <v>80</v>
      </c>
      <c r="F2567">
        <v>18</v>
      </c>
      <c r="G2567">
        <v>0</v>
      </c>
      <c r="H2567">
        <v>0</v>
      </c>
      <c r="I2567">
        <v>0</v>
      </c>
      <c r="J2567">
        <v>16</v>
      </c>
      <c r="K2567">
        <v>0</v>
      </c>
      <c r="L2567">
        <v>0</v>
      </c>
      <c r="M2567">
        <v>1</v>
      </c>
      <c r="N2567">
        <v>0</v>
      </c>
      <c r="O2567">
        <v>0</v>
      </c>
      <c r="P2567">
        <v>1</v>
      </c>
      <c r="Q2567">
        <v>0</v>
      </c>
      <c r="R2567">
        <f>SUM(Table13[[#This Row],[Rank_All_Ranks_Total]:[Rank_SSPSPAddlSPCommandant]])</f>
        <v>36</v>
      </c>
    </row>
    <row r="2568" spans="1:18" x14ac:dyDescent="0.3">
      <c r="A2568" t="s">
        <v>19</v>
      </c>
      <c r="B2568">
        <v>2004</v>
      </c>
      <c r="C2568" t="str">
        <f>_xlfn.CONCAT(Table13[[#This Row],[STATE]],"-",Table13[[#This Row],[Year]])</f>
        <v>Madhya Pradesh-2004</v>
      </c>
      <c r="D2568" t="s">
        <v>79</v>
      </c>
      <c r="E2568" t="s">
        <v>80</v>
      </c>
      <c r="F2568">
        <v>1955</v>
      </c>
      <c r="G2568">
        <v>47</v>
      </c>
      <c r="H2568">
        <v>36</v>
      </c>
      <c r="I2568">
        <v>0</v>
      </c>
      <c r="J2568">
        <v>1018</v>
      </c>
      <c r="K2568">
        <v>0</v>
      </c>
      <c r="L2568">
        <v>1</v>
      </c>
      <c r="M2568">
        <v>734</v>
      </c>
      <c r="N2568">
        <v>1</v>
      </c>
      <c r="O2568">
        <v>14</v>
      </c>
      <c r="P2568">
        <v>100</v>
      </c>
      <c r="Q2568">
        <v>4</v>
      </c>
      <c r="R2568">
        <f>SUM(Table13[[#This Row],[Rank_All_Ranks_Total]:[Rank_SSPSPAddlSPCommandant]])</f>
        <v>3910</v>
      </c>
    </row>
    <row r="2569" spans="1:18" x14ac:dyDescent="0.3">
      <c r="A2569" t="s">
        <v>20</v>
      </c>
      <c r="B2569">
        <v>2004</v>
      </c>
      <c r="C2569" t="str">
        <f>_xlfn.CONCAT(Table13[[#This Row],[STATE]],"-",Table13[[#This Row],[Year]])</f>
        <v>Maharashtra-2004</v>
      </c>
      <c r="D2569" t="s">
        <v>79</v>
      </c>
      <c r="E2569" t="s">
        <v>80</v>
      </c>
      <c r="F2569">
        <v>3497</v>
      </c>
      <c r="G2569">
        <v>31</v>
      </c>
      <c r="H2569">
        <v>3</v>
      </c>
      <c r="I2569">
        <v>0</v>
      </c>
      <c r="J2569">
        <v>2944</v>
      </c>
      <c r="K2569">
        <v>0</v>
      </c>
      <c r="L2569">
        <v>0</v>
      </c>
      <c r="M2569">
        <v>334</v>
      </c>
      <c r="N2569">
        <v>0</v>
      </c>
      <c r="O2569">
        <v>17</v>
      </c>
      <c r="P2569">
        <v>168</v>
      </c>
      <c r="Q2569">
        <v>0</v>
      </c>
      <c r="R2569">
        <f>SUM(Table13[[#This Row],[Rank_All_Ranks_Total]:[Rank_SSPSPAddlSPCommandant]])</f>
        <v>6994</v>
      </c>
    </row>
    <row r="2570" spans="1:18" x14ac:dyDescent="0.3">
      <c r="A2570" t="s">
        <v>21</v>
      </c>
      <c r="B2570">
        <v>2004</v>
      </c>
      <c r="C2570" t="str">
        <f>_xlfn.CONCAT(Table13[[#This Row],[STATE]],"-",Table13[[#This Row],[Year]])</f>
        <v>Manipur-2004</v>
      </c>
      <c r="D2570" t="s">
        <v>79</v>
      </c>
      <c r="E2570" t="s">
        <v>80</v>
      </c>
      <c r="F2570">
        <v>264</v>
      </c>
      <c r="G2570">
        <v>2</v>
      </c>
      <c r="H2570">
        <v>0</v>
      </c>
      <c r="I2570">
        <v>3</v>
      </c>
      <c r="J2570">
        <v>253</v>
      </c>
      <c r="K2570">
        <v>0</v>
      </c>
      <c r="L2570">
        <v>0</v>
      </c>
      <c r="M2570">
        <v>3</v>
      </c>
      <c r="N2570">
        <v>0</v>
      </c>
      <c r="O2570">
        <v>0</v>
      </c>
      <c r="P2570">
        <v>3</v>
      </c>
      <c r="Q2570">
        <v>0</v>
      </c>
      <c r="R2570">
        <f>SUM(Table13[[#This Row],[Rank_All_Ranks_Total]:[Rank_SSPSPAddlSPCommandant]])</f>
        <v>528</v>
      </c>
    </row>
    <row r="2571" spans="1:18" x14ac:dyDescent="0.3">
      <c r="A2571" t="s">
        <v>22</v>
      </c>
      <c r="B2571">
        <v>2004</v>
      </c>
      <c r="C2571" t="str">
        <f>_xlfn.CONCAT(Table13[[#This Row],[STATE]],"-",Table13[[#This Row],[Year]])</f>
        <v>Meghalaya-2004</v>
      </c>
      <c r="D2571" t="s">
        <v>79</v>
      </c>
      <c r="E2571" t="s">
        <v>80</v>
      </c>
      <c r="F2571">
        <v>44</v>
      </c>
      <c r="G2571">
        <v>0</v>
      </c>
      <c r="H2571">
        <v>0</v>
      </c>
      <c r="I2571">
        <v>0</v>
      </c>
      <c r="J2571">
        <v>40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4</v>
      </c>
      <c r="Q2571">
        <v>0</v>
      </c>
      <c r="R2571">
        <f>SUM(Table13[[#This Row],[Rank_All_Ranks_Total]:[Rank_SSPSPAddlSPCommandant]])</f>
        <v>88</v>
      </c>
    </row>
    <row r="2572" spans="1:18" x14ac:dyDescent="0.3">
      <c r="A2572" t="s">
        <v>23</v>
      </c>
      <c r="B2572">
        <v>2004</v>
      </c>
      <c r="C2572" t="str">
        <f>_xlfn.CONCAT(Table13[[#This Row],[STATE]],"-",Table13[[#This Row],[Year]])</f>
        <v>Mizoram-2004</v>
      </c>
      <c r="D2572" t="s">
        <v>79</v>
      </c>
      <c r="E2572" t="s">
        <v>80</v>
      </c>
      <c r="F2572">
        <v>6</v>
      </c>
      <c r="G2572">
        <v>0</v>
      </c>
      <c r="H2572">
        <v>0</v>
      </c>
      <c r="I2572">
        <v>0</v>
      </c>
      <c r="J2572">
        <v>6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f>SUM(Table13[[#This Row],[Rank_All_Ranks_Total]:[Rank_SSPSPAddlSPCommandant]])</f>
        <v>12</v>
      </c>
    </row>
    <row r="2573" spans="1:18" x14ac:dyDescent="0.3">
      <c r="A2573" t="s">
        <v>24</v>
      </c>
      <c r="B2573">
        <v>2004</v>
      </c>
      <c r="C2573" t="str">
        <f>_xlfn.CONCAT(Table13[[#This Row],[STATE]],"-",Table13[[#This Row],[Year]])</f>
        <v>Nagaland-2004</v>
      </c>
      <c r="D2573" t="s">
        <v>79</v>
      </c>
      <c r="E2573" t="s">
        <v>80</v>
      </c>
      <c r="F2573">
        <v>76</v>
      </c>
      <c r="G2573">
        <v>6</v>
      </c>
      <c r="H2573">
        <v>1</v>
      </c>
      <c r="I2573">
        <v>0</v>
      </c>
      <c r="J2573">
        <v>63</v>
      </c>
      <c r="K2573">
        <v>0</v>
      </c>
      <c r="L2573">
        <v>0</v>
      </c>
      <c r="M2573">
        <v>0</v>
      </c>
      <c r="N2573">
        <v>0</v>
      </c>
      <c r="O2573">
        <v>1</v>
      </c>
      <c r="P2573">
        <v>5</v>
      </c>
      <c r="Q2573">
        <v>0</v>
      </c>
      <c r="R2573">
        <f>SUM(Table13[[#This Row],[Rank_All_Ranks_Total]:[Rank_SSPSPAddlSPCommandant]])</f>
        <v>152</v>
      </c>
    </row>
    <row r="2574" spans="1:18" x14ac:dyDescent="0.3">
      <c r="A2574" t="s">
        <v>63</v>
      </c>
      <c r="B2574">
        <v>2004</v>
      </c>
      <c r="C2574" t="str">
        <f>_xlfn.CONCAT(Table13[[#This Row],[STATE]],"-",Table13[[#This Row],[Year]])</f>
        <v>Odisha-2004</v>
      </c>
      <c r="D2574" t="s">
        <v>79</v>
      </c>
      <c r="E2574" t="s">
        <v>80</v>
      </c>
      <c r="F2574">
        <v>342</v>
      </c>
      <c r="G2574">
        <v>47</v>
      </c>
      <c r="H2574">
        <v>1</v>
      </c>
      <c r="I2574">
        <v>0</v>
      </c>
      <c r="J2574">
        <v>241</v>
      </c>
      <c r="K2574">
        <v>0</v>
      </c>
      <c r="L2574">
        <v>0</v>
      </c>
      <c r="M2574">
        <v>0</v>
      </c>
      <c r="N2574">
        <v>0</v>
      </c>
      <c r="O2574">
        <v>12</v>
      </c>
      <c r="P2574">
        <v>41</v>
      </c>
      <c r="Q2574">
        <v>0</v>
      </c>
      <c r="R2574">
        <f>SUM(Table13[[#This Row],[Rank_All_Ranks_Total]:[Rank_SSPSPAddlSPCommandant]])</f>
        <v>684</v>
      </c>
    </row>
    <row r="2575" spans="1:18" x14ac:dyDescent="0.3">
      <c r="A2575" t="s">
        <v>64</v>
      </c>
      <c r="B2575">
        <v>2004</v>
      </c>
      <c r="C2575" t="str">
        <f>_xlfn.CONCAT(Table13[[#This Row],[STATE]],"-",Table13[[#This Row],[Year]])</f>
        <v>Puducherry-2004</v>
      </c>
      <c r="D2575" t="s">
        <v>79</v>
      </c>
      <c r="E2575" t="s">
        <v>80</v>
      </c>
      <c r="F2575">
        <v>81</v>
      </c>
      <c r="G2575">
        <v>2</v>
      </c>
      <c r="H2575">
        <v>0</v>
      </c>
      <c r="I2575">
        <v>0</v>
      </c>
      <c r="J2575">
        <v>70</v>
      </c>
      <c r="K2575">
        <v>0</v>
      </c>
      <c r="L2575">
        <v>0</v>
      </c>
      <c r="M2575">
        <v>6</v>
      </c>
      <c r="N2575">
        <v>0</v>
      </c>
      <c r="O2575">
        <v>2</v>
      </c>
      <c r="P2575">
        <v>1</v>
      </c>
      <c r="Q2575">
        <v>0</v>
      </c>
      <c r="R2575">
        <f>SUM(Table13[[#This Row],[Rank_All_Ranks_Total]:[Rank_SSPSPAddlSPCommandant]])</f>
        <v>162</v>
      </c>
    </row>
    <row r="2576" spans="1:18" x14ac:dyDescent="0.3">
      <c r="A2576" t="s">
        <v>26</v>
      </c>
      <c r="B2576">
        <v>2004</v>
      </c>
      <c r="C2576" t="str">
        <f>_xlfn.CONCAT(Table13[[#This Row],[STATE]],"-",Table13[[#This Row],[Year]])</f>
        <v>Punjab-2004</v>
      </c>
      <c r="D2576" t="s">
        <v>79</v>
      </c>
      <c r="E2576" t="s">
        <v>80</v>
      </c>
      <c r="F2576">
        <v>1515</v>
      </c>
      <c r="G2576">
        <v>106</v>
      </c>
      <c r="H2576">
        <v>0</v>
      </c>
      <c r="I2576">
        <v>1100</v>
      </c>
      <c r="J2576">
        <v>0</v>
      </c>
      <c r="K2576">
        <v>0</v>
      </c>
      <c r="L2576">
        <v>0</v>
      </c>
      <c r="M2576">
        <v>240</v>
      </c>
      <c r="N2576">
        <v>0</v>
      </c>
      <c r="O2576">
        <v>21</v>
      </c>
      <c r="P2576">
        <v>48</v>
      </c>
      <c r="Q2576">
        <v>0</v>
      </c>
      <c r="R2576">
        <f>SUM(Table13[[#This Row],[Rank_All_Ranks_Total]:[Rank_SSPSPAddlSPCommandant]])</f>
        <v>3030</v>
      </c>
    </row>
    <row r="2577" spans="1:18" x14ac:dyDescent="0.3">
      <c r="A2577" t="s">
        <v>27</v>
      </c>
      <c r="B2577">
        <v>2004</v>
      </c>
      <c r="C2577" t="str">
        <f>_xlfn.CONCAT(Table13[[#This Row],[STATE]],"-",Table13[[#This Row],[Year]])</f>
        <v>Rajasthan-2004</v>
      </c>
      <c r="D2577" t="s">
        <v>79</v>
      </c>
      <c r="E2577" t="s">
        <v>80</v>
      </c>
      <c r="F2577">
        <v>720</v>
      </c>
      <c r="G2577">
        <v>17</v>
      </c>
      <c r="H2577">
        <v>2</v>
      </c>
      <c r="I2577">
        <v>0</v>
      </c>
      <c r="J2577">
        <v>640</v>
      </c>
      <c r="K2577">
        <v>0</v>
      </c>
      <c r="L2577">
        <v>0</v>
      </c>
      <c r="M2577">
        <v>23</v>
      </c>
      <c r="N2577">
        <v>0</v>
      </c>
      <c r="O2577">
        <v>2</v>
      </c>
      <c r="P2577">
        <v>36</v>
      </c>
      <c r="Q2577">
        <v>0</v>
      </c>
      <c r="R2577">
        <f>SUM(Table13[[#This Row],[Rank_All_Ranks_Total]:[Rank_SSPSPAddlSPCommandant]])</f>
        <v>1440</v>
      </c>
    </row>
    <row r="2578" spans="1:18" x14ac:dyDescent="0.3">
      <c r="A2578" t="s">
        <v>28</v>
      </c>
      <c r="B2578">
        <v>2004</v>
      </c>
      <c r="C2578" t="str">
        <f>_xlfn.CONCAT(Table13[[#This Row],[STATE]],"-",Table13[[#This Row],[Year]])</f>
        <v>Sikkim-2004</v>
      </c>
      <c r="D2578" t="s">
        <v>79</v>
      </c>
      <c r="E2578" t="s">
        <v>80</v>
      </c>
      <c r="F2578">
        <v>167</v>
      </c>
      <c r="G2578">
        <v>1</v>
      </c>
      <c r="H2578">
        <v>1</v>
      </c>
      <c r="I2578">
        <v>0</v>
      </c>
      <c r="J2578">
        <v>133</v>
      </c>
      <c r="K2578">
        <v>0</v>
      </c>
      <c r="L2578">
        <v>0</v>
      </c>
      <c r="M2578">
        <v>0</v>
      </c>
      <c r="N2578">
        <v>0</v>
      </c>
      <c r="O2578">
        <v>8</v>
      </c>
      <c r="P2578">
        <v>23</v>
      </c>
      <c r="Q2578">
        <v>1</v>
      </c>
      <c r="R2578">
        <f>SUM(Table13[[#This Row],[Rank_All_Ranks_Total]:[Rank_SSPSPAddlSPCommandant]])</f>
        <v>334</v>
      </c>
    </row>
    <row r="2579" spans="1:18" x14ac:dyDescent="0.3">
      <c r="A2579" t="s">
        <v>42</v>
      </c>
      <c r="B2579">
        <v>2004</v>
      </c>
      <c r="C2579" t="str">
        <f>_xlfn.CONCAT(Table13[[#This Row],[STATE]],"-",Table13[[#This Row],[Year]])</f>
        <v>Tamil Nadu-2004</v>
      </c>
      <c r="D2579" t="s">
        <v>79</v>
      </c>
      <c r="E2579" t="s">
        <v>80</v>
      </c>
      <c r="F2579">
        <v>9579</v>
      </c>
      <c r="G2579">
        <v>0</v>
      </c>
      <c r="H2579">
        <v>26</v>
      </c>
      <c r="I2579">
        <v>35</v>
      </c>
      <c r="J2579">
        <v>6575</v>
      </c>
      <c r="K2579">
        <v>2</v>
      </c>
      <c r="L2579">
        <v>2</v>
      </c>
      <c r="M2579">
        <v>1348</v>
      </c>
      <c r="N2579">
        <v>1</v>
      </c>
      <c r="O2579">
        <v>195</v>
      </c>
      <c r="P2579">
        <v>1371</v>
      </c>
      <c r="Q2579">
        <v>24</v>
      </c>
      <c r="R2579">
        <f>SUM(Table13[[#This Row],[Rank_All_Ranks_Total]:[Rank_SSPSPAddlSPCommandant]])</f>
        <v>19158</v>
      </c>
    </row>
    <row r="2580" spans="1:18" x14ac:dyDescent="0.3">
      <c r="A2580" t="s">
        <v>30</v>
      </c>
      <c r="B2580">
        <v>2004</v>
      </c>
      <c r="C2580" t="str">
        <f>_xlfn.CONCAT(Table13[[#This Row],[STATE]],"-",Table13[[#This Row],[Year]])</f>
        <v>Tripura-2004</v>
      </c>
      <c r="D2580" t="s">
        <v>79</v>
      </c>
      <c r="E2580" t="s">
        <v>80</v>
      </c>
      <c r="F2580">
        <v>479</v>
      </c>
      <c r="G2580">
        <v>24</v>
      </c>
      <c r="H2580">
        <v>2</v>
      </c>
      <c r="I2580">
        <v>16</v>
      </c>
      <c r="J2580">
        <v>360</v>
      </c>
      <c r="K2580">
        <v>0</v>
      </c>
      <c r="L2580">
        <v>0</v>
      </c>
      <c r="M2580">
        <v>43</v>
      </c>
      <c r="N2580">
        <v>0</v>
      </c>
      <c r="O2580">
        <v>1</v>
      </c>
      <c r="P2580">
        <v>32</v>
      </c>
      <c r="Q2580">
        <v>1</v>
      </c>
      <c r="R2580">
        <f>SUM(Table13[[#This Row],[Rank_All_Ranks_Total]:[Rank_SSPSPAddlSPCommandant]])</f>
        <v>958</v>
      </c>
    </row>
    <row r="2581" spans="1:18" x14ac:dyDescent="0.3">
      <c r="A2581" t="s">
        <v>31</v>
      </c>
      <c r="B2581">
        <v>2004</v>
      </c>
      <c r="C2581" t="str">
        <f>_xlfn.CONCAT(Table13[[#This Row],[STATE]],"-",Table13[[#This Row],[Year]])</f>
        <v>Uttar Pradesh-2004</v>
      </c>
      <c r="D2581" t="s">
        <v>79</v>
      </c>
      <c r="E2581" t="s">
        <v>80</v>
      </c>
      <c r="F2581">
        <v>1877</v>
      </c>
      <c r="G2581">
        <v>0</v>
      </c>
      <c r="H2581">
        <v>0</v>
      </c>
      <c r="I2581">
        <v>0</v>
      </c>
      <c r="J2581">
        <v>1541</v>
      </c>
      <c r="K2581">
        <v>0</v>
      </c>
      <c r="L2581">
        <v>0</v>
      </c>
      <c r="M2581">
        <v>142</v>
      </c>
      <c r="N2581">
        <v>0</v>
      </c>
      <c r="O2581">
        <v>11</v>
      </c>
      <c r="P2581">
        <v>183</v>
      </c>
      <c r="Q2581">
        <v>0</v>
      </c>
      <c r="R2581">
        <f>SUM(Table13[[#This Row],[Rank_All_Ranks_Total]:[Rank_SSPSPAddlSPCommandant]])</f>
        <v>3754</v>
      </c>
    </row>
    <row r="2582" spans="1:18" x14ac:dyDescent="0.3">
      <c r="A2582" t="s">
        <v>65</v>
      </c>
      <c r="B2582">
        <v>2004</v>
      </c>
      <c r="C2582" t="str">
        <f>_xlfn.CONCAT(Table13[[#This Row],[STATE]],"-",Table13[[#This Row],[Year]])</f>
        <v>Uttarakhand-2004</v>
      </c>
      <c r="D2582" t="s">
        <v>79</v>
      </c>
      <c r="E2582" t="s">
        <v>80</v>
      </c>
      <c r="F2582">
        <v>186</v>
      </c>
      <c r="G2582">
        <v>0</v>
      </c>
      <c r="H2582">
        <v>0</v>
      </c>
      <c r="I2582">
        <v>0</v>
      </c>
      <c r="J2582">
        <v>164</v>
      </c>
      <c r="K2582">
        <v>0</v>
      </c>
      <c r="L2582">
        <v>0</v>
      </c>
      <c r="M2582">
        <v>13</v>
      </c>
      <c r="N2582">
        <v>0</v>
      </c>
      <c r="O2582">
        <v>0</v>
      </c>
      <c r="P2582">
        <v>9</v>
      </c>
      <c r="Q2582">
        <v>0</v>
      </c>
      <c r="R2582">
        <f>SUM(Table13[[#This Row],[Rank_All_Ranks_Total]:[Rank_SSPSPAddlSPCommandant]])</f>
        <v>372</v>
      </c>
    </row>
    <row r="2583" spans="1:18" x14ac:dyDescent="0.3">
      <c r="A2583" t="s">
        <v>33</v>
      </c>
      <c r="B2583">
        <v>2004</v>
      </c>
      <c r="C2583" t="str">
        <f>_xlfn.CONCAT(Table13[[#This Row],[STATE]],"-",Table13[[#This Row],[Year]])</f>
        <v>West Bengal-2004</v>
      </c>
      <c r="D2583" t="s">
        <v>79</v>
      </c>
      <c r="E2583" t="s">
        <v>80</v>
      </c>
      <c r="F2583">
        <v>1448</v>
      </c>
      <c r="G2583">
        <v>120</v>
      </c>
      <c r="H2583">
        <v>9</v>
      </c>
      <c r="I2583">
        <v>0</v>
      </c>
      <c r="J2583">
        <v>1123</v>
      </c>
      <c r="K2583">
        <v>0</v>
      </c>
      <c r="L2583">
        <v>1</v>
      </c>
      <c r="M2583">
        <v>7</v>
      </c>
      <c r="N2583">
        <v>1</v>
      </c>
      <c r="O2583">
        <v>17</v>
      </c>
      <c r="P2583">
        <v>168</v>
      </c>
      <c r="Q2583">
        <v>2</v>
      </c>
      <c r="R2583">
        <f>SUM(Table13[[#This Row],[Rank_All_Ranks_Total]:[Rank_SSPSPAddlSPCommandant]])</f>
        <v>2896</v>
      </c>
    </row>
    <row r="2584" spans="1:18" x14ac:dyDescent="0.3">
      <c r="A2584" t="s">
        <v>59</v>
      </c>
      <c r="B2584">
        <v>2005</v>
      </c>
      <c r="C2584" t="str">
        <f>_xlfn.CONCAT(Table13[[#This Row],[STATE]],"-",Table13[[#This Row],[Year]])</f>
        <v>Andaman &amp; Nicobar Islands-2005</v>
      </c>
      <c r="D2584" t="s">
        <v>79</v>
      </c>
      <c r="E2584" t="s">
        <v>80</v>
      </c>
      <c r="F2584">
        <v>16</v>
      </c>
      <c r="G2584">
        <v>0</v>
      </c>
      <c r="H2584">
        <v>0</v>
      </c>
      <c r="I2584">
        <v>0</v>
      </c>
      <c r="J2584">
        <v>10</v>
      </c>
      <c r="K2584">
        <v>0</v>
      </c>
      <c r="L2584">
        <v>0</v>
      </c>
      <c r="M2584">
        <v>4</v>
      </c>
      <c r="N2584">
        <v>0</v>
      </c>
      <c r="O2584">
        <v>0</v>
      </c>
      <c r="P2584">
        <v>2</v>
      </c>
      <c r="Q2584">
        <v>0</v>
      </c>
      <c r="R2584">
        <f>SUM(Table13[[#This Row],[Rank_All_Ranks_Total]:[Rank_SSPSPAddlSPCommandant]])</f>
        <v>32</v>
      </c>
    </row>
    <row r="2585" spans="1:18" x14ac:dyDescent="0.3">
      <c r="A2585" t="s">
        <v>6</v>
      </c>
      <c r="B2585">
        <v>2005</v>
      </c>
      <c r="C2585" t="str">
        <f>_xlfn.CONCAT(Table13[[#This Row],[STATE]],"-",Table13[[#This Row],[Year]])</f>
        <v>Andhra Pradesh-2005</v>
      </c>
      <c r="D2585" t="s">
        <v>79</v>
      </c>
      <c r="E2585" t="s">
        <v>80</v>
      </c>
      <c r="F2585">
        <v>1472</v>
      </c>
      <c r="G2585">
        <v>0</v>
      </c>
      <c r="H2585">
        <v>2</v>
      </c>
      <c r="I2585">
        <v>0</v>
      </c>
      <c r="J2585">
        <v>1323</v>
      </c>
      <c r="K2585">
        <v>0</v>
      </c>
      <c r="L2585">
        <v>2</v>
      </c>
      <c r="M2585">
        <v>63</v>
      </c>
      <c r="N2585">
        <v>1</v>
      </c>
      <c r="O2585">
        <v>8</v>
      </c>
      <c r="P2585">
        <v>66</v>
      </c>
      <c r="Q2585">
        <v>7</v>
      </c>
      <c r="R2585">
        <f>SUM(Table13[[#This Row],[Rank_All_Ranks_Total]:[Rank_SSPSPAddlSPCommandant]])</f>
        <v>2944</v>
      </c>
    </row>
    <row r="2586" spans="1:18" x14ac:dyDescent="0.3">
      <c r="A2586" t="s">
        <v>7</v>
      </c>
      <c r="B2586">
        <v>2005</v>
      </c>
      <c r="C2586" t="str">
        <f>_xlfn.CONCAT(Table13[[#This Row],[STATE]],"-",Table13[[#This Row],[Year]])</f>
        <v>Arunachal Pradesh-2005</v>
      </c>
      <c r="D2586" t="s">
        <v>79</v>
      </c>
      <c r="E2586" t="s">
        <v>80</v>
      </c>
      <c r="F2586">
        <v>65</v>
      </c>
      <c r="G2586">
        <v>4</v>
      </c>
      <c r="H2586">
        <v>0</v>
      </c>
      <c r="I2586">
        <v>0</v>
      </c>
      <c r="J2586">
        <v>40</v>
      </c>
      <c r="K2586">
        <v>0</v>
      </c>
      <c r="L2586">
        <v>0</v>
      </c>
      <c r="M2586">
        <v>12</v>
      </c>
      <c r="N2586">
        <v>0</v>
      </c>
      <c r="O2586">
        <v>0</v>
      </c>
      <c r="P2586">
        <v>9</v>
      </c>
      <c r="Q2586">
        <v>0</v>
      </c>
      <c r="R2586">
        <f>SUM(Table13[[#This Row],[Rank_All_Ranks_Total]:[Rank_SSPSPAddlSPCommandant]])</f>
        <v>130</v>
      </c>
    </row>
    <row r="2587" spans="1:18" x14ac:dyDescent="0.3">
      <c r="A2587" t="s">
        <v>8</v>
      </c>
      <c r="B2587">
        <v>2005</v>
      </c>
      <c r="C2587" t="str">
        <f>_xlfn.CONCAT(Table13[[#This Row],[STATE]],"-",Table13[[#This Row],[Year]])</f>
        <v>Assam-2005</v>
      </c>
      <c r="D2587" t="s">
        <v>79</v>
      </c>
      <c r="E2587" t="s">
        <v>80</v>
      </c>
      <c r="F2587">
        <v>223</v>
      </c>
      <c r="G2587">
        <v>5</v>
      </c>
      <c r="H2587">
        <v>0</v>
      </c>
      <c r="I2587">
        <v>8</v>
      </c>
      <c r="J2587">
        <v>185</v>
      </c>
      <c r="K2587">
        <v>0</v>
      </c>
      <c r="L2587">
        <v>0</v>
      </c>
      <c r="M2587">
        <v>8</v>
      </c>
      <c r="N2587">
        <v>0</v>
      </c>
      <c r="O2587">
        <v>0</v>
      </c>
      <c r="P2587">
        <v>17</v>
      </c>
      <c r="Q2587">
        <v>0</v>
      </c>
      <c r="R2587">
        <f>SUM(Table13[[#This Row],[Rank_All_Ranks_Total]:[Rank_SSPSPAddlSPCommandant]])</f>
        <v>446</v>
      </c>
    </row>
    <row r="2588" spans="1:18" x14ac:dyDescent="0.3">
      <c r="A2588" t="s">
        <v>9</v>
      </c>
      <c r="B2588">
        <v>2005</v>
      </c>
      <c r="C2588" t="str">
        <f>_xlfn.CONCAT(Table13[[#This Row],[STATE]],"-",Table13[[#This Row],[Year]])</f>
        <v>Bihar-2005</v>
      </c>
      <c r="D2588" t="s">
        <v>79</v>
      </c>
      <c r="E2588" t="s">
        <v>80</v>
      </c>
      <c r="F2588">
        <v>890</v>
      </c>
      <c r="G2588">
        <v>10</v>
      </c>
      <c r="H2588">
        <v>3</v>
      </c>
      <c r="I2588">
        <v>0</v>
      </c>
      <c r="J2588">
        <v>800</v>
      </c>
      <c r="K2588">
        <v>0</v>
      </c>
      <c r="L2588">
        <v>0</v>
      </c>
      <c r="M2588">
        <v>22</v>
      </c>
      <c r="N2588">
        <v>0</v>
      </c>
      <c r="O2588">
        <v>1</v>
      </c>
      <c r="P2588">
        <v>50</v>
      </c>
      <c r="Q2588">
        <v>4</v>
      </c>
      <c r="R2588">
        <f>SUM(Table13[[#This Row],[Rank_All_Ranks_Total]:[Rank_SSPSPAddlSPCommandant]])</f>
        <v>1780</v>
      </c>
    </row>
    <row r="2589" spans="1:18" x14ac:dyDescent="0.3">
      <c r="A2589" t="s">
        <v>35</v>
      </c>
      <c r="B2589">
        <v>2005</v>
      </c>
      <c r="C2589" t="str">
        <f>_xlfn.CONCAT(Table13[[#This Row],[STATE]],"-",Table13[[#This Row],[Year]])</f>
        <v>Chandigarh-2005</v>
      </c>
      <c r="D2589" t="s">
        <v>79</v>
      </c>
      <c r="E2589" t="s">
        <v>80</v>
      </c>
      <c r="F2589">
        <v>35</v>
      </c>
      <c r="G2589">
        <v>1</v>
      </c>
      <c r="H2589">
        <v>0</v>
      </c>
      <c r="I2589">
        <v>0</v>
      </c>
      <c r="J2589">
        <v>31</v>
      </c>
      <c r="K2589">
        <v>0</v>
      </c>
      <c r="L2589">
        <v>0</v>
      </c>
      <c r="M2589">
        <v>2</v>
      </c>
      <c r="N2589">
        <v>0</v>
      </c>
      <c r="O2589">
        <v>0</v>
      </c>
      <c r="P2589">
        <v>1</v>
      </c>
      <c r="Q2589">
        <v>0</v>
      </c>
      <c r="R2589">
        <f>SUM(Table13[[#This Row],[Rank_All_Ranks_Total]:[Rank_SSPSPAddlSPCommandant]])</f>
        <v>70</v>
      </c>
    </row>
    <row r="2590" spans="1:18" x14ac:dyDescent="0.3">
      <c r="A2590" t="s">
        <v>10</v>
      </c>
      <c r="B2590">
        <v>2005</v>
      </c>
      <c r="C2590" t="str">
        <f>_xlfn.CONCAT(Table13[[#This Row],[STATE]],"-",Table13[[#This Row],[Year]])</f>
        <v>Chhattisgarh-2005</v>
      </c>
      <c r="D2590" t="s">
        <v>79</v>
      </c>
      <c r="E2590" t="s">
        <v>80</v>
      </c>
      <c r="F2590">
        <v>567</v>
      </c>
      <c r="G2590">
        <v>15</v>
      </c>
      <c r="H2590">
        <v>0</v>
      </c>
      <c r="I2590">
        <v>0</v>
      </c>
      <c r="J2590">
        <v>422</v>
      </c>
      <c r="K2590">
        <v>0</v>
      </c>
      <c r="L2590">
        <v>0</v>
      </c>
      <c r="M2590">
        <v>63</v>
      </c>
      <c r="N2590">
        <v>0</v>
      </c>
      <c r="O2590">
        <v>4</v>
      </c>
      <c r="P2590">
        <v>63</v>
      </c>
      <c r="Q2590">
        <v>0</v>
      </c>
      <c r="R2590">
        <f>SUM(Table13[[#This Row],[Rank_All_Ranks_Total]:[Rank_SSPSPAddlSPCommandant]])</f>
        <v>1134</v>
      </c>
    </row>
    <row r="2591" spans="1:18" x14ac:dyDescent="0.3">
      <c r="A2591" t="s">
        <v>62</v>
      </c>
      <c r="B2591">
        <v>2005</v>
      </c>
      <c r="C2591" t="str">
        <f>_xlfn.CONCAT(Table13[[#This Row],[STATE]],"-",Table13[[#This Row],[Year]])</f>
        <v>Dadra &amp; Nagar Haveli-2005</v>
      </c>
      <c r="D2591" t="s">
        <v>79</v>
      </c>
      <c r="E2591" t="s">
        <v>80</v>
      </c>
      <c r="F2591">
        <v>9</v>
      </c>
      <c r="G2591">
        <v>0</v>
      </c>
      <c r="H2591">
        <v>0</v>
      </c>
      <c r="I2591">
        <v>0</v>
      </c>
      <c r="J2591">
        <v>4</v>
      </c>
      <c r="K2591">
        <v>0</v>
      </c>
      <c r="L2591">
        <v>0</v>
      </c>
      <c r="M2591">
        <v>3</v>
      </c>
      <c r="N2591">
        <v>0</v>
      </c>
      <c r="O2591">
        <v>0</v>
      </c>
      <c r="P2591">
        <v>2</v>
      </c>
      <c r="Q2591">
        <v>0</v>
      </c>
      <c r="R2591">
        <f>SUM(Table13[[#This Row],[Rank_All_Ranks_Total]:[Rank_SSPSPAddlSPCommandant]])</f>
        <v>18</v>
      </c>
    </row>
    <row r="2592" spans="1:18" x14ac:dyDescent="0.3">
      <c r="A2592" t="s">
        <v>37</v>
      </c>
      <c r="B2592">
        <v>2005</v>
      </c>
      <c r="C2592" t="str">
        <f>_xlfn.CONCAT(Table13[[#This Row],[STATE]],"-",Table13[[#This Row],[Year]])</f>
        <v>Daman &amp; Diu-2005</v>
      </c>
      <c r="D2592" t="s">
        <v>79</v>
      </c>
      <c r="E2592" t="s">
        <v>80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f>SUM(Table13[[#This Row],[Rank_All_Ranks_Total]:[Rank_SSPSPAddlSPCommandant]])</f>
        <v>0</v>
      </c>
    </row>
    <row r="2593" spans="1:18" x14ac:dyDescent="0.3">
      <c r="A2593" t="s">
        <v>38</v>
      </c>
      <c r="B2593">
        <v>2005</v>
      </c>
      <c r="C2593" t="str">
        <f>_xlfn.CONCAT(Table13[[#This Row],[STATE]],"-",Table13[[#This Row],[Year]])</f>
        <v>Delhi-2005</v>
      </c>
      <c r="D2593" t="s">
        <v>79</v>
      </c>
      <c r="E2593" t="s">
        <v>80</v>
      </c>
      <c r="F2593">
        <v>2229</v>
      </c>
      <c r="G2593">
        <v>305</v>
      </c>
      <c r="H2593">
        <v>1</v>
      </c>
      <c r="I2593">
        <v>0</v>
      </c>
      <c r="J2593">
        <v>1178</v>
      </c>
      <c r="K2593">
        <v>0</v>
      </c>
      <c r="L2593">
        <v>0</v>
      </c>
      <c r="M2593">
        <v>461</v>
      </c>
      <c r="N2593">
        <v>0</v>
      </c>
      <c r="O2593">
        <v>71</v>
      </c>
      <c r="P2593">
        <v>213</v>
      </c>
      <c r="Q2593">
        <v>0</v>
      </c>
      <c r="R2593">
        <f>SUM(Table13[[#This Row],[Rank_All_Ranks_Total]:[Rank_SSPSPAddlSPCommandant]])</f>
        <v>4458</v>
      </c>
    </row>
    <row r="2594" spans="1:18" x14ac:dyDescent="0.3">
      <c r="A2594" t="s">
        <v>11</v>
      </c>
      <c r="B2594">
        <v>2005</v>
      </c>
      <c r="C2594" t="str">
        <f>_xlfn.CONCAT(Table13[[#This Row],[STATE]],"-",Table13[[#This Row],[Year]])</f>
        <v>Goa-2005</v>
      </c>
      <c r="D2594" t="s">
        <v>79</v>
      </c>
      <c r="E2594" t="s">
        <v>80</v>
      </c>
      <c r="F2594">
        <v>185</v>
      </c>
      <c r="G2594">
        <v>1</v>
      </c>
      <c r="H2594">
        <v>0</v>
      </c>
      <c r="I2594">
        <v>0</v>
      </c>
      <c r="J2594">
        <v>176</v>
      </c>
      <c r="K2594">
        <v>0</v>
      </c>
      <c r="L2594">
        <v>0</v>
      </c>
      <c r="M2594">
        <v>5</v>
      </c>
      <c r="N2594">
        <v>0</v>
      </c>
      <c r="O2594">
        <v>0</v>
      </c>
      <c r="P2594">
        <v>3</v>
      </c>
      <c r="Q2594">
        <v>0</v>
      </c>
      <c r="R2594">
        <f>SUM(Table13[[#This Row],[Rank_All_Ranks_Total]:[Rank_SSPSPAddlSPCommandant]])</f>
        <v>370</v>
      </c>
    </row>
    <row r="2595" spans="1:18" x14ac:dyDescent="0.3">
      <c r="A2595" t="s">
        <v>12</v>
      </c>
      <c r="B2595">
        <v>2005</v>
      </c>
      <c r="C2595" t="str">
        <f>_xlfn.CONCAT(Table13[[#This Row],[STATE]],"-",Table13[[#This Row],[Year]])</f>
        <v>Gujarat-2005</v>
      </c>
      <c r="D2595" t="s">
        <v>79</v>
      </c>
      <c r="E2595" t="s">
        <v>80</v>
      </c>
      <c r="F2595">
        <v>2329</v>
      </c>
      <c r="G2595">
        <v>226</v>
      </c>
      <c r="H2595">
        <v>0</v>
      </c>
      <c r="I2595">
        <v>0</v>
      </c>
      <c r="J2595">
        <v>1703</v>
      </c>
      <c r="K2595">
        <v>0</v>
      </c>
      <c r="L2595">
        <v>0</v>
      </c>
      <c r="M2595">
        <v>344</v>
      </c>
      <c r="N2595">
        <v>0</v>
      </c>
      <c r="O2595">
        <v>11</v>
      </c>
      <c r="P2595">
        <v>45</v>
      </c>
      <c r="Q2595">
        <v>0</v>
      </c>
      <c r="R2595">
        <f>SUM(Table13[[#This Row],[Rank_All_Ranks_Total]:[Rank_SSPSPAddlSPCommandant]])</f>
        <v>4658</v>
      </c>
    </row>
    <row r="2596" spans="1:18" x14ac:dyDescent="0.3">
      <c r="A2596" t="s">
        <v>13</v>
      </c>
      <c r="B2596">
        <v>2005</v>
      </c>
      <c r="C2596" t="str">
        <f>_xlfn.CONCAT(Table13[[#This Row],[STATE]],"-",Table13[[#This Row],[Year]])</f>
        <v>Haryana-2005</v>
      </c>
      <c r="D2596" t="s">
        <v>79</v>
      </c>
      <c r="E2596" t="s">
        <v>80</v>
      </c>
      <c r="F2596">
        <v>883</v>
      </c>
      <c r="G2596">
        <v>36</v>
      </c>
      <c r="H2596">
        <v>0</v>
      </c>
      <c r="I2596">
        <v>0</v>
      </c>
      <c r="J2596">
        <v>748</v>
      </c>
      <c r="K2596">
        <v>0</v>
      </c>
      <c r="L2596">
        <v>0</v>
      </c>
      <c r="M2596">
        <v>75</v>
      </c>
      <c r="N2596">
        <v>0</v>
      </c>
      <c r="O2596">
        <v>4</v>
      </c>
      <c r="P2596">
        <v>20</v>
      </c>
      <c r="Q2596">
        <v>0</v>
      </c>
      <c r="R2596">
        <f>SUM(Table13[[#This Row],[Rank_All_Ranks_Total]:[Rank_SSPSPAddlSPCommandant]])</f>
        <v>1766</v>
      </c>
    </row>
    <row r="2597" spans="1:18" x14ac:dyDescent="0.3">
      <c r="A2597" t="s">
        <v>14</v>
      </c>
      <c r="B2597">
        <v>2005</v>
      </c>
      <c r="C2597" t="str">
        <f>_xlfn.CONCAT(Table13[[#This Row],[STATE]],"-",Table13[[#This Row],[Year]])</f>
        <v>Himachal Pradesh-2005</v>
      </c>
      <c r="D2597" t="s">
        <v>79</v>
      </c>
      <c r="E2597" t="s">
        <v>80</v>
      </c>
      <c r="F2597">
        <v>140</v>
      </c>
      <c r="G2597">
        <v>1</v>
      </c>
      <c r="H2597">
        <v>0</v>
      </c>
      <c r="I2597">
        <v>0</v>
      </c>
      <c r="J2597">
        <v>130</v>
      </c>
      <c r="K2597">
        <v>0</v>
      </c>
      <c r="L2597">
        <v>0</v>
      </c>
      <c r="M2597">
        <v>7</v>
      </c>
      <c r="N2597">
        <v>0</v>
      </c>
      <c r="O2597">
        <v>0</v>
      </c>
      <c r="P2597">
        <v>2</v>
      </c>
      <c r="Q2597">
        <v>0</v>
      </c>
      <c r="R2597">
        <f>SUM(Table13[[#This Row],[Rank_All_Ranks_Total]:[Rank_SSPSPAddlSPCommandant]])</f>
        <v>280</v>
      </c>
    </row>
    <row r="2598" spans="1:18" x14ac:dyDescent="0.3">
      <c r="A2598" t="s">
        <v>15</v>
      </c>
      <c r="B2598">
        <v>2005</v>
      </c>
      <c r="C2598" t="str">
        <f>_xlfn.CONCAT(Table13[[#This Row],[STATE]],"-",Table13[[#This Row],[Year]])</f>
        <v>Jammu &amp; Kashmir-2005</v>
      </c>
      <c r="D2598" t="s">
        <v>79</v>
      </c>
      <c r="E2598" t="s">
        <v>80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f>SUM(Table13[[#This Row],[Rank_All_Ranks_Total]:[Rank_SSPSPAddlSPCommandant]])</f>
        <v>0</v>
      </c>
    </row>
    <row r="2599" spans="1:18" x14ac:dyDescent="0.3">
      <c r="A2599" t="s">
        <v>16</v>
      </c>
      <c r="B2599">
        <v>2005</v>
      </c>
      <c r="C2599" t="str">
        <f>_xlfn.CONCAT(Table13[[#This Row],[STATE]],"-",Table13[[#This Row],[Year]])</f>
        <v>Jharkhand-2005</v>
      </c>
      <c r="D2599" t="s">
        <v>79</v>
      </c>
      <c r="E2599" t="s">
        <v>80</v>
      </c>
      <c r="F2599">
        <v>158</v>
      </c>
      <c r="G2599">
        <v>1</v>
      </c>
      <c r="H2599">
        <v>0</v>
      </c>
      <c r="I2599">
        <v>0</v>
      </c>
      <c r="J2599">
        <v>155</v>
      </c>
      <c r="K2599">
        <v>0</v>
      </c>
      <c r="L2599">
        <v>0</v>
      </c>
      <c r="M2599">
        <v>2</v>
      </c>
      <c r="N2599">
        <v>0</v>
      </c>
      <c r="O2599">
        <v>0</v>
      </c>
      <c r="P2599">
        <v>0</v>
      </c>
      <c r="Q2599">
        <v>0</v>
      </c>
      <c r="R2599">
        <f>SUM(Table13[[#This Row],[Rank_All_Ranks_Total]:[Rank_SSPSPAddlSPCommandant]])</f>
        <v>316</v>
      </c>
    </row>
    <row r="2600" spans="1:18" x14ac:dyDescent="0.3">
      <c r="A2600" t="s">
        <v>17</v>
      </c>
      <c r="B2600">
        <v>2005</v>
      </c>
      <c r="C2600" t="str">
        <f>_xlfn.CONCAT(Table13[[#This Row],[STATE]],"-",Table13[[#This Row],[Year]])</f>
        <v>Karnataka-2005</v>
      </c>
      <c r="D2600" t="s">
        <v>79</v>
      </c>
      <c r="E2600" t="s">
        <v>80</v>
      </c>
      <c r="F2600">
        <v>6475</v>
      </c>
      <c r="G2600">
        <v>283</v>
      </c>
      <c r="H2600">
        <v>11</v>
      </c>
      <c r="I2600">
        <v>0</v>
      </c>
      <c r="J2600">
        <v>4430</v>
      </c>
      <c r="K2600">
        <v>0</v>
      </c>
      <c r="L2600">
        <v>0</v>
      </c>
      <c r="M2600">
        <v>1498</v>
      </c>
      <c r="N2600">
        <v>0</v>
      </c>
      <c r="O2600">
        <v>51</v>
      </c>
      <c r="P2600">
        <v>197</v>
      </c>
      <c r="Q2600">
        <v>5</v>
      </c>
      <c r="R2600">
        <f>SUM(Table13[[#This Row],[Rank_All_Ranks_Total]:[Rank_SSPSPAddlSPCommandant]])</f>
        <v>12950</v>
      </c>
    </row>
    <row r="2601" spans="1:18" x14ac:dyDescent="0.3">
      <c r="A2601" t="s">
        <v>18</v>
      </c>
      <c r="B2601">
        <v>2005</v>
      </c>
      <c r="C2601" t="str">
        <f>_xlfn.CONCAT(Table13[[#This Row],[STATE]],"-",Table13[[#This Row],[Year]])</f>
        <v>Kerala-2005</v>
      </c>
      <c r="D2601" t="s">
        <v>79</v>
      </c>
      <c r="E2601" t="s">
        <v>80</v>
      </c>
      <c r="F2601">
        <v>2777</v>
      </c>
      <c r="G2601">
        <v>0</v>
      </c>
      <c r="H2601">
        <v>1</v>
      </c>
      <c r="I2601">
        <v>0</v>
      </c>
      <c r="J2601">
        <v>2484</v>
      </c>
      <c r="K2601">
        <v>0</v>
      </c>
      <c r="L2601">
        <v>0</v>
      </c>
      <c r="M2601">
        <v>194</v>
      </c>
      <c r="N2601">
        <v>0</v>
      </c>
      <c r="O2601">
        <v>22</v>
      </c>
      <c r="P2601">
        <v>75</v>
      </c>
      <c r="Q2601">
        <v>1</v>
      </c>
      <c r="R2601">
        <f>SUM(Table13[[#This Row],[Rank_All_Ranks_Total]:[Rank_SSPSPAddlSPCommandant]])</f>
        <v>5554</v>
      </c>
    </row>
    <row r="2602" spans="1:18" x14ac:dyDescent="0.3">
      <c r="A2602" t="s">
        <v>39</v>
      </c>
      <c r="B2602">
        <v>2005</v>
      </c>
      <c r="C2602" t="str">
        <f>_xlfn.CONCAT(Table13[[#This Row],[STATE]],"-",Table13[[#This Row],[Year]])</f>
        <v>Lakshadweep-2005</v>
      </c>
      <c r="D2602" t="s">
        <v>79</v>
      </c>
      <c r="E2602" t="s">
        <v>80</v>
      </c>
      <c r="F2602">
        <v>8</v>
      </c>
      <c r="G2602">
        <v>0</v>
      </c>
      <c r="H2602">
        <v>0</v>
      </c>
      <c r="I2602">
        <v>0</v>
      </c>
      <c r="J2602">
        <v>6</v>
      </c>
      <c r="K2602">
        <v>0</v>
      </c>
      <c r="L2602">
        <v>0</v>
      </c>
      <c r="M2602">
        <v>1</v>
      </c>
      <c r="N2602">
        <v>0</v>
      </c>
      <c r="O2602">
        <v>0</v>
      </c>
      <c r="P2602">
        <v>1</v>
      </c>
      <c r="Q2602">
        <v>0</v>
      </c>
      <c r="R2602">
        <f>SUM(Table13[[#This Row],[Rank_All_Ranks_Total]:[Rank_SSPSPAddlSPCommandant]])</f>
        <v>16</v>
      </c>
    </row>
    <row r="2603" spans="1:18" x14ac:dyDescent="0.3">
      <c r="A2603" t="s">
        <v>19</v>
      </c>
      <c r="B2603">
        <v>2005</v>
      </c>
      <c r="C2603" t="str">
        <f>_xlfn.CONCAT(Table13[[#This Row],[STATE]],"-",Table13[[#This Row],[Year]])</f>
        <v>Madhya Pradesh-2005</v>
      </c>
      <c r="D2603" t="s">
        <v>79</v>
      </c>
      <c r="E2603" t="s">
        <v>80</v>
      </c>
      <c r="F2603">
        <v>1955</v>
      </c>
      <c r="G2603">
        <v>47</v>
      </c>
      <c r="H2603">
        <v>36</v>
      </c>
      <c r="I2603">
        <v>0</v>
      </c>
      <c r="J2603">
        <v>1018</v>
      </c>
      <c r="K2603">
        <v>0</v>
      </c>
      <c r="L2603">
        <v>1</v>
      </c>
      <c r="M2603">
        <v>734</v>
      </c>
      <c r="N2603">
        <v>1</v>
      </c>
      <c r="O2603">
        <v>14</v>
      </c>
      <c r="P2603">
        <v>100</v>
      </c>
      <c r="Q2603">
        <v>4</v>
      </c>
      <c r="R2603">
        <f>SUM(Table13[[#This Row],[Rank_All_Ranks_Total]:[Rank_SSPSPAddlSPCommandant]])</f>
        <v>3910</v>
      </c>
    </row>
    <row r="2604" spans="1:18" x14ac:dyDescent="0.3">
      <c r="A2604" t="s">
        <v>20</v>
      </c>
      <c r="B2604">
        <v>2005</v>
      </c>
      <c r="C2604" t="str">
        <f>_xlfn.CONCAT(Table13[[#This Row],[STATE]],"-",Table13[[#This Row],[Year]])</f>
        <v>Maharashtra-2005</v>
      </c>
      <c r="D2604" t="s">
        <v>79</v>
      </c>
      <c r="E2604" t="s">
        <v>80</v>
      </c>
      <c r="F2604">
        <v>3497</v>
      </c>
      <c r="G2604">
        <v>31</v>
      </c>
      <c r="H2604">
        <v>3</v>
      </c>
      <c r="I2604">
        <v>0</v>
      </c>
      <c r="J2604">
        <v>2944</v>
      </c>
      <c r="K2604">
        <v>0</v>
      </c>
      <c r="L2604">
        <v>0</v>
      </c>
      <c r="M2604">
        <v>334</v>
      </c>
      <c r="N2604">
        <v>0</v>
      </c>
      <c r="O2604">
        <v>17</v>
      </c>
      <c r="P2604">
        <v>168</v>
      </c>
      <c r="Q2604">
        <v>0</v>
      </c>
      <c r="R2604">
        <f>SUM(Table13[[#This Row],[Rank_All_Ranks_Total]:[Rank_SSPSPAddlSPCommandant]])</f>
        <v>6994</v>
      </c>
    </row>
    <row r="2605" spans="1:18" x14ac:dyDescent="0.3">
      <c r="A2605" t="s">
        <v>21</v>
      </c>
      <c r="B2605">
        <v>2005</v>
      </c>
      <c r="C2605" t="str">
        <f>_xlfn.CONCAT(Table13[[#This Row],[STATE]],"-",Table13[[#This Row],[Year]])</f>
        <v>Manipur-2005</v>
      </c>
      <c r="D2605" t="s">
        <v>79</v>
      </c>
      <c r="E2605" t="s">
        <v>80</v>
      </c>
      <c r="F2605">
        <v>264</v>
      </c>
      <c r="G2605">
        <v>2</v>
      </c>
      <c r="H2605">
        <v>0</v>
      </c>
      <c r="I2605">
        <v>0</v>
      </c>
      <c r="J2605">
        <v>253</v>
      </c>
      <c r="K2605">
        <v>0</v>
      </c>
      <c r="L2605">
        <v>0</v>
      </c>
      <c r="M2605">
        <v>6</v>
      </c>
      <c r="N2605">
        <v>0</v>
      </c>
      <c r="O2605">
        <v>0</v>
      </c>
      <c r="P2605">
        <v>3</v>
      </c>
      <c r="Q2605">
        <v>0</v>
      </c>
      <c r="R2605">
        <f>SUM(Table13[[#This Row],[Rank_All_Ranks_Total]:[Rank_SSPSPAddlSPCommandant]])</f>
        <v>528</v>
      </c>
    </row>
    <row r="2606" spans="1:18" x14ac:dyDescent="0.3">
      <c r="A2606" t="s">
        <v>22</v>
      </c>
      <c r="B2606">
        <v>2005</v>
      </c>
      <c r="C2606" t="str">
        <f>_xlfn.CONCAT(Table13[[#This Row],[STATE]],"-",Table13[[#This Row],[Year]])</f>
        <v>Meghalaya-2005</v>
      </c>
      <c r="D2606" t="s">
        <v>79</v>
      </c>
      <c r="E2606" t="s">
        <v>80</v>
      </c>
      <c r="F2606">
        <v>43</v>
      </c>
      <c r="G2606">
        <v>0</v>
      </c>
      <c r="H2606">
        <v>0</v>
      </c>
      <c r="I2606">
        <v>0</v>
      </c>
      <c r="J2606">
        <v>36</v>
      </c>
      <c r="K2606">
        <v>0</v>
      </c>
      <c r="L2606">
        <v>0</v>
      </c>
      <c r="M2606">
        <v>3</v>
      </c>
      <c r="N2606">
        <v>0</v>
      </c>
      <c r="O2606">
        <v>0</v>
      </c>
      <c r="P2606">
        <v>4</v>
      </c>
      <c r="Q2606">
        <v>0</v>
      </c>
      <c r="R2606">
        <f>SUM(Table13[[#This Row],[Rank_All_Ranks_Total]:[Rank_SSPSPAddlSPCommandant]])</f>
        <v>86</v>
      </c>
    </row>
    <row r="2607" spans="1:18" x14ac:dyDescent="0.3">
      <c r="A2607" t="s">
        <v>23</v>
      </c>
      <c r="B2607">
        <v>2005</v>
      </c>
      <c r="C2607" t="str">
        <f>_xlfn.CONCAT(Table13[[#This Row],[STATE]],"-",Table13[[#This Row],[Year]])</f>
        <v>Mizoram-2005</v>
      </c>
      <c r="D2607" t="s">
        <v>79</v>
      </c>
      <c r="E2607" t="s">
        <v>80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f>SUM(Table13[[#This Row],[Rank_All_Ranks_Total]:[Rank_SSPSPAddlSPCommandant]])</f>
        <v>0</v>
      </c>
    </row>
    <row r="2608" spans="1:18" x14ac:dyDescent="0.3">
      <c r="A2608" t="s">
        <v>24</v>
      </c>
      <c r="B2608">
        <v>2005</v>
      </c>
      <c r="C2608" t="str">
        <f>_xlfn.CONCAT(Table13[[#This Row],[STATE]],"-",Table13[[#This Row],[Year]])</f>
        <v>Nagaland-2005</v>
      </c>
      <c r="D2608" t="s">
        <v>79</v>
      </c>
      <c r="E2608" t="s">
        <v>80</v>
      </c>
      <c r="F2608">
        <v>72</v>
      </c>
      <c r="G2608">
        <v>6</v>
      </c>
      <c r="H2608">
        <v>1</v>
      </c>
      <c r="I2608">
        <v>0</v>
      </c>
      <c r="J2608">
        <v>58</v>
      </c>
      <c r="K2608">
        <v>0</v>
      </c>
      <c r="L2608">
        <v>0</v>
      </c>
      <c r="M2608">
        <v>0</v>
      </c>
      <c r="N2608">
        <v>0</v>
      </c>
      <c r="O2608">
        <v>1</v>
      </c>
      <c r="P2608">
        <v>6</v>
      </c>
      <c r="Q2608">
        <v>0</v>
      </c>
      <c r="R2608">
        <f>SUM(Table13[[#This Row],[Rank_All_Ranks_Total]:[Rank_SSPSPAddlSPCommandant]])</f>
        <v>144</v>
      </c>
    </row>
    <row r="2609" spans="1:18" x14ac:dyDescent="0.3">
      <c r="A2609" t="s">
        <v>63</v>
      </c>
      <c r="B2609">
        <v>2005</v>
      </c>
      <c r="C2609" t="str">
        <f>_xlfn.CONCAT(Table13[[#This Row],[STATE]],"-",Table13[[#This Row],[Year]])</f>
        <v>Odisha-2005</v>
      </c>
      <c r="D2609" t="s">
        <v>79</v>
      </c>
      <c r="E2609" t="s">
        <v>80</v>
      </c>
      <c r="F2609">
        <v>342</v>
      </c>
      <c r="G2609">
        <v>47</v>
      </c>
      <c r="H2609">
        <v>1</v>
      </c>
      <c r="I2609">
        <v>0</v>
      </c>
      <c r="J2609">
        <v>241</v>
      </c>
      <c r="K2609">
        <v>0</v>
      </c>
      <c r="L2609">
        <v>0</v>
      </c>
      <c r="M2609">
        <v>0</v>
      </c>
      <c r="N2609">
        <v>0</v>
      </c>
      <c r="O2609">
        <v>12</v>
      </c>
      <c r="P2609">
        <v>41</v>
      </c>
      <c r="Q2609">
        <v>0</v>
      </c>
      <c r="R2609">
        <f>SUM(Table13[[#This Row],[Rank_All_Ranks_Total]:[Rank_SSPSPAddlSPCommandant]])</f>
        <v>684</v>
      </c>
    </row>
    <row r="2610" spans="1:18" x14ac:dyDescent="0.3">
      <c r="A2610" t="s">
        <v>64</v>
      </c>
      <c r="B2610">
        <v>2005</v>
      </c>
      <c r="C2610" t="str">
        <f>_xlfn.CONCAT(Table13[[#This Row],[STATE]],"-",Table13[[#This Row],[Year]])</f>
        <v>Puducherry-2005</v>
      </c>
      <c r="D2610" t="s">
        <v>79</v>
      </c>
      <c r="E2610" t="s">
        <v>80</v>
      </c>
      <c r="F2610">
        <v>81</v>
      </c>
      <c r="G2610">
        <v>2</v>
      </c>
      <c r="H2610">
        <v>0</v>
      </c>
      <c r="I2610">
        <v>0</v>
      </c>
      <c r="J2610">
        <v>70</v>
      </c>
      <c r="K2610">
        <v>0</v>
      </c>
      <c r="L2610">
        <v>0</v>
      </c>
      <c r="M2610">
        <v>6</v>
      </c>
      <c r="N2610">
        <v>0</v>
      </c>
      <c r="O2610">
        <v>1</v>
      </c>
      <c r="P2610">
        <v>2</v>
      </c>
      <c r="Q2610">
        <v>0</v>
      </c>
      <c r="R2610">
        <f>SUM(Table13[[#This Row],[Rank_All_Ranks_Total]:[Rank_SSPSPAddlSPCommandant]])</f>
        <v>162</v>
      </c>
    </row>
    <row r="2611" spans="1:18" x14ac:dyDescent="0.3">
      <c r="A2611" t="s">
        <v>26</v>
      </c>
      <c r="B2611">
        <v>2005</v>
      </c>
      <c r="C2611" t="str">
        <f>_xlfn.CONCAT(Table13[[#This Row],[STATE]],"-",Table13[[#This Row],[Year]])</f>
        <v>Punjab-2005</v>
      </c>
      <c r="D2611" t="s">
        <v>79</v>
      </c>
      <c r="E2611" t="s">
        <v>80</v>
      </c>
      <c r="F2611">
        <v>1515</v>
      </c>
      <c r="G2611">
        <v>106</v>
      </c>
      <c r="H2611">
        <v>0</v>
      </c>
      <c r="I2611">
        <v>1100</v>
      </c>
      <c r="J2611">
        <v>0</v>
      </c>
      <c r="K2611">
        <v>0</v>
      </c>
      <c r="L2611">
        <v>0</v>
      </c>
      <c r="M2611">
        <v>240</v>
      </c>
      <c r="N2611">
        <v>0</v>
      </c>
      <c r="O2611">
        <v>21</v>
      </c>
      <c r="P2611">
        <v>48</v>
      </c>
      <c r="Q2611">
        <v>0</v>
      </c>
      <c r="R2611">
        <f>SUM(Table13[[#This Row],[Rank_All_Ranks_Total]:[Rank_SSPSPAddlSPCommandant]])</f>
        <v>3030</v>
      </c>
    </row>
    <row r="2612" spans="1:18" x14ac:dyDescent="0.3">
      <c r="A2612" t="s">
        <v>27</v>
      </c>
      <c r="B2612">
        <v>2005</v>
      </c>
      <c r="C2612" t="str">
        <f>_xlfn.CONCAT(Table13[[#This Row],[STATE]],"-",Table13[[#This Row],[Year]])</f>
        <v>Rajasthan-2005</v>
      </c>
      <c r="D2612" t="s">
        <v>79</v>
      </c>
      <c r="E2612" t="s">
        <v>80</v>
      </c>
      <c r="F2612">
        <v>942</v>
      </c>
      <c r="G2612">
        <v>21</v>
      </c>
      <c r="H2612">
        <v>2</v>
      </c>
      <c r="I2612">
        <v>0</v>
      </c>
      <c r="J2612">
        <v>854</v>
      </c>
      <c r="K2612">
        <v>0</v>
      </c>
      <c r="L2612">
        <v>0</v>
      </c>
      <c r="M2612">
        <v>25</v>
      </c>
      <c r="N2612">
        <v>0</v>
      </c>
      <c r="O2612">
        <v>2</v>
      </c>
      <c r="P2612">
        <v>38</v>
      </c>
      <c r="Q2612">
        <v>0</v>
      </c>
      <c r="R2612">
        <f>SUM(Table13[[#This Row],[Rank_All_Ranks_Total]:[Rank_SSPSPAddlSPCommandant]])</f>
        <v>1884</v>
      </c>
    </row>
    <row r="2613" spans="1:18" x14ac:dyDescent="0.3">
      <c r="A2613" t="s">
        <v>28</v>
      </c>
      <c r="B2613">
        <v>2005</v>
      </c>
      <c r="C2613" t="str">
        <f>_xlfn.CONCAT(Table13[[#This Row],[STATE]],"-",Table13[[#This Row],[Year]])</f>
        <v>Sikkim-2005</v>
      </c>
      <c r="D2613" t="s">
        <v>79</v>
      </c>
      <c r="E2613" t="s">
        <v>80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f>SUM(Table13[[#This Row],[Rank_All_Ranks_Total]:[Rank_SSPSPAddlSPCommandant]])</f>
        <v>0</v>
      </c>
    </row>
    <row r="2614" spans="1:18" x14ac:dyDescent="0.3">
      <c r="A2614" t="s">
        <v>42</v>
      </c>
      <c r="B2614">
        <v>2005</v>
      </c>
      <c r="C2614" t="str">
        <f>_xlfn.CONCAT(Table13[[#This Row],[STATE]],"-",Table13[[#This Row],[Year]])</f>
        <v>Tamil Nadu-2005</v>
      </c>
      <c r="D2614" t="s">
        <v>79</v>
      </c>
      <c r="E2614" t="s">
        <v>80</v>
      </c>
      <c r="F2614">
        <v>9579</v>
      </c>
      <c r="G2614">
        <v>0</v>
      </c>
      <c r="H2614">
        <v>26</v>
      </c>
      <c r="I2614">
        <v>194</v>
      </c>
      <c r="J2614">
        <v>6575</v>
      </c>
      <c r="K2614">
        <v>2</v>
      </c>
      <c r="L2614">
        <v>2</v>
      </c>
      <c r="M2614">
        <v>1190</v>
      </c>
      <c r="N2614">
        <v>1</v>
      </c>
      <c r="O2614">
        <v>183</v>
      </c>
      <c r="P2614">
        <v>1382</v>
      </c>
      <c r="Q2614">
        <v>24</v>
      </c>
      <c r="R2614">
        <f>SUM(Table13[[#This Row],[Rank_All_Ranks_Total]:[Rank_SSPSPAddlSPCommandant]])</f>
        <v>19158</v>
      </c>
    </row>
    <row r="2615" spans="1:18" x14ac:dyDescent="0.3">
      <c r="A2615" t="s">
        <v>30</v>
      </c>
      <c r="B2615">
        <v>2005</v>
      </c>
      <c r="C2615" t="str">
        <f>_xlfn.CONCAT(Table13[[#This Row],[STATE]],"-",Table13[[#This Row],[Year]])</f>
        <v>Tripura-2005</v>
      </c>
      <c r="D2615" t="s">
        <v>79</v>
      </c>
      <c r="E2615" t="s">
        <v>80</v>
      </c>
      <c r="F2615">
        <v>479</v>
      </c>
      <c r="G2615">
        <v>24</v>
      </c>
      <c r="H2615">
        <v>2</v>
      </c>
      <c r="I2615">
        <v>16</v>
      </c>
      <c r="J2615">
        <v>360</v>
      </c>
      <c r="K2615">
        <v>0</v>
      </c>
      <c r="L2615">
        <v>0</v>
      </c>
      <c r="M2615">
        <v>43</v>
      </c>
      <c r="N2615">
        <v>0</v>
      </c>
      <c r="O2615">
        <v>1</v>
      </c>
      <c r="P2615">
        <v>32</v>
      </c>
      <c r="Q2615">
        <v>1</v>
      </c>
      <c r="R2615">
        <f>SUM(Table13[[#This Row],[Rank_All_Ranks_Total]:[Rank_SSPSPAddlSPCommandant]])</f>
        <v>958</v>
      </c>
    </row>
    <row r="2616" spans="1:18" x14ac:dyDescent="0.3">
      <c r="A2616" t="s">
        <v>31</v>
      </c>
      <c r="B2616">
        <v>2005</v>
      </c>
      <c r="C2616" t="str">
        <f>_xlfn.CONCAT(Table13[[#This Row],[STATE]],"-",Table13[[#This Row],[Year]])</f>
        <v>Uttar Pradesh-2005</v>
      </c>
      <c r="D2616" t="s">
        <v>79</v>
      </c>
      <c r="E2616" t="s">
        <v>80</v>
      </c>
      <c r="F2616">
        <v>1877</v>
      </c>
      <c r="G2616">
        <v>0</v>
      </c>
      <c r="H2616">
        <v>0</v>
      </c>
      <c r="I2616">
        <v>0</v>
      </c>
      <c r="J2616">
        <v>1541</v>
      </c>
      <c r="K2616">
        <v>0</v>
      </c>
      <c r="L2616">
        <v>0</v>
      </c>
      <c r="M2616">
        <v>142</v>
      </c>
      <c r="N2616">
        <v>0</v>
      </c>
      <c r="O2616">
        <v>11</v>
      </c>
      <c r="P2616">
        <v>183</v>
      </c>
      <c r="Q2616">
        <v>0</v>
      </c>
      <c r="R2616">
        <f>SUM(Table13[[#This Row],[Rank_All_Ranks_Total]:[Rank_SSPSPAddlSPCommandant]])</f>
        <v>3754</v>
      </c>
    </row>
    <row r="2617" spans="1:18" x14ac:dyDescent="0.3">
      <c r="A2617" t="s">
        <v>65</v>
      </c>
      <c r="B2617">
        <v>2005</v>
      </c>
      <c r="C2617" t="str">
        <f>_xlfn.CONCAT(Table13[[#This Row],[STATE]],"-",Table13[[#This Row],[Year]])</f>
        <v>Uttarakhand-2005</v>
      </c>
      <c r="D2617" t="s">
        <v>79</v>
      </c>
      <c r="E2617" t="s">
        <v>80</v>
      </c>
      <c r="F2617">
        <v>186</v>
      </c>
      <c r="G2617">
        <v>0</v>
      </c>
      <c r="H2617">
        <v>0</v>
      </c>
      <c r="I2617">
        <v>0</v>
      </c>
      <c r="J2617">
        <v>164</v>
      </c>
      <c r="K2617">
        <v>0</v>
      </c>
      <c r="L2617">
        <v>0</v>
      </c>
      <c r="M2617">
        <v>13</v>
      </c>
      <c r="N2617">
        <v>0</v>
      </c>
      <c r="O2617">
        <v>0</v>
      </c>
      <c r="P2617">
        <v>9</v>
      </c>
      <c r="Q2617">
        <v>0</v>
      </c>
      <c r="R2617">
        <f>SUM(Table13[[#This Row],[Rank_All_Ranks_Total]:[Rank_SSPSPAddlSPCommandant]])</f>
        <v>372</v>
      </c>
    </row>
    <row r="2618" spans="1:18" x14ac:dyDescent="0.3">
      <c r="A2618" t="s">
        <v>33</v>
      </c>
      <c r="B2618">
        <v>2005</v>
      </c>
      <c r="C2618" t="str">
        <f>_xlfn.CONCAT(Table13[[#This Row],[STATE]],"-",Table13[[#This Row],[Year]])</f>
        <v>West Bengal-2005</v>
      </c>
      <c r="D2618" t="s">
        <v>79</v>
      </c>
      <c r="E2618" t="s">
        <v>80</v>
      </c>
      <c r="F2618">
        <v>1444</v>
      </c>
      <c r="G2618">
        <v>119</v>
      </c>
      <c r="H2618">
        <v>1</v>
      </c>
      <c r="I2618">
        <v>0</v>
      </c>
      <c r="J2618">
        <v>1138</v>
      </c>
      <c r="K2618">
        <v>0</v>
      </c>
      <c r="L2618">
        <v>0</v>
      </c>
      <c r="M2618">
        <v>7</v>
      </c>
      <c r="N2618">
        <v>0</v>
      </c>
      <c r="O2618">
        <v>12</v>
      </c>
      <c r="P2618">
        <v>167</v>
      </c>
      <c r="Q2618">
        <v>0</v>
      </c>
      <c r="R2618">
        <f>SUM(Table13[[#This Row],[Rank_All_Ranks_Total]:[Rank_SSPSPAddlSPCommandant]])</f>
        <v>2888</v>
      </c>
    </row>
    <row r="2619" spans="1:18" x14ac:dyDescent="0.3">
      <c r="A2619" t="s">
        <v>59</v>
      </c>
      <c r="B2619">
        <v>2006</v>
      </c>
      <c r="C2619" t="str">
        <f>_xlfn.CONCAT(Table13[[#This Row],[STATE]],"-",Table13[[#This Row],[Year]])</f>
        <v>Andaman &amp; Nicobar Islands-2006</v>
      </c>
      <c r="D2619" t="s">
        <v>79</v>
      </c>
      <c r="E2619" t="s">
        <v>80</v>
      </c>
      <c r="F2619">
        <v>16</v>
      </c>
      <c r="G2619">
        <v>0</v>
      </c>
      <c r="H2619">
        <v>0</v>
      </c>
      <c r="I2619">
        <v>0</v>
      </c>
      <c r="J2619">
        <v>10</v>
      </c>
      <c r="K2619">
        <v>0</v>
      </c>
      <c r="L2619">
        <v>0</v>
      </c>
      <c r="M2619">
        <v>4</v>
      </c>
      <c r="N2619">
        <v>0</v>
      </c>
      <c r="O2619">
        <v>0</v>
      </c>
      <c r="P2619">
        <v>2</v>
      </c>
      <c r="Q2619">
        <v>0</v>
      </c>
      <c r="R2619">
        <f>SUM(Table13[[#This Row],[Rank_All_Ranks_Total]:[Rank_SSPSPAddlSPCommandant]])</f>
        <v>32</v>
      </c>
    </row>
    <row r="2620" spans="1:18" x14ac:dyDescent="0.3">
      <c r="A2620" t="s">
        <v>6</v>
      </c>
      <c r="B2620">
        <v>2006</v>
      </c>
      <c r="C2620" t="str">
        <f>_xlfn.CONCAT(Table13[[#This Row],[STATE]],"-",Table13[[#This Row],[Year]])</f>
        <v>Andhra Pradesh-2006</v>
      </c>
      <c r="D2620" t="s">
        <v>79</v>
      </c>
      <c r="E2620" t="s">
        <v>80</v>
      </c>
      <c r="F2620">
        <v>1378</v>
      </c>
      <c r="G2620">
        <v>0</v>
      </c>
      <c r="H2620">
        <v>2</v>
      </c>
      <c r="I2620">
        <v>0</v>
      </c>
      <c r="J2620">
        <v>1267</v>
      </c>
      <c r="K2620">
        <v>1</v>
      </c>
      <c r="L2620">
        <v>2</v>
      </c>
      <c r="M2620">
        <v>51</v>
      </c>
      <c r="N2620">
        <v>1</v>
      </c>
      <c r="O2620">
        <v>8</v>
      </c>
      <c r="P2620">
        <v>39</v>
      </c>
      <c r="Q2620">
        <v>7</v>
      </c>
      <c r="R2620">
        <f>SUM(Table13[[#This Row],[Rank_All_Ranks_Total]:[Rank_SSPSPAddlSPCommandant]])</f>
        <v>2756</v>
      </c>
    </row>
    <row r="2621" spans="1:18" x14ac:dyDescent="0.3">
      <c r="A2621" t="s">
        <v>7</v>
      </c>
      <c r="B2621">
        <v>2006</v>
      </c>
      <c r="C2621" t="str">
        <f>_xlfn.CONCAT(Table13[[#This Row],[STATE]],"-",Table13[[#This Row],[Year]])</f>
        <v>Arunachal Pradesh-2006</v>
      </c>
      <c r="D2621" t="s">
        <v>79</v>
      </c>
      <c r="E2621" t="s">
        <v>80</v>
      </c>
      <c r="F2621">
        <v>67</v>
      </c>
      <c r="G2621">
        <v>4</v>
      </c>
      <c r="H2621">
        <v>0</v>
      </c>
      <c r="I2621">
        <v>0</v>
      </c>
      <c r="J2621">
        <v>40</v>
      </c>
      <c r="K2621">
        <v>0</v>
      </c>
      <c r="L2621">
        <v>0</v>
      </c>
      <c r="M2621">
        <v>12</v>
      </c>
      <c r="N2621">
        <v>0</v>
      </c>
      <c r="O2621">
        <v>2</v>
      </c>
      <c r="P2621">
        <v>9</v>
      </c>
      <c r="Q2621">
        <v>0</v>
      </c>
      <c r="R2621">
        <f>SUM(Table13[[#This Row],[Rank_All_Ranks_Total]:[Rank_SSPSPAddlSPCommandant]])</f>
        <v>134</v>
      </c>
    </row>
    <row r="2622" spans="1:18" x14ac:dyDescent="0.3">
      <c r="A2622" t="s">
        <v>8</v>
      </c>
      <c r="B2622">
        <v>2006</v>
      </c>
      <c r="C2622" t="str">
        <f>_xlfn.CONCAT(Table13[[#This Row],[STATE]],"-",Table13[[#This Row],[Year]])</f>
        <v>Assam-2006</v>
      </c>
      <c r="D2622" t="s">
        <v>79</v>
      </c>
      <c r="E2622" t="s">
        <v>80</v>
      </c>
      <c r="F2622">
        <v>223</v>
      </c>
      <c r="G2622">
        <v>5</v>
      </c>
      <c r="H2622">
        <v>0</v>
      </c>
      <c r="I2622">
        <v>8</v>
      </c>
      <c r="J2622">
        <v>185</v>
      </c>
      <c r="K2622">
        <v>0</v>
      </c>
      <c r="L2622">
        <v>0</v>
      </c>
      <c r="M2622">
        <v>8</v>
      </c>
      <c r="N2622">
        <v>0</v>
      </c>
      <c r="O2622">
        <v>0</v>
      </c>
      <c r="P2622">
        <v>17</v>
      </c>
      <c r="Q2622">
        <v>0</v>
      </c>
      <c r="R2622">
        <f>SUM(Table13[[#This Row],[Rank_All_Ranks_Total]:[Rank_SSPSPAddlSPCommandant]])</f>
        <v>446</v>
      </c>
    </row>
    <row r="2623" spans="1:18" x14ac:dyDescent="0.3">
      <c r="A2623" t="s">
        <v>9</v>
      </c>
      <c r="B2623">
        <v>2006</v>
      </c>
      <c r="C2623" t="str">
        <f>_xlfn.CONCAT(Table13[[#This Row],[STATE]],"-",Table13[[#This Row],[Year]])</f>
        <v>Bihar-2006</v>
      </c>
      <c r="D2623" t="s">
        <v>79</v>
      </c>
      <c r="E2623" t="s">
        <v>80</v>
      </c>
      <c r="F2623">
        <v>873</v>
      </c>
      <c r="G2623">
        <v>26</v>
      </c>
      <c r="H2623">
        <v>0</v>
      </c>
      <c r="I2623">
        <v>0</v>
      </c>
      <c r="J2623">
        <v>776</v>
      </c>
      <c r="K2623">
        <v>0</v>
      </c>
      <c r="L2623">
        <v>0</v>
      </c>
      <c r="M2623">
        <v>27</v>
      </c>
      <c r="N2623">
        <v>0</v>
      </c>
      <c r="O2623">
        <v>1</v>
      </c>
      <c r="P2623">
        <v>43</v>
      </c>
      <c r="Q2623">
        <v>0</v>
      </c>
      <c r="R2623">
        <f>SUM(Table13[[#This Row],[Rank_All_Ranks_Total]:[Rank_SSPSPAddlSPCommandant]])</f>
        <v>1746</v>
      </c>
    </row>
    <row r="2624" spans="1:18" x14ac:dyDescent="0.3">
      <c r="A2624" t="s">
        <v>35</v>
      </c>
      <c r="B2624">
        <v>2006</v>
      </c>
      <c r="C2624" t="str">
        <f>_xlfn.CONCAT(Table13[[#This Row],[STATE]],"-",Table13[[#This Row],[Year]])</f>
        <v>Chandigarh-2006</v>
      </c>
      <c r="D2624" t="s">
        <v>79</v>
      </c>
      <c r="E2624" t="s">
        <v>80</v>
      </c>
      <c r="F2624">
        <v>35</v>
      </c>
      <c r="G2624">
        <v>1</v>
      </c>
      <c r="H2624">
        <v>0</v>
      </c>
      <c r="I2624">
        <v>0</v>
      </c>
      <c r="J2624">
        <v>31</v>
      </c>
      <c r="K2624">
        <v>0</v>
      </c>
      <c r="L2624">
        <v>0</v>
      </c>
      <c r="M2624">
        <v>2</v>
      </c>
      <c r="N2624">
        <v>0</v>
      </c>
      <c r="O2624">
        <v>0</v>
      </c>
      <c r="P2624">
        <v>1</v>
      </c>
      <c r="Q2624">
        <v>0</v>
      </c>
      <c r="R2624">
        <f>SUM(Table13[[#This Row],[Rank_All_Ranks_Total]:[Rank_SSPSPAddlSPCommandant]])</f>
        <v>70</v>
      </c>
    </row>
    <row r="2625" spans="1:18" x14ac:dyDescent="0.3">
      <c r="A2625" t="s">
        <v>10</v>
      </c>
      <c r="B2625">
        <v>2006</v>
      </c>
      <c r="C2625" t="str">
        <f>_xlfn.CONCAT(Table13[[#This Row],[STATE]],"-",Table13[[#This Row],[Year]])</f>
        <v>Chhattisgarh-2006</v>
      </c>
      <c r="D2625" t="s">
        <v>79</v>
      </c>
      <c r="E2625" t="s">
        <v>80</v>
      </c>
      <c r="F2625">
        <v>289</v>
      </c>
      <c r="G2625">
        <v>0</v>
      </c>
      <c r="H2625">
        <v>0</v>
      </c>
      <c r="I2625">
        <v>0</v>
      </c>
      <c r="J2625">
        <v>231</v>
      </c>
      <c r="K2625">
        <v>0</v>
      </c>
      <c r="L2625">
        <v>0</v>
      </c>
      <c r="M2625">
        <v>55</v>
      </c>
      <c r="N2625">
        <v>0</v>
      </c>
      <c r="O2625">
        <v>3</v>
      </c>
      <c r="P2625">
        <v>0</v>
      </c>
      <c r="Q2625">
        <v>0</v>
      </c>
      <c r="R2625">
        <f>SUM(Table13[[#This Row],[Rank_All_Ranks_Total]:[Rank_SSPSPAddlSPCommandant]])</f>
        <v>578</v>
      </c>
    </row>
    <row r="2626" spans="1:18" x14ac:dyDescent="0.3">
      <c r="A2626" t="s">
        <v>62</v>
      </c>
      <c r="B2626">
        <v>2006</v>
      </c>
      <c r="C2626" t="str">
        <f>_xlfn.CONCAT(Table13[[#This Row],[STATE]],"-",Table13[[#This Row],[Year]])</f>
        <v>Dadra &amp; Nagar Haveli-2006</v>
      </c>
      <c r="D2626" t="s">
        <v>79</v>
      </c>
      <c r="E2626" t="s">
        <v>80</v>
      </c>
      <c r="F2626">
        <v>9</v>
      </c>
      <c r="G2626">
        <v>0</v>
      </c>
      <c r="H2626">
        <v>0</v>
      </c>
      <c r="I2626">
        <v>0</v>
      </c>
      <c r="J2626">
        <v>4</v>
      </c>
      <c r="K2626">
        <v>0</v>
      </c>
      <c r="L2626">
        <v>0</v>
      </c>
      <c r="M2626">
        <v>3</v>
      </c>
      <c r="N2626">
        <v>0</v>
      </c>
      <c r="O2626">
        <v>0</v>
      </c>
      <c r="P2626">
        <v>2</v>
      </c>
      <c r="Q2626">
        <v>0</v>
      </c>
      <c r="R2626">
        <f>SUM(Table13[[#This Row],[Rank_All_Ranks_Total]:[Rank_SSPSPAddlSPCommandant]])</f>
        <v>18</v>
      </c>
    </row>
    <row r="2627" spans="1:18" x14ac:dyDescent="0.3">
      <c r="A2627" t="s">
        <v>37</v>
      </c>
      <c r="B2627">
        <v>2006</v>
      </c>
      <c r="C2627" t="str">
        <f>_xlfn.CONCAT(Table13[[#This Row],[STATE]],"-",Table13[[#This Row],[Year]])</f>
        <v>Daman &amp; Diu-2006</v>
      </c>
      <c r="D2627" t="s">
        <v>79</v>
      </c>
      <c r="E2627" t="s">
        <v>80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f>SUM(Table13[[#This Row],[Rank_All_Ranks_Total]:[Rank_SSPSPAddlSPCommandant]])</f>
        <v>0</v>
      </c>
    </row>
    <row r="2628" spans="1:18" x14ac:dyDescent="0.3">
      <c r="A2628" t="s">
        <v>38</v>
      </c>
      <c r="B2628">
        <v>2006</v>
      </c>
      <c r="C2628" t="str">
        <f>_xlfn.CONCAT(Table13[[#This Row],[STATE]],"-",Table13[[#This Row],[Year]])</f>
        <v>Delhi-2006</v>
      </c>
      <c r="D2628" t="s">
        <v>79</v>
      </c>
      <c r="E2628" t="s">
        <v>80</v>
      </c>
      <c r="F2628">
        <v>2553</v>
      </c>
      <c r="G2628">
        <v>305</v>
      </c>
      <c r="H2628">
        <v>1</v>
      </c>
      <c r="I2628">
        <v>0</v>
      </c>
      <c r="J2628">
        <v>1594</v>
      </c>
      <c r="K2628">
        <v>0</v>
      </c>
      <c r="L2628">
        <v>0</v>
      </c>
      <c r="M2628">
        <v>448</v>
      </c>
      <c r="N2628">
        <v>0</v>
      </c>
      <c r="O2628">
        <v>71</v>
      </c>
      <c r="P2628">
        <v>134</v>
      </c>
      <c r="Q2628">
        <v>0</v>
      </c>
      <c r="R2628">
        <f>SUM(Table13[[#This Row],[Rank_All_Ranks_Total]:[Rank_SSPSPAddlSPCommandant]])</f>
        <v>5106</v>
      </c>
    </row>
    <row r="2629" spans="1:18" x14ac:dyDescent="0.3">
      <c r="A2629" t="s">
        <v>11</v>
      </c>
      <c r="B2629">
        <v>2006</v>
      </c>
      <c r="C2629" t="str">
        <f>_xlfn.CONCAT(Table13[[#This Row],[STATE]],"-",Table13[[#This Row],[Year]])</f>
        <v>Goa-2006</v>
      </c>
      <c r="D2629" t="s">
        <v>79</v>
      </c>
      <c r="E2629" t="s">
        <v>80</v>
      </c>
      <c r="F2629">
        <v>185</v>
      </c>
      <c r="G2629">
        <v>1</v>
      </c>
      <c r="H2629">
        <v>0</v>
      </c>
      <c r="I2629">
        <v>0</v>
      </c>
      <c r="J2629">
        <v>176</v>
      </c>
      <c r="K2629">
        <v>0</v>
      </c>
      <c r="L2629">
        <v>0</v>
      </c>
      <c r="M2629">
        <v>5</v>
      </c>
      <c r="N2629">
        <v>0</v>
      </c>
      <c r="O2629">
        <v>0</v>
      </c>
      <c r="P2629">
        <v>3</v>
      </c>
      <c r="Q2629">
        <v>0</v>
      </c>
      <c r="R2629">
        <f>SUM(Table13[[#This Row],[Rank_All_Ranks_Total]:[Rank_SSPSPAddlSPCommandant]])</f>
        <v>370</v>
      </c>
    </row>
    <row r="2630" spans="1:18" x14ac:dyDescent="0.3">
      <c r="A2630" t="s">
        <v>12</v>
      </c>
      <c r="B2630">
        <v>2006</v>
      </c>
      <c r="C2630" t="str">
        <f>_xlfn.CONCAT(Table13[[#This Row],[STATE]],"-",Table13[[#This Row],[Year]])</f>
        <v>Gujarat-2006</v>
      </c>
      <c r="D2630" t="s">
        <v>79</v>
      </c>
      <c r="E2630" t="s">
        <v>80</v>
      </c>
      <c r="F2630">
        <v>2463</v>
      </c>
      <c r="G2630">
        <v>226</v>
      </c>
      <c r="H2630">
        <v>0</v>
      </c>
      <c r="I2630">
        <v>0</v>
      </c>
      <c r="J2630">
        <v>1705</v>
      </c>
      <c r="K2630">
        <v>0</v>
      </c>
      <c r="L2630">
        <v>0</v>
      </c>
      <c r="M2630">
        <v>476</v>
      </c>
      <c r="N2630">
        <v>0</v>
      </c>
      <c r="O2630">
        <v>11</v>
      </c>
      <c r="P2630">
        <v>45</v>
      </c>
      <c r="Q2630">
        <v>0</v>
      </c>
      <c r="R2630">
        <f>SUM(Table13[[#This Row],[Rank_All_Ranks_Total]:[Rank_SSPSPAddlSPCommandant]])</f>
        <v>4926</v>
      </c>
    </row>
    <row r="2631" spans="1:18" x14ac:dyDescent="0.3">
      <c r="A2631" t="s">
        <v>13</v>
      </c>
      <c r="B2631">
        <v>2006</v>
      </c>
      <c r="C2631" t="str">
        <f>_xlfn.CONCAT(Table13[[#This Row],[STATE]],"-",Table13[[#This Row],[Year]])</f>
        <v>Haryana-2006</v>
      </c>
      <c r="D2631" t="s">
        <v>79</v>
      </c>
      <c r="E2631" t="s">
        <v>80</v>
      </c>
      <c r="F2631">
        <v>1183</v>
      </c>
      <c r="G2631">
        <v>36</v>
      </c>
      <c r="H2631">
        <v>0</v>
      </c>
      <c r="I2631">
        <v>0</v>
      </c>
      <c r="J2631">
        <v>1048</v>
      </c>
      <c r="K2631">
        <v>0</v>
      </c>
      <c r="L2631">
        <v>0</v>
      </c>
      <c r="M2631">
        <v>75</v>
      </c>
      <c r="N2631">
        <v>0</v>
      </c>
      <c r="O2631">
        <v>4</v>
      </c>
      <c r="P2631">
        <v>20</v>
      </c>
      <c r="Q2631">
        <v>0</v>
      </c>
      <c r="R2631">
        <f>SUM(Table13[[#This Row],[Rank_All_Ranks_Total]:[Rank_SSPSPAddlSPCommandant]])</f>
        <v>2366</v>
      </c>
    </row>
    <row r="2632" spans="1:18" x14ac:dyDescent="0.3">
      <c r="A2632" t="s">
        <v>14</v>
      </c>
      <c r="B2632">
        <v>2006</v>
      </c>
      <c r="C2632" t="str">
        <f>_xlfn.CONCAT(Table13[[#This Row],[STATE]],"-",Table13[[#This Row],[Year]])</f>
        <v>Himachal Pradesh-2006</v>
      </c>
      <c r="D2632" t="s">
        <v>79</v>
      </c>
      <c r="E2632" t="s">
        <v>80</v>
      </c>
      <c r="F2632">
        <v>140</v>
      </c>
      <c r="G2632">
        <v>1</v>
      </c>
      <c r="H2632">
        <v>0</v>
      </c>
      <c r="I2632">
        <v>0</v>
      </c>
      <c r="J2632">
        <v>130</v>
      </c>
      <c r="K2632">
        <v>0</v>
      </c>
      <c r="L2632">
        <v>0</v>
      </c>
      <c r="M2632">
        <v>7</v>
      </c>
      <c r="N2632">
        <v>0</v>
      </c>
      <c r="O2632">
        <v>0</v>
      </c>
      <c r="P2632">
        <v>2</v>
      </c>
      <c r="Q2632">
        <v>0</v>
      </c>
      <c r="R2632">
        <f>SUM(Table13[[#This Row],[Rank_All_Ranks_Total]:[Rank_SSPSPAddlSPCommandant]])</f>
        <v>280</v>
      </c>
    </row>
    <row r="2633" spans="1:18" x14ac:dyDescent="0.3">
      <c r="A2633" t="s">
        <v>15</v>
      </c>
      <c r="B2633">
        <v>2006</v>
      </c>
      <c r="C2633" t="str">
        <f>_xlfn.CONCAT(Table13[[#This Row],[STATE]],"-",Table13[[#This Row],[Year]])</f>
        <v>Jammu &amp; Kashmir-2006</v>
      </c>
      <c r="D2633" t="s">
        <v>79</v>
      </c>
      <c r="E2633" t="s">
        <v>80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f>SUM(Table13[[#This Row],[Rank_All_Ranks_Total]:[Rank_SSPSPAddlSPCommandant]])</f>
        <v>0</v>
      </c>
    </row>
    <row r="2634" spans="1:18" x14ac:dyDescent="0.3">
      <c r="A2634" t="s">
        <v>16</v>
      </c>
      <c r="B2634">
        <v>2006</v>
      </c>
      <c r="C2634" t="str">
        <f>_xlfn.CONCAT(Table13[[#This Row],[STATE]],"-",Table13[[#This Row],[Year]])</f>
        <v>Jharkhand-2006</v>
      </c>
      <c r="D2634" t="s">
        <v>79</v>
      </c>
      <c r="E2634" t="s">
        <v>80</v>
      </c>
      <c r="F2634">
        <v>921</v>
      </c>
      <c r="G2634">
        <v>43</v>
      </c>
      <c r="H2634">
        <v>3</v>
      </c>
      <c r="I2634">
        <v>0</v>
      </c>
      <c r="J2634">
        <v>731</v>
      </c>
      <c r="K2634">
        <v>0</v>
      </c>
      <c r="L2634">
        <v>0</v>
      </c>
      <c r="M2634">
        <v>78</v>
      </c>
      <c r="N2634">
        <v>0</v>
      </c>
      <c r="O2634">
        <v>7</v>
      </c>
      <c r="P2634">
        <v>58</v>
      </c>
      <c r="Q2634">
        <v>1</v>
      </c>
      <c r="R2634">
        <f>SUM(Table13[[#This Row],[Rank_All_Ranks_Total]:[Rank_SSPSPAddlSPCommandant]])</f>
        <v>1842</v>
      </c>
    </row>
    <row r="2635" spans="1:18" x14ac:dyDescent="0.3">
      <c r="A2635" t="s">
        <v>17</v>
      </c>
      <c r="B2635">
        <v>2006</v>
      </c>
      <c r="C2635" t="str">
        <f>_xlfn.CONCAT(Table13[[#This Row],[STATE]],"-",Table13[[#This Row],[Year]])</f>
        <v>Karnataka-2006</v>
      </c>
      <c r="D2635" t="s">
        <v>79</v>
      </c>
      <c r="E2635" t="s">
        <v>80</v>
      </c>
      <c r="F2635">
        <v>6523</v>
      </c>
      <c r="G2635">
        <v>291</v>
      </c>
      <c r="H2635">
        <v>11</v>
      </c>
      <c r="I2635">
        <v>0</v>
      </c>
      <c r="J2635">
        <v>4455</v>
      </c>
      <c r="K2635">
        <v>0</v>
      </c>
      <c r="L2635">
        <v>0</v>
      </c>
      <c r="M2635">
        <v>1510</v>
      </c>
      <c r="N2635">
        <v>0</v>
      </c>
      <c r="O2635">
        <v>51</v>
      </c>
      <c r="P2635">
        <v>200</v>
      </c>
      <c r="Q2635">
        <v>5</v>
      </c>
      <c r="R2635">
        <f>SUM(Table13[[#This Row],[Rank_All_Ranks_Total]:[Rank_SSPSPAddlSPCommandant]])</f>
        <v>13046</v>
      </c>
    </row>
    <row r="2636" spans="1:18" x14ac:dyDescent="0.3">
      <c r="A2636" t="s">
        <v>18</v>
      </c>
      <c r="B2636">
        <v>2006</v>
      </c>
      <c r="C2636" t="str">
        <f>_xlfn.CONCAT(Table13[[#This Row],[STATE]],"-",Table13[[#This Row],[Year]])</f>
        <v>Kerala-2006</v>
      </c>
      <c r="D2636" t="s">
        <v>79</v>
      </c>
      <c r="E2636" t="s">
        <v>80</v>
      </c>
      <c r="F2636">
        <v>2788</v>
      </c>
      <c r="G2636">
        <v>0</v>
      </c>
      <c r="H2636">
        <v>1</v>
      </c>
      <c r="I2636">
        <v>0</v>
      </c>
      <c r="J2636">
        <v>2500</v>
      </c>
      <c r="K2636">
        <v>0</v>
      </c>
      <c r="L2636">
        <v>0</v>
      </c>
      <c r="M2636">
        <v>188</v>
      </c>
      <c r="N2636">
        <v>2</v>
      </c>
      <c r="O2636">
        <v>21</v>
      </c>
      <c r="P2636">
        <v>74</v>
      </c>
      <c r="Q2636">
        <v>2</v>
      </c>
      <c r="R2636">
        <f>SUM(Table13[[#This Row],[Rank_All_Ranks_Total]:[Rank_SSPSPAddlSPCommandant]])</f>
        <v>5576</v>
      </c>
    </row>
    <row r="2637" spans="1:18" x14ac:dyDescent="0.3">
      <c r="A2637" t="s">
        <v>39</v>
      </c>
      <c r="B2637">
        <v>2006</v>
      </c>
      <c r="C2637" t="str">
        <f>_xlfn.CONCAT(Table13[[#This Row],[STATE]],"-",Table13[[#This Row],[Year]])</f>
        <v>Lakshadweep-2006</v>
      </c>
      <c r="D2637" t="s">
        <v>79</v>
      </c>
      <c r="E2637" t="s">
        <v>80</v>
      </c>
      <c r="F2637">
        <v>8</v>
      </c>
      <c r="G2637">
        <v>0</v>
      </c>
      <c r="H2637">
        <v>0</v>
      </c>
      <c r="I2637">
        <v>0</v>
      </c>
      <c r="J2637">
        <v>6</v>
      </c>
      <c r="K2637">
        <v>0</v>
      </c>
      <c r="L2637">
        <v>0</v>
      </c>
      <c r="M2637">
        <v>1</v>
      </c>
      <c r="N2637">
        <v>0</v>
      </c>
      <c r="O2637">
        <v>0</v>
      </c>
      <c r="P2637">
        <v>1</v>
      </c>
      <c r="Q2637">
        <v>0</v>
      </c>
      <c r="R2637">
        <f>SUM(Table13[[#This Row],[Rank_All_Ranks_Total]:[Rank_SSPSPAddlSPCommandant]])</f>
        <v>16</v>
      </c>
    </row>
    <row r="2638" spans="1:18" x14ac:dyDescent="0.3">
      <c r="A2638" t="s">
        <v>19</v>
      </c>
      <c r="B2638">
        <v>2006</v>
      </c>
      <c r="C2638" t="str">
        <f>_xlfn.CONCAT(Table13[[#This Row],[STATE]],"-",Table13[[#This Row],[Year]])</f>
        <v>Madhya Pradesh-2006</v>
      </c>
      <c r="D2638" t="s">
        <v>79</v>
      </c>
      <c r="E2638" t="s">
        <v>80</v>
      </c>
      <c r="F2638">
        <v>1955</v>
      </c>
      <c r="G2638">
        <v>47</v>
      </c>
      <c r="H2638">
        <v>36</v>
      </c>
      <c r="I2638">
        <v>0</v>
      </c>
      <c r="J2638">
        <v>1018</v>
      </c>
      <c r="K2638">
        <v>0</v>
      </c>
      <c r="L2638">
        <v>1</v>
      </c>
      <c r="M2638">
        <v>734</v>
      </c>
      <c r="N2638">
        <v>1</v>
      </c>
      <c r="O2638">
        <v>14</v>
      </c>
      <c r="P2638">
        <v>100</v>
      </c>
      <c r="Q2638">
        <v>4</v>
      </c>
      <c r="R2638">
        <f>SUM(Table13[[#This Row],[Rank_All_Ranks_Total]:[Rank_SSPSPAddlSPCommandant]])</f>
        <v>3910</v>
      </c>
    </row>
    <row r="2639" spans="1:18" x14ac:dyDescent="0.3">
      <c r="A2639" t="s">
        <v>20</v>
      </c>
      <c r="B2639">
        <v>2006</v>
      </c>
      <c r="C2639" t="str">
        <f>_xlfn.CONCAT(Table13[[#This Row],[STATE]],"-",Table13[[#This Row],[Year]])</f>
        <v>Maharashtra-2006</v>
      </c>
      <c r="D2639" t="s">
        <v>79</v>
      </c>
      <c r="E2639" t="s">
        <v>80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f>SUM(Table13[[#This Row],[Rank_All_Ranks_Total]:[Rank_SSPSPAddlSPCommandant]])</f>
        <v>0</v>
      </c>
    </row>
    <row r="2640" spans="1:18" x14ac:dyDescent="0.3">
      <c r="A2640" t="s">
        <v>21</v>
      </c>
      <c r="B2640">
        <v>2006</v>
      </c>
      <c r="C2640" t="str">
        <f>_xlfn.CONCAT(Table13[[#This Row],[STATE]],"-",Table13[[#This Row],[Year]])</f>
        <v>Manipur-2006</v>
      </c>
      <c r="D2640" t="s">
        <v>79</v>
      </c>
      <c r="E2640" t="s">
        <v>80</v>
      </c>
      <c r="F2640">
        <v>493</v>
      </c>
      <c r="G2640">
        <v>13</v>
      </c>
      <c r="H2640">
        <v>0</v>
      </c>
      <c r="I2640">
        <v>0</v>
      </c>
      <c r="J2640">
        <v>430</v>
      </c>
      <c r="K2640">
        <v>0</v>
      </c>
      <c r="L2640">
        <v>0</v>
      </c>
      <c r="M2640">
        <v>43</v>
      </c>
      <c r="N2640">
        <v>0</v>
      </c>
      <c r="O2640">
        <v>2</v>
      </c>
      <c r="P2640">
        <v>5</v>
      </c>
      <c r="Q2640">
        <v>0</v>
      </c>
      <c r="R2640">
        <f>SUM(Table13[[#This Row],[Rank_All_Ranks_Total]:[Rank_SSPSPAddlSPCommandant]])</f>
        <v>986</v>
      </c>
    </row>
    <row r="2641" spans="1:18" x14ac:dyDescent="0.3">
      <c r="A2641" t="s">
        <v>22</v>
      </c>
      <c r="B2641">
        <v>2006</v>
      </c>
      <c r="C2641" t="str">
        <f>_xlfn.CONCAT(Table13[[#This Row],[STATE]],"-",Table13[[#This Row],[Year]])</f>
        <v>Meghalaya-2006</v>
      </c>
      <c r="D2641" t="s">
        <v>79</v>
      </c>
      <c r="E2641" t="s">
        <v>80</v>
      </c>
      <c r="F2641">
        <v>44</v>
      </c>
      <c r="G2641">
        <v>0</v>
      </c>
      <c r="H2641">
        <v>0</v>
      </c>
      <c r="I2641">
        <v>0</v>
      </c>
      <c r="J2641">
        <v>36</v>
      </c>
      <c r="K2641">
        <v>0</v>
      </c>
      <c r="L2641">
        <v>0</v>
      </c>
      <c r="M2641">
        <v>3</v>
      </c>
      <c r="N2641">
        <v>0</v>
      </c>
      <c r="O2641">
        <v>1</v>
      </c>
      <c r="P2641">
        <v>4</v>
      </c>
      <c r="Q2641">
        <v>0</v>
      </c>
      <c r="R2641">
        <f>SUM(Table13[[#This Row],[Rank_All_Ranks_Total]:[Rank_SSPSPAddlSPCommandant]])</f>
        <v>88</v>
      </c>
    </row>
    <row r="2642" spans="1:18" x14ac:dyDescent="0.3">
      <c r="A2642" t="s">
        <v>23</v>
      </c>
      <c r="B2642">
        <v>2006</v>
      </c>
      <c r="C2642" t="str">
        <f>_xlfn.CONCAT(Table13[[#This Row],[STATE]],"-",Table13[[#This Row],[Year]])</f>
        <v>Mizoram-2006</v>
      </c>
      <c r="D2642" t="s">
        <v>79</v>
      </c>
      <c r="E2642" t="s">
        <v>80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f>SUM(Table13[[#This Row],[Rank_All_Ranks_Total]:[Rank_SSPSPAddlSPCommandant]])</f>
        <v>0</v>
      </c>
    </row>
    <row r="2643" spans="1:18" x14ac:dyDescent="0.3">
      <c r="A2643" t="s">
        <v>24</v>
      </c>
      <c r="B2643">
        <v>2006</v>
      </c>
      <c r="C2643" t="str">
        <f>_xlfn.CONCAT(Table13[[#This Row],[STATE]],"-",Table13[[#This Row],[Year]])</f>
        <v>Nagaland-2006</v>
      </c>
      <c r="D2643" t="s">
        <v>79</v>
      </c>
      <c r="E2643" t="s">
        <v>80</v>
      </c>
      <c r="F2643">
        <v>72</v>
      </c>
      <c r="G2643">
        <v>6</v>
      </c>
      <c r="H2643">
        <v>1</v>
      </c>
      <c r="I2643">
        <v>0</v>
      </c>
      <c r="J2643">
        <v>58</v>
      </c>
      <c r="K2643">
        <v>0</v>
      </c>
      <c r="L2643">
        <v>0</v>
      </c>
      <c r="M2643">
        <v>0</v>
      </c>
      <c r="N2643">
        <v>0</v>
      </c>
      <c r="O2643">
        <v>1</v>
      </c>
      <c r="P2643">
        <v>6</v>
      </c>
      <c r="Q2643">
        <v>0</v>
      </c>
      <c r="R2643">
        <f>SUM(Table13[[#This Row],[Rank_All_Ranks_Total]:[Rank_SSPSPAddlSPCommandant]])</f>
        <v>144</v>
      </c>
    </row>
    <row r="2644" spans="1:18" x14ac:dyDescent="0.3">
      <c r="A2644" t="s">
        <v>63</v>
      </c>
      <c r="B2644">
        <v>2006</v>
      </c>
      <c r="C2644" t="str">
        <f>_xlfn.CONCAT(Table13[[#This Row],[STATE]],"-",Table13[[#This Row],[Year]])</f>
        <v>Odisha-2006</v>
      </c>
      <c r="D2644" t="s">
        <v>79</v>
      </c>
      <c r="E2644" t="s">
        <v>80</v>
      </c>
      <c r="F2644">
        <v>2669</v>
      </c>
      <c r="G2644">
        <v>40</v>
      </c>
      <c r="H2644">
        <v>3</v>
      </c>
      <c r="I2644">
        <v>0</v>
      </c>
      <c r="J2644">
        <v>2392</v>
      </c>
      <c r="K2644">
        <v>0</v>
      </c>
      <c r="L2644">
        <v>2</v>
      </c>
      <c r="M2644">
        <v>0</v>
      </c>
      <c r="N2644">
        <v>0</v>
      </c>
      <c r="O2644">
        <v>28</v>
      </c>
      <c r="P2644">
        <v>197</v>
      </c>
      <c r="Q2644">
        <v>7</v>
      </c>
      <c r="R2644">
        <f>SUM(Table13[[#This Row],[Rank_All_Ranks_Total]:[Rank_SSPSPAddlSPCommandant]])</f>
        <v>5338</v>
      </c>
    </row>
    <row r="2645" spans="1:18" x14ac:dyDescent="0.3">
      <c r="A2645" t="s">
        <v>64</v>
      </c>
      <c r="B2645">
        <v>2006</v>
      </c>
      <c r="C2645" t="str">
        <f>_xlfn.CONCAT(Table13[[#This Row],[STATE]],"-",Table13[[#This Row],[Year]])</f>
        <v>Puducherry-2006</v>
      </c>
      <c r="D2645" t="s">
        <v>79</v>
      </c>
      <c r="E2645" t="s">
        <v>80</v>
      </c>
      <c r="F2645">
        <v>81</v>
      </c>
      <c r="G2645">
        <v>2</v>
      </c>
      <c r="H2645">
        <v>0</v>
      </c>
      <c r="I2645">
        <v>0</v>
      </c>
      <c r="J2645">
        <v>70</v>
      </c>
      <c r="K2645">
        <v>0</v>
      </c>
      <c r="L2645">
        <v>0</v>
      </c>
      <c r="M2645">
        <v>6</v>
      </c>
      <c r="N2645">
        <v>0</v>
      </c>
      <c r="O2645">
        <v>1</v>
      </c>
      <c r="P2645">
        <v>2</v>
      </c>
      <c r="Q2645">
        <v>0</v>
      </c>
      <c r="R2645">
        <f>SUM(Table13[[#This Row],[Rank_All_Ranks_Total]:[Rank_SSPSPAddlSPCommandant]])</f>
        <v>162</v>
      </c>
    </row>
    <row r="2646" spans="1:18" x14ac:dyDescent="0.3">
      <c r="A2646" t="s">
        <v>26</v>
      </c>
      <c r="B2646">
        <v>2006</v>
      </c>
      <c r="C2646" t="str">
        <f>_xlfn.CONCAT(Table13[[#This Row],[STATE]],"-",Table13[[#This Row],[Year]])</f>
        <v>Punjab-2006</v>
      </c>
      <c r="D2646" t="s">
        <v>79</v>
      </c>
      <c r="E2646" t="s">
        <v>80</v>
      </c>
      <c r="F2646">
        <v>1515</v>
      </c>
      <c r="G2646">
        <v>106</v>
      </c>
      <c r="H2646">
        <v>0</v>
      </c>
      <c r="I2646">
        <v>0</v>
      </c>
      <c r="J2646">
        <v>1100</v>
      </c>
      <c r="K2646">
        <v>0</v>
      </c>
      <c r="L2646">
        <v>0</v>
      </c>
      <c r="M2646">
        <v>240</v>
      </c>
      <c r="N2646">
        <v>0</v>
      </c>
      <c r="O2646">
        <v>21</v>
      </c>
      <c r="P2646">
        <v>48</v>
      </c>
      <c r="Q2646">
        <v>0</v>
      </c>
      <c r="R2646">
        <f>SUM(Table13[[#This Row],[Rank_All_Ranks_Total]:[Rank_SSPSPAddlSPCommandant]])</f>
        <v>3030</v>
      </c>
    </row>
    <row r="2647" spans="1:18" x14ac:dyDescent="0.3">
      <c r="A2647" t="s">
        <v>27</v>
      </c>
      <c r="B2647">
        <v>2006</v>
      </c>
      <c r="C2647" t="str">
        <f>_xlfn.CONCAT(Table13[[#This Row],[STATE]],"-",Table13[[#This Row],[Year]])</f>
        <v>Rajasthan-2006</v>
      </c>
      <c r="D2647" t="s">
        <v>79</v>
      </c>
      <c r="E2647" t="s">
        <v>80</v>
      </c>
      <c r="F2647">
        <v>942</v>
      </c>
      <c r="G2647">
        <v>21</v>
      </c>
      <c r="H2647">
        <v>2</v>
      </c>
      <c r="I2647">
        <v>0</v>
      </c>
      <c r="J2647">
        <v>854</v>
      </c>
      <c r="K2647">
        <v>0</v>
      </c>
      <c r="L2647">
        <v>0</v>
      </c>
      <c r="M2647">
        <v>25</v>
      </c>
      <c r="N2647">
        <v>0</v>
      </c>
      <c r="O2647">
        <v>2</v>
      </c>
      <c r="P2647">
        <v>38</v>
      </c>
      <c r="Q2647">
        <v>0</v>
      </c>
      <c r="R2647">
        <f>SUM(Table13[[#This Row],[Rank_All_Ranks_Total]:[Rank_SSPSPAddlSPCommandant]])</f>
        <v>1884</v>
      </c>
    </row>
    <row r="2648" spans="1:18" x14ac:dyDescent="0.3">
      <c r="A2648" t="s">
        <v>28</v>
      </c>
      <c r="B2648">
        <v>2006</v>
      </c>
      <c r="C2648" t="str">
        <f>_xlfn.CONCAT(Table13[[#This Row],[STATE]],"-",Table13[[#This Row],[Year]])</f>
        <v>Sikkim-2006</v>
      </c>
      <c r="D2648" t="s">
        <v>79</v>
      </c>
      <c r="E2648" t="s">
        <v>80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f>SUM(Table13[[#This Row],[Rank_All_Ranks_Total]:[Rank_SSPSPAddlSPCommandant]])</f>
        <v>0</v>
      </c>
    </row>
    <row r="2649" spans="1:18" x14ac:dyDescent="0.3">
      <c r="A2649" t="s">
        <v>42</v>
      </c>
      <c r="B2649">
        <v>2006</v>
      </c>
      <c r="C2649" t="str">
        <f>_xlfn.CONCAT(Table13[[#This Row],[STATE]],"-",Table13[[#This Row],[Year]])</f>
        <v>Tamil Nadu-2006</v>
      </c>
      <c r="D2649" t="s">
        <v>79</v>
      </c>
      <c r="E2649" t="s">
        <v>80</v>
      </c>
      <c r="F2649">
        <v>8781</v>
      </c>
      <c r="G2649">
        <v>0</v>
      </c>
      <c r="H2649">
        <v>26</v>
      </c>
      <c r="I2649">
        <v>0</v>
      </c>
      <c r="J2649">
        <v>6763</v>
      </c>
      <c r="K2649">
        <v>2</v>
      </c>
      <c r="L2649">
        <v>2</v>
      </c>
      <c r="M2649">
        <v>392</v>
      </c>
      <c r="N2649">
        <v>1</v>
      </c>
      <c r="O2649">
        <v>189</v>
      </c>
      <c r="P2649">
        <v>1382</v>
      </c>
      <c r="Q2649">
        <v>24</v>
      </c>
      <c r="R2649">
        <f>SUM(Table13[[#This Row],[Rank_All_Ranks_Total]:[Rank_SSPSPAddlSPCommandant]])</f>
        <v>17562</v>
      </c>
    </row>
    <row r="2650" spans="1:18" x14ac:dyDescent="0.3">
      <c r="A2650" t="s">
        <v>30</v>
      </c>
      <c r="B2650">
        <v>2006</v>
      </c>
      <c r="C2650" t="str">
        <f>_xlfn.CONCAT(Table13[[#This Row],[STATE]],"-",Table13[[#This Row],[Year]])</f>
        <v>Tripura-2006</v>
      </c>
      <c r="D2650" t="s">
        <v>79</v>
      </c>
      <c r="E2650" t="s">
        <v>80</v>
      </c>
      <c r="F2650">
        <v>860</v>
      </c>
      <c r="G2650">
        <v>51</v>
      </c>
      <c r="H2650">
        <v>2</v>
      </c>
      <c r="I2650">
        <v>16</v>
      </c>
      <c r="J2650">
        <v>659</v>
      </c>
      <c r="K2650">
        <v>0</v>
      </c>
      <c r="L2650">
        <v>0</v>
      </c>
      <c r="M2650">
        <v>69</v>
      </c>
      <c r="N2650">
        <v>0</v>
      </c>
      <c r="O2650">
        <v>1</v>
      </c>
      <c r="P2650">
        <v>62</v>
      </c>
      <c r="Q2650">
        <v>0</v>
      </c>
      <c r="R2650">
        <f>SUM(Table13[[#This Row],[Rank_All_Ranks_Total]:[Rank_SSPSPAddlSPCommandant]])</f>
        <v>1720</v>
      </c>
    </row>
    <row r="2651" spans="1:18" x14ac:dyDescent="0.3">
      <c r="A2651" t="s">
        <v>31</v>
      </c>
      <c r="B2651">
        <v>2006</v>
      </c>
      <c r="C2651" t="str">
        <f>_xlfn.CONCAT(Table13[[#This Row],[STATE]],"-",Table13[[#This Row],[Year]])</f>
        <v>Uttar Pradesh-2006</v>
      </c>
      <c r="D2651" t="s">
        <v>79</v>
      </c>
      <c r="E2651" t="s">
        <v>80</v>
      </c>
      <c r="F2651">
        <v>1877</v>
      </c>
      <c r="G2651">
        <v>0</v>
      </c>
      <c r="H2651">
        <v>0</v>
      </c>
      <c r="I2651">
        <v>0</v>
      </c>
      <c r="J2651">
        <v>1541</v>
      </c>
      <c r="K2651">
        <v>0</v>
      </c>
      <c r="L2651">
        <v>0</v>
      </c>
      <c r="M2651">
        <v>142</v>
      </c>
      <c r="N2651">
        <v>0</v>
      </c>
      <c r="O2651">
        <v>11</v>
      </c>
      <c r="P2651">
        <v>183</v>
      </c>
      <c r="Q2651">
        <v>0</v>
      </c>
      <c r="R2651">
        <f>SUM(Table13[[#This Row],[Rank_All_Ranks_Total]:[Rank_SSPSPAddlSPCommandant]])</f>
        <v>3754</v>
      </c>
    </row>
    <row r="2652" spans="1:18" x14ac:dyDescent="0.3">
      <c r="A2652" t="s">
        <v>65</v>
      </c>
      <c r="B2652">
        <v>2006</v>
      </c>
      <c r="C2652" t="str">
        <f>_xlfn.CONCAT(Table13[[#This Row],[STATE]],"-",Table13[[#This Row],[Year]])</f>
        <v>Uttarakhand-2006</v>
      </c>
      <c r="D2652" t="s">
        <v>79</v>
      </c>
      <c r="E2652" t="s">
        <v>80</v>
      </c>
      <c r="F2652">
        <v>716</v>
      </c>
      <c r="G2652">
        <v>0</v>
      </c>
      <c r="H2652">
        <v>0</v>
      </c>
      <c r="I2652">
        <v>0</v>
      </c>
      <c r="J2652">
        <v>638</v>
      </c>
      <c r="K2652">
        <v>0</v>
      </c>
      <c r="L2652">
        <v>0</v>
      </c>
      <c r="M2652">
        <v>70</v>
      </c>
      <c r="N2652">
        <v>0</v>
      </c>
      <c r="O2652">
        <v>0</v>
      </c>
      <c r="P2652">
        <v>8</v>
      </c>
      <c r="Q2652">
        <v>0</v>
      </c>
      <c r="R2652">
        <f>SUM(Table13[[#This Row],[Rank_All_Ranks_Total]:[Rank_SSPSPAddlSPCommandant]])</f>
        <v>1432</v>
      </c>
    </row>
    <row r="2653" spans="1:18" x14ac:dyDescent="0.3">
      <c r="A2653" t="s">
        <v>33</v>
      </c>
      <c r="B2653">
        <v>2006</v>
      </c>
      <c r="C2653" t="str">
        <f>_xlfn.CONCAT(Table13[[#This Row],[STATE]],"-",Table13[[#This Row],[Year]])</f>
        <v>West Bengal-2006</v>
      </c>
      <c r="D2653" t="s">
        <v>79</v>
      </c>
      <c r="E2653" t="s">
        <v>80</v>
      </c>
      <c r="F2653">
        <v>1448</v>
      </c>
      <c r="G2653">
        <v>119</v>
      </c>
      <c r="H2653">
        <v>1</v>
      </c>
      <c r="I2653">
        <v>0</v>
      </c>
      <c r="J2653">
        <v>1142</v>
      </c>
      <c r="K2653">
        <v>0</v>
      </c>
      <c r="L2653">
        <v>0</v>
      </c>
      <c r="M2653">
        <v>7</v>
      </c>
      <c r="N2653">
        <v>0</v>
      </c>
      <c r="O2653">
        <v>12</v>
      </c>
      <c r="P2653">
        <v>167</v>
      </c>
      <c r="Q2653">
        <v>0</v>
      </c>
      <c r="R2653">
        <f>SUM(Table13[[#This Row],[Rank_All_Ranks_Total]:[Rank_SSPSPAddlSPCommandant]])</f>
        <v>2896</v>
      </c>
    </row>
    <row r="2654" spans="1:18" x14ac:dyDescent="0.3">
      <c r="A2654" t="s">
        <v>59</v>
      </c>
      <c r="B2654">
        <v>2007</v>
      </c>
      <c r="C2654" t="str">
        <f>_xlfn.CONCAT(Table13[[#This Row],[STATE]],"-",Table13[[#This Row],[Year]])</f>
        <v>Andaman &amp; Nicobar Islands-2007</v>
      </c>
      <c r="D2654" t="s">
        <v>79</v>
      </c>
      <c r="E2654" t="s">
        <v>80</v>
      </c>
      <c r="F2654">
        <v>16</v>
      </c>
      <c r="G2654">
        <v>0</v>
      </c>
      <c r="H2654">
        <v>0</v>
      </c>
      <c r="I2654">
        <v>0</v>
      </c>
      <c r="J2654">
        <v>10</v>
      </c>
      <c r="K2654">
        <v>0</v>
      </c>
      <c r="L2654">
        <v>0</v>
      </c>
      <c r="M2654">
        <v>4</v>
      </c>
      <c r="N2654">
        <v>0</v>
      </c>
      <c r="O2654">
        <v>0</v>
      </c>
      <c r="P2654">
        <v>2</v>
      </c>
      <c r="Q2654">
        <v>0</v>
      </c>
      <c r="R2654">
        <f>SUM(Table13[[#This Row],[Rank_All_Ranks_Total]:[Rank_SSPSPAddlSPCommandant]])</f>
        <v>32</v>
      </c>
    </row>
    <row r="2655" spans="1:18" x14ac:dyDescent="0.3">
      <c r="A2655" t="s">
        <v>6</v>
      </c>
      <c r="B2655">
        <v>2007</v>
      </c>
      <c r="C2655" t="str">
        <f>_xlfn.CONCAT(Table13[[#This Row],[STATE]],"-",Table13[[#This Row],[Year]])</f>
        <v>Andhra Pradesh-2007</v>
      </c>
      <c r="D2655" t="s">
        <v>79</v>
      </c>
      <c r="E2655" t="s">
        <v>80</v>
      </c>
      <c r="F2655">
        <v>1202</v>
      </c>
      <c r="G2655">
        <v>0</v>
      </c>
      <c r="H2655">
        <v>2</v>
      </c>
      <c r="I2655">
        <v>0</v>
      </c>
      <c r="J2655">
        <v>1117</v>
      </c>
      <c r="K2655">
        <v>1</v>
      </c>
      <c r="L2655">
        <v>2</v>
      </c>
      <c r="M2655">
        <v>34</v>
      </c>
      <c r="N2655">
        <v>1</v>
      </c>
      <c r="O2655">
        <v>8</v>
      </c>
      <c r="P2655">
        <v>30</v>
      </c>
      <c r="Q2655">
        <v>7</v>
      </c>
      <c r="R2655">
        <f>SUM(Table13[[#This Row],[Rank_All_Ranks_Total]:[Rank_SSPSPAddlSPCommandant]])</f>
        <v>2404</v>
      </c>
    </row>
    <row r="2656" spans="1:18" x14ac:dyDescent="0.3">
      <c r="A2656" t="s">
        <v>7</v>
      </c>
      <c r="B2656">
        <v>2007</v>
      </c>
      <c r="C2656" t="str">
        <f>_xlfn.CONCAT(Table13[[#This Row],[STATE]],"-",Table13[[#This Row],[Year]])</f>
        <v>Arunachal Pradesh-2007</v>
      </c>
      <c r="D2656" t="s">
        <v>79</v>
      </c>
      <c r="E2656" t="s">
        <v>80</v>
      </c>
      <c r="F2656">
        <v>67</v>
      </c>
      <c r="G2656">
        <v>4</v>
      </c>
      <c r="H2656">
        <v>0</v>
      </c>
      <c r="I2656">
        <v>0</v>
      </c>
      <c r="J2656">
        <v>40</v>
      </c>
      <c r="K2656">
        <v>0</v>
      </c>
      <c r="L2656">
        <v>0</v>
      </c>
      <c r="M2656">
        <v>12</v>
      </c>
      <c r="N2656">
        <v>0</v>
      </c>
      <c r="O2656">
        <v>2</v>
      </c>
      <c r="P2656">
        <v>9</v>
      </c>
      <c r="Q2656">
        <v>0</v>
      </c>
      <c r="R2656">
        <f>SUM(Table13[[#This Row],[Rank_All_Ranks_Total]:[Rank_SSPSPAddlSPCommandant]])</f>
        <v>134</v>
      </c>
    </row>
    <row r="2657" spans="1:18" x14ac:dyDescent="0.3">
      <c r="A2657" t="s">
        <v>8</v>
      </c>
      <c r="B2657">
        <v>2007</v>
      </c>
      <c r="C2657" t="str">
        <f>_xlfn.CONCAT(Table13[[#This Row],[STATE]],"-",Table13[[#This Row],[Year]])</f>
        <v>Assam-2007</v>
      </c>
      <c r="D2657" t="s">
        <v>79</v>
      </c>
      <c r="E2657" t="s">
        <v>80</v>
      </c>
      <c r="F2657">
        <v>223</v>
      </c>
      <c r="G2657">
        <v>5</v>
      </c>
      <c r="H2657">
        <v>0</v>
      </c>
      <c r="I2657">
        <v>8</v>
      </c>
      <c r="J2657">
        <v>185</v>
      </c>
      <c r="K2657">
        <v>0</v>
      </c>
      <c r="L2657">
        <v>0</v>
      </c>
      <c r="M2657">
        <v>8</v>
      </c>
      <c r="N2657">
        <v>0</v>
      </c>
      <c r="O2657">
        <v>0</v>
      </c>
      <c r="P2657">
        <v>17</v>
      </c>
      <c r="Q2657">
        <v>0</v>
      </c>
      <c r="R2657">
        <f>SUM(Table13[[#This Row],[Rank_All_Ranks_Total]:[Rank_SSPSPAddlSPCommandant]])</f>
        <v>446</v>
      </c>
    </row>
    <row r="2658" spans="1:18" x14ac:dyDescent="0.3">
      <c r="A2658" t="s">
        <v>9</v>
      </c>
      <c r="B2658">
        <v>2007</v>
      </c>
      <c r="C2658" t="str">
        <f>_xlfn.CONCAT(Table13[[#This Row],[STATE]],"-",Table13[[#This Row],[Year]])</f>
        <v>Bihar-2007</v>
      </c>
      <c r="D2658" t="s">
        <v>79</v>
      </c>
      <c r="E2658" t="s">
        <v>80</v>
      </c>
      <c r="F2658">
        <v>105</v>
      </c>
      <c r="G2658">
        <v>2</v>
      </c>
      <c r="H2658">
        <v>0</v>
      </c>
      <c r="I2658">
        <v>0</v>
      </c>
      <c r="J2658">
        <v>99</v>
      </c>
      <c r="K2658">
        <v>0</v>
      </c>
      <c r="L2658">
        <v>0</v>
      </c>
      <c r="M2658">
        <v>2</v>
      </c>
      <c r="N2658">
        <v>0</v>
      </c>
      <c r="O2658">
        <v>0</v>
      </c>
      <c r="P2658">
        <v>2</v>
      </c>
      <c r="Q2658">
        <v>0</v>
      </c>
      <c r="R2658">
        <f>SUM(Table13[[#This Row],[Rank_All_Ranks_Total]:[Rank_SSPSPAddlSPCommandant]])</f>
        <v>210</v>
      </c>
    </row>
    <row r="2659" spans="1:18" x14ac:dyDescent="0.3">
      <c r="A2659" t="s">
        <v>35</v>
      </c>
      <c r="B2659">
        <v>2007</v>
      </c>
      <c r="C2659" t="str">
        <f>_xlfn.CONCAT(Table13[[#This Row],[STATE]],"-",Table13[[#This Row],[Year]])</f>
        <v>Chandigarh-2007</v>
      </c>
      <c r="D2659" t="s">
        <v>79</v>
      </c>
      <c r="E2659" t="s">
        <v>80</v>
      </c>
      <c r="F2659">
        <v>35</v>
      </c>
      <c r="G2659">
        <v>1</v>
      </c>
      <c r="H2659">
        <v>0</v>
      </c>
      <c r="I2659">
        <v>0</v>
      </c>
      <c r="J2659">
        <v>31</v>
      </c>
      <c r="K2659">
        <v>0</v>
      </c>
      <c r="L2659">
        <v>0</v>
      </c>
      <c r="M2659">
        <v>2</v>
      </c>
      <c r="N2659">
        <v>0</v>
      </c>
      <c r="O2659">
        <v>0</v>
      </c>
      <c r="P2659">
        <v>1</v>
      </c>
      <c r="Q2659">
        <v>0</v>
      </c>
      <c r="R2659">
        <f>SUM(Table13[[#This Row],[Rank_All_Ranks_Total]:[Rank_SSPSPAddlSPCommandant]])</f>
        <v>70</v>
      </c>
    </row>
    <row r="2660" spans="1:18" x14ac:dyDescent="0.3">
      <c r="A2660" t="s">
        <v>10</v>
      </c>
      <c r="B2660">
        <v>2007</v>
      </c>
      <c r="C2660" t="str">
        <f>_xlfn.CONCAT(Table13[[#This Row],[STATE]],"-",Table13[[#This Row],[Year]])</f>
        <v>Chhattisgarh-2007</v>
      </c>
      <c r="D2660" t="s">
        <v>79</v>
      </c>
      <c r="E2660" t="s">
        <v>80</v>
      </c>
      <c r="F2660">
        <v>1115</v>
      </c>
      <c r="G2660">
        <v>15</v>
      </c>
      <c r="H2660">
        <v>30</v>
      </c>
      <c r="I2660">
        <v>0</v>
      </c>
      <c r="J2660">
        <v>924</v>
      </c>
      <c r="K2660">
        <v>0</v>
      </c>
      <c r="L2660">
        <v>0</v>
      </c>
      <c r="M2660">
        <v>78</v>
      </c>
      <c r="N2660">
        <v>0</v>
      </c>
      <c r="O2660">
        <v>11</v>
      </c>
      <c r="P2660">
        <v>56</v>
      </c>
      <c r="Q2660">
        <v>1</v>
      </c>
      <c r="R2660">
        <f>SUM(Table13[[#This Row],[Rank_All_Ranks_Total]:[Rank_SSPSPAddlSPCommandant]])</f>
        <v>2230</v>
      </c>
    </row>
    <row r="2661" spans="1:18" x14ac:dyDescent="0.3">
      <c r="A2661" t="s">
        <v>62</v>
      </c>
      <c r="B2661">
        <v>2007</v>
      </c>
      <c r="C2661" t="str">
        <f>_xlfn.CONCAT(Table13[[#This Row],[STATE]],"-",Table13[[#This Row],[Year]])</f>
        <v>Dadra &amp; Nagar Haveli-2007</v>
      </c>
      <c r="D2661" t="s">
        <v>79</v>
      </c>
      <c r="E2661" t="s">
        <v>80</v>
      </c>
      <c r="F2661">
        <v>9</v>
      </c>
      <c r="G2661">
        <v>0</v>
      </c>
      <c r="H2661">
        <v>0</v>
      </c>
      <c r="I2661">
        <v>0</v>
      </c>
      <c r="J2661">
        <v>4</v>
      </c>
      <c r="K2661">
        <v>0</v>
      </c>
      <c r="L2661">
        <v>0</v>
      </c>
      <c r="M2661">
        <v>3</v>
      </c>
      <c r="N2661">
        <v>0</v>
      </c>
      <c r="O2661">
        <v>0</v>
      </c>
      <c r="P2661">
        <v>2</v>
      </c>
      <c r="Q2661">
        <v>0</v>
      </c>
      <c r="R2661">
        <f>SUM(Table13[[#This Row],[Rank_All_Ranks_Total]:[Rank_SSPSPAddlSPCommandant]])</f>
        <v>18</v>
      </c>
    </row>
    <row r="2662" spans="1:18" x14ac:dyDescent="0.3">
      <c r="A2662" t="s">
        <v>37</v>
      </c>
      <c r="B2662">
        <v>2007</v>
      </c>
      <c r="C2662" t="str">
        <f>_xlfn.CONCAT(Table13[[#This Row],[STATE]],"-",Table13[[#This Row],[Year]])</f>
        <v>Daman &amp; Diu-2007</v>
      </c>
      <c r="D2662" t="s">
        <v>79</v>
      </c>
      <c r="E2662" t="s">
        <v>80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f>SUM(Table13[[#This Row],[Rank_All_Ranks_Total]:[Rank_SSPSPAddlSPCommandant]])</f>
        <v>0</v>
      </c>
    </row>
    <row r="2663" spans="1:18" x14ac:dyDescent="0.3">
      <c r="A2663" t="s">
        <v>38</v>
      </c>
      <c r="B2663">
        <v>2007</v>
      </c>
      <c r="C2663" t="str">
        <f>_xlfn.CONCAT(Table13[[#This Row],[STATE]],"-",Table13[[#This Row],[Year]])</f>
        <v>Delhi-2007</v>
      </c>
      <c r="D2663" t="s">
        <v>79</v>
      </c>
      <c r="E2663" t="s">
        <v>80</v>
      </c>
      <c r="F2663">
        <v>3429</v>
      </c>
      <c r="G2663">
        <v>314</v>
      </c>
      <c r="H2663">
        <v>1</v>
      </c>
      <c r="I2663">
        <v>0</v>
      </c>
      <c r="J2663">
        <v>2443</v>
      </c>
      <c r="K2663">
        <v>0</v>
      </c>
      <c r="L2663">
        <v>0</v>
      </c>
      <c r="M2663">
        <v>463</v>
      </c>
      <c r="N2663">
        <v>0</v>
      </c>
      <c r="O2663">
        <v>71</v>
      </c>
      <c r="P2663">
        <v>137</v>
      </c>
      <c r="Q2663">
        <v>0</v>
      </c>
      <c r="R2663">
        <f>SUM(Table13[[#This Row],[Rank_All_Ranks_Total]:[Rank_SSPSPAddlSPCommandant]])</f>
        <v>6858</v>
      </c>
    </row>
    <row r="2664" spans="1:18" x14ac:dyDescent="0.3">
      <c r="A2664" t="s">
        <v>11</v>
      </c>
      <c r="B2664">
        <v>2007</v>
      </c>
      <c r="C2664" t="str">
        <f>_xlfn.CONCAT(Table13[[#This Row],[STATE]],"-",Table13[[#This Row],[Year]])</f>
        <v>Goa-2007</v>
      </c>
      <c r="D2664" t="s">
        <v>79</v>
      </c>
      <c r="E2664" t="s">
        <v>80</v>
      </c>
      <c r="F2664">
        <v>215</v>
      </c>
      <c r="G2664">
        <v>1</v>
      </c>
      <c r="H2664">
        <v>0</v>
      </c>
      <c r="I2664">
        <v>0</v>
      </c>
      <c r="J2664">
        <v>205</v>
      </c>
      <c r="K2664">
        <v>0</v>
      </c>
      <c r="L2664">
        <v>0</v>
      </c>
      <c r="M2664">
        <v>6</v>
      </c>
      <c r="N2664">
        <v>0</v>
      </c>
      <c r="O2664">
        <v>0</v>
      </c>
      <c r="P2664">
        <v>3</v>
      </c>
      <c r="Q2664">
        <v>0</v>
      </c>
      <c r="R2664">
        <f>SUM(Table13[[#This Row],[Rank_All_Ranks_Total]:[Rank_SSPSPAddlSPCommandant]])</f>
        <v>430</v>
      </c>
    </row>
    <row r="2665" spans="1:18" x14ac:dyDescent="0.3">
      <c r="A2665" t="s">
        <v>12</v>
      </c>
      <c r="B2665">
        <v>2007</v>
      </c>
      <c r="C2665" t="str">
        <f>_xlfn.CONCAT(Table13[[#This Row],[STATE]],"-",Table13[[#This Row],[Year]])</f>
        <v>Gujarat-2007</v>
      </c>
      <c r="D2665" t="s">
        <v>79</v>
      </c>
      <c r="E2665" t="s">
        <v>80</v>
      </c>
      <c r="F2665">
        <v>2474</v>
      </c>
      <c r="G2665">
        <v>226</v>
      </c>
      <c r="H2665">
        <v>0</v>
      </c>
      <c r="I2665">
        <v>0</v>
      </c>
      <c r="J2665">
        <v>1716</v>
      </c>
      <c r="K2665">
        <v>0</v>
      </c>
      <c r="L2665">
        <v>0</v>
      </c>
      <c r="M2665">
        <v>476</v>
      </c>
      <c r="N2665">
        <v>0</v>
      </c>
      <c r="O2665">
        <v>11</v>
      </c>
      <c r="P2665">
        <v>45</v>
      </c>
      <c r="Q2665">
        <v>0</v>
      </c>
      <c r="R2665">
        <f>SUM(Table13[[#This Row],[Rank_All_Ranks_Total]:[Rank_SSPSPAddlSPCommandant]])</f>
        <v>4948</v>
      </c>
    </row>
    <row r="2666" spans="1:18" x14ac:dyDescent="0.3">
      <c r="A2666" t="s">
        <v>13</v>
      </c>
      <c r="B2666">
        <v>2007</v>
      </c>
      <c r="C2666" t="str">
        <f>_xlfn.CONCAT(Table13[[#This Row],[STATE]],"-",Table13[[#This Row],[Year]])</f>
        <v>Haryana-2007</v>
      </c>
      <c r="D2666" t="s">
        <v>79</v>
      </c>
      <c r="E2666" t="s">
        <v>80</v>
      </c>
      <c r="F2666">
        <v>2283</v>
      </c>
      <c r="G2666">
        <v>136</v>
      </c>
      <c r="H2666">
        <v>0</v>
      </c>
      <c r="I2666">
        <v>0</v>
      </c>
      <c r="J2666">
        <v>1848</v>
      </c>
      <c r="K2666">
        <v>0</v>
      </c>
      <c r="L2666">
        <v>0</v>
      </c>
      <c r="M2666">
        <v>225</v>
      </c>
      <c r="N2666">
        <v>0</v>
      </c>
      <c r="O2666">
        <v>14</v>
      </c>
      <c r="P2666">
        <v>60</v>
      </c>
      <c r="Q2666">
        <v>0</v>
      </c>
      <c r="R2666">
        <f>SUM(Table13[[#This Row],[Rank_All_Ranks_Total]:[Rank_SSPSPAddlSPCommandant]])</f>
        <v>4566</v>
      </c>
    </row>
    <row r="2667" spans="1:18" x14ac:dyDescent="0.3">
      <c r="A2667" t="s">
        <v>14</v>
      </c>
      <c r="B2667">
        <v>2007</v>
      </c>
      <c r="C2667" t="str">
        <f>_xlfn.CONCAT(Table13[[#This Row],[STATE]],"-",Table13[[#This Row],[Year]])</f>
        <v>Himachal Pradesh-2007</v>
      </c>
      <c r="D2667" t="s">
        <v>79</v>
      </c>
      <c r="E2667" t="s">
        <v>80</v>
      </c>
      <c r="F2667">
        <v>140</v>
      </c>
      <c r="G2667">
        <v>1</v>
      </c>
      <c r="H2667">
        <v>0</v>
      </c>
      <c r="I2667">
        <v>0</v>
      </c>
      <c r="J2667">
        <v>130</v>
      </c>
      <c r="K2667">
        <v>0</v>
      </c>
      <c r="L2667">
        <v>0</v>
      </c>
      <c r="M2667">
        <v>7</v>
      </c>
      <c r="N2667">
        <v>0</v>
      </c>
      <c r="O2667">
        <v>0</v>
      </c>
      <c r="P2667">
        <v>2</v>
      </c>
      <c r="Q2667">
        <v>0</v>
      </c>
      <c r="R2667">
        <f>SUM(Table13[[#This Row],[Rank_All_Ranks_Total]:[Rank_SSPSPAddlSPCommandant]])</f>
        <v>280</v>
      </c>
    </row>
    <row r="2668" spans="1:18" x14ac:dyDescent="0.3">
      <c r="A2668" t="s">
        <v>15</v>
      </c>
      <c r="B2668">
        <v>2007</v>
      </c>
      <c r="C2668" t="str">
        <f>_xlfn.CONCAT(Table13[[#This Row],[STATE]],"-",Table13[[#This Row],[Year]])</f>
        <v>Jammu &amp; Kashmir-2007</v>
      </c>
      <c r="D2668" t="s">
        <v>79</v>
      </c>
      <c r="E2668" t="s">
        <v>80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f>SUM(Table13[[#This Row],[Rank_All_Ranks_Total]:[Rank_SSPSPAddlSPCommandant]])</f>
        <v>0</v>
      </c>
    </row>
    <row r="2669" spans="1:18" x14ac:dyDescent="0.3">
      <c r="A2669" t="s">
        <v>16</v>
      </c>
      <c r="B2669">
        <v>2007</v>
      </c>
      <c r="C2669" t="str">
        <f>_xlfn.CONCAT(Table13[[#This Row],[STATE]],"-",Table13[[#This Row],[Year]])</f>
        <v>Jharkhand-2007</v>
      </c>
      <c r="D2669" t="s">
        <v>79</v>
      </c>
      <c r="E2669" t="s">
        <v>80</v>
      </c>
      <c r="F2669">
        <v>12</v>
      </c>
      <c r="G2669">
        <v>0</v>
      </c>
      <c r="H2669">
        <v>4</v>
      </c>
      <c r="I2669">
        <v>0</v>
      </c>
      <c r="J2669">
        <v>0</v>
      </c>
      <c r="K2669">
        <v>1</v>
      </c>
      <c r="L2669">
        <v>0</v>
      </c>
      <c r="M2669">
        <v>0</v>
      </c>
      <c r="N2669">
        <v>2</v>
      </c>
      <c r="O2669">
        <v>0</v>
      </c>
      <c r="P2669">
        <v>0</v>
      </c>
      <c r="Q2669">
        <v>5</v>
      </c>
      <c r="R2669">
        <f>SUM(Table13[[#This Row],[Rank_All_Ranks_Total]:[Rank_SSPSPAddlSPCommandant]])</f>
        <v>24</v>
      </c>
    </row>
    <row r="2670" spans="1:18" x14ac:dyDescent="0.3">
      <c r="A2670" t="s">
        <v>17</v>
      </c>
      <c r="B2670">
        <v>2007</v>
      </c>
      <c r="C2670" t="str">
        <f>_xlfn.CONCAT(Table13[[#This Row],[STATE]],"-",Table13[[#This Row],[Year]])</f>
        <v>Karnataka-2007</v>
      </c>
      <c r="D2670" t="s">
        <v>79</v>
      </c>
      <c r="E2670" t="s">
        <v>80</v>
      </c>
      <c r="F2670">
        <v>5650</v>
      </c>
      <c r="G2670">
        <v>240</v>
      </c>
      <c r="H2670">
        <v>7</v>
      </c>
      <c r="I2670">
        <v>0</v>
      </c>
      <c r="J2670">
        <v>3909</v>
      </c>
      <c r="K2670">
        <v>0</v>
      </c>
      <c r="L2670">
        <v>0</v>
      </c>
      <c r="M2670">
        <v>1286</v>
      </c>
      <c r="N2670">
        <v>0</v>
      </c>
      <c r="O2670">
        <v>37</v>
      </c>
      <c r="P2670">
        <v>168</v>
      </c>
      <c r="Q2670">
        <v>3</v>
      </c>
      <c r="R2670">
        <f>SUM(Table13[[#This Row],[Rank_All_Ranks_Total]:[Rank_SSPSPAddlSPCommandant]])</f>
        <v>11300</v>
      </c>
    </row>
    <row r="2671" spans="1:18" x14ac:dyDescent="0.3">
      <c r="A2671" t="s">
        <v>18</v>
      </c>
      <c r="B2671">
        <v>2007</v>
      </c>
      <c r="C2671" t="str">
        <f>_xlfn.CONCAT(Table13[[#This Row],[STATE]],"-",Table13[[#This Row],[Year]])</f>
        <v>Kerala-2007</v>
      </c>
      <c r="D2671" t="s">
        <v>79</v>
      </c>
      <c r="E2671" t="s">
        <v>80</v>
      </c>
      <c r="F2671">
        <v>2785</v>
      </c>
      <c r="G2671">
        <v>0</v>
      </c>
      <c r="H2671">
        <v>1</v>
      </c>
      <c r="I2671">
        <v>0</v>
      </c>
      <c r="J2671">
        <v>2500</v>
      </c>
      <c r="K2671">
        <v>0</v>
      </c>
      <c r="L2671">
        <v>0</v>
      </c>
      <c r="M2671">
        <v>188</v>
      </c>
      <c r="N2671">
        <v>0</v>
      </c>
      <c r="O2671">
        <v>21</v>
      </c>
      <c r="P2671">
        <v>74</v>
      </c>
      <c r="Q2671">
        <v>1</v>
      </c>
      <c r="R2671">
        <f>SUM(Table13[[#This Row],[Rank_All_Ranks_Total]:[Rank_SSPSPAddlSPCommandant]])</f>
        <v>5570</v>
      </c>
    </row>
    <row r="2672" spans="1:18" x14ac:dyDescent="0.3">
      <c r="A2672" t="s">
        <v>39</v>
      </c>
      <c r="B2672">
        <v>2007</v>
      </c>
      <c r="C2672" t="str">
        <f>_xlfn.CONCAT(Table13[[#This Row],[STATE]],"-",Table13[[#This Row],[Year]])</f>
        <v>Lakshadweep-2007</v>
      </c>
      <c r="D2672" t="s">
        <v>79</v>
      </c>
      <c r="E2672" t="s">
        <v>80</v>
      </c>
      <c r="F2672">
        <v>8</v>
      </c>
      <c r="G2672">
        <v>0</v>
      </c>
      <c r="H2672">
        <v>0</v>
      </c>
      <c r="I2672">
        <v>0</v>
      </c>
      <c r="J2672">
        <v>6</v>
      </c>
      <c r="K2672">
        <v>0</v>
      </c>
      <c r="L2672">
        <v>0</v>
      </c>
      <c r="M2672">
        <v>1</v>
      </c>
      <c r="N2672">
        <v>0</v>
      </c>
      <c r="O2672">
        <v>0</v>
      </c>
      <c r="P2672">
        <v>1</v>
      </c>
      <c r="Q2672">
        <v>0</v>
      </c>
      <c r="R2672">
        <f>SUM(Table13[[#This Row],[Rank_All_Ranks_Total]:[Rank_SSPSPAddlSPCommandant]])</f>
        <v>16</v>
      </c>
    </row>
    <row r="2673" spans="1:18" x14ac:dyDescent="0.3">
      <c r="A2673" t="s">
        <v>19</v>
      </c>
      <c r="B2673">
        <v>2007</v>
      </c>
      <c r="C2673" t="str">
        <f>_xlfn.CONCAT(Table13[[#This Row],[STATE]],"-",Table13[[#This Row],[Year]])</f>
        <v>Madhya Pradesh-2007</v>
      </c>
      <c r="D2673" t="s">
        <v>79</v>
      </c>
      <c r="E2673" t="s">
        <v>80</v>
      </c>
      <c r="F2673">
        <v>1581</v>
      </c>
      <c r="G2673">
        <v>36</v>
      </c>
      <c r="H2673">
        <v>37</v>
      </c>
      <c r="I2673">
        <v>0</v>
      </c>
      <c r="J2673">
        <v>1114</v>
      </c>
      <c r="K2673">
        <v>0</v>
      </c>
      <c r="L2673">
        <v>1</v>
      </c>
      <c r="M2673">
        <v>245</v>
      </c>
      <c r="N2673">
        <v>2</v>
      </c>
      <c r="O2673">
        <v>10</v>
      </c>
      <c r="P2673">
        <v>134</v>
      </c>
      <c r="Q2673">
        <v>2</v>
      </c>
      <c r="R2673">
        <f>SUM(Table13[[#This Row],[Rank_All_Ranks_Total]:[Rank_SSPSPAddlSPCommandant]])</f>
        <v>3162</v>
      </c>
    </row>
    <row r="2674" spans="1:18" x14ac:dyDescent="0.3">
      <c r="A2674" t="s">
        <v>20</v>
      </c>
      <c r="B2674">
        <v>2007</v>
      </c>
      <c r="C2674" t="str">
        <f>_xlfn.CONCAT(Table13[[#This Row],[STATE]],"-",Table13[[#This Row],[Year]])</f>
        <v>Maharashtra-2007</v>
      </c>
      <c r="D2674" t="s">
        <v>79</v>
      </c>
      <c r="E2674" t="s">
        <v>80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f>SUM(Table13[[#This Row],[Rank_All_Ranks_Total]:[Rank_SSPSPAddlSPCommandant]])</f>
        <v>0</v>
      </c>
    </row>
    <row r="2675" spans="1:18" x14ac:dyDescent="0.3">
      <c r="A2675" t="s">
        <v>21</v>
      </c>
      <c r="B2675">
        <v>2007</v>
      </c>
      <c r="C2675" t="str">
        <f>_xlfn.CONCAT(Table13[[#This Row],[STATE]],"-",Table13[[#This Row],[Year]])</f>
        <v>Manipur-2007</v>
      </c>
      <c r="D2675" t="s">
        <v>79</v>
      </c>
      <c r="E2675" t="s">
        <v>80</v>
      </c>
      <c r="F2675">
        <v>498</v>
      </c>
      <c r="G2675">
        <v>13</v>
      </c>
      <c r="H2675">
        <v>0</v>
      </c>
      <c r="I2675">
        <v>0</v>
      </c>
      <c r="J2675">
        <v>433</v>
      </c>
      <c r="K2675">
        <v>0</v>
      </c>
      <c r="L2675">
        <v>0</v>
      </c>
      <c r="M2675">
        <v>43</v>
      </c>
      <c r="N2675">
        <v>0</v>
      </c>
      <c r="O2675">
        <v>4</v>
      </c>
      <c r="P2675">
        <v>5</v>
      </c>
      <c r="Q2675">
        <v>0</v>
      </c>
      <c r="R2675">
        <f>SUM(Table13[[#This Row],[Rank_All_Ranks_Total]:[Rank_SSPSPAddlSPCommandant]])</f>
        <v>996</v>
      </c>
    </row>
    <row r="2676" spans="1:18" x14ac:dyDescent="0.3">
      <c r="A2676" t="s">
        <v>22</v>
      </c>
      <c r="B2676">
        <v>2007</v>
      </c>
      <c r="C2676" t="str">
        <f>_xlfn.CONCAT(Table13[[#This Row],[STATE]],"-",Table13[[#This Row],[Year]])</f>
        <v>Meghalaya-2007</v>
      </c>
      <c r="D2676" t="s">
        <v>79</v>
      </c>
      <c r="E2676" t="s">
        <v>80</v>
      </c>
      <c r="F2676">
        <v>65</v>
      </c>
      <c r="G2676">
        <v>3</v>
      </c>
      <c r="H2676">
        <v>0</v>
      </c>
      <c r="I2676">
        <v>0</v>
      </c>
      <c r="J2676">
        <v>53</v>
      </c>
      <c r="K2676">
        <v>0</v>
      </c>
      <c r="L2676">
        <v>0</v>
      </c>
      <c r="M2676">
        <v>3</v>
      </c>
      <c r="N2676">
        <v>0</v>
      </c>
      <c r="O2676">
        <v>1</v>
      </c>
      <c r="P2676">
        <v>5</v>
      </c>
      <c r="Q2676">
        <v>0</v>
      </c>
      <c r="R2676">
        <f>SUM(Table13[[#This Row],[Rank_All_Ranks_Total]:[Rank_SSPSPAddlSPCommandant]])</f>
        <v>130</v>
      </c>
    </row>
    <row r="2677" spans="1:18" x14ac:dyDescent="0.3">
      <c r="A2677" t="s">
        <v>23</v>
      </c>
      <c r="B2677">
        <v>2007</v>
      </c>
      <c r="C2677" t="str">
        <f>_xlfn.CONCAT(Table13[[#This Row],[STATE]],"-",Table13[[#This Row],[Year]])</f>
        <v>Mizoram-2007</v>
      </c>
      <c r="D2677" t="s">
        <v>79</v>
      </c>
      <c r="E2677" t="s">
        <v>80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f>SUM(Table13[[#This Row],[Rank_All_Ranks_Total]:[Rank_SSPSPAddlSPCommandant]])</f>
        <v>0</v>
      </c>
    </row>
    <row r="2678" spans="1:18" x14ac:dyDescent="0.3">
      <c r="A2678" t="s">
        <v>24</v>
      </c>
      <c r="B2678">
        <v>2007</v>
      </c>
      <c r="C2678" t="str">
        <f>_xlfn.CONCAT(Table13[[#This Row],[STATE]],"-",Table13[[#This Row],[Year]])</f>
        <v>Nagaland-2007</v>
      </c>
      <c r="D2678" t="s">
        <v>79</v>
      </c>
      <c r="E2678" t="s">
        <v>80</v>
      </c>
      <c r="F2678">
        <v>68</v>
      </c>
      <c r="G2678">
        <v>2</v>
      </c>
      <c r="H2678">
        <v>1</v>
      </c>
      <c r="I2678">
        <v>0</v>
      </c>
      <c r="J2678">
        <v>61</v>
      </c>
      <c r="K2678">
        <v>0</v>
      </c>
      <c r="L2678">
        <v>0</v>
      </c>
      <c r="M2678">
        <v>3</v>
      </c>
      <c r="N2678">
        <v>0</v>
      </c>
      <c r="O2678">
        <v>0</v>
      </c>
      <c r="P2678">
        <v>1</v>
      </c>
      <c r="Q2678">
        <v>0</v>
      </c>
      <c r="R2678">
        <f>SUM(Table13[[#This Row],[Rank_All_Ranks_Total]:[Rank_SSPSPAddlSPCommandant]])</f>
        <v>136</v>
      </c>
    </row>
    <row r="2679" spans="1:18" x14ac:dyDescent="0.3">
      <c r="A2679" t="s">
        <v>63</v>
      </c>
      <c r="B2679">
        <v>2007</v>
      </c>
      <c r="C2679" t="str">
        <f>_xlfn.CONCAT(Table13[[#This Row],[STATE]],"-",Table13[[#This Row],[Year]])</f>
        <v>Odisha-2007</v>
      </c>
      <c r="D2679" t="s">
        <v>79</v>
      </c>
      <c r="E2679" t="s">
        <v>80</v>
      </c>
      <c r="F2679">
        <v>3092</v>
      </c>
      <c r="G2679">
        <v>40</v>
      </c>
      <c r="H2679">
        <v>5</v>
      </c>
      <c r="I2679">
        <v>0</v>
      </c>
      <c r="J2679">
        <v>2725</v>
      </c>
      <c r="K2679">
        <v>0</v>
      </c>
      <c r="L2679">
        <v>1</v>
      </c>
      <c r="M2679">
        <v>2</v>
      </c>
      <c r="N2679">
        <v>1</v>
      </c>
      <c r="O2679">
        <v>21</v>
      </c>
      <c r="P2679">
        <v>287</v>
      </c>
      <c r="Q2679">
        <v>10</v>
      </c>
      <c r="R2679">
        <f>SUM(Table13[[#This Row],[Rank_All_Ranks_Total]:[Rank_SSPSPAddlSPCommandant]])</f>
        <v>6184</v>
      </c>
    </row>
    <row r="2680" spans="1:18" x14ac:dyDescent="0.3">
      <c r="A2680" t="s">
        <v>64</v>
      </c>
      <c r="B2680">
        <v>2007</v>
      </c>
      <c r="C2680" t="str">
        <f>_xlfn.CONCAT(Table13[[#This Row],[STATE]],"-",Table13[[#This Row],[Year]])</f>
        <v>Puducherry-2007</v>
      </c>
      <c r="D2680" t="s">
        <v>79</v>
      </c>
      <c r="E2680" t="s">
        <v>80</v>
      </c>
      <c r="F2680">
        <v>81</v>
      </c>
      <c r="G2680">
        <v>2</v>
      </c>
      <c r="H2680">
        <v>0</v>
      </c>
      <c r="I2680">
        <v>0</v>
      </c>
      <c r="J2680">
        <v>70</v>
      </c>
      <c r="K2680">
        <v>0</v>
      </c>
      <c r="L2680">
        <v>0</v>
      </c>
      <c r="M2680">
        <v>6</v>
      </c>
      <c r="N2680">
        <v>0</v>
      </c>
      <c r="O2680">
        <v>1</v>
      </c>
      <c r="P2680">
        <v>2</v>
      </c>
      <c r="Q2680">
        <v>0</v>
      </c>
      <c r="R2680">
        <f>SUM(Table13[[#This Row],[Rank_All_Ranks_Total]:[Rank_SSPSPAddlSPCommandant]])</f>
        <v>162</v>
      </c>
    </row>
    <row r="2681" spans="1:18" x14ac:dyDescent="0.3">
      <c r="A2681" t="s">
        <v>26</v>
      </c>
      <c r="B2681">
        <v>2007</v>
      </c>
      <c r="C2681" t="str">
        <f>_xlfn.CONCAT(Table13[[#This Row],[STATE]],"-",Table13[[#This Row],[Year]])</f>
        <v>Punjab-2007</v>
      </c>
      <c r="D2681" t="s">
        <v>79</v>
      </c>
      <c r="E2681" t="s">
        <v>80</v>
      </c>
      <c r="F2681">
        <v>1515</v>
      </c>
      <c r="G2681">
        <v>106</v>
      </c>
      <c r="H2681">
        <v>0</v>
      </c>
      <c r="I2681">
        <v>0</v>
      </c>
      <c r="J2681">
        <v>1100</v>
      </c>
      <c r="K2681">
        <v>0</v>
      </c>
      <c r="L2681">
        <v>0</v>
      </c>
      <c r="M2681">
        <v>240</v>
      </c>
      <c r="N2681">
        <v>0</v>
      </c>
      <c r="O2681">
        <v>21</v>
      </c>
      <c r="P2681">
        <v>48</v>
      </c>
      <c r="Q2681">
        <v>0</v>
      </c>
      <c r="R2681">
        <f>SUM(Table13[[#This Row],[Rank_All_Ranks_Total]:[Rank_SSPSPAddlSPCommandant]])</f>
        <v>3030</v>
      </c>
    </row>
    <row r="2682" spans="1:18" x14ac:dyDescent="0.3">
      <c r="A2682" t="s">
        <v>27</v>
      </c>
      <c r="B2682">
        <v>2007</v>
      </c>
      <c r="C2682" t="str">
        <f>_xlfn.CONCAT(Table13[[#This Row],[STATE]],"-",Table13[[#This Row],[Year]])</f>
        <v>Rajasthan-2007</v>
      </c>
      <c r="D2682" t="s">
        <v>79</v>
      </c>
      <c r="E2682" t="s">
        <v>80</v>
      </c>
      <c r="F2682">
        <v>905</v>
      </c>
      <c r="G2682">
        <v>38</v>
      </c>
      <c r="H2682">
        <v>23</v>
      </c>
      <c r="I2682">
        <v>0</v>
      </c>
      <c r="J2682">
        <v>809</v>
      </c>
      <c r="K2682">
        <v>0</v>
      </c>
      <c r="L2682">
        <v>0</v>
      </c>
      <c r="M2682">
        <v>21</v>
      </c>
      <c r="N2682">
        <v>1</v>
      </c>
      <c r="O2682">
        <v>2</v>
      </c>
      <c r="P2682">
        <v>2</v>
      </c>
      <c r="Q2682">
        <v>9</v>
      </c>
      <c r="R2682">
        <f>SUM(Table13[[#This Row],[Rank_All_Ranks_Total]:[Rank_SSPSPAddlSPCommandant]])</f>
        <v>1810</v>
      </c>
    </row>
    <row r="2683" spans="1:18" x14ac:dyDescent="0.3">
      <c r="A2683" t="s">
        <v>28</v>
      </c>
      <c r="B2683">
        <v>2007</v>
      </c>
      <c r="C2683" t="str">
        <f>_xlfn.CONCAT(Table13[[#This Row],[STATE]],"-",Table13[[#This Row],[Year]])</f>
        <v>Sikkim-2007</v>
      </c>
      <c r="D2683" t="s">
        <v>79</v>
      </c>
      <c r="E2683" t="s">
        <v>80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f>SUM(Table13[[#This Row],[Rank_All_Ranks_Total]:[Rank_SSPSPAddlSPCommandant]])</f>
        <v>0</v>
      </c>
    </row>
    <row r="2684" spans="1:18" x14ac:dyDescent="0.3">
      <c r="A2684" t="s">
        <v>42</v>
      </c>
      <c r="B2684">
        <v>2007</v>
      </c>
      <c r="C2684" t="str">
        <f>_xlfn.CONCAT(Table13[[#This Row],[STATE]],"-",Table13[[#This Row],[Year]])</f>
        <v>Tamil Nadu-2007</v>
      </c>
      <c r="D2684" t="s">
        <v>79</v>
      </c>
      <c r="E2684" t="s">
        <v>80</v>
      </c>
      <c r="F2684">
        <v>8788</v>
      </c>
      <c r="G2684">
        <v>0</v>
      </c>
      <c r="H2684">
        <v>26</v>
      </c>
      <c r="I2684">
        <v>0</v>
      </c>
      <c r="J2684">
        <v>6763</v>
      </c>
      <c r="K2684">
        <v>3</v>
      </c>
      <c r="L2684">
        <v>2</v>
      </c>
      <c r="M2684">
        <v>392</v>
      </c>
      <c r="N2684">
        <v>1</v>
      </c>
      <c r="O2684">
        <v>189</v>
      </c>
      <c r="P2684">
        <v>1382</v>
      </c>
      <c r="Q2684">
        <v>30</v>
      </c>
      <c r="R2684">
        <f>SUM(Table13[[#This Row],[Rank_All_Ranks_Total]:[Rank_SSPSPAddlSPCommandant]])</f>
        <v>17576</v>
      </c>
    </row>
    <row r="2685" spans="1:18" x14ac:dyDescent="0.3">
      <c r="A2685" t="s">
        <v>30</v>
      </c>
      <c r="B2685">
        <v>2007</v>
      </c>
      <c r="C2685" t="str">
        <f>_xlfn.CONCAT(Table13[[#This Row],[STATE]],"-",Table13[[#This Row],[Year]])</f>
        <v>Tripura-2007</v>
      </c>
      <c r="D2685" t="s">
        <v>79</v>
      </c>
      <c r="E2685" t="s">
        <v>80</v>
      </c>
      <c r="F2685">
        <v>869</v>
      </c>
      <c r="G2685">
        <v>52</v>
      </c>
      <c r="H2685">
        <v>2</v>
      </c>
      <c r="I2685">
        <v>16</v>
      </c>
      <c r="J2685">
        <v>659</v>
      </c>
      <c r="K2685">
        <v>0</v>
      </c>
      <c r="L2685">
        <v>0</v>
      </c>
      <c r="M2685">
        <v>70</v>
      </c>
      <c r="N2685">
        <v>0</v>
      </c>
      <c r="O2685">
        <v>7</v>
      </c>
      <c r="P2685">
        <v>62</v>
      </c>
      <c r="Q2685">
        <v>1</v>
      </c>
      <c r="R2685">
        <f>SUM(Table13[[#This Row],[Rank_All_Ranks_Total]:[Rank_SSPSPAddlSPCommandant]])</f>
        <v>1738</v>
      </c>
    </row>
    <row r="2686" spans="1:18" x14ac:dyDescent="0.3">
      <c r="A2686" t="s">
        <v>31</v>
      </c>
      <c r="B2686">
        <v>2007</v>
      </c>
      <c r="C2686" t="str">
        <f>_xlfn.CONCAT(Table13[[#This Row],[STATE]],"-",Table13[[#This Row],[Year]])</f>
        <v>Uttar Pradesh-2007</v>
      </c>
      <c r="D2686" t="s">
        <v>79</v>
      </c>
      <c r="E2686" t="s">
        <v>80</v>
      </c>
      <c r="F2686">
        <v>1999</v>
      </c>
      <c r="G2686">
        <v>0</v>
      </c>
      <c r="H2686">
        <v>24</v>
      </c>
      <c r="I2686">
        <v>0</v>
      </c>
      <c r="J2686">
        <v>1621</v>
      </c>
      <c r="K2686">
        <v>0</v>
      </c>
      <c r="L2686">
        <v>1</v>
      </c>
      <c r="M2686">
        <v>142</v>
      </c>
      <c r="N2686">
        <v>1</v>
      </c>
      <c r="O2686">
        <v>13</v>
      </c>
      <c r="P2686">
        <v>183</v>
      </c>
      <c r="Q2686">
        <v>14</v>
      </c>
      <c r="R2686">
        <f>SUM(Table13[[#This Row],[Rank_All_Ranks_Total]:[Rank_SSPSPAddlSPCommandant]])</f>
        <v>3998</v>
      </c>
    </row>
    <row r="2687" spans="1:18" x14ac:dyDescent="0.3">
      <c r="A2687" t="s">
        <v>65</v>
      </c>
      <c r="B2687">
        <v>2007</v>
      </c>
      <c r="C2687" t="str">
        <f>_xlfn.CONCAT(Table13[[#This Row],[STATE]],"-",Table13[[#This Row],[Year]])</f>
        <v>Uttarakhand-2007</v>
      </c>
      <c r="D2687" t="s">
        <v>79</v>
      </c>
      <c r="E2687" t="s">
        <v>80</v>
      </c>
      <c r="F2687">
        <v>741</v>
      </c>
      <c r="G2687">
        <v>0</v>
      </c>
      <c r="H2687">
        <v>0</v>
      </c>
      <c r="I2687">
        <v>0</v>
      </c>
      <c r="J2687">
        <v>661</v>
      </c>
      <c r="K2687">
        <v>0</v>
      </c>
      <c r="L2687">
        <v>0</v>
      </c>
      <c r="M2687">
        <v>72</v>
      </c>
      <c r="N2687">
        <v>0</v>
      </c>
      <c r="O2687">
        <v>0</v>
      </c>
      <c r="P2687">
        <v>8</v>
      </c>
      <c r="Q2687">
        <v>0</v>
      </c>
      <c r="R2687">
        <f>SUM(Table13[[#This Row],[Rank_All_Ranks_Total]:[Rank_SSPSPAddlSPCommandant]])</f>
        <v>1482</v>
      </c>
    </row>
    <row r="2688" spans="1:18" x14ac:dyDescent="0.3">
      <c r="A2688" t="s">
        <v>33</v>
      </c>
      <c r="B2688">
        <v>2007</v>
      </c>
      <c r="C2688" t="str">
        <f>_xlfn.CONCAT(Table13[[#This Row],[STATE]],"-",Table13[[#This Row],[Year]])</f>
        <v>West Bengal-2007</v>
      </c>
      <c r="D2688" t="s">
        <v>79</v>
      </c>
      <c r="E2688" t="s">
        <v>80</v>
      </c>
      <c r="F2688">
        <v>1448</v>
      </c>
      <c r="G2688">
        <v>119</v>
      </c>
      <c r="H2688">
        <v>1</v>
      </c>
      <c r="I2688">
        <v>0</v>
      </c>
      <c r="J2688">
        <v>1142</v>
      </c>
      <c r="K2688">
        <v>0</v>
      </c>
      <c r="L2688">
        <v>0</v>
      </c>
      <c r="M2688">
        <v>7</v>
      </c>
      <c r="N2688">
        <v>0</v>
      </c>
      <c r="O2688">
        <v>12</v>
      </c>
      <c r="P2688">
        <v>167</v>
      </c>
      <c r="Q2688">
        <v>0</v>
      </c>
      <c r="R2688">
        <f>SUM(Table13[[#This Row],[Rank_All_Ranks_Total]:[Rank_SSPSPAddlSPCommandant]])</f>
        <v>2896</v>
      </c>
    </row>
    <row r="2689" spans="1:18" x14ac:dyDescent="0.3">
      <c r="A2689" t="s">
        <v>59</v>
      </c>
      <c r="B2689">
        <v>2008</v>
      </c>
      <c r="C2689" t="str">
        <f>_xlfn.CONCAT(Table13[[#This Row],[STATE]],"-",Table13[[#This Row],[Year]])</f>
        <v>Andaman &amp; Nicobar Islands-2008</v>
      </c>
      <c r="D2689" t="s">
        <v>79</v>
      </c>
      <c r="E2689" t="s">
        <v>80</v>
      </c>
      <c r="F2689">
        <v>16</v>
      </c>
      <c r="G2689">
        <v>0</v>
      </c>
      <c r="H2689">
        <v>0</v>
      </c>
      <c r="I2689">
        <v>0</v>
      </c>
      <c r="J2689">
        <v>10</v>
      </c>
      <c r="K2689">
        <v>0</v>
      </c>
      <c r="L2689">
        <v>0</v>
      </c>
      <c r="M2689">
        <v>4</v>
      </c>
      <c r="N2689">
        <v>0</v>
      </c>
      <c r="O2689">
        <v>0</v>
      </c>
      <c r="P2689">
        <v>2</v>
      </c>
      <c r="Q2689">
        <v>0</v>
      </c>
      <c r="R2689">
        <f>SUM(Table13[[#This Row],[Rank_All_Ranks_Total]:[Rank_SSPSPAddlSPCommandant]])</f>
        <v>32</v>
      </c>
    </row>
    <row r="2690" spans="1:18" x14ac:dyDescent="0.3">
      <c r="A2690" t="s">
        <v>6</v>
      </c>
      <c r="B2690">
        <v>2008</v>
      </c>
      <c r="C2690" t="str">
        <f>_xlfn.CONCAT(Table13[[#This Row],[STATE]],"-",Table13[[#This Row],[Year]])</f>
        <v>Andhra Pradesh-2008</v>
      </c>
      <c r="D2690" t="s">
        <v>79</v>
      </c>
      <c r="E2690" t="s">
        <v>80</v>
      </c>
      <c r="F2690">
        <v>1663</v>
      </c>
      <c r="G2690">
        <v>5</v>
      </c>
      <c r="H2690">
        <v>2</v>
      </c>
      <c r="I2690">
        <v>0</v>
      </c>
      <c r="J2690">
        <v>1494</v>
      </c>
      <c r="K2690">
        <v>2</v>
      </c>
      <c r="L2690">
        <v>1</v>
      </c>
      <c r="M2690">
        <v>98</v>
      </c>
      <c r="N2690">
        <v>1</v>
      </c>
      <c r="O2690">
        <v>8</v>
      </c>
      <c r="P2690">
        <v>44</v>
      </c>
      <c r="Q2690">
        <v>8</v>
      </c>
      <c r="R2690">
        <f>SUM(Table13[[#This Row],[Rank_All_Ranks_Total]:[Rank_SSPSPAddlSPCommandant]])</f>
        <v>3326</v>
      </c>
    </row>
    <row r="2691" spans="1:18" x14ac:dyDescent="0.3">
      <c r="A2691" t="s">
        <v>7</v>
      </c>
      <c r="B2691">
        <v>2008</v>
      </c>
      <c r="C2691" t="str">
        <f>_xlfn.CONCAT(Table13[[#This Row],[STATE]],"-",Table13[[#This Row],[Year]])</f>
        <v>Arunachal Pradesh-2008</v>
      </c>
      <c r="D2691" t="s">
        <v>79</v>
      </c>
      <c r="E2691" t="s">
        <v>80</v>
      </c>
      <c r="F2691">
        <v>67</v>
      </c>
      <c r="G2691">
        <v>4</v>
      </c>
      <c r="H2691">
        <v>0</v>
      </c>
      <c r="I2691">
        <v>0</v>
      </c>
      <c r="J2691">
        <v>40</v>
      </c>
      <c r="K2691">
        <v>0</v>
      </c>
      <c r="L2691">
        <v>0</v>
      </c>
      <c r="M2691">
        <v>12</v>
      </c>
      <c r="N2691">
        <v>0</v>
      </c>
      <c r="O2691">
        <v>2</v>
      </c>
      <c r="P2691">
        <v>9</v>
      </c>
      <c r="Q2691">
        <v>0</v>
      </c>
      <c r="R2691">
        <f>SUM(Table13[[#This Row],[Rank_All_Ranks_Total]:[Rank_SSPSPAddlSPCommandant]])</f>
        <v>134</v>
      </c>
    </row>
    <row r="2692" spans="1:18" x14ac:dyDescent="0.3">
      <c r="A2692" t="s">
        <v>8</v>
      </c>
      <c r="B2692">
        <v>2008</v>
      </c>
      <c r="C2692" t="str">
        <f>_xlfn.CONCAT(Table13[[#This Row],[STATE]],"-",Table13[[#This Row],[Year]])</f>
        <v>Assam-2008</v>
      </c>
      <c r="D2692" t="s">
        <v>79</v>
      </c>
      <c r="E2692" t="s">
        <v>80</v>
      </c>
      <c r="F2692">
        <v>307</v>
      </c>
      <c r="G2692">
        <v>5</v>
      </c>
      <c r="H2692">
        <v>0</v>
      </c>
      <c r="I2692">
        <v>8</v>
      </c>
      <c r="J2692">
        <v>269</v>
      </c>
      <c r="K2692">
        <v>0</v>
      </c>
      <c r="L2692">
        <v>0</v>
      </c>
      <c r="M2692">
        <v>8</v>
      </c>
      <c r="N2692">
        <v>0</v>
      </c>
      <c r="O2692">
        <v>0</v>
      </c>
      <c r="P2692">
        <v>17</v>
      </c>
      <c r="Q2692">
        <v>0</v>
      </c>
      <c r="R2692">
        <f>SUM(Table13[[#This Row],[Rank_All_Ranks_Total]:[Rank_SSPSPAddlSPCommandant]])</f>
        <v>614</v>
      </c>
    </row>
    <row r="2693" spans="1:18" x14ac:dyDescent="0.3">
      <c r="A2693" t="s">
        <v>9</v>
      </c>
      <c r="B2693">
        <v>2008</v>
      </c>
      <c r="C2693" t="str">
        <f>_xlfn.CONCAT(Table13[[#This Row],[STATE]],"-",Table13[[#This Row],[Year]])</f>
        <v>Bihar-2008</v>
      </c>
      <c r="D2693" t="s">
        <v>79</v>
      </c>
      <c r="E2693" t="s">
        <v>80</v>
      </c>
      <c r="F2693">
        <v>105</v>
      </c>
      <c r="G2693">
        <v>2</v>
      </c>
      <c r="H2693">
        <v>0</v>
      </c>
      <c r="I2693">
        <v>0</v>
      </c>
      <c r="J2693">
        <v>99</v>
      </c>
      <c r="K2693">
        <v>0</v>
      </c>
      <c r="L2693">
        <v>0</v>
      </c>
      <c r="M2693">
        <v>2</v>
      </c>
      <c r="N2693">
        <v>0</v>
      </c>
      <c r="O2693">
        <v>0</v>
      </c>
      <c r="P2693">
        <v>2</v>
      </c>
      <c r="Q2693">
        <v>0</v>
      </c>
      <c r="R2693">
        <f>SUM(Table13[[#This Row],[Rank_All_Ranks_Total]:[Rank_SSPSPAddlSPCommandant]])</f>
        <v>210</v>
      </c>
    </row>
    <row r="2694" spans="1:18" x14ac:dyDescent="0.3">
      <c r="A2694" t="s">
        <v>35</v>
      </c>
      <c r="B2694">
        <v>2008</v>
      </c>
      <c r="C2694" t="str">
        <f>_xlfn.CONCAT(Table13[[#This Row],[STATE]],"-",Table13[[#This Row],[Year]])</f>
        <v>Chandigarh-2008</v>
      </c>
      <c r="D2694" t="s">
        <v>79</v>
      </c>
      <c r="E2694" t="s">
        <v>80</v>
      </c>
      <c r="F2694">
        <v>35</v>
      </c>
      <c r="G2694">
        <v>1</v>
      </c>
      <c r="H2694">
        <v>0</v>
      </c>
      <c r="I2694">
        <v>0</v>
      </c>
      <c r="J2694">
        <v>31</v>
      </c>
      <c r="K2694">
        <v>0</v>
      </c>
      <c r="L2694">
        <v>0</v>
      </c>
      <c r="M2694">
        <v>2</v>
      </c>
      <c r="N2694">
        <v>0</v>
      </c>
      <c r="O2694">
        <v>0</v>
      </c>
      <c r="P2694">
        <v>1</v>
      </c>
      <c r="Q2694">
        <v>0</v>
      </c>
      <c r="R2694">
        <f>SUM(Table13[[#This Row],[Rank_All_Ranks_Total]:[Rank_SSPSPAddlSPCommandant]])</f>
        <v>70</v>
      </c>
    </row>
    <row r="2695" spans="1:18" x14ac:dyDescent="0.3">
      <c r="A2695" t="s">
        <v>10</v>
      </c>
      <c r="B2695">
        <v>2008</v>
      </c>
      <c r="C2695" t="str">
        <f>_xlfn.CONCAT(Table13[[#This Row],[STATE]],"-",Table13[[#This Row],[Year]])</f>
        <v>Chhattisgarh-2008</v>
      </c>
      <c r="D2695" t="s">
        <v>79</v>
      </c>
      <c r="E2695" t="s">
        <v>80</v>
      </c>
      <c r="F2695">
        <v>1117</v>
      </c>
      <c r="G2695">
        <v>24</v>
      </c>
      <c r="H2695">
        <v>15</v>
      </c>
      <c r="I2695">
        <v>0</v>
      </c>
      <c r="J2695">
        <v>934</v>
      </c>
      <c r="K2695">
        <v>0</v>
      </c>
      <c r="L2695">
        <v>0</v>
      </c>
      <c r="M2695">
        <v>78</v>
      </c>
      <c r="N2695">
        <v>0</v>
      </c>
      <c r="O2695">
        <v>11</v>
      </c>
      <c r="P2695">
        <v>54</v>
      </c>
      <c r="Q2695">
        <v>1</v>
      </c>
      <c r="R2695">
        <f>SUM(Table13[[#This Row],[Rank_All_Ranks_Total]:[Rank_SSPSPAddlSPCommandant]])</f>
        <v>2234</v>
      </c>
    </row>
    <row r="2696" spans="1:18" x14ac:dyDescent="0.3">
      <c r="A2696" t="s">
        <v>62</v>
      </c>
      <c r="B2696">
        <v>2008</v>
      </c>
      <c r="C2696" t="str">
        <f>_xlfn.CONCAT(Table13[[#This Row],[STATE]],"-",Table13[[#This Row],[Year]])</f>
        <v>Dadra &amp; Nagar Haveli-2008</v>
      </c>
      <c r="D2696" t="s">
        <v>79</v>
      </c>
      <c r="E2696" t="s">
        <v>80</v>
      </c>
      <c r="F2696">
        <v>9</v>
      </c>
      <c r="G2696">
        <v>0</v>
      </c>
      <c r="H2696">
        <v>0</v>
      </c>
      <c r="I2696">
        <v>0</v>
      </c>
      <c r="J2696">
        <v>4</v>
      </c>
      <c r="K2696">
        <v>0</v>
      </c>
      <c r="L2696">
        <v>0</v>
      </c>
      <c r="M2696">
        <v>3</v>
      </c>
      <c r="N2696">
        <v>0</v>
      </c>
      <c r="O2696">
        <v>0</v>
      </c>
      <c r="P2696">
        <v>2</v>
      </c>
      <c r="Q2696">
        <v>0</v>
      </c>
      <c r="R2696">
        <f>SUM(Table13[[#This Row],[Rank_All_Ranks_Total]:[Rank_SSPSPAddlSPCommandant]])</f>
        <v>18</v>
      </c>
    </row>
    <row r="2697" spans="1:18" x14ac:dyDescent="0.3">
      <c r="A2697" t="s">
        <v>37</v>
      </c>
      <c r="B2697">
        <v>2008</v>
      </c>
      <c r="C2697" t="str">
        <f>_xlfn.CONCAT(Table13[[#This Row],[STATE]],"-",Table13[[#This Row],[Year]])</f>
        <v>Daman &amp; Diu-2008</v>
      </c>
      <c r="D2697" t="s">
        <v>79</v>
      </c>
      <c r="E2697" t="s">
        <v>80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f>SUM(Table13[[#This Row],[Rank_All_Ranks_Total]:[Rank_SSPSPAddlSPCommandant]])</f>
        <v>0</v>
      </c>
    </row>
    <row r="2698" spans="1:18" x14ac:dyDescent="0.3">
      <c r="A2698" t="s">
        <v>38</v>
      </c>
      <c r="B2698">
        <v>2008</v>
      </c>
      <c r="C2698" t="str">
        <f>_xlfn.CONCAT(Table13[[#This Row],[STATE]],"-",Table13[[#This Row],[Year]])</f>
        <v>Delhi-2008</v>
      </c>
      <c r="D2698" t="s">
        <v>79</v>
      </c>
      <c r="E2698" t="s">
        <v>80</v>
      </c>
      <c r="F2698">
        <v>3756</v>
      </c>
      <c r="G2698">
        <v>347</v>
      </c>
      <c r="H2698">
        <v>1</v>
      </c>
      <c r="I2698">
        <v>0</v>
      </c>
      <c r="J2698">
        <v>2649</v>
      </c>
      <c r="K2698">
        <v>0</v>
      </c>
      <c r="L2698">
        <v>0</v>
      </c>
      <c r="M2698">
        <v>538</v>
      </c>
      <c r="N2698">
        <v>0</v>
      </c>
      <c r="O2698">
        <v>73</v>
      </c>
      <c r="P2698">
        <v>148</v>
      </c>
      <c r="Q2698">
        <v>0</v>
      </c>
      <c r="R2698">
        <f>SUM(Table13[[#This Row],[Rank_All_Ranks_Total]:[Rank_SSPSPAddlSPCommandant]])</f>
        <v>7512</v>
      </c>
    </row>
    <row r="2699" spans="1:18" x14ac:dyDescent="0.3">
      <c r="A2699" t="s">
        <v>11</v>
      </c>
      <c r="B2699">
        <v>2008</v>
      </c>
      <c r="C2699" t="str">
        <f>_xlfn.CONCAT(Table13[[#This Row],[STATE]],"-",Table13[[#This Row],[Year]])</f>
        <v>Goa-2008</v>
      </c>
      <c r="D2699" t="s">
        <v>79</v>
      </c>
      <c r="E2699" t="s">
        <v>80</v>
      </c>
      <c r="F2699">
        <v>215</v>
      </c>
      <c r="G2699">
        <v>1</v>
      </c>
      <c r="H2699">
        <v>0</v>
      </c>
      <c r="I2699">
        <v>0</v>
      </c>
      <c r="J2699">
        <v>205</v>
      </c>
      <c r="K2699">
        <v>0</v>
      </c>
      <c r="L2699">
        <v>0</v>
      </c>
      <c r="M2699">
        <v>6</v>
      </c>
      <c r="N2699">
        <v>0</v>
      </c>
      <c r="O2699">
        <v>0</v>
      </c>
      <c r="P2699">
        <v>3</v>
      </c>
      <c r="Q2699">
        <v>0</v>
      </c>
      <c r="R2699">
        <f>SUM(Table13[[#This Row],[Rank_All_Ranks_Total]:[Rank_SSPSPAddlSPCommandant]])</f>
        <v>430</v>
      </c>
    </row>
    <row r="2700" spans="1:18" x14ac:dyDescent="0.3">
      <c r="A2700" t="s">
        <v>12</v>
      </c>
      <c r="B2700">
        <v>2008</v>
      </c>
      <c r="C2700" t="str">
        <f>_xlfn.CONCAT(Table13[[#This Row],[STATE]],"-",Table13[[#This Row],[Year]])</f>
        <v>Gujarat-2008</v>
      </c>
      <c r="D2700" t="s">
        <v>79</v>
      </c>
      <c r="E2700" t="s">
        <v>80</v>
      </c>
      <c r="F2700">
        <v>2547</v>
      </c>
      <c r="G2700">
        <v>237</v>
      </c>
      <c r="H2700">
        <v>0</v>
      </c>
      <c r="I2700">
        <v>0</v>
      </c>
      <c r="J2700">
        <v>1876</v>
      </c>
      <c r="K2700">
        <v>0</v>
      </c>
      <c r="L2700">
        <v>0</v>
      </c>
      <c r="M2700">
        <v>370</v>
      </c>
      <c r="N2700">
        <v>0</v>
      </c>
      <c r="O2700">
        <v>12</v>
      </c>
      <c r="P2700">
        <v>52</v>
      </c>
      <c r="Q2700">
        <v>0</v>
      </c>
      <c r="R2700">
        <f>SUM(Table13[[#This Row],[Rank_All_Ranks_Total]:[Rank_SSPSPAddlSPCommandant]])</f>
        <v>5094</v>
      </c>
    </row>
    <row r="2701" spans="1:18" x14ac:dyDescent="0.3">
      <c r="A2701" t="s">
        <v>13</v>
      </c>
      <c r="B2701">
        <v>2008</v>
      </c>
      <c r="C2701" t="str">
        <f>_xlfn.CONCAT(Table13[[#This Row],[STATE]],"-",Table13[[#This Row],[Year]])</f>
        <v>Haryana-2008</v>
      </c>
      <c r="D2701" t="s">
        <v>79</v>
      </c>
      <c r="E2701" t="s">
        <v>80</v>
      </c>
      <c r="F2701">
        <v>3009</v>
      </c>
      <c r="G2701">
        <v>198</v>
      </c>
      <c r="H2701">
        <v>0</v>
      </c>
      <c r="I2701">
        <v>0</v>
      </c>
      <c r="J2701">
        <v>2344</v>
      </c>
      <c r="K2701">
        <v>0</v>
      </c>
      <c r="L2701">
        <v>0</v>
      </c>
      <c r="M2701">
        <v>346</v>
      </c>
      <c r="N2701">
        <v>0</v>
      </c>
      <c r="O2701">
        <v>26</v>
      </c>
      <c r="P2701">
        <v>95</v>
      </c>
      <c r="Q2701">
        <v>0</v>
      </c>
      <c r="R2701">
        <f>SUM(Table13[[#This Row],[Rank_All_Ranks_Total]:[Rank_SSPSPAddlSPCommandant]])</f>
        <v>6018</v>
      </c>
    </row>
    <row r="2702" spans="1:18" x14ac:dyDescent="0.3">
      <c r="A2702" t="s">
        <v>14</v>
      </c>
      <c r="B2702">
        <v>2008</v>
      </c>
      <c r="C2702" t="str">
        <f>_xlfn.CONCAT(Table13[[#This Row],[STATE]],"-",Table13[[#This Row],[Year]])</f>
        <v>Himachal Pradesh-2008</v>
      </c>
      <c r="D2702" t="s">
        <v>79</v>
      </c>
      <c r="E2702" t="s">
        <v>80</v>
      </c>
      <c r="F2702">
        <v>140</v>
      </c>
      <c r="G2702">
        <v>1</v>
      </c>
      <c r="H2702">
        <v>0</v>
      </c>
      <c r="I2702">
        <v>0</v>
      </c>
      <c r="J2702">
        <v>130</v>
      </c>
      <c r="K2702">
        <v>0</v>
      </c>
      <c r="L2702">
        <v>0</v>
      </c>
      <c r="M2702">
        <v>7</v>
      </c>
      <c r="N2702">
        <v>0</v>
      </c>
      <c r="O2702">
        <v>0</v>
      </c>
      <c r="P2702">
        <v>2</v>
      </c>
      <c r="Q2702">
        <v>0</v>
      </c>
      <c r="R2702">
        <f>SUM(Table13[[#This Row],[Rank_All_Ranks_Total]:[Rank_SSPSPAddlSPCommandant]])</f>
        <v>280</v>
      </c>
    </row>
    <row r="2703" spans="1:18" x14ac:dyDescent="0.3">
      <c r="A2703" t="s">
        <v>15</v>
      </c>
      <c r="B2703">
        <v>2008</v>
      </c>
      <c r="C2703" t="str">
        <f>_xlfn.CONCAT(Table13[[#This Row],[STATE]],"-",Table13[[#This Row],[Year]])</f>
        <v>Jammu &amp; Kashmir-2008</v>
      </c>
      <c r="D2703" t="s">
        <v>79</v>
      </c>
      <c r="E2703" t="s">
        <v>80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f>SUM(Table13[[#This Row],[Rank_All_Ranks_Total]:[Rank_SSPSPAddlSPCommandant]])</f>
        <v>0</v>
      </c>
    </row>
    <row r="2704" spans="1:18" x14ac:dyDescent="0.3">
      <c r="A2704" t="s">
        <v>16</v>
      </c>
      <c r="B2704">
        <v>2008</v>
      </c>
      <c r="C2704" t="str">
        <f>_xlfn.CONCAT(Table13[[#This Row],[STATE]],"-",Table13[[#This Row],[Year]])</f>
        <v>Jharkhand-2008</v>
      </c>
      <c r="D2704" t="s">
        <v>79</v>
      </c>
      <c r="E2704" t="s">
        <v>80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f>SUM(Table13[[#This Row],[Rank_All_Ranks_Total]:[Rank_SSPSPAddlSPCommandant]])</f>
        <v>0</v>
      </c>
    </row>
    <row r="2705" spans="1:18" x14ac:dyDescent="0.3">
      <c r="A2705" t="s">
        <v>17</v>
      </c>
      <c r="B2705">
        <v>2008</v>
      </c>
      <c r="C2705" t="str">
        <f>_xlfn.CONCAT(Table13[[#This Row],[STATE]],"-",Table13[[#This Row],[Year]])</f>
        <v>Karnataka-2008</v>
      </c>
      <c r="D2705" t="s">
        <v>79</v>
      </c>
      <c r="E2705" t="s">
        <v>80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f>SUM(Table13[[#This Row],[Rank_All_Ranks_Total]:[Rank_SSPSPAddlSPCommandant]])</f>
        <v>0</v>
      </c>
    </row>
    <row r="2706" spans="1:18" x14ac:dyDescent="0.3">
      <c r="A2706" t="s">
        <v>18</v>
      </c>
      <c r="B2706">
        <v>2008</v>
      </c>
      <c r="C2706" t="str">
        <f>_xlfn.CONCAT(Table13[[#This Row],[STATE]],"-",Table13[[#This Row],[Year]])</f>
        <v>Kerala-2008</v>
      </c>
      <c r="D2706" t="s">
        <v>79</v>
      </c>
      <c r="E2706" t="s">
        <v>80</v>
      </c>
      <c r="F2706">
        <v>2787</v>
      </c>
      <c r="G2706">
        <v>0</v>
      </c>
      <c r="H2706">
        <v>1</v>
      </c>
      <c r="I2706">
        <v>0</v>
      </c>
      <c r="J2706">
        <v>2502</v>
      </c>
      <c r="K2706">
        <v>0</v>
      </c>
      <c r="L2706">
        <v>0</v>
      </c>
      <c r="M2706">
        <v>189</v>
      </c>
      <c r="N2706">
        <v>0</v>
      </c>
      <c r="O2706">
        <v>21</v>
      </c>
      <c r="P2706">
        <v>74</v>
      </c>
      <c r="Q2706">
        <v>0</v>
      </c>
      <c r="R2706">
        <f>SUM(Table13[[#This Row],[Rank_All_Ranks_Total]:[Rank_SSPSPAddlSPCommandant]])</f>
        <v>5574</v>
      </c>
    </row>
    <row r="2707" spans="1:18" x14ac:dyDescent="0.3">
      <c r="A2707" t="s">
        <v>39</v>
      </c>
      <c r="B2707">
        <v>2008</v>
      </c>
      <c r="C2707" t="str">
        <f>_xlfn.CONCAT(Table13[[#This Row],[STATE]],"-",Table13[[#This Row],[Year]])</f>
        <v>Lakshadweep-2008</v>
      </c>
      <c r="D2707" t="s">
        <v>79</v>
      </c>
      <c r="E2707" t="s">
        <v>80</v>
      </c>
      <c r="F2707">
        <v>8</v>
      </c>
      <c r="G2707">
        <v>0</v>
      </c>
      <c r="H2707">
        <v>0</v>
      </c>
      <c r="I2707">
        <v>0</v>
      </c>
      <c r="J2707">
        <v>6</v>
      </c>
      <c r="K2707">
        <v>0</v>
      </c>
      <c r="L2707">
        <v>0</v>
      </c>
      <c r="M2707">
        <v>1</v>
      </c>
      <c r="N2707">
        <v>0</v>
      </c>
      <c r="O2707">
        <v>0</v>
      </c>
      <c r="P2707">
        <v>1</v>
      </c>
      <c r="Q2707">
        <v>0</v>
      </c>
      <c r="R2707">
        <f>SUM(Table13[[#This Row],[Rank_All_Ranks_Total]:[Rank_SSPSPAddlSPCommandant]])</f>
        <v>16</v>
      </c>
    </row>
    <row r="2708" spans="1:18" x14ac:dyDescent="0.3">
      <c r="A2708" t="s">
        <v>19</v>
      </c>
      <c r="B2708">
        <v>2008</v>
      </c>
      <c r="C2708" t="str">
        <f>_xlfn.CONCAT(Table13[[#This Row],[STATE]],"-",Table13[[#This Row],[Year]])</f>
        <v>Madhya Pradesh-2008</v>
      </c>
      <c r="D2708" t="s">
        <v>79</v>
      </c>
      <c r="E2708" t="s">
        <v>80</v>
      </c>
      <c r="F2708">
        <v>1765</v>
      </c>
      <c r="G2708">
        <v>40</v>
      </c>
      <c r="H2708">
        <v>51</v>
      </c>
      <c r="I2708">
        <v>0</v>
      </c>
      <c r="J2708">
        <v>1283</v>
      </c>
      <c r="K2708">
        <v>0</v>
      </c>
      <c r="L2708">
        <v>2</v>
      </c>
      <c r="M2708">
        <v>221</v>
      </c>
      <c r="N2708">
        <v>3</v>
      </c>
      <c r="O2708">
        <v>16</v>
      </c>
      <c r="P2708">
        <v>140</v>
      </c>
      <c r="Q2708">
        <v>9</v>
      </c>
      <c r="R2708">
        <f>SUM(Table13[[#This Row],[Rank_All_Ranks_Total]:[Rank_SSPSPAddlSPCommandant]])</f>
        <v>3530</v>
      </c>
    </row>
    <row r="2709" spans="1:18" x14ac:dyDescent="0.3">
      <c r="A2709" t="s">
        <v>20</v>
      </c>
      <c r="B2709">
        <v>2008</v>
      </c>
      <c r="C2709" t="str">
        <f>_xlfn.CONCAT(Table13[[#This Row],[STATE]],"-",Table13[[#This Row],[Year]])</f>
        <v>Maharashtra-2008</v>
      </c>
      <c r="D2709" t="s">
        <v>79</v>
      </c>
      <c r="E2709" t="s">
        <v>80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f>SUM(Table13[[#This Row],[Rank_All_Ranks_Total]:[Rank_SSPSPAddlSPCommandant]])</f>
        <v>0</v>
      </c>
    </row>
    <row r="2710" spans="1:18" x14ac:dyDescent="0.3">
      <c r="A2710" t="s">
        <v>21</v>
      </c>
      <c r="B2710">
        <v>2008</v>
      </c>
      <c r="C2710" t="str">
        <f>_xlfn.CONCAT(Table13[[#This Row],[STATE]],"-",Table13[[#This Row],[Year]])</f>
        <v>Manipur-2008</v>
      </c>
      <c r="D2710" t="s">
        <v>79</v>
      </c>
      <c r="E2710" t="s">
        <v>80</v>
      </c>
      <c r="F2710">
        <v>1447</v>
      </c>
      <c r="G2710">
        <v>110</v>
      </c>
      <c r="H2710">
        <v>0</v>
      </c>
      <c r="I2710">
        <v>0</v>
      </c>
      <c r="J2710">
        <v>1075</v>
      </c>
      <c r="K2710">
        <v>0</v>
      </c>
      <c r="L2710">
        <v>0</v>
      </c>
      <c r="M2710">
        <v>167</v>
      </c>
      <c r="N2710">
        <v>0</v>
      </c>
      <c r="O2710">
        <v>4</v>
      </c>
      <c r="P2710">
        <v>91</v>
      </c>
      <c r="Q2710">
        <v>0</v>
      </c>
      <c r="R2710">
        <f>SUM(Table13[[#This Row],[Rank_All_Ranks_Total]:[Rank_SSPSPAddlSPCommandant]])</f>
        <v>2894</v>
      </c>
    </row>
    <row r="2711" spans="1:18" x14ac:dyDescent="0.3">
      <c r="A2711" t="s">
        <v>22</v>
      </c>
      <c r="B2711">
        <v>2008</v>
      </c>
      <c r="C2711" t="str">
        <f>_xlfn.CONCAT(Table13[[#This Row],[STATE]],"-",Table13[[#This Row],[Year]])</f>
        <v>Meghalaya-2008</v>
      </c>
      <c r="D2711" t="s">
        <v>79</v>
      </c>
      <c r="E2711" t="s">
        <v>80</v>
      </c>
      <c r="F2711">
        <v>53</v>
      </c>
      <c r="G2711">
        <v>0</v>
      </c>
      <c r="H2711">
        <v>0</v>
      </c>
      <c r="I2711">
        <v>0</v>
      </c>
      <c r="J2711">
        <v>47</v>
      </c>
      <c r="K2711">
        <v>0</v>
      </c>
      <c r="L2711">
        <v>0</v>
      </c>
      <c r="M2711">
        <v>3</v>
      </c>
      <c r="N2711">
        <v>0</v>
      </c>
      <c r="O2711">
        <v>1</v>
      </c>
      <c r="P2711">
        <v>2</v>
      </c>
      <c r="Q2711">
        <v>0</v>
      </c>
      <c r="R2711">
        <f>SUM(Table13[[#This Row],[Rank_All_Ranks_Total]:[Rank_SSPSPAddlSPCommandant]])</f>
        <v>106</v>
      </c>
    </row>
    <row r="2712" spans="1:18" x14ac:dyDescent="0.3">
      <c r="A2712" t="s">
        <v>23</v>
      </c>
      <c r="B2712">
        <v>2008</v>
      </c>
      <c r="C2712" t="str">
        <f>_xlfn.CONCAT(Table13[[#This Row],[STATE]],"-",Table13[[#This Row],[Year]])</f>
        <v>Mizoram-2008</v>
      </c>
      <c r="D2712" t="s">
        <v>79</v>
      </c>
      <c r="E2712" t="s">
        <v>80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f>SUM(Table13[[#This Row],[Rank_All_Ranks_Total]:[Rank_SSPSPAddlSPCommandant]])</f>
        <v>0</v>
      </c>
    </row>
    <row r="2713" spans="1:18" x14ac:dyDescent="0.3">
      <c r="A2713" t="s">
        <v>24</v>
      </c>
      <c r="B2713">
        <v>2008</v>
      </c>
      <c r="C2713" t="str">
        <f>_xlfn.CONCAT(Table13[[#This Row],[STATE]],"-",Table13[[#This Row],[Year]])</f>
        <v>Nagaland-2008</v>
      </c>
      <c r="D2713" t="s">
        <v>79</v>
      </c>
      <c r="E2713" t="s">
        <v>80</v>
      </c>
      <c r="F2713">
        <v>95</v>
      </c>
      <c r="G2713">
        <v>4</v>
      </c>
      <c r="H2713">
        <v>2</v>
      </c>
      <c r="I2713">
        <v>0</v>
      </c>
      <c r="J2713">
        <v>80</v>
      </c>
      <c r="K2713">
        <v>0</v>
      </c>
      <c r="L2713">
        <v>0</v>
      </c>
      <c r="M2713">
        <v>7</v>
      </c>
      <c r="N2713">
        <v>0</v>
      </c>
      <c r="O2713">
        <v>0</v>
      </c>
      <c r="P2713">
        <v>2</v>
      </c>
      <c r="Q2713">
        <v>0</v>
      </c>
      <c r="R2713">
        <f>SUM(Table13[[#This Row],[Rank_All_Ranks_Total]:[Rank_SSPSPAddlSPCommandant]])</f>
        <v>190</v>
      </c>
    </row>
    <row r="2714" spans="1:18" x14ac:dyDescent="0.3">
      <c r="A2714" t="s">
        <v>63</v>
      </c>
      <c r="B2714">
        <v>2008</v>
      </c>
      <c r="C2714" t="str">
        <f>_xlfn.CONCAT(Table13[[#This Row],[STATE]],"-",Table13[[#This Row],[Year]])</f>
        <v>Odisha-2008</v>
      </c>
      <c r="D2714" t="s">
        <v>79</v>
      </c>
      <c r="E2714" t="s">
        <v>80</v>
      </c>
      <c r="F2714">
        <v>3273</v>
      </c>
      <c r="G2714">
        <v>47</v>
      </c>
      <c r="H2714">
        <v>7</v>
      </c>
      <c r="I2714">
        <v>0</v>
      </c>
      <c r="J2714">
        <v>2902</v>
      </c>
      <c r="K2714">
        <v>0</v>
      </c>
      <c r="L2714">
        <v>1</v>
      </c>
      <c r="M2714">
        <v>3</v>
      </c>
      <c r="N2714">
        <v>1</v>
      </c>
      <c r="O2714">
        <v>32</v>
      </c>
      <c r="P2714">
        <v>272</v>
      </c>
      <c r="Q2714">
        <v>8</v>
      </c>
      <c r="R2714">
        <f>SUM(Table13[[#This Row],[Rank_All_Ranks_Total]:[Rank_SSPSPAddlSPCommandant]])</f>
        <v>6546</v>
      </c>
    </row>
    <row r="2715" spans="1:18" x14ac:dyDescent="0.3">
      <c r="A2715" t="s">
        <v>64</v>
      </c>
      <c r="B2715">
        <v>2008</v>
      </c>
      <c r="C2715" t="str">
        <f>_xlfn.CONCAT(Table13[[#This Row],[STATE]],"-",Table13[[#This Row],[Year]])</f>
        <v>Puducherry-2008</v>
      </c>
      <c r="D2715" t="s">
        <v>79</v>
      </c>
      <c r="E2715" t="s">
        <v>80</v>
      </c>
      <c r="F2715">
        <v>81</v>
      </c>
      <c r="G2715">
        <v>2</v>
      </c>
      <c r="H2715">
        <v>0</v>
      </c>
      <c r="I2715">
        <v>0</v>
      </c>
      <c r="J2715">
        <v>70</v>
      </c>
      <c r="K2715">
        <v>0</v>
      </c>
      <c r="L2715">
        <v>0</v>
      </c>
      <c r="M2715">
        <v>6</v>
      </c>
      <c r="N2715">
        <v>0</v>
      </c>
      <c r="O2715">
        <v>1</v>
      </c>
      <c r="P2715">
        <v>2</v>
      </c>
      <c r="Q2715">
        <v>0</v>
      </c>
      <c r="R2715">
        <f>SUM(Table13[[#This Row],[Rank_All_Ranks_Total]:[Rank_SSPSPAddlSPCommandant]])</f>
        <v>162</v>
      </c>
    </row>
    <row r="2716" spans="1:18" x14ac:dyDescent="0.3">
      <c r="A2716" t="s">
        <v>26</v>
      </c>
      <c r="B2716">
        <v>2008</v>
      </c>
      <c r="C2716" t="str">
        <f>_xlfn.CONCAT(Table13[[#This Row],[STATE]],"-",Table13[[#This Row],[Year]])</f>
        <v>Punjab-2008</v>
      </c>
      <c r="D2716" t="s">
        <v>79</v>
      </c>
      <c r="E2716" t="s">
        <v>80</v>
      </c>
      <c r="F2716">
        <v>1562</v>
      </c>
      <c r="G2716">
        <v>109</v>
      </c>
      <c r="H2716">
        <v>0</v>
      </c>
      <c r="I2716">
        <v>0</v>
      </c>
      <c r="J2716">
        <v>1138</v>
      </c>
      <c r="K2716">
        <v>0</v>
      </c>
      <c r="L2716">
        <v>0</v>
      </c>
      <c r="M2716">
        <v>246</v>
      </c>
      <c r="N2716">
        <v>0</v>
      </c>
      <c r="O2716">
        <v>21</v>
      </c>
      <c r="P2716">
        <v>48</v>
      </c>
      <c r="Q2716">
        <v>0</v>
      </c>
      <c r="R2716">
        <f>SUM(Table13[[#This Row],[Rank_All_Ranks_Total]:[Rank_SSPSPAddlSPCommandant]])</f>
        <v>3124</v>
      </c>
    </row>
    <row r="2717" spans="1:18" x14ac:dyDescent="0.3">
      <c r="A2717" t="s">
        <v>27</v>
      </c>
      <c r="B2717">
        <v>2008</v>
      </c>
      <c r="C2717" t="str">
        <f>_xlfn.CONCAT(Table13[[#This Row],[STATE]],"-",Table13[[#This Row],[Year]])</f>
        <v>Rajasthan-2008</v>
      </c>
      <c r="D2717" t="s">
        <v>79</v>
      </c>
      <c r="E2717" t="s">
        <v>80</v>
      </c>
      <c r="F2717">
        <v>1847</v>
      </c>
      <c r="G2717">
        <v>39</v>
      </c>
      <c r="H2717">
        <v>25</v>
      </c>
      <c r="I2717">
        <v>0</v>
      </c>
      <c r="J2717">
        <v>1510</v>
      </c>
      <c r="K2717">
        <v>0</v>
      </c>
      <c r="L2717">
        <v>0</v>
      </c>
      <c r="M2717">
        <v>189</v>
      </c>
      <c r="N2717">
        <v>1</v>
      </c>
      <c r="O2717">
        <v>10</v>
      </c>
      <c r="P2717">
        <v>63</v>
      </c>
      <c r="Q2717">
        <v>10</v>
      </c>
      <c r="R2717">
        <f>SUM(Table13[[#This Row],[Rank_All_Ranks_Total]:[Rank_SSPSPAddlSPCommandant]])</f>
        <v>3694</v>
      </c>
    </row>
    <row r="2718" spans="1:18" x14ac:dyDescent="0.3">
      <c r="A2718" t="s">
        <v>28</v>
      </c>
      <c r="B2718">
        <v>2008</v>
      </c>
      <c r="C2718" t="str">
        <f>_xlfn.CONCAT(Table13[[#This Row],[STATE]],"-",Table13[[#This Row],[Year]])</f>
        <v>Sikkim-2008</v>
      </c>
      <c r="D2718" t="s">
        <v>79</v>
      </c>
      <c r="E2718" t="s">
        <v>80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f>SUM(Table13[[#This Row],[Rank_All_Ranks_Total]:[Rank_SSPSPAddlSPCommandant]])</f>
        <v>0</v>
      </c>
    </row>
    <row r="2719" spans="1:18" x14ac:dyDescent="0.3">
      <c r="A2719" t="s">
        <v>42</v>
      </c>
      <c r="B2719">
        <v>2008</v>
      </c>
      <c r="C2719" t="str">
        <f>_xlfn.CONCAT(Table13[[#This Row],[STATE]],"-",Table13[[#This Row],[Year]])</f>
        <v>Tamil Nadu-2008</v>
      </c>
      <c r="D2719" t="s">
        <v>79</v>
      </c>
      <c r="E2719" t="s">
        <v>80</v>
      </c>
      <c r="F2719">
        <v>8789</v>
      </c>
      <c r="G2719">
        <v>0</v>
      </c>
      <c r="H2719">
        <v>26</v>
      </c>
      <c r="I2719">
        <v>0</v>
      </c>
      <c r="J2719">
        <v>6763</v>
      </c>
      <c r="K2719">
        <v>3</v>
      </c>
      <c r="L2719">
        <v>2</v>
      </c>
      <c r="M2719">
        <v>392</v>
      </c>
      <c r="N2719">
        <v>2</v>
      </c>
      <c r="O2719">
        <v>189</v>
      </c>
      <c r="P2719">
        <v>1382</v>
      </c>
      <c r="Q2719">
        <v>30</v>
      </c>
      <c r="R2719">
        <f>SUM(Table13[[#This Row],[Rank_All_Ranks_Total]:[Rank_SSPSPAddlSPCommandant]])</f>
        <v>17578</v>
      </c>
    </row>
    <row r="2720" spans="1:18" x14ac:dyDescent="0.3">
      <c r="A2720" t="s">
        <v>30</v>
      </c>
      <c r="B2720">
        <v>2008</v>
      </c>
      <c r="C2720" t="str">
        <f>_xlfn.CONCAT(Table13[[#This Row],[STATE]],"-",Table13[[#This Row],[Year]])</f>
        <v>Tripura-2008</v>
      </c>
      <c r="D2720" t="s">
        <v>79</v>
      </c>
      <c r="E2720" t="s">
        <v>80</v>
      </c>
      <c r="F2720">
        <v>869</v>
      </c>
      <c r="G2720">
        <v>52</v>
      </c>
      <c r="H2720">
        <v>2</v>
      </c>
      <c r="I2720">
        <v>16</v>
      </c>
      <c r="J2720">
        <v>659</v>
      </c>
      <c r="K2720">
        <v>0</v>
      </c>
      <c r="L2720">
        <v>0</v>
      </c>
      <c r="M2720">
        <v>70</v>
      </c>
      <c r="N2720">
        <v>0</v>
      </c>
      <c r="O2720">
        <v>7</v>
      </c>
      <c r="P2720">
        <v>62</v>
      </c>
      <c r="Q2720">
        <v>1</v>
      </c>
      <c r="R2720">
        <f>SUM(Table13[[#This Row],[Rank_All_Ranks_Total]:[Rank_SSPSPAddlSPCommandant]])</f>
        <v>1738</v>
      </c>
    </row>
    <row r="2721" spans="1:18" x14ac:dyDescent="0.3">
      <c r="A2721" t="s">
        <v>31</v>
      </c>
      <c r="B2721">
        <v>2008</v>
      </c>
      <c r="C2721" t="str">
        <f>_xlfn.CONCAT(Table13[[#This Row],[STATE]],"-",Table13[[#This Row],[Year]])</f>
        <v>Uttar Pradesh-2008</v>
      </c>
      <c r="D2721" t="s">
        <v>79</v>
      </c>
      <c r="E2721" t="s">
        <v>80</v>
      </c>
      <c r="F2721">
        <v>2478</v>
      </c>
      <c r="G2721">
        <v>0</v>
      </c>
      <c r="H2721">
        <v>34</v>
      </c>
      <c r="I2721">
        <v>0</v>
      </c>
      <c r="J2721">
        <v>1942</v>
      </c>
      <c r="K2721">
        <v>0</v>
      </c>
      <c r="L2721">
        <v>1</v>
      </c>
      <c r="M2721">
        <v>142</v>
      </c>
      <c r="N2721">
        <v>1</v>
      </c>
      <c r="O2721">
        <v>13</v>
      </c>
      <c r="P2721">
        <v>327</v>
      </c>
      <c r="Q2721">
        <v>18</v>
      </c>
      <c r="R2721">
        <f>SUM(Table13[[#This Row],[Rank_All_Ranks_Total]:[Rank_SSPSPAddlSPCommandant]])</f>
        <v>4956</v>
      </c>
    </row>
    <row r="2722" spans="1:18" x14ac:dyDescent="0.3">
      <c r="A2722" t="s">
        <v>65</v>
      </c>
      <c r="B2722">
        <v>2008</v>
      </c>
      <c r="C2722" t="str">
        <f>_xlfn.CONCAT(Table13[[#This Row],[STATE]],"-",Table13[[#This Row],[Year]])</f>
        <v>Uttarakhand-2008</v>
      </c>
      <c r="D2722" t="s">
        <v>79</v>
      </c>
      <c r="E2722" t="s">
        <v>80</v>
      </c>
      <c r="F2722">
        <v>703</v>
      </c>
      <c r="G2722">
        <v>0</v>
      </c>
      <c r="H2722">
        <v>0</v>
      </c>
      <c r="I2722">
        <v>0</v>
      </c>
      <c r="J2722">
        <v>636</v>
      </c>
      <c r="K2722">
        <v>0</v>
      </c>
      <c r="L2722">
        <v>0</v>
      </c>
      <c r="M2722">
        <v>59</v>
      </c>
      <c r="N2722">
        <v>0</v>
      </c>
      <c r="O2722">
        <v>2</v>
      </c>
      <c r="P2722">
        <v>6</v>
      </c>
      <c r="Q2722">
        <v>0</v>
      </c>
      <c r="R2722">
        <f>SUM(Table13[[#This Row],[Rank_All_Ranks_Total]:[Rank_SSPSPAddlSPCommandant]])</f>
        <v>1406</v>
      </c>
    </row>
    <row r="2723" spans="1:18" x14ac:dyDescent="0.3">
      <c r="A2723" t="s">
        <v>33</v>
      </c>
      <c r="B2723">
        <v>2008</v>
      </c>
      <c r="C2723" t="str">
        <f>_xlfn.CONCAT(Table13[[#This Row],[STATE]],"-",Table13[[#This Row],[Year]])</f>
        <v>West Bengal-2008</v>
      </c>
      <c r="D2723" t="s">
        <v>79</v>
      </c>
      <c r="E2723" t="s">
        <v>80</v>
      </c>
      <c r="F2723">
        <v>2205</v>
      </c>
      <c r="G2723">
        <v>119</v>
      </c>
      <c r="H2723">
        <v>8</v>
      </c>
      <c r="I2723">
        <v>0</v>
      </c>
      <c r="J2723">
        <v>1892</v>
      </c>
      <c r="K2723">
        <v>0</v>
      </c>
      <c r="L2723">
        <v>0</v>
      </c>
      <c r="M2723">
        <v>7</v>
      </c>
      <c r="N2723">
        <v>0</v>
      </c>
      <c r="O2723">
        <v>12</v>
      </c>
      <c r="P2723">
        <v>167</v>
      </c>
      <c r="Q2723">
        <v>0</v>
      </c>
      <c r="R2723">
        <f>SUM(Table13[[#This Row],[Rank_All_Ranks_Total]:[Rank_SSPSPAddlSPCommandant]])</f>
        <v>4410</v>
      </c>
    </row>
    <row r="2724" spans="1:18" x14ac:dyDescent="0.3">
      <c r="A2724" t="s">
        <v>59</v>
      </c>
      <c r="B2724">
        <v>2009</v>
      </c>
      <c r="C2724" t="str">
        <f>_xlfn.CONCAT(Table13[[#This Row],[STATE]],"-",Table13[[#This Row],[Year]])</f>
        <v>Andaman &amp; Nicobar Islands-2009</v>
      </c>
      <c r="D2724" t="s">
        <v>79</v>
      </c>
      <c r="E2724" t="s">
        <v>80</v>
      </c>
      <c r="F2724">
        <v>19</v>
      </c>
      <c r="G2724">
        <v>0</v>
      </c>
      <c r="H2724">
        <v>0</v>
      </c>
      <c r="I2724">
        <v>0</v>
      </c>
      <c r="J2724">
        <v>15</v>
      </c>
      <c r="K2724">
        <v>0</v>
      </c>
      <c r="L2724">
        <v>0</v>
      </c>
      <c r="M2724">
        <v>3</v>
      </c>
      <c r="N2724">
        <v>0</v>
      </c>
      <c r="O2724">
        <v>1</v>
      </c>
      <c r="P2724">
        <v>0</v>
      </c>
      <c r="Q2724">
        <v>0</v>
      </c>
      <c r="R2724">
        <f>SUM(Table13[[#This Row],[Rank_All_Ranks_Total]:[Rank_SSPSPAddlSPCommandant]])</f>
        <v>38</v>
      </c>
    </row>
    <row r="2725" spans="1:18" x14ac:dyDescent="0.3">
      <c r="A2725" t="s">
        <v>6</v>
      </c>
      <c r="B2725">
        <v>2009</v>
      </c>
      <c r="C2725" t="str">
        <f>_xlfn.CONCAT(Table13[[#This Row],[STATE]],"-",Table13[[#This Row],[Year]])</f>
        <v>Andhra Pradesh-2009</v>
      </c>
      <c r="D2725" t="s">
        <v>79</v>
      </c>
      <c r="E2725" t="s">
        <v>80</v>
      </c>
      <c r="F2725">
        <v>1709</v>
      </c>
      <c r="G2725">
        <v>10</v>
      </c>
      <c r="H2725">
        <v>2</v>
      </c>
      <c r="I2725">
        <v>0</v>
      </c>
      <c r="J2725">
        <v>1516</v>
      </c>
      <c r="K2725">
        <v>2</v>
      </c>
      <c r="L2725">
        <v>2</v>
      </c>
      <c r="M2725">
        <v>117</v>
      </c>
      <c r="N2725">
        <v>1</v>
      </c>
      <c r="O2725">
        <v>8</v>
      </c>
      <c r="P2725">
        <v>44</v>
      </c>
      <c r="Q2725">
        <v>7</v>
      </c>
      <c r="R2725">
        <f>SUM(Table13[[#This Row],[Rank_All_Ranks_Total]:[Rank_SSPSPAddlSPCommandant]])</f>
        <v>3418</v>
      </c>
    </row>
    <row r="2726" spans="1:18" x14ac:dyDescent="0.3">
      <c r="A2726" t="s">
        <v>7</v>
      </c>
      <c r="B2726">
        <v>2009</v>
      </c>
      <c r="C2726" t="str">
        <f>_xlfn.CONCAT(Table13[[#This Row],[STATE]],"-",Table13[[#This Row],[Year]])</f>
        <v>Arunachal Pradesh-2009</v>
      </c>
      <c r="D2726" t="s">
        <v>79</v>
      </c>
      <c r="E2726" t="s">
        <v>80</v>
      </c>
      <c r="F2726">
        <v>67</v>
      </c>
      <c r="G2726">
        <v>4</v>
      </c>
      <c r="H2726">
        <v>0</v>
      </c>
      <c r="I2726">
        <v>0</v>
      </c>
      <c r="J2726">
        <v>40</v>
      </c>
      <c r="K2726">
        <v>0</v>
      </c>
      <c r="L2726">
        <v>0</v>
      </c>
      <c r="M2726">
        <v>12</v>
      </c>
      <c r="N2726">
        <v>0</v>
      </c>
      <c r="O2726">
        <v>2</v>
      </c>
      <c r="P2726">
        <v>9</v>
      </c>
      <c r="Q2726">
        <v>0</v>
      </c>
      <c r="R2726">
        <f>SUM(Table13[[#This Row],[Rank_All_Ranks_Total]:[Rank_SSPSPAddlSPCommandant]])</f>
        <v>134</v>
      </c>
    </row>
    <row r="2727" spans="1:18" x14ac:dyDescent="0.3">
      <c r="A2727" t="s">
        <v>8</v>
      </c>
      <c r="B2727">
        <v>2009</v>
      </c>
      <c r="C2727" t="str">
        <f>_xlfn.CONCAT(Table13[[#This Row],[STATE]],"-",Table13[[#This Row],[Year]])</f>
        <v>Assam-2009</v>
      </c>
      <c r="D2727" t="s">
        <v>79</v>
      </c>
      <c r="E2727" t="s">
        <v>80</v>
      </c>
      <c r="F2727">
        <v>332</v>
      </c>
      <c r="G2727">
        <v>5</v>
      </c>
      <c r="H2727">
        <v>0</v>
      </c>
      <c r="I2727">
        <v>8</v>
      </c>
      <c r="J2727">
        <v>294</v>
      </c>
      <c r="K2727">
        <v>0</v>
      </c>
      <c r="L2727">
        <v>0</v>
      </c>
      <c r="M2727">
        <v>8</v>
      </c>
      <c r="N2727">
        <v>0</v>
      </c>
      <c r="O2727">
        <v>0</v>
      </c>
      <c r="P2727">
        <v>17</v>
      </c>
      <c r="Q2727">
        <v>0</v>
      </c>
      <c r="R2727">
        <f>SUM(Table13[[#This Row],[Rank_All_Ranks_Total]:[Rank_SSPSPAddlSPCommandant]])</f>
        <v>664</v>
      </c>
    </row>
    <row r="2728" spans="1:18" x14ac:dyDescent="0.3">
      <c r="A2728" t="s">
        <v>9</v>
      </c>
      <c r="B2728">
        <v>2009</v>
      </c>
      <c r="C2728" t="str">
        <f>_xlfn.CONCAT(Table13[[#This Row],[STATE]],"-",Table13[[#This Row],[Year]])</f>
        <v>Bihar-2009</v>
      </c>
      <c r="D2728" t="s">
        <v>79</v>
      </c>
      <c r="E2728" t="s">
        <v>80</v>
      </c>
      <c r="F2728">
        <v>105</v>
      </c>
      <c r="G2728">
        <v>2</v>
      </c>
      <c r="H2728">
        <v>0</v>
      </c>
      <c r="I2728">
        <v>0</v>
      </c>
      <c r="J2728">
        <v>99</v>
      </c>
      <c r="K2728">
        <v>0</v>
      </c>
      <c r="L2728">
        <v>0</v>
      </c>
      <c r="M2728">
        <v>2</v>
      </c>
      <c r="N2728">
        <v>0</v>
      </c>
      <c r="O2728">
        <v>0</v>
      </c>
      <c r="P2728">
        <v>2</v>
      </c>
      <c r="Q2728">
        <v>0</v>
      </c>
      <c r="R2728">
        <f>SUM(Table13[[#This Row],[Rank_All_Ranks_Total]:[Rank_SSPSPAddlSPCommandant]])</f>
        <v>210</v>
      </c>
    </row>
    <row r="2729" spans="1:18" x14ac:dyDescent="0.3">
      <c r="A2729" t="s">
        <v>35</v>
      </c>
      <c r="B2729">
        <v>2009</v>
      </c>
      <c r="C2729" t="str">
        <f>_xlfn.CONCAT(Table13[[#This Row],[STATE]],"-",Table13[[#This Row],[Year]])</f>
        <v>Chandigarh-2009</v>
      </c>
      <c r="D2729" t="s">
        <v>79</v>
      </c>
      <c r="E2729" t="s">
        <v>80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f>SUM(Table13[[#This Row],[Rank_All_Ranks_Total]:[Rank_SSPSPAddlSPCommandant]])</f>
        <v>0</v>
      </c>
    </row>
    <row r="2730" spans="1:18" x14ac:dyDescent="0.3">
      <c r="A2730" t="s">
        <v>10</v>
      </c>
      <c r="B2730">
        <v>2009</v>
      </c>
      <c r="C2730" t="str">
        <f>_xlfn.CONCAT(Table13[[#This Row],[STATE]],"-",Table13[[#This Row],[Year]])</f>
        <v>Chhattisgarh-2009</v>
      </c>
      <c r="D2730" t="s">
        <v>79</v>
      </c>
      <c r="E2730" t="s">
        <v>80</v>
      </c>
      <c r="F2730">
        <v>1117</v>
      </c>
      <c r="G2730">
        <v>24</v>
      </c>
      <c r="H2730">
        <v>15</v>
      </c>
      <c r="I2730">
        <v>0</v>
      </c>
      <c r="J2730">
        <v>934</v>
      </c>
      <c r="K2730">
        <v>0</v>
      </c>
      <c r="L2730">
        <v>0</v>
      </c>
      <c r="M2730">
        <v>78</v>
      </c>
      <c r="N2730">
        <v>0</v>
      </c>
      <c r="O2730">
        <v>11</v>
      </c>
      <c r="P2730">
        <v>54</v>
      </c>
      <c r="Q2730">
        <v>1</v>
      </c>
      <c r="R2730">
        <f>SUM(Table13[[#This Row],[Rank_All_Ranks_Total]:[Rank_SSPSPAddlSPCommandant]])</f>
        <v>2234</v>
      </c>
    </row>
    <row r="2731" spans="1:18" x14ac:dyDescent="0.3">
      <c r="A2731" t="s">
        <v>62</v>
      </c>
      <c r="B2731">
        <v>2009</v>
      </c>
      <c r="C2731" t="str">
        <f>_xlfn.CONCAT(Table13[[#This Row],[STATE]],"-",Table13[[#This Row],[Year]])</f>
        <v>Dadra &amp; Nagar Haveli-2009</v>
      </c>
      <c r="D2731" t="s">
        <v>79</v>
      </c>
      <c r="E2731" t="s">
        <v>80</v>
      </c>
      <c r="F2731">
        <v>9</v>
      </c>
      <c r="G2731">
        <v>0</v>
      </c>
      <c r="H2731">
        <v>0</v>
      </c>
      <c r="I2731">
        <v>0</v>
      </c>
      <c r="J2731">
        <v>4</v>
      </c>
      <c r="K2731">
        <v>0</v>
      </c>
      <c r="L2731">
        <v>0</v>
      </c>
      <c r="M2731">
        <v>3</v>
      </c>
      <c r="N2731">
        <v>0</v>
      </c>
      <c r="O2731">
        <v>0</v>
      </c>
      <c r="P2731">
        <v>2</v>
      </c>
      <c r="Q2731">
        <v>0</v>
      </c>
      <c r="R2731">
        <f>SUM(Table13[[#This Row],[Rank_All_Ranks_Total]:[Rank_SSPSPAddlSPCommandant]])</f>
        <v>18</v>
      </c>
    </row>
    <row r="2732" spans="1:18" x14ac:dyDescent="0.3">
      <c r="A2732" t="s">
        <v>37</v>
      </c>
      <c r="B2732">
        <v>2009</v>
      </c>
      <c r="C2732" t="str">
        <f>_xlfn.CONCAT(Table13[[#This Row],[STATE]],"-",Table13[[#This Row],[Year]])</f>
        <v>Daman &amp; Diu-2009</v>
      </c>
      <c r="D2732" t="s">
        <v>79</v>
      </c>
      <c r="E2732" t="s">
        <v>80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f>SUM(Table13[[#This Row],[Rank_All_Ranks_Total]:[Rank_SSPSPAddlSPCommandant]])</f>
        <v>0</v>
      </c>
    </row>
    <row r="2733" spans="1:18" x14ac:dyDescent="0.3">
      <c r="A2733" t="s">
        <v>38</v>
      </c>
      <c r="B2733">
        <v>2009</v>
      </c>
      <c r="C2733" t="str">
        <f>_xlfn.CONCAT(Table13[[#This Row],[STATE]],"-",Table13[[#This Row],[Year]])</f>
        <v>Delhi-2009</v>
      </c>
      <c r="D2733" t="s">
        <v>79</v>
      </c>
      <c r="E2733" t="s">
        <v>80</v>
      </c>
      <c r="F2733">
        <v>4411</v>
      </c>
      <c r="G2733">
        <v>346</v>
      </c>
      <c r="H2733">
        <v>1</v>
      </c>
      <c r="I2733">
        <v>0</v>
      </c>
      <c r="J2733">
        <v>3232</v>
      </c>
      <c r="K2733">
        <v>0</v>
      </c>
      <c r="L2733">
        <v>0</v>
      </c>
      <c r="M2733">
        <v>533</v>
      </c>
      <c r="N2733">
        <v>0</v>
      </c>
      <c r="O2733">
        <v>73</v>
      </c>
      <c r="P2733">
        <v>226</v>
      </c>
      <c r="Q2733">
        <v>0</v>
      </c>
      <c r="R2733">
        <f>SUM(Table13[[#This Row],[Rank_All_Ranks_Total]:[Rank_SSPSPAddlSPCommandant]])</f>
        <v>8822</v>
      </c>
    </row>
    <row r="2734" spans="1:18" x14ac:dyDescent="0.3">
      <c r="A2734" t="s">
        <v>11</v>
      </c>
      <c r="B2734">
        <v>2009</v>
      </c>
      <c r="C2734" t="str">
        <f>_xlfn.CONCAT(Table13[[#This Row],[STATE]],"-",Table13[[#This Row],[Year]])</f>
        <v>Goa-2009</v>
      </c>
      <c r="D2734" t="s">
        <v>79</v>
      </c>
      <c r="E2734" t="s">
        <v>80</v>
      </c>
      <c r="F2734">
        <v>215</v>
      </c>
      <c r="G2734">
        <v>1</v>
      </c>
      <c r="H2734">
        <v>0</v>
      </c>
      <c r="I2734">
        <v>0</v>
      </c>
      <c r="J2734">
        <v>205</v>
      </c>
      <c r="K2734">
        <v>0</v>
      </c>
      <c r="L2734">
        <v>0</v>
      </c>
      <c r="M2734">
        <v>6</v>
      </c>
      <c r="N2734">
        <v>0</v>
      </c>
      <c r="O2734">
        <v>0</v>
      </c>
      <c r="P2734">
        <v>3</v>
      </c>
      <c r="Q2734">
        <v>0</v>
      </c>
      <c r="R2734">
        <f>SUM(Table13[[#This Row],[Rank_All_Ranks_Total]:[Rank_SSPSPAddlSPCommandant]])</f>
        <v>430</v>
      </c>
    </row>
    <row r="2735" spans="1:18" x14ac:dyDescent="0.3">
      <c r="A2735" t="s">
        <v>12</v>
      </c>
      <c r="B2735">
        <v>2009</v>
      </c>
      <c r="C2735" t="str">
        <f>_xlfn.CONCAT(Table13[[#This Row],[STATE]],"-",Table13[[#This Row],[Year]])</f>
        <v>Gujarat-2009</v>
      </c>
      <c r="D2735" t="s">
        <v>79</v>
      </c>
      <c r="E2735" t="s">
        <v>80</v>
      </c>
      <c r="F2735">
        <v>3028</v>
      </c>
      <c r="G2735">
        <v>298</v>
      </c>
      <c r="H2735">
        <v>0</v>
      </c>
      <c r="I2735">
        <v>0</v>
      </c>
      <c r="J2735">
        <v>2160</v>
      </c>
      <c r="K2735">
        <v>0</v>
      </c>
      <c r="L2735">
        <v>0</v>
      </c>
      <c r="M2735">
        <v>471</v>
      </c>
      <c r="N2735">
        <v>0</v>
      </c>
      <c r="O2735">
        <v>22</v>
      </c>
      <c r="P2735">
        <v>77</v>
      </c>
      <c r="Q2735">
        <v>0</v>
      </c>
      <c r="R2735">
        <f>SUM(Table13[[#This Row],[Rank_All_Ranks_Total]:[Rank_SSPSPAddlSPCommandant]])</f>
        <v>6056</v>
      </c>
    </row>
    <row r="2736" spans="1:18" x14ac:dyDescent="0.3">
      <c r="A2736" t="s">
        <v>13</v>
      </c>
      <c r="B2736">
        <v>2009</v>
      </c>
      <c r="C2736" t="str">
        <f>_xlfn.CONCAT(Table13[[#This Row],[STATE]],"-",Table13[[#This Row],[Year]])</f>
        <v>Haryana-2009</v>
      </c>
      <c r="D2736" t="s">
        <v>79</v>
      </c>
      <c r="E2736" t="s">
        <v>80</v>
      </c>
      <c r="F2736">
        <v>3024</v>
      </c>
      <c r="G2736">
        <v>200</v>
      </c>
      <c r="H2736">
        <v>0</v>
      </c>
      <c r="I2736">
        <v>0</v>
      </c>
      <c r="J2736">
        <v>2356</v>
      </c>
      <c r="K2736">
        <v>0</v>
      </c>
      <c r="L2736">
        <v>0</v>
      </c>
      <c r="M2736">
        <v>348</v>
      </c>
      <c r="N2736">
        <v>0</v>
      </c>
      <c r="O2736">
        <v>26</v>
      </c>
      <c r="P2736">
        <v>94</v>
      </c>
      <c r="Q2736">
        <v>0</v>
      </c>
      <c r="R2736">
        <f>SUM(Table13[[#This Row],[Rank_All_Ranks_Total]:[Rank_SSPSPAddlSPCommandant]])</f>
        <v>6048</v>
      </c>
    </row>
    <row r="2737" spans="1:18" x14ac:dyDescent="0.3">
      <c r="A2737" t="s">
        <v>14</v>
      </c>
      <c r="B2737">
        <v>2009</v>
      </c>
      <c r="C2737" t="str">
        <f>_xlfn.CONCAT(Table13[[#This Row],[STATE]],"-",Table13[[#This Row],[Year]])</f>
        <v>Himachal Pradesh-2009</v>
      </c>
      <c r="D2737" t="s">
        <v>79</v>
      </c>
      <c r="E2737" t="s">
        <v>80</v>
      </c>
      <c r="F2737">
        <v>140</v>
      </c>
      <c r="G2737">
        <v>1</v>
      </c>
      <c r="H2737">
        <v>0</v>
      </c>
      <c r="I2737">
        <v>0</v>
      </c>
      <c r="J2737">
        <v>130</v>
      </c>
      <c r="K2737">
        <v>0</v>
      </c>
      <c r="L2737">
        <v>0</v>
      </c>
      <c r="M2737">
        <v>7</v>
      </c>
      <c r="N2737">
        <v>0</v>
      </c>
      <c r="O2737">
        <v>0</v>
      </c>
      <c r="P2737">
        <v>2</v>
      </c>
      <c r="Q2737">
        <v>0</v>
      </c>
      <c r="R2737">
        <f>SUM(Table13[[#This Row],[Rank_All_Ranks_Total]:[Rank_SSPSPAddlSPCommandant]])</f>
        <v>280</v>
      </c>
    </row>
    <row r="2738" spans="1:18" x14ac:dyDescent="0.3">
      <c r="A2738" t="s">
        <v>15</v>
      </c>
      <c r="B2738">
        <v>2009</v>
      </c>
      <c r="C2738" t="str">
        <f>_xlfn.CONCAT(Table13[[#This Row],[STATE]],"-",Table13[[#This Row],[Year]])</f>
        <v>Jammu &amp; Kashmir-2009</v>
      </c>
      <c r="D2738" t="s">
        <v>79</v>
      </c>
      <c r="E2738" t="s">
        <v>80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f>SUM(Table13[[#This Row],[Rank_All_Ranks_Total]:[Rank_SSPSPAddlSPCommandant]])</f>
        <v>0</v>
      </c>
    </row>
    <row r="2739" spans="1:18" x14ac:dyDescent="0.3">
      <c r="A2739" t="s">
        <v>16</v>
      </c>
      <c r="B2739">
        <v>2009</v>
      </c>
      <c r="C2739" t="str">
        <f>_xlfn.CONCAT(Table13[[#This Row],[STATE]],"-",Table13[[#This Row],[Year]])</f>
        <v>Jharkhand-2009</v>
      </c>
      <c r="D2739" t="s">
        <v>79</v>
      </c>
      <c r="E2739" t="s">
        <v>80</v>
      </c>
      <c r="F2739">
        <v>1373</v>
      </c>
      <c r="G2739">
        <v>17</v>
      </c>
      <c r="H2739">
        <v>13</v>
      </c>
      <c r="I2739">
        <v>0</v>
      </c>
      <c r="J2739">
        <v>1032</v>
      </c>
      <c r="K2739">
        <v>0</v>
      </c>
      <c r="L2739">
        <v>0</v>
      </c>
      <c r="M2739">
        <v>256</v>
      </c>
      <c r="N2739">
        <v>0</v>
      </c>
      <c r="O2739">
        <v>11</v>
      </c>
      <c r="P2739">
        <v>44</v>
      </c>
      <c r="Q2739">
        <v>0</v>
      </c>
      <c r="R2739">
        <f>SUM(Table13[[#This Row],[Rank_All_Ranks_Total]:[Rank_SSPSPAddlSPCommandant]])</f>
        <v>2746</v>
      </c>
    </row>
    <row r="2740" spans="1:18" x14ac:dyDescent="0.3">
      <c r="A2740" t="s">
        <v>17</v>
      </c>
      <c r="B2740">
        <v>2009</v>
      </c>
      <c r="C2740" t="str">
        <f>_xlfn.CONCAT(Table13[[#This Row],[STATE]],"-",Table13[[#This Row],[Year]])</f>
        <v>Karnataka-2009</v>
      </c>
      <c r="D2740" t="s">
        <v>79</v>
      </c>
      <c r="E2740" t="s">
        <v>80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f>SUM(Table13[[#This Row],[Rank_All_Ranks_Total]:[Rank_SSPSPAddlSPCommandant]])</f>
        <v>0</v>
      </c>
    </row>
    <row r="2741" spans="1:18" x14ac:dyDescent="0.3">
      <c r="A2741" t="s">
        <v>18</v>
      </c>
      <c r="B2741">
        <v>2009</v>
      </c>
      <c r="C2741" t="str">
        <f>_xlfn.CONCAT(Table13[[#This Row],[STATE]],"-",Table13[[#This Row],[Year]])</f>
        <v>Kerala-2009</v>
      </c>
      <c r="D2741" t="s">
        <v>79</v>
      </c>
      <c r="E2741" t="s">
        <v>80</v>
      </c>
      <c r="F2741">
        <v>2775</v>
      </c>
      <c r="G2741">
        <v>0</v>
      </c>
      <c r="H2741">
        <v>1</v>
      </c>
      <c r="I2741">
        <v>0</v>
      </c>
      <c r="J2741">
        <v>2498</v>
      </c>
      <c r="K2741">
        <v>0</v>
      </c>
      <c r="L2741">
        <v>0</v>
      </c>
      <c r="M2741">
        <v>181</v>
      </c>
      <c r="N2741">
        <v>0</v>
      </c>
      <c r="O2741">
        <v>21</v>
      </c>
      <c r="P2741">
        <v>74</v>
      </c>
      <c r="Q2741">
        <v>0</v>
      </c>
      <c r="R2741">
        <f>SUM(Table13[[#This Row],[Rank_All_Ranks_Total]:[Rank_SSPSPAddlSPCommandant]])</f>
        <v>5550</v>
      </c>
    </row>
    <row r="2742" spans="1:18" x14ac:dyDescent="0.3">
      <c r="A2742" t="s">
        <v>39</v>
      </c>
      <c r="B2742">
        <v>2009</v>
      </c>
      <c r="C2742" t="str">
        <f>_xlfn.CONCAT(Table13[[#This Row],[STATE]],"-",Table13[[#This Row],[Year]])</f>
        <v>Lakshadweep-2009</v>
      </c>
      <c r="D2742" t="s">
        <v>79</v>
      </c>
      <c r="E2742" t="s">
        <v>80</v>
      </c>
      <c r="F2742">
        <v>8</v>
      </c>
      <c r="G2742">
        <v>0</v>
      </c>
      <c r="H2742">
        <v>0</v>
      </c>
      <c r="I2742">
        <v>0</v>
      </c>
      <c r="J2742">
        <v>6</v>
      </c>
      <c r="K2742">
        <v>0</v>
      </c>
      <c r="L2742">
        <v>0</v>
      </c>
      <c r="M2742">
        <v>1</v>
      </c>
      <c r="N2742">
        <v>0</v>
      </c>
      <c r="O2742">
        <v>0</v>
      </c>
      <c r="P2742">
        <v>1</v>
      </c>
      <c r="Q2742">
        <v>0</v>
      </c>
      <c r="R2742">
        <f>SUM(Table13[[#This Row],[Rank_All_Ranks_Total]:[Rank_SSPSPAddlSPCommandant]])</f>
        <v>16</v>
      </c>
    </row>
    <row r="2743" spans="1:18" x14ac:dyDescent="0.3">
      <c r="A2743" t="s">
        <v>19</v>
      </c>
      <c r="B2743">
        <v>2009</v>
      </c>
      <c r="C2743" t="str">
        <f>_xlfn.CONCAT(Table13[[#This Row],[STATE]],"-",Table13[[#This Row],[Year]])</f>
        <v>Madhya Pradesh-2009</v>
      </c>
      <c r="D2743" t="s">
        <v>79</v>
      </c>
      <c r="E2743" t="s">
        <v>80</v>
      </c>
      <c r="F2743">
        <v>1765</v>
      </c>
      <c r="G2743">
        <v>40</v>
      </c>
      <c r="H2743">
        <v>51</v>
      </c>
      <c r="I2743">
        <v>0</v>
      </c>
      <c r="J2743">
        <v>1283</v>
      </c>
      <c r="K2743">
        <v>0</v>
      </c>
      <c r="L2743">
        <v>2</v>
      </c>
      <c r="M2743">
        <v>221</v>
      </c>
      <c r="N2743">
        <v>3</v>
      </c>
      <c r="O2743">
        <v>16</v>
      </c>
      <c r="P2743">
        <v>140</v>
      </c>
      <c r="Q2743">
        <v>9</v>
      </c>
      <c r="R2743">
        <f>SUM(Table13[[#This Row],[Rank_All_Ranks_Total]:[Rank_SSPSPAddlSPCommandant]])</f>
        <v>3530</v>
      </c>
    </row>
    <row r="2744" spans="1:18" x14ac:dyDescent="0.3">
      <c r="A2744" t="s">
        <v>20</v>
      </c>
      <c r="B2744">
        <v>2009</v>
      </c>
      <c r="C2744" t="str">
        <f>_xlfn.CONCAT(Table13[[#This Row],[STATE]],"-",Table13[[#This Row],[Year]])</f>
        <v>Maharashtra-2009</v>
      </c>
      <c r="D2744" t="s">
        <v>79</v>
      </c>
      <c r="E2744" t="s">
        <v>80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f>SUM(Table13[[#This Row],[Rank_All_Ranks_Total]:[Rank_SSPSPAddlSPCommandant]])</f>
        <v>0</v>
      </c>
    </row>
    <row r="2745" spans="1:18" x14ac:dyDescent="0.3">
      <c r="A2745" t="s">
        <v>21</v>
      </c>
      <c r="B2745">
        <v>2009</v>
      </c>
      <c r="C2745" t="str">
        <f>_xlfn.CONCAT(Table13[[#This Row],[STATE]],"-",Table13[[#This Row],[Year]])</f>
        <v>Manipur-2009</v>
      </c>
      <c r="D2745" t="s">
        <v>79</v>
      </c>
      <c r="E2745" t="s">
        <v>80</v>
      </c>
      <c r="F2745">
        <v>2268</v>
      </c>
      <c r="G2745">
        <v>180</v>
      </c>
      <c r="H2745">
        <v>0</v>
      </c>
      <c r="I2745">
        <v>0</v>
      </c>
      <c r="J2745">
        <v>1640</v>
      </c>
      <c r="K2745">
        <v>0</v>
      </c>
      <c r="L2745">
        <v>0</v>
      </c>
      <c r="M2745">
        <v>294</v>
      </c>
      <c r="N2745">
        <v>0</v>
      </c>
      <c r="O2745">
        <v>9</v>
      </c>
      <c r="P2745">
        <v>145</v>
      </c>
      <c r="Q2745">
        <v>0</v>
      </c>
      <c r="R2745">
        <f>SUM(Table13[[#This Row],[Rank_All_Ranks_Total]:[Rank_SSPSPAddlSPCommandant]])</f>
        <v>4536</v>
      </c>
    </row>
    <row r="2746" spans="1:18" x14ac:dyDescent="0.3">
      <c r="A2746" t="s">
        <v>22</v>
      </c>
      <c r="B2746">
        <v>2009</v>
      </c>
      <c r="C2746" t="str">
        <f>_xlfn.CONCAT(Table13[[#This Row],[STATE]],"-",Table13[[#This Row],[Year]])</f>
        <v>Meghalaya-2009</v>
      </c>
      <c r="D2746" t="s">
        <v>79</v>
      </c>
      <c r="E2746" t="s">
        <v>80</v>
      </c>
      <c r="F2746">
        <v>44</v>
      </c>
      <c r="G2746">
        <v>0</v>
      </c>
      <c r="H2746">
        <v>0</v>
      </c>
      <c r="I2746">
        <v>0</v>
      </c>
      <c r="J2746">
        <v>38</v>
      </c>
      <c r="K2746">
        <v>0</v>
      </c>
      <c r="L2746">
        <v>0</v>
      </c>
      <c r="M2746">
        <v>3</v>
      </c>
      <c r="N2746">
        <v>0</v>
      </c>
      <c r="O2746">
        <v>1</v>
      </c>
      <c r="P2746">
        <v>2</v>
      </c>
      <c r="Q2746">
        <v>0</v>
      </c>
      <c r="R2746">
        <f>SUM(Table13[[#This Row],[Rank_All_Ranks_Total]:[Rank_SSPSPAddlSPCommandant]])</f>
        <v>88</v>
      </c>
    </row>
    <row r="2747" spans="1:18" x14ac:dyDescent="0.3">
      <c r="A2747" t="s">
        <v>23</v>
      </c>
      <c r="B2747">
        <v>2009</v>
      </c>
      <c r="C2747" t="str">
        <f>_xlfn.CONCAT(Table13[[#This Row],[STATE]],"-",Table13[[#This Row],[Year]])</f>
        <v>Mizoram-2009</v>
      </c>
      <c r="D2747" t="s">
        <v>79</v>
      </c>
      <c r="E2747" t="s">
        <v>80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f>SUM(Table13[[#This Row],[Rank_All_Ranks_Total]:[Rank_SSPSPAddlSPCommandant]])</f>
        <v>0</v>
      </c>
    </row>
    <row r="2748" spans="1:18" x14ac:dyDescent="0.3">
      <c r="A2748" t="s">
        <v>24</v>
      </c>
      <c r="B2748">
        <v>2009</v>
      </c>
      <c r="C2748" t="str">
        <f>_xlfn.CONCAT(Table13[[#This Row],[STATE]],"-",Table13[[#This Row],[Year]])</f>
        <v>Nagaland-2009</v>
      </c>
      <c r="D2748" t="s">
        <v>79</v>
      </c>
      <c r="E2748" t="s">
        <v>80</v>
      </c>
      <c r="F2748">
        <v>95</v>
      </c>
      <c r="G2748">
        <v>4</v>
      </c>
      <c r="H2748">
        <v>2</v>
      </c>
      <c r="I2748">
        <v>0</v>
      </c>
      <c r="J2748">
        <v>80</v>
      </c>
      <c r="K2748">
        <v>0</v>
      </c>
      <c r="L2748">
        <v>0</v>
      </c>
      <c r="M2748">
        <v>7</v>
      </c>
      <c r="N2748">
        <v>0</v>
      </c>
      <c r="O2748">
        <v>0</v>
      </c>
      <c r="P2748">
        <v>2</v>
      </c>
      <c r="Q2748">
        <v>0</v>
      </c>
      <c r="R2748">
        <f>SUM(Table13[[#This Row],[Rank_All_Ranks_Total]:[Rank_SSPSPAddlSPCommandant]])</f>
        <v>190</v>
      </c>
    </row>
    <row r="2749" spans="1:18" x14ac:dyDescent="0.3">
      <c r="A2749" t="s">
        <v>63</v>
      </c>
      <c r="B2749">
        <v>2009</v>
      </c>
      <c r="C2749" t="str">
        <f>_xlfn.CONCAT(Table13[[#This Row],[STATE]],"-",Table13[[#This Row],[Year]])</f>
        <v>Odisha-2009</v>
      </c>
      <c r="D2749" t="s">
        <v>79</v>
      </c>
      <c r="E2749" t="s">
        <v>80</v>
      </c>
      <c r="F2749">
        <v>3144</v>
      </c>
      <c r="G2749">
        <v>88</v>
      </c>
      <c r="H2749">
        <v>11</v>
      </c>
      <c r="I2749">
        <v>0</v>
      </c>
      <c r="J2749">
        <v>2786</v>
      </c>
      <c r="K2749">
        <v>0</v>
      </c>
      <c r="L2749">
        <v>3</v>
      </c>
      <c r="M2749">
        <v>4</v>
      </c>
      <c r="N2749">
        <v>1</v>
      </c>
      <c r="O2749">
        <v>65</v>
      </c>
      <c r="P2749">
        <v>176</v>
      </c>
      <c r="Q2749">
        <v>10</v>
      </c>
      <c r="R2749">
        <f>SUM(Table13[[#This Row],[Rank_All_Ranks_Total]:[Rank_SSPSPAddlSPCommandant]])</f>
        <v>6288</v>
      </c>
    </row>
    <row r="2750" spans="1:18" x14ac:dyDescent="0.3">
      <c r="A2750" t="s">
        <v>64</v>
      </c>
      <c r="B2750">
        <v>2009</v>
      </c>
      <c r="C2750" t="str">
        <f>_xlfn.CONCAT(Table13[[#This Row],[STATE]],"-",Table13[[#This Row],[Year]])</f>
        <v>Puducherry-2009</v>
      </c>
      <c r="D2750" t="s">
        <v>79</v>
      </c>
      <c r="E2750" t="s">
        <v>80</v>
      </c>
      <c r="F2750">
        <v>81</v>
      </c>
      <c r="G2750">
        <v>2</v>
      </c>
      <c r="H2750">
        <v>0</v>
      </c>
      <c r="I2750">
        <v>0</v>
      </c>
      <c r="J2750">
        <v>70</v>
      </c>
      <c r="K2750">
        <v>0</v>
      </c>
      <c r="L2750">
        <v>0</v>
      </c>
      <c r="M2750">
        <v>6</v>
      </c>
      <c r="N2750">
        <v>0</v>
      </c>
      <c r="O2750">
        <v>1</v>
      </c>
      <c r="P2750">
        <v>2</v>
      </c>
      <c r="Q2750">
        <v>0</v>
      </c>
      <c r="R2750">
        <f>SUM(Table13[[#This Row],[Rank_All_Ranks_Total]:[Rank_SSPSPAddlSPCommandant]])</f>
        <v>162</v>
      </c>
    </row>
    <row r="2751" spans="1:18" x14ac:dyDescent="0.3">
      <c r="A2751" t="s">
        <v>26</v>
      </c>
      <c r="B2751">
        <v>2009</v>
      </c>
      <c r="C2751" t="str">
        <f>_xlfn.CONCAT(Table13[[#This Row],[STATE]],"-",Table13[[#This Row],[Year]])</f>
        <v>Punjab-2009</v>
      </c>
      <c r="D2751" t="s">
        <v>79</v>
      </c>
      <c r="E2751" t="s">
        <v>80</v>
      </c>
      <c r="F2751">
        <v>1562</v>
      </c>
      <c r="G2751">
        <v>109</v>
      </c>
      <c r="H2751">
        <v>0</v>
      </c>
      <c r="I2751">
        <v>0</v>
      </c>
      <c r="J2751">
        <v>1138</v>
      </c>
      <c r="K2751">
        <v>0</v>
      </c>
      <c r="L2751">
        <v>0</v>
      </c>
      <c r="M2751">
        <v>246</v>
      </c>
      <c r="N2751">
        <v>0</v>
      </c>
      <c r="O2751">
        <v>21</v>
      </c>
      <c r="P2751">
        <v>48</v>
      </c>
      <c r="Q2751">
        <v>0</v>
      </c>
      <c r="R2751">
        <f>SUM(Table13[[#This Row],[Rank_All_Ranks_Total]:[Rank_SSPSPAddlSPCommandant]])</f>
        <v>3124</v>
      </c>
    </row>
    <row r="2752" spans="1:18" x14ac:dyDescent="0.3">
      <c r="A2752" t="s">
        <v>27</v>
      </c>
      <c r="B2752">
        <v>2009</v>
      </c>
      <c r="C2752" t="str">
        <f>_xlfn.CONCAT(Table13[[#This Row],[STATE]],"-",Table13[[#This Row],[Year]])</f>
        <v>Rajasthan-2009</v>
      </c>
      <c r="D2752" t="s">
        <v>79</v>
      </c>
      <c r="E2752" t="s">
        <v>80</v>
      </c>
      <c r="F2752">
        <v>1068</v>
      </c>
      <c r="G2752">
        <v>41</v>
      </c>
      <c r="H2752">
        <v>2</v>
      </c>
      <c r="I2752">
        <v>0</v>
      </c>
      <c r="J2752">
        <v>939</v>
      </c>
      <c r="K2752">
        <v>0</v>
      </c>
      <c r="L2752">
        <v>0</v>
      </c>
      <c r="M2752">
        <v>36</v>
      </c>
      <c r="N2752">
        <v>0</v>
      </c>
      <c r="O2752">
        <v>2</v>
      </c>
      <c r="P2752">
        <v>48</v>
      </c>
      <c r="Q2752">
        <v>0</v>
      </c>
      <c r="R2752">
        <f>SUM(Table13[[#This Row],[Rank_All_Ranks_Total]:[Rank_SSPSPAddlSPCommandant]])</f>
        <v>2136</v>
      </c>
    </row>
    <row r="2753" spans="1:18" x14ac:dyDescent="0.3">
      <c r="A2753" t="s">
        <v>28</v>
      </c>
      <c r="B2753">
        <v>2009</v>
      </c>
      <c r="C2753" t="str">
        <f>_xlfn.CONCAT(Table13[[#This Row],[STATE]],"-",Table13[[#This Row],[Year]])</f>
        <v>Sikkim-2009</v>
      </c>
      <c r="D2753" t="s">
        <v>79</v>
      </c>
      <c r="E2753" t="s">
        <v>80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f>SUM(Table13[[#This Row],[Rank_All_Ranks_Total]:[Rank_SSPSPAddlSPCommandant]])</f>
        <v>0</v>
      </c>
    </row>
    <row r="2754" spans="1:18" x14ac:dyDescent="0.3">
      <c r="A2754" t="s">
        <v>42</v>
      </c>
      <c r="B2754">
        <v>2009</v>
      </c>
      <c r="C2754" t="str">
        <f>_xlfn.CONCAT(Table13[[#This Row],[STATE]],"-",Table13[[#This Row],[Year]])</f>
        <v>Tamil Nadu-2009</v>
      </c>
      <c r="D2754" t="s">
        <v>79</v>
      </c>
      <c r="E2754" t="s">
        <v>80</v>
      </c>
      <c r="F2754">
        <v>8796</v>
      </c>
      <c r="G2754">
        <v>0</v>
      </c>
      <c r="H2754">
        <v>26</v>
      </c>
      <c r="I2754">
        <v>0</v>
      </c>
      <c r="J2754">
        <v>6763</v>
      </c>
      <c r="K2754">
        <v>3</v>
      </c>
      <c r="L2754">
        <v>2</v>
      </c>
      <c r="M2754">
        <v>392</v>
      </c>
      <c r="N2754">
        <v>2</v>
      </c>
      <c r="O2754">
        <v>196</v>
      </c>
      <c r="P2754">
        <v>1382</v>
      </c>
      <c r="Q2754">
        <v>30</v>
      </c>
      <c r="R2754">
        <f>SUM(Table13[[#This Row],[Rank_All_Ranks_Total]:[Rank_SSPSPAddlSPCommandant]])</f>
        <v>17592</v>
      </c>
    </row>
    <row r="2755" spans="1:18" x14ac:dyDescent="0.3">
      <c r="A2755" t="s">
        <v>30</v>
      </c>
      <c r="B2755">
        <v>2009</v>
      </c>
      <c r="C2755" t="str">
        <f>_xlfn.CONCAT(Table13[[#This Row],[STATE]],"-",Table13[[#This Row],[Year]])</f>
        <v>Tripura-2009</v>
      </c>
      <c r="D2755" t="s">
        <v>79</v>
      </c>
      <c r="E2755" t="s">
        <v>80</v>
      </c>
      <c r="F2755">
        <v>935</v>
      </c>
      <c r="G2755">
        <v>54</v>
      </c>
      <c r="H2755">
        <v>2</v>
      </c>
      <c r="I2755">
        <v>16</v>
      </c>
      <c r="J2755">
        <v>715</v>
      </c>
      <c r="K2755">
        <v>0</v>
      </c>
      <c r="L2755">
        <v>0</v>
      </c>
      <c r="M2755">
        <v>72</v>
      </c>
      <c r="N2755">
        <v>0</v>
      </c>
      <c r="O2755">
        <v>7</v>
      </c>
      <c r="P2755">
        <v>66</v>
      </c>
      <c r="Q2755">
        <v>3</v>
      </c>
      <c r="R2755">
        <f>SUM(Table13[[#This Row],[Rank_All_Ranks_Total]:[Rank_SSPSPAddlSPCommandant]])</f>
        <v>1870</v>
      </c>
    </row>
    <row r="2756" spans="1:18" x14ac:dyDescent="0.3">
      <c r="A2756" t="s">
        <v>31</v>
      </c>
      <c r="B2756">
        <v>2009</v>
      </c>
      <c r="C2756" t="str">
        <f>_xlfn.CONCAT(Table13[[#This Row],[STATE]],"-",Table13[[#This Row],[Year]])</f>
        <v>Uttar Pradesh-2009</v>
      </c>
      <c r="D2756" t="s">
        <v>79</v>
      </c>
      <c r="E2756" t="s">
        <v>80</v>
      </c>
      <c r="F2756">
        <v>2480</v>
      </c>
      <c r="G2756">
        <v>0</v>
      </c>
      <c r="H2756">
        <v>37</v>
      </c>
      <c r="I2756">
        <v>0</v>
      </c>
      <c r="J2756">
        <v>1942</v>
      </c>
      <c r="K2756">
        <v>0</v>
      </c>
      <c r="L2756">
        <v>4</v>
      </c>
      <c r="M2756">
        <v>142</v>
      </c>
      <c r="N2756">
        <v>0</v>
      </c>
      <c r="O2756">
        <v>11</v>
      </c>
      <c r="P2756">
        <v>327</v>
      </c>
      <c r="Q2756">
        <v>17</v>
      </c>
      <c r="R2756">
        <f>SUM(Table13[[#This Row],[Rank_All_Ranks_Total]:[Rank_SSPSPAddlSPCommandant]])</f>
        <v>4960</v>
      </c>
    </row>
    <row r="2757" spans="1:18" x14ac:dyDescent="0.3">
      <c r="A2757" t="s">
        <v>65</v>
      </c>
      <c r="B2757">
        <v>2009</v>
      </c>
      <c r="C2757" t="str">
        <f>_xlfn.CONCAT(Table13[[#This Row],[STATE]],"-",Table13[[#This Row],[Year]])</f>
        <v>Uttarakhand-2009</v>
      </c>
      <c r="D2757" t="s">
        <v>79</v>
      </c>
      <c r="E2757" t="s">
        <v>80</v>
      </c>
      <c r="F2757">
        <v>703</v>
      </c>
      <c r="G2757">
        <v>0</v>
      </c>
      <c r="H2757">
        <v>0</v>
      </c>
      <c r="I2757">
        <v>0</v>
      </c>
      <c r="J2757">
        <v>636</v>
      </c>
      <c r="K2757">
        <v>0</v>
      </c>
      <c r="L2757">
        <v>0</v>
      </c>
      <c r="M2757">
        <v>59</v>
      </c>
      <c r="N2757">
        <v>0</v>
      </c>
      <c r="O2757">
        <v>2</v>
      </c>
      <c r="P2757">
        <v>6</v>
      </c>
      <c r="Q2757">
        <v>0</v>
      </c>
      <c r="R2757">
        <f>SUM(Table13[[#This Row],[Rank_All_Ranks_Total]:[Rank_SSPSPAddlSPCommandant]])</f>
        <v>1406</v>
      </c>
    </row>
    <row r="2758" spans="1:18" x14ac:dyDescent="0.3">
      <c r="A2758" t="s">
        <v>33</v>
      </c>
      <c r="B2758">
        <v>2009</v>
      </c>
      <c r="C2758" t="str">
        <f>_xlfn.CONCAT(Table13[[#This Row],[STATE]],"-",Table13[[#This Row],[Year]])</f>
        <v>West Bengal-2009</v>
      </c>
      <c r="D2758" t="s">
        <v>79</v>
      </c>
      <c r="E2758" t="s">
        <v>80</v>
      </c>
      <c r="F2758">
        <v>2240</v>
      </c>
      <c r="G2758">
        <v>127</v>
      </c>
      <c r="H2758">
        <v>1</v>
      </c>
      <c r="I2758">
        <v>0</v>
      </c>
      <c r="J2758">
        <v>1923</v>
      </c>
      <c r="K2758">
        <v>0</v>
      </c>
      <c r="L2758">
        <v>0</v>
      </c>
      <c r="M2758">
        <v>7</v>
      </c>
      <c r="N2758">
        <v>0</v>
      </c>
      <c r="O2758">
        <v>12</v>
      </c>
      <c r="P2758">
        <v>170</v>
      </c>
      <c r="Q2758">
        <v>0</v>
      </c>
      <c r="R2758">
        <f>SUM(Table13[[#This Row],[Rank_All_Ranks_Total]:[Rank_SSPSPAddlSPCommandant]])</f>
        <v>4480</v>
      </c>
    </row>
    <row r="2759" spans="1:18" x14ac:dyDescent="0.3">
      <c r="A2759" t="s">
        <v>59</v>
      </c>
      <c r="B2759">
        <v>2010</v>
      </c>
      <c r="C2759" t="str">
        <f>_xlfn.CONCAT(Table13[[#This Row],[STATE]],"-",Table13[[#This Row],[Year]])</f>
        <v>Andaman &amp; Nicobar Islands-2010</v>
      </c>
      <c r="D2759" t="s">
        <v>79</v>
      </c>
      <c r="E2759" t="s">
        <v>80</v>
      </c>
      <c r="F2759">
        <v>19</v>
      </c>
      <c r="G2759">
        <v>0</v>
      </c>
      <c r="H2759">
        <v>0</v>
      </c>
      <c r="I2759">
        <v>0</v>
      </c>
      <c r="J2759">
        <v>15</v>
      </c>
      <c r="K2759">
        <v>0</v>
      </c>
      <c r="L2759">
        <v>0</v>
      </c>
      <c r="M2759">
        <v>3</v>
      </c>
      <c r="N2759">
        <v>0</v>
      </c>
      <c r="O2759">
        <v>1</v>
      </c>
      <c r="P2759">
        <v>0</v>
      </c>
      <c r="Q2759">
        <v>0</v>
      </c>
      <c r="R2759">
        <f>SUM(Table13[[#This Row],[Rank_All_Ranks_Total]:[Rank_SSPSPAddlSPCommandant]])</f>
        <v>38</v>
      </c>
    </row>
    <row r="2760" spans="1:18" x14ac:dyDescent="0.3">
      <c r="A2760" t="s">
        <v>6</v>
      </c>
      <c r="B2760">
        <v>2010</v>
      </c>
      <c r="C2760" t="str">
        <f>_xlfn.CONCAT(Table13[[#This Row],[STATE]],"-",Table13[[#This Row],[Year]])</f>
        <v>Andhra Pradesh-2010</v>
      </c>
      <c r="D2760" t="s">
        <v>79</v>
      </c>
      <c r="E2760" t="s">
        <v>80</v>
      </c>
      <c r="F2760">
        <v>2008</v>
      </c>
      <c r="G2760">
        <v>33</v>
      </c>
      <c r="H2760">
        <v>2</v>
      </c>
      <c r="I2760">
        <v>0</v>
      </c>
      <c r="J2760">
        <v>1740</v>
      </c>
      <c r="K2760">
        <v>2</v>
      </c>
      <c r="L2760">
        <v>2</v>
      </c>
      <c r="M2760">
        <v>150</v>
      </c>
      <c r="N2760">
        <v>2</v>
      </c>
      <c r="O2760">
        <v>8</v>
      </c>
      <c r="P2760">
        <v>62</v>
      </c>
      <c r="Q2760">
        <v>7</v>
      </c>
      <c r="R2760">
        <f>SUM(Table13[[#This Row],[Rank_All_Ranks_Total]:[Rank_SSPSPAddlSPCommandant]])</f>
        <v>4016</v>
      </c>
    </row>
    <row r="2761" spans="1:18" x14ac:dyDescent="0.3">
      <c r="A2761" t="s">
        <v>7</v>
      </c>
      <c r="B2761">
        <v>2010</v>
      </c>
      <c r="C2761" t="str">
        <f>_xlfn.CONCAT(Table13[[#This Row],[STATE]],"-",Table13[[#This Row],[Year]])</f>
        <v>Arunachal Pradesh-2010</v>
      </c>
      <c r="D2761" t="s">
        <v>79</v>
      </c>
      <c r="E2761" t="s">
        <v>80</v>
      </c>
      <c r="F2761">
        <v>67</v>
      </c>
      <c r="G2761">
        <v>4</v>
      </c>
      <c r="H2761">
        <v>0</v>
      </c>
      <c r="I2761">
        <v>0</v>
      </c>
      <c r="J2761">
        <v>40</v>
      </c>
      <c r="K2761">
        <v>0</v>
      </c>
      <c r="L2761">
        <v>0</v>
      </c>
      <c r="M2761">
        <v>12</v>
      </c>
      <c r="N2761">
        <v>0</v>
      </c>
      <c r="O2761">
        <v>2</v>
      </c>
      <c r="P2761">
        <v>9</v>
      </c>
      <c r="Q2761">
        <v>0</v>
      </c>
      <c r="R2761">
        <f>SUM(Table13[[#This Row],[Rank_All_Ranks_Total]:[Rank_SSPSPAddlSPCommandant]])</f>
        <v>134</v>
      </c>
    </row>
    <row r="2762" spans="1:18" x14ac:dyDescent="0.3">
      <c r="A2762" t="s">
        <v>8</v>
      </c>
      <c r="B2762">
        <v>2010</v>
      </c>
      <c r="C2762" t="str">
        <f>_xlfn.CONCAT(Table13[[#This Row],[STATE]],"-",Table13[[#This Row],[Year]])</f>
        <v>Assam-2010</v>
      </c>
      <c r="D2762" t="s">
        <v>79</v>
      </c>
      <c r="E2762" t="s">
        <v>80</v>
      </c>
      <c r="F2762">
        <v>332</v>
      </c>
      <c r="G2762">
        <v>5</v>
      </c>
      <c r="H2762">
        <v>0</v>
      </c>
      <c r="I2762">
        <v>8</v>
      </c>
      <c r="J2762">
        <v>294</v>
      </c>
      <c r="K2762">
        <v>0</v>
      </c>
      <c r="L2762">
        <v>0</v>
      </c>
      <c r="M2762">
        <v>8</v>
      </c>
      <c r="N2762">
        <v>0</v>
      </c>
      <c r="O2762">
        <v>0</v>
      </c>
      <c r="P2762">
        <v>17</v>
      </c>
      <c r="Q2762">
        <v>0</v>
      </c>
      <c r="R2762">
        <f>SUM(Table13[[#This Row],[Rank_All_Ranks_Total]:[Rank_SSPSPAddlSPCommandant]])</f>
        <v>664</v>
      </c>
    </row>
    <row r="2763" spans="1:18" x14ac:dyDescent="0.3">
      <c r="A2763" t="s">
        <v>9</v>
      </c>
      <c r="B2763">
        <v>2010</v>
      </c>
      <c r="C2763" t="str">
        <f>_xlfn.CONCAT(Table13[[#This Row],[STATE]],"-",Table13[[#This Row],[Year]])</f>
        <v>Bihar-2010</v>
      </c>
      <c r="D2763" t="s">
        <v>79</v>
      </c>
      <c r="E2763" t="s">
        <v>80</v>
      </c>
      <c r="F2763">
        <v>105</v>
      </c>
      <c r="G2763">
        <v>2</v>
      </c>
      <c r="H2763">
        <v>0</v>
      </c>
      <c r="I2763">
        <v>0</v>
      </c>
      <c r="J2763">
        <v>99</v>
      </c>
      <c r="K2763">
        <v>0</v>
      </c>
      <c r="L2763">
        <v>0</v>
      </c>
      <c r="M2763">
        <v>2</v>
      </c>
      <c r="N2763">
        <v>0</v>
      </c>
      <c r="O2763">
        <v>0</v>
      </c>
      <c r="P2763">
        <v>2</v>
      </c>
      <c r="Q2763">
        <v>0</v>
      </c>
      <c r="R2763">
        <f>SUM(Table13[[#This Row],[Rank_All_Ranks_Total]:[Rank_SSPSPAddlSPCommandant]])</f>
        <v>210</v>
      </c>
    </row>
    <row r="2764" spans="1:18" x14ac:dyDescent="0.3">
      <c r="A2764" t="s">
        <v>35</v>
      </c>
      <c r="B2764">
        <v>2010</v>
      </c>
      <c r="C2764" t="str">
        <f>_xlfn.CONCAT(Table13[[#This Row],[STATE]],"-",Table13[[#This Row],[Year]])</f>
        <v>Chandigarh-2010</v>
      </c>
      <c r="D2764" t="s">
        <v>79</v>
      </c>
      <c r="E2764" t="s">
        <v>80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f>SUM(Table13[[#This Row],[Rank_All_Ranks_Total]:[Rank_SSPSPAddlSPCommandant]])</f>
        <v>0</v>
      </c>
    </row>
    <row r="2765" spans="1:18" x14ac:dyDescent="0.3">
      <c r="A2765" t="s">
        <v>10</v>
      </c>
      <c r="B2765">
        <v>2010</v>
      </c>
      <c r="C2765" t="str">
        <f>_xlfn.CONCAT(Table13[[#This Row],[STATE]],"-",Table13[[#This Row],[Year]])</f>
        <v>Chhattisgarh-2010</v>
      </c>
      <c r="D2765" t="s">
        <v>79</v>
      </c>
      <c r="E2765" t="s">
        <v>80</v>
      </c>
      <c r="F2765">
        <v>1117</v>
      </c>
      <c r="G2765">
        <v>24</v>
      </c>
      <c r="H2765">
        <v>15</v>
      </c>
      <c r="I2765">
        <v>0</v>
      </c>
      <c r="J2765">
        <v>934</v>
      </c>
      <c r="K2765">
        <v>0</v>
      </c>
      <c r="L2765">
        <v>0</v>
      </c>
      <c r="M2765">
        <v>78</v>
      </c>
      <c r="N2765">
        <v>0</v>
      </c>
      <c r="O2765">
        <v>11</v>
      </c>
      <c r="P2765">
        <v>54</v>
      </c>
      <c r="Q2765">
        <v>1</v>
      </c>
      <c r="R2765">
        <f>SUM(Table13[[#This Row],[Rank_All_Ranks_Total]:[Rank_SSPSPAddlSPCommandant]])</f>
        <v>2234</v>
      </c>
    </row>
    <row r="2766" spans="1:18" x14ac:dyDescent="0.3">
      <c r="A2766" t="s">
        <v>62</v>
      </c>
      <c r="B2766">
        <v>2010</v>
      </c>
      <c r="C2766" t="str">
        <f>_xlfn.CONCAT(Table13[[#This Row],[STATE]],"-",Table13[[#This Row],[Year]])</f>
        <v>Dadra &amp; Nagar Haveli-2010</v>
      </c>
      <c r="D2766" t="s">
        <v>79</v>
      </c>
      <c r="E2766" t="s">
        <v>80</v>
      </c>
      <c r="F2766">
        <v>9</v>
      </c>
      <c r="G2766">
        <v>0</v>
      </c>
      <c r="H2766">
        <v>0</v>
      </c>
      <c r="I2766">
        <v>0</v>
      </c>
      <c r="J2766">
        <v>4</v>
      </c>
      <c r="K2766">
        <v>0</v>
      </c>
      <c r="L2766">
        <v>0</v>
      </c>
      <c r="M2766">
        <v>3</v>
      </c>
      <c r="N2766">
        <v>0</v>
      </c>
      <c r="O2766">
        <v>0</v>
      </c>
      <c r="P2766">
        <v>2</v>
      </c>
      <c r="Q2766">
        <v>0</v>
      </c>
      <c r="R2766">
        <f>SUM(Table13[[#This Row],[Rank_All_Ranks_Total]:[Rank_SSPSPAddlSPCommandant]])</f>
        <v>18</v>
      </c>
    </row>
    <row r="2767" spans="1:18" x14ac:dyDescent="0.3">
      <c r="A2767" t="s">
        <v>37</v>
      </c>
      <c r="B2767">
        <v>2010</v>
      </c>
      <c r="C2767" t="str">
        <f>_xlfn.CONCAT(Table13[[#This Row],[STATE]],"-",Table13[[#This Row],[Year]])</f>
        <v>Daman &amp; Diu-2010</v>
      </c>
      <c r="D2767" t="s">
        <v>79</v>
      </c>
      <c r="E2767" t="s">
        <v>80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f>SUM(Table13[[#This Row],[Rank_All_Ranks_Total]:[Rank_SSPSPAddlSPCommandant]])</f>
        <v>0</v>
      </c>
    </row>
    <row r="2768" spans="1:18" x14ac:dyDescent="0.3">
      <c r="A2768" t="s">
        <v>38</v>
      </c>
      <c r="B2768">
        <v>2010</v>
      </c>
      <c r="C2768" t="str">
        <f>_xlfn.CONCAT(Table13[[#This Row],[STATE]],"-",Table13[[#This Row],[Year]])</f>
        <v>Delhi-2010</v>
      </c>
      <c r="D2768" t="s">
        <v>79</v>
      </c>
      <c r="E2768" t="s">
        <v>80</v>
      </c>
      <c r="F2768">
        <v>4649</v>
      </c>
      <c r="G2768">
        <v>346</v>
      </c>
      <c r="H2768">
        <v>1</v>
      </c>
      <c r="I2768">
        <v>0</v>
      </c>
      <c r="J2768">
        <v>3470</v>
      </c>
      <c r="K2768">
        <v>0</v>
      </c>
      <c r="L2768">
        <v>0</v>
      </c>
      <c r="M2768">
        <v>533</v>
      </c>
      <c r="N2768">
        <v>0</v>
      </c>
      <c r="O2768">
        <v>73</v>
      </c>
      <c r="P2768">
        <v>226</v>
      </c>
      <c r="Q2768">
        <v>0</v>
      </c>
      <c r="R2768">
        <f>SUM(Table13[[#This Row],[Rank_All_Ranks_Total]:[Rank_SSPSPAddlSPCommandant]])</f>
        <v>9298</v>
      </c>
    </row>
    <row r="2769" spans="1:18" x14ac:dyDescent="0.3">
      <c r="A2769" t="s">
        <v>11</v>
      </c>
      <c r="B2769">
        <v>2010</v>
      </c>
      <c r="C2769" t="str">
        <f>_xlfn.CONCAT(Table13[[#This Row],[STATE]],"-",Table13[[#This Row],[Year]])</f>
        <v>Goa-2010</v>
      </c>
      <c r="D2769" t="s">
        <v>79</v>
      </c>
      <c r="E2769" t="s">
        <v>80</v>
      </c>
      <c r="F2769">
        <v>215</v>
      </c>
      <c r="G2769">
        <v>1</v>
      </c>
      <c r="H2769">
        <v>0</v>
      </c>
      <c r="I2769">
        <v>0</v>
      </c>
      <c r="J2769">
        <v>205</v>
      </c>
      <c r="K2769">
        <v>0</v>
      </c>
      <c r="L2769">
        <v>0</v>
      </c>
      <c r="M2769">
        <v>6</v>
      </c>
      <c r="N2769">
        <v>0</v>
      </c>
      <c r="O2769">
        <v>0</v>
      </c>
      <c r="P2769">
        <v>3</v>
      </c>
      <c r="Q2769">
        <v>0</v>
      </c>
      <c r="R2769">
        <f>SUM(Table13[[#This Row],[Rank_All_Ranks_Total]:[Rank_SSPSPAddlSPCommandant]])</f>
        <v>430</v>
      </c>
    </row>
    <row r="2770" spans="1:18" x14ac:dyDescent="0.3">
      <c r="A2770" t="s">
        <v>12</v>
      </c>
      <c r="B2770">
        <v>2010</v>
      </c>
      <c r="C2770" t="str">
        <f>_xlfn.CONCAT(Table13[[#This Row],[STATE]],"-",Table13[[#This Row],[Year]])</f>
        <v>Gujarat-2010</v>
      </c>
      <c r="D2770" t="s">
        <v>79</v>
      </c>
      <c r="E2770" t="s">
        <v>80</v>
      </c>
      <c r="F2770">
        <v>3235</v>
      </c>
      <c r="G2770">
        <v>374</v>
      </c>
      <c r="H2770">
        <v>22</v>
      </c>
      <c r="I2770">
        <v>0</v>
      </c>
      <c r="J2770">
        <v>2160</v>
      </c>
      <c r="K2770">
        <v>0</v>
      </c>
      <c r="L2770">
        <v>0</v>
      </c>
      <c r="M2770">
        <v>574</v>
      </c>
      <c r="N2770">
        <v>0</v>
      </c>
      <c r="O2770">
        <v>24</v>
      </c>
      <c r="P2770">
        <v>81</v>
      </c>
      <c r="Q2770">
        <v>0</v>
      </c>
      <c r="R2770">
        <f>SUM(Table13[[#This Row],[Rank_All_Ranks_Total]:[Rank_SSPSPAddlSPCommandant]])</f>
        <v>6470</v>
      </c>
    </row>
    <row r="2771" spans="1:18" x14ac:dyDescent="0.3">
      <c r="A2771" t="s">
        <v>13</v>
      </c>
      <c r="B2771">
        <v>2010</v>
      </c>
      <c r="C2771" t="str">
        <f>_xlfn.CONCAT(Table13[[#This Row],[STATE]],"-",Table13[[#This Row],[Year]])</f>
        <v>Haryana-2010</v>
      </c>
      <c r="D2771" t="s">
        <v>79</v>
      </c>
      <c r="E2771" t="s">
        <v>80</v>
      </c>
      <c r="F2771">
        <v>3043</v>
      </c>
      <c r="G2771">
        <v>200</v>
      </c>
      <c r="H2771">
        <v>0</v>
      </c>
      <c r="I2771">
        <v>0</v>
      </c>
      <c r="J2771">
        <v>2369</v>
      </c>
      <c r="K2771">
        <v>0</v>
      </c>
      <c r="L2771">
        <v>0</v>
      </c>
      <c r="M2771">
        <v>351</v>
      </c>
      <c r="N2771">
        <v>0</v>
      </c>
      <c r="O2771">
        <v>26</v>
      </c>
      <c r="P2771">
        <v>97</v>
      </c>
      <c r="Q2771">
        <v>0</v>
      </c>
      <c r="R2771">
        <f>SUM(Table13[[#This Row],[Rank_All_Ranks_Total]:[Rank_SSPSPAddlSPCommandant]])</f>
        <v>6086</v>
      </c>
    </row>
    <row r="2772" spans="1:18" x14ac:dyDescent="0.3">
      <c r="A2772" t="s">
        <v>14</v>
      </c>
      <c r="B2772">
        <v>2010</v>
      </c>
      <c r="C2772" t="str">
        <f>_xlfn.CONCAT(Table13[[#This Row],[STATE]],"-",Table13[[#This Row],[Year]])</f>
        <v>Himachal Pradesh-2010</v>
      </c>
      <c r="D2772" t="s">
        <v>79</v>
      </c>
      <c r="E2772" t="s">
        <v>80</v>
      </c>
      <c r="F2772">
        <v>140</v>
      </c>
      <c r="G2772">
        <v>1</v>
      </c>
      <c r="H2772">
        <v>0</v>
      </c>
      <c r="I2772">
        <v>0</v>
      </c>
      <c r="J2772">
        <v>130</v>
      </c>
      <c r="K2772">
        <v>0</v>
      </c>
      <c r="L2772">
        <v>0</v>
      </c>
      <c r="M2772">
        <v>7</v>
      </c>
      <c r="N2772">
        <v>0</v>
      </c>
      <c r="O2772">
        <v>0</v>
      </c>
      <c r="P2772">
        <v>2</v>
      </c>
      <c r="Q2772">
        <v>0</v>
      </c>
      <c r="R2772">
        <f>SUM(Table13[[#This Row],[Rank_All_Ranks_Total]:[Rank_SSPSPAddlSPCommandant]])</f>
        <v>280</v>
      </c>
    </row>
    <row r="2773" spans="1:18" x14ac:dyDescent="0.3">
      <c r="A2773" t="s">
        <v>15</v>
      </c>
      <c r="B2773">
        <v>2010</v>
      </c>
      <c r="C2773" t="str">
        <f>_xlfn.CONCAT(Table13[[#This Row],[STATE]],"-",Table13[[#This Row],[Year]])</f>
        <v>Jammu &amp; Kashmir-2010</v>
      </c>
      <c r="D2773" t="s">
        <v>79</v>
      </c>
      <c r="E2773" t="s">
        <v>80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f>SUM(Table13[[#This Row],[Rank_All_Ranks_Total]:[Rank_SSPSPAddlSPCommandant]])</f>
        <v>0</v>
      </c>
    </row>
    <row r="2774" spans="1:18" x14ac:dyDescent="0.3">
      <c r="A2774" t="s">
        <v>16</v>
      </c>
      <c r="B2774">
        <v>2010</v>
      </c>
      <c r="C2774" t="str">
        <f>_xlfn.CONCAT(Table13[[#This Row],[STATE]],"-",Table13[[#This Row],[Year]])</f>
        <v>Jharkhand-2010</v>
      </c>
      <c r="D2774" t="s">
        <v>79</v>
      </c>
      <c r="E2774" t="s">
        <v>80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f>SUM(Table13[[#This Row],[Rank_All_Ranks_Total]:[Rank_SSPSPAddlSPCommandant]])</f>
        <v>0</v>
      </c>
    </row>
    <row r="2775" spans="1:18" x14ac:dyDescent="0.3">
      <c r="A2775" t="s">
        <v>17</v>
      </c>
      <c r="B2775">
        <v>2010</v>
      </c>
      <c r="C2775" t="str">
        <f>_xlfn.CONCAT(Table13[[#This Row],[STATE]],"-",Table13[[#This Row],[Year]])</f>
        <v>Karnataka-2010</v>
      </c>
      <c r="D2775" t="s">
        <v>79</v>
      </c>
      <c r="E2775" t="s">
        <v>80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f>SUM(Table13[[#This Row],[Rank_All_Ranks_Total]:[Rank_SSPSPAddlSPCommandant]])</f>
        <v>0</v>
      </c>
    </row>
    <row r="2776" spans="1:18" x14ac:dyDescent="0.3">
      <c r="A2776" t="s">
        <v>18</v>
      </c>
      <c r="B2776">
        <v>2010</v>
      </c>
      <c r="C2776" t="str">
        <f>_xlfn.CONCAT(Table13[[#This Row],[STATE]],"-",Table13[[#This Row],[Year]])</f>
        <v>Kerala-2010</v>
      </c>
      <c r="D2776" t="s">
        <v>79</v>
      </c>
      <c r="E2776" t="s">
        <v>80</v>
      </c>
      <c r="F2776">
        <v>2775</v>
      </c>
      <c r="G2776">
        <v>0</v>
      </c>
      <c r="H2776">
        <v>1</v>
      </c>
      <c r="I2776">
        <v>0</v>
      </c>
      <c r="J2776">
        <v>2498</v>
      </c>
      <c r="K2776">
        <v>0</v>
      </c>
      <c r="L2776">
        <v>0</v>
      </c>
      <c r="M2776">
        <v>181</v>
      </c>
      <c r="N2776">
        <v>0</v>
      </c>
      <c r="O2776">
        <v>21</v>
      </c>
      <c r="P2776">
        <v>74</v>
      </c>
      <c r="Q2776">
        <v>0</v>
      </c>
      <c r="R2776">
        <f>SUM(Table13[[#This Row],[Rank_All_Ranks_Total]:[Rank_SSPSPAddlSPCommandant]])</f>
        <v>5550</v>
      </c>
    </row>
    <row r="2777" spans="1:18" x14ac:dyDescent="0.3">
      <c r="A2777" t="s">
        <v>39</v>
      </c>
      <c r="B2777">
        <v>2010</v>
      </c>
      <c r="C2777" t="str">
        <f>_xlfn.CONCAT(Table13[[#This Row],[STATE]],"-",Table13[[#This Row],[Year]])</f>
        <v>Lakshadweep-2010</v>
      </c>
      <c r="D2777" t="s">
        <v>79</v>
      </c>
      <c r="E2777" t="s">
        <v>80</v>
      </c>
      <c r="F2777">
        <v>8</v>
      </c>
      <c r="G2777">
        <v>0</v>
      </c>
      <c r="H2777">
        <v>0</v>
      </c>
      <c r="I2777">
        <v>0</v>
      </c>
      <c r="J2777">
        <v>6</v>
      </c>
      <c r="K2777">
        <v>0</v>
      </c>
      <c r="L2777">
        <v>0</v>
      </c>
      <c r="M2777">
        <v>1</v>
      </c>
      <c r="N2777">
        <v>0</v>
      </c>
      <c r="O2777">
        <v>0</v>
      </c>
      <c r="P2777">
        <v>1</v>
      </c>
      <c r="Q2777">
        <v>0</v>
      </c>
      <c r="R2777">
        <f>SUM(Table13[[#This Row],[Rank_All_Ranks_Total]:[Rank_SSPSPAddlSPCommandant]])</f>
        <v>16</v>
      </c>
    </row>
    <row r="2778" spans="1:18" x14ac:dyDescent="0.3">
      <c r="A2778" t="s">
        <v>19</v>
      </c>
      <c r="B2778">
        <v>2010</v>
      </c>
      <c r="C2778" t="str">
        <f>_xlfn.CONCAT(Table13[[#This Row],[STATE]],"-",Table13[[#This Row],[Year]])</f>
        <v>Madhya Pradesh-2010</v>
      </c>
      <c r="D2778" t="s">
        <v>79</v>
      </c>
      <c r="E2778" t="s">
        <v>80</v>
      </c>
      <c r="F2778">
        <v>1770</v>
      </c>
      <c r="G2778">
        <v>40</v>
      </c>
      <c r="H2778">
        <v>51</v>
      </c>
      <c r="I2778">
        <v>0</v>
      </c>
      <c r="J2778">
        <v>1288</v>
      </c>
      <c r="K2778">
        <v>0</v>
      </c>
      <c r="L2778">
        <v>2</v>
      </c>
      <c r="M2778">
        <v>221</v>
      </c>
      <c r="N2778">
        <v>3</v>
      </c>
      <c r="O2778">
        <v>16</v>
      </c>
      <c r="P2778">
        <v>140</v>
      </c>
      <c r="Q2778">
        <v>9</v>
      </c>
      <c r="R2778">
        <f>SUM(Table13[[#This Row],[Rank_All_Ranks_Total]:[Rank_SSPSPAddlSPCommandant]])</f>
        <v>3540</v>
      </c>
    </row>
    <row r="2779" spans="1:18" x14ac:dyDescent="0.3">
      <c r="A2779" t="s">
        <v>20</v>
      </c>
      <c r="B2779">
        <v>2010</v>
      </c>
      <c r="C2779" t="str">
        <f>_xlfn.CONCAT(Table13[[#This Row],[STATE]],"-",Table13[[#This Row],[Year]])</f>
        <v>Maharashtra-2010</v>
      </c>
      <c r="D2779" t="s">
        <v>79</v>
      </c>
      <c r="E2779" t="s">
        <v>80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f>SUM(Table13[[#This Row],[Rank_All_Ranks_Total]:[Rank_SSPSPAddlSPCommandant]])</f>
        <v>0</v>
      </c>
    </row>
    <row r="2780" spans="1:18" x14ac:dyDescent="0.3">
      <c r="A2780" t="s">
        <v>21</v>
      </c>
      <c r="B2780">
        <v>2010</v>
      </c>
      <c r="C2780" t="str">
        <f>_xlfn.CONCAT(Table13[[#This Row],[STATE]],"-",Table13[[#This Row],[Year]])</f>
        <v>Manipur-2010</v>
      </c>
      <c r="D2780" t="s">
        <v>79</v>
      </c>
      <c r="E2780" t="s">
        <v>80</v>
      </c>
      <c r="F2780">
        <v>2365</v>
      </c>
      <c r="G2780">
        <v>193</v>
      </c>
      <c r="H2780">
        <v>0</v>
      </c>
      <c r="I2780">
        <v>0</v>
      </c>
      <c r="J2780">
        <v>1698</v>
      </c>
      <c r="K2780">
        <v>0</v>
      </c>
      <c r="L2780">
        <v>0</v>
      </c>
      <c r="M2780">
        <v>310</v>
      </c>
      <c r="N2780">
        <v>0</v>
      </c>
      <c r="O2780">
        <v>9</v>
      </c>
      <c r="P2780">
        <v>155</v>
      </c>
      <c r="Q2780">
        <v>0</v>
      </c>
      <c r="R2780">
        <f>SUM(Table13[[#This Row],[Rank_All_Ranks_Total]:[Rank_SSPSPAddlSPCommandant]])</f>
        <v>4730</v>
      </c>
    </row>
    <row r="2781" spans="1:18" x14ac:dyDescent="0.3">
      <c r="A2781" t="s">
        <v>22</v>
      </c>
      <c r="B2781">
        <v>2010</v>
      </c>
      <c r="C2781" t="str">
        <f>_xlfn.CONCAT(Table13[[#This Row],[STATE]],"-",Table13[[#This Row],[Year]])</f>
        <v>Meghalaya-2010</v>
      </c>
      <c r="D2781" t="s">
        <v>79</v>
      </c>
      <c r="E2781" t="s">
        <v>80</v>
      </c>
      <c r="F2781">
        <v>44</v>
      </c>
      <c r="G2781">
        <v>0</v>
      </c>
      <c r="H2781">
        <v>0</v>
      </c>
      <c r="I2781">
        <v>0</v>
      </c>
      <c r="J2781">
        <v>38</v>
      </c>
      <c r="K2781">
        <v>0</v>
      </c>
      <c r="L2781">
        <v>0</v>
      </c>
      <c r="M2781">
        <v>3</v>
      </c>
      <c r="N2781">
        <v>0</v>
      </c>
      <c r="O2781">
        <v>1</v>
      </c>
      <c r="P2781">
        <v>2</v>
      </c>
      <c r="Q2781">
        <v>0</v>
      </c>
      <c r="R2781">
        <f>SUM(Table13[[#This Row],[Rank_All_Ranks_Total]:[Rank_SSPSPAddlSPCommandant]])</f>
        <v>88</v>
      </c>
    </row>
    <row r="2782" spans="1:18" x14ac:dyDescent="0.3">
      <c r="A2782" t="s">
        <v>23</v>
      </c>
      <c r="B2782">
        <v>2010</v>
      </c>
      <c r="C2782" t="str">
        <f>_xlfn.CONCAT(Table13[[#This Row],[STATE]],"-",Table13[[#This Row],[Year]])</f>
        <v>Mizoram-2010</v>
      </c>
      <c r="D2782" t="s">
        <v>79</v>
      </c>
      <c r="E2782" t="s">
        <v>80</v>
      </c>
      <c r="F2782">
        <v>537</v>
      </c>
      <c r="G2782">
        <v>98</v>
      </c>
      <c r="H2782">
        <v>7</v>
      </c>
      <c r="I2782">
        <v>0</v>
      </c>
      <c r="J2782">
        <v>165</v>
      </c>
      <c r="K2782">
        <v>0</v>
      </c>
      <c r="L2782">
        <v>0</v>
      </c>
      <c r="M2782">
        <v>141</v>
      </c>
      <c r="N2782">
        <v>0</v>
      </c>
      <c r="O2782">
        <v>17</v>
      </c>
      <c r="P2782">
        <v>108</v>
      </c>
      <c r="Q2782">
        <v>1</v>
      </c>
      <c r="R2782">
        <f>SUM(Table13[[#This Row],[Rank_All_Ranks_Total]:[Rank_SSPSPAddlSPCommandant]])</f>
        <v>1074</v>
      </c>
    </row>
    <row r="2783" spans="1:18" x14ac:dyDescent="0.3">
      <c r="A2783" t="s">
        <v>24</v>
      </c>
      <c r="B2783">
        <v>2010</v>
      </c>
      <c r="C2783" t="str">
        <f>_xlfn.CONCAT(Table13[[#This Row],[STATE]],"-",Table13[[#This Row],[Year]])</f>
        <v>Nagaland-2010</v>
      </c>
      <c r="D2783" t="s">
        <v>79</v>
      </c>
      <c r="E2783" t="s">
        <v>80</v>
      </c>
      <c r="F2783">
        <v>95</v>
      </c>
      <c r="G2783">
        <v>4</v>
      </c>
      <c r="H2783">
        <v>2</v>
      </c>
      <c r="I2783">
        <v>0</v>
      </c>
      <c r="J2783">
        <v>80</v>
      </c>
      <c r="K2783">
        <v>0</v>
      </c>
      <c r="L2783">
        <v>0</v>
      </c>
      <c r="M2783">
        <v>7</v>
      </c>
      <c r="N2783">
        <v>0</v>
      </c>
      <c r="O2783">
        <v>0</v>
      </c>
      <c r="P2783">
        <v>2</v>
      </c>
      <c r="Q2783">
        <v>0</v>
      </c>
      <c r="R2783">
        <f>SUM(Table13[[#This Row],[Rank_All_Ranks_Total]:[Rank_SSPSPAddlSPCommandant]])</f>
        <v>190</v>
      </c>
    </row>
    <row r="2784" spans="1:18" x14ac:dyDescent="0.3">
      <c r="A2784" t="s">
        <v>63</v>
      </c>
      <c r="B2784">
        <v>2010</v>
      </c>
      <c r="C2784" t="str">
        <f>_xlfn.CONCAT(Table13[[#This Row],[STATE]],"-",Table13[[#This Row],[Year]])</f>
        <v>Odisha-2010</v>
      </c>
      <c r="D2784" t="s">
        <v>79</v>
      </c>
      <c r="E2784" t="s">
        <v>80</v>
      </c>
      <c r="F2784">
        <v>3281</v>
      </c>
      <c r="G2784">
        <v>84</v>
      </c>
      <c r="H2784">
        <v>8</v>
      </c>
      <c r="I2784">
        <v>0</v>
      </c>
      <c r="J2784">
        <v>2789</v>
      </c>
      <c r="K2784">
        <v>0</v>
      </c>
      <c r="L2784">
        <v>4</v>
      </c>
      <c r="M2784">
        <v>4</v>
      </c>
      <c r="N2784">
        <v>1</v>
      </c>
      <c r="O2784">
        <v>75</v>
      </c>
      <c r="P2784">
        <v>308</v>
      </c>
      <c r="Q2784">
        <v>8</v>
      </c>
      <c r="R2784">
        <f>SUM(Table13[[#This Row],[Rank_All_Ranks_Total]:[Rank_SSPSPAddlSPCommandant]])</f>
        <v>6562</v>
      </c>
    </row>
    <row r="2785" spans="1:18" x14ac:dyDescent="0.3">
      <c r="A2785" t="s">
        <v>64</v>
      </c>
      <c r="B2785">
        <v>2010</v>
      </c>
      <c r="C2785" t="str">
        <f>_xlfn.CONCAT(Table13[[#This Row],[STATE]],"-",Table13[[#This Row],[Year]])</f>
        <v>Puducherry-2010</v>
      </c>
      <c r="D2785" t="s">
        <v>79</v>
      </c>
      <c r="E2785" t="s">
        <v>80</v>
      </c>
      <c r="F2785">
        <v>81</v>
      </c>
      <c r="G2785">
        <v>2</v>
      </c>
      <c r="H2785">
        <v>0</v>
      </c>
      <c r="I2785">
        <v>0</v>
      </c>
      <c r="J2785">
        <v>70</v>
      </c>
      <c r="K2785">
        <v>0</v>
      </c>
      <c r="L2785">
        <v>0</v>
      </c>
      <c r="M2785">
        <v>6</v>
      </c>
      <c r="N2785">
        <v>0</v>
      </c>
      <c r="O2785">
        <v>1</v>
      </c>
      <c r="P2785">
        <v>2</v>
      </c>
      <c r="Q2785">
        <v>0</v>
      </c>
      <c r="R2785">
        <f>SUM(Table13[[#This Row],[Rank_All_Ranks_Total]:[Rank_SSPSPAddlSPCommandant]])</f>
        <v>162</v>
      </c>
    </row>
    <row r="2786" spans="1:18" x14ac:dyDescent="0.3">
      <c r="A2786" t="s">
        <v>26</v>
      </c>
      <c r="B2786">
        <v>2010</v>
      </c>
      <c r="C2786" t="str">
        <f>_xlfn.CONCAT(Table13[[#This Row],[STATE]],"-",Table13[[#This Row],[Year]])</f>
        <v>Punjab-2010</v>
      </c>
      <c r="D2786" t="s">
        <v>79</v>
      </c>
      <c r="E2786" t="s">
        <v>80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f>SUM(Table13[[#This Row],[Rank_All_Ranks_Total]:[Rank_SSPSPAddlSPCommandant]])</f>
        <v>0</v>
      </c>
    </row>
    <row r="2787" spans="1:18" x14ac:dyDescent="0.3">
      <c r="A2787" t="s">
        <v>27</v>
      </c>
      <c r="B2787">
        <v>2010</v>
      </c>
      <c r="C2787" t="str">
        <f>_xlfn.CONCAT(Table13[[#This Row],[STATE]],"-",Table13[[#This Row],[Year]])</f>
        <v>Rajasthan-2010</v>
      </c>
      <c r="D2787" t="s">
        <v>79</v>
      </c>
      <c r="E2787" t="s">
        <v>80</v>
      </c>
      <c r="F2787">
        <v>1993</v>
      </c>
      <c r="G2787">
        <v>41</v>
      </c>
      <c r="H2787">
        <v>23</v>
      </c>
      <c r="I2787">
        <v>0</v>
      </c>
      <c r="J2787">
        <v>1640</v>
      </c>
      <c r="K2787">
        <v>0</v>
      </c>
      <c r="L2787">
        <v>1</v>
      </c>
      <c r="M2787">
        <v>200</v>
      </c>
      <c r="N2787">
        <v>1</v>
      </c>
      <c r="O2787">
        <v>2</v>
      </c>
      <c r="P2787">
        <v>73</v>
      </c>
      <c r="Q2787">
        <v>12</v>
      </c>
      <c r="R2787">
        <f>SUM(Table13[[#This Row],[Rank_All_Ranks_Total]:[Rank_SSPSPAddlSPCommandant]])</f>
        <v>3986</v>
      </c>
    </row>
    <row r="2788" spans="1:18" x14ac:dyDescent="0.3">
      <c r="A2788" t="s">
        <v>28</v>
      </c>
      <c r="B2788">
        <v>2010</v>
      </c>
      <c r="C2788" t="str">
        <f>_xlfn.CONCAT(Table13[[#This Row],[STATE]],"-",Table13[[#This Row],[Year]])</f>
        <v>Sikkim-2010</v>
      </c>
      <c r="D2788" t="s">
        <v>79</v>
      </c>
      <c r="E2788" t="s">
        <v>80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f>SUM(Table13[[#This Row],[Rank_All_Ranks_Total]:[Rank_SSPSPAddlSPCommandant]])</f>
        <v>0</v>
      </c>
    </row>
    <row r="2789" spans="1:18" x14ac:dyDescent="0.3">
      <c r="A2789" t="s">
        <v>42</v>
      </c>
      <c r="B2789">
        <v>2010</v>
      </c>
      <c r="C2789" t="str">
        <f>_xlfn.CONCAT(Table13[[#This Row],[STATE]],"-",Table13[[#This Row],[Year]])</f>
        <v>Tamil Nadu-2010</v>
      </c>
      <c r="D2789" t="s">
        <v>79</v>
      </c>
      <c r="E2789" t="s">
        <v>80</v>
      </c>
      <c r="F2789">
        <v>13540</v>
      </c>
      <c r="G2789">
        <v>0</v>
      </c>
      <c r="H2789">
        <v>80</v>
      </c>
      <c r="I2789">
        <v>2520</v>
      </c>
      <c r="J2789">
        <v>6003</v>
      </c>
      <c r="K2789">
        <v>2</v>
      </c>
      <c r="L2789">
        <v>1</v>
      </c>
      <c r="M2789">
        <v>3271</v>
      </c>
      <c r="N2789">
        <v>3</v>
      </c>
      <c r="O2789">
        <v>128</v>
      </c>
      <c r="P2789">
        <v>1503</v>
      </c>
      <c r="Q2789">
        <v>29</v>
      </c>
      <c r="R2789">
        <f>SUM(Table13[[#This Row],[Rank_All_Ranks_Total]:[Rank_SSPSPAddlSPCommandant]])</f>
        <v>27080</v>
      </c>
    </row>
    <row r="2790" spans="1:18" x14ac:dyDescent="0.3">
      <c r="A2790" t="s">
        <v>30</v>
      </c>
      <c r="B2790">
        <v>2010</v>
      </c>
      <c r="C2790" t="str">
        <f>_xlfn.CONCAT(Table13[[#This Row],[STATE]],"-",Table13[[#This Row],[Year]])</f>
        <v>Tripura-2010</v>
      </c>
      <c r="D2790" t="s">
        <v>79</v>
      </c>
      <c r="E2790" t="s">
        <v>80</v>
      </c>
      <c r="F2790">
        <v>935</v>
      </c>
      <c r="G2790">
        <v>54</v>
      </c>
      <c r="H2790">
        <v>2</v>
      </c>
      <c r="I2790">
        <v>16</v>
      </c>
      <c r="J2790">
        <v>717</v>
      </c>
      <c r="K2790">
        <v>0</v>
      </c>
      <c r="L2790">
        <v>0</v>
      </c>
      <c r="M2790">
        <v>72</v>
      </c>
      <c r="N2790">
        <v>0</v>
      </c>
      <c r="O2790">
        <v>7</v>
      </c>
      <c r="P2790">
        <v>66</v>
      </c>
      <c r="Q2790">
        <v>1</v>
      </c>
      <c r="R2790">
        <f>SUM(Table13[[#This Row],[Rank_All_Ranks_Total]:[Rank_SSPSPAddlSPCommandant]])</f>
        <v>1870</v>
      </c>
    </row>
    <row r="2791" spans="1:18" x14ac:dyDescent="0.3">
      <c r="A2791" t="s">
        <v>31</v>
      </c>
      <c r="B2791">
        <v>2010</v>
      </c>
      <c r="C2791" t="str">
        <f>_xlfn.CONCAT(Table13[[#This Row],[STATE]],"-",Table13[[#This Row],[Year]])</f>
        <v>Uttar Pradesh-2010</v>
      </c>
      <c r="D2791" t="s">
        <v>79</v>
      </c>
      <c r="E2791" t="s">
        <v>80</v>
      </c>
      <c r="F2791">
        <v>2493</v>
      </c>
      <c r="G2791">
        <v>0</v>
      </c>
      <c r="H2791">
        <v>45</v>
      </c>
      <c r="I2791">
        <v>0</v>
      </c>
      <c r="J2791">
        <v>1942</v>
      </c>
      <c r="K2791">
        <v>0</v>
      </c>
      <c r="L2791">
        <v>2</v>
      </c>
      <c r="M2791">
        <v>142</v>
      </c>
      <c r="N2791">
        <v>2</v>
      </c>
      <c r="O2791">
        <v>11</v>
      </c>
      <c r="P2791">
        <v>327</v>
      </c>
      <c r="Q2791">
        <v>22</v>
      </c>
      <c r="R2791">
        <f>SUM(Table13[[#This Row],[Rank_All_Ranks_Total]:[Rank_SSPSPAddlSPCommandant]])</f>
        <v>4986</v>
      </c>
    </row>
    <row r="2792" spans="1:18" x14ac:dyDescent="0.3">
      <c r="A2792" t="s">
        <v>65</v>
      </c>
      <c r="B2792">
        <v>2010</v>
      </c>
      <c r="C2792" t="str">
        <f>_xlfn.CONCAT(Table13[[#This Row],[STATE]],"-",Table13[[#This Row],[Year]])</f>
        <v>Uttarakhand-2010</v>
      </c>
      <c r="D2792" t="s">
        <v>79</v>
      </c>
      <c r="E2792" t="s">
        <v>80</v>
      </c>
      <c r="F2792">
        <v>703</v>
      </c>
      <c r="G2792">
        <v>0</v>
      </c>
      <c r="H2792">
        <v>0</v>
      </c>
      <c r="I2792">
        <v>0</v>
      </c>
      <c r="J2792">
        <v>636</v>
      </c>
      <c r="K2792">
        <v>0</v>
      </c>
      <c r="L2792">
        <v>0</v>
      </c>
      <c r="M2792">
        <v>59</v>
      </c>
      <c r="N2792">
        <v>0</v>
      </c>
      <c r="O2792">
        <v>2</v>
      </c>
      <c r="P2792">
        <v>6</v>
      </c>
      <c r="Q2792">
        <v>0</v>
      </c>
      <c r="R2792">
        <f>SUM(Table13[[#This Row],[Rank_All_Ranks_Total]:[Rank_SSPSPAddlSPCommandant]])</f>
        <v>1406</v>
      </c>
    </row>
    <row r="2793" spans="1:18" x14ac:dyDescent="0.3">
      <c r="A2793" t="s">
        <v>33</v>
      </c>
      <c r="B2793">
        <v>2010</v>
      </c>
      <c r="C2793" t="str">
        <f>_xlfn.CONCAT(Table13[[#This Row],[STATE]],"-",Table13[[#This Row],[Year]])</f>
        <v>West Bengal-2010</v>
      </c>
      <c r="D2793" t="s">
        <v>79</v>
      </c>
      <c r="E2793" t="s">
        <v>80</v>
      </c>
      <c r="F2793">
        <v>2419</v>
      </c>
      <c r="G2793">
        <v>175</v>
      </c>
      <c r="H2793">
        <v>1</v>
      </c>
      <c r="I2793">
        <v>0</v>
      </c>
      <c r="J2793">
        <v>2024</v>
      </c>
      <c r="K2793">
        <v>0</v>
      </c>
      <c r="L2793">
        <v>0</v>
      </c>
      <c r="M2793">
        <v>7</v>
      </c>
      <c r="N2793">
        <v>0</v>
      </c>
      <c r="O2793">
        <v>12</v>
      </c>
      <c r="P2793">
        <v>200</v>
      </c>
      <c r="Q2793">
        <v>0</v>
      </c>
      <c r="R2793">
        <f>SUM(Table13[[#This Row],[Rank_All_Ranks_Total]:[Rank_SSPSPAddlSPCommandant]])</f>
        <v>4838</v>
      </c>
    </row>
  </sheetData>
  <conditionalFormatting sqref="R1:R2793 R2795:R1048576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{D4388505-E7FC-412A-AD86-3B0E39F7A9F6}</x14:id>
        </ext>
      </extLst>
    </cfRule>
  </conditionalFormatting>
  <conditionalFormatting sqref="R2:R2793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{08371ADA-4EDD-4845-A191-37EE310854D2}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4388505-E7FC-412A-AD86-3B0E39F7A9F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R1:R2793 R2795:R1048576</xm:sqref>
        </x14:conditionalFormatting>
        <x14:conditionalFormatting xmlns:xm="http://schemas.microsoft.com/office/excel/2006/main">
          <x14:cfRule type="dataBar" id="{08371ADA-4EDD-4845-A191-37EE310854D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R2:R2793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</vt:lpstr>
      <vt:lpstr>Vocational</vt:lpstr>
      <vt:lpstr>Recidivism</vt:lpstr>
      <vt:lpstr>policseStrength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SAMBODHI</dc:creator>
  <cp:lastModifiedBy>Sambodhi Bhowal</cp:lastModifiedBy>
  <dcterms:created xsi:type="dcterms:W3CDTF">2015-06-05T18:17:20Z</dcterms:created>
  <dcterms:modified xsi:type="dcterms:W3CDTF">2025-11-17T06:32:43Z</dcterms:modified>
</cp:coreProperties>
</file>